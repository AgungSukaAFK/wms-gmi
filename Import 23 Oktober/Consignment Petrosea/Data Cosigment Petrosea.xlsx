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8516798-3C97-4610-BBB0-09A34F7DB017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Consign" sheetId="7" r:id="rId1"/>
    <sheet name="Stock GIS BUMA Site" sheetId="11" state="hidden" r:id="rId2"/>
    <sheet name="Shipment Import" sheetId="12" state="hidden" r:id="rId3"/>
  </sheets>
  <definedNames>
    <definedName name="_xlnm._FilterDatabase" localSheetId="0" hidden="1">Consign!$A$6:$AZ$1112</definedName>
    <definedName name="Z_13A3E359_7648_43B6_A011_037634A7CC01_.wvu.FilterData" localSheetId="0" hidden="1">Consign!$A$6:$AY$2001</definedName>
    <definedName name="Z_16F1A944_97BF_407C_BDC2_5B2FAC58EE4A_.wvu.FilterData" localSheetId="0" hidden="1">Consign!$A$1:$AZ$968</definedName>
    <definedName name="Z_2162E68B_190F_4C9C_9599_E10A9AE49ABC_.wvu.FilterData" localSheetId="0" hidden="1">Consign!$A$1:$AZ$968</definedName>
    <definedName name="Z_5B0B5A4C_29CC_4CED_B053_A3EDCD5CEB8C_.wvu.FilterData" localSheetId="0" hidden="1">Consign!$A$1:$AY$928</definedName>
    <definedName name="Z_640C55F3_F91D_47D3_929B_EE55D60E1829_.wvu.FilterData" localSheetId="0" hidden="1">Consign!$A$1:$AZ$2001</definedName>
    <definedName name="Z_928EB5A0_B26F_48CE_BA4C_5636F42BB01A_.wvu.FilterData" localSheetId="0" hidden="1">Consign!$A$6:$AY$161</definedName>
  </definedNames>
  <calcPr calcId="191029"/>
  <customWorkbookViews>
    <customWorkbookView name="Filter 3" guid="{2162E68B-190F-4C9C-9599-E10A9AE49ABC}" maximized="1" windowWidth="0" windowHeight="0" activeSheetId="0"/>
    <customWorkbookView name="Dess" guid="{640C55F3-F91D-47D3-929B-EE55D60E1829}" maximized="1" windowWidth="0" windowHeight="0" activeSheetId="0"/>
    <customWorkbookView name="Filter 4" guid="{16F1A944-97BF-407C-BDC2-5B2FAC58EE4A}" maximized="1" windowWidth="0" windowHeight="0" activeSheetId="0"/>
    <customWorkbookView name="DESYY" guid="{6134322F-99DB-4916-881F-B11FDFD19D78}" maximized="1" windowWidth="0" windowHeight="0" activeSheetId="0"/>
    <customWorkbookView name="Filter 1" guid="{928EB5A0-B26F-48CE-BA4C-5636F42BB01A}" maximized="1" windowWidth="0" windowHeight="0" activeSheetId="0"/>
    <customWorkbookView name="Filter 2" guid="{13A3E359-7648-43B6-A011-037634A7CC01}" maximized="1" windowWidth="0" windowHeight="0" activeSheetId="0"/>
    <customWorkbookView name="Ajeng" guid="{5B0B5A4C-29CC-4CED-B053-A3EDCD5CEB8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23" roundtripDataChecksum="WiYo516DrymoWt8lybGy3SM+X6tft8TZ4UOA0RKLtws="/>
    </ext>
  </extLst>
</workbook>
</file>

<file path=xl/calcChain.xml><?xml version="1.0" encoding="utf-8"?>
<calcChain xmlns="http://schemas.openxmlformats.org/spreadsheetml/2006/main">
  <c r="K19" i="11" l="1"/>
  <c r="J19" i="11"/>
  <c r="I19" i="11"/>
  <c r="H19" i="11"/>
  <c r="G19" i="11"/>
  <c r="F19" i="11"/>
  <c r="E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AU1056" i="7"/>
  <c r="AG990" i="7"/>
  <c r="R990" i="7"/>
  <c r="P990" i="7"/>
  <c r="O990" i="7"/>
  <c r="Q990" i="7"/>
  <c r="S990" i="7" s="1"/>
  <c r="W990" i="7" s="1"/>
  <c r="AG989" i="7"/>
  <c r="P989" i="7"/>
  <c r="O989" i="7"/>
  <c r="R989" i="7"/>
  <c r="AG988" i="7"/>
  <c r="R988" i="7"/>
  <c r="P988" i="7"/>
  <c r="O988" i="7"/>
  <c r="Q988" i="7"/>
  <c r="AG987" i="7"/>
  <c r="P987" i="7"/>
  <c r="O987" i="7"/>
  <c r="R987" i="7"/>
  <c r="AG986" i="7"/>
  <c r="R986" i="7"/>
  <c r="P986" i="7"/>
  <c r="O986" i="7"/>
  <c r="Q986" i="7"/>
  <c r="AG985" i="7"/>
  <c r="R985" i="7"/>
  <c r="Q985" i="7"/>
  <c r="P985" i="7"/>
  <c r="O985" i="7"/>
  <c r="AG984" i="7"/>
  <c r="R984" i="7"/>
  <c r="P984" i="7"/>
  <c r="O984" i="7"/>
  <c r="Q984" i="7"/>
  <c r="S984" i="7" s="1"/>
  <c r="W984" i="7" s="1"/>
  <c r="AG983" i="7"/>
  <c r="P983" i="7"/>
  <c r="O983" i="7"/>
  <c r="R983" i="7"/>
  <c r="AG982" i="7"/>
  <c r="R982" i="7"/>
  <c r="P982" i="7"/>
  <c r="O982" i="7"/>
  <c r="Q982" i="7"/>
  <c r="AG981" i="7"/>
  <c r="P981" i="7"/>
  <c r="O981" i="7"/>
  <c r="R981" i="7"/>
  <c r="AG980" i="7"/>
  <c r="R980" i="7"/>
  <c r="P980" i="7"/>
  <c r="O980" i="7"/>
  <c r="Q980" i="7"/>
  <c r="AG979" i="7"/>
  <c r="P979" i="7"/>
  <c r="O979" i="7"/>
  <c r="R979" i="7"/>
  <c r="AU978" i="7"/>
  <c r="AG978" i="7"/>
  <c r="P978" i="7"/>
  <c r="O978" i="7"/>
  <c r="R978" i="7"/>
  <c r="AG977" i="7"/>
  <c r="R977" i="7"/>
  <c r="P977" i="7"/>
  <c r="O977" i="7"/>
  <c r="Q977" i="7"/>
  <c r="S977" i="7" s="1"/>
  <c r="W977" i="7" s="1"/>
  <c r="AG976" i="7"/>
  <c r="P976" i="7"/>
  <c r="O976" i="7"/>
  <c r="R976" i="7"/>
  <c r="AG975" i="7"/>
  <c r="R975" i="7"/>
  <c r="P975" i="7"/>
  <c r="O975" i="7"/>
  <c r="Q975" i="7"/>
  <c r="AG974" i="7"/>
  <c r="P974" i="7"/>
  <c r="O974" i="7"/>
  <c r="R974" i="7"/>
  <c r="AG973" i="7"/>
  <c r="R973" i="7"/>
  <c r="P973" i="7"/>
  <c r="O973" i="7"/>
  <c r="Q973" i="7"/>
  <c r="AG972" i="7"/>
  <c r="R972" i="7"/>
  <c r="P972" i="7"/>
  <c r="O972" i="7"/>
  <c r="Q972" i="7"/>
  <c r="AG971" i="7"/>
  <c r="R971" i="7"/>
  <c r="P971" i="7"/>
  <c r="O971" i="7"/>
  <c r="Q971" i="7"/>
  <c r="S971" i="7" s="1"/>
  <c r="W971" i="7" s="1"/>
  <c r="AG970" i="7"/>
  <c r="P970" i="7"/>
  <c r="O970" i="7"/>
  <c r="R970" i="7"/>
  <c r="AG969" i="7"/>
  <c r="P969" i="7"/>
  <c r="O969" i="7"/>
  <c r="R969" i="7"/>
  <c r="AZ968" i="7"/>
  <c r="AG968" i="7"/>
  <c r="W968" i="7"/>
  <c r="S968" i="7"/>
  <c r="R968" i="7"/>
  <c r="Q968" i="7"/>
  <c r="P968" i="7"/>
  <c r="O968" i="7"/>
  <c r="AZ967" i="7"/>
  <c r="AG967" i="7"/>
  <c r="W967" i="7"/>
  <c r="S967" i="7"/>
  <c r="R967" i="7"/>
  <c r="Q967" i="7"/>
  <c r="P967" i="7"/>
  <c r="O967" i="7"/>
  <c r="Q964" i="7"/>
  <c r="AZ966" i="7"/>
  <c r="AG966" i="7"/>
  <c r="W966" i="7"/>
  <c r="S966" i="7"/>
  <c r="R966" i="7"/>
  <c r="Q966" i="7"/>
  <c r="P966" i="7"/>
  <c r="O966" i="7"/>
  <c r="AZ965" i="7"/>
  <c r="AG965" i="7"/>
  <c r="R965" i="7"/>
  <c r="Q965" i="7"/>
  <c r="P965" i="7"/>
  <c r="O965" i="7"/>
  <c r="R962" i="7"/>
  <c r="AZ964" i="7"/>
  <c r="AG964" i="7"/>
  <c r="P964" i="7"/>
  <c r="O964" i="7"/>
  <c r="AZ963" i="7"/>
  <c r="AG963" i="7"/>
  <c r="R963" i="7"/>
  <c r="Q963" i="7"/>
  <c r="P963" i="7"/>
  <c r="O963" i="7"/>
  <c r="Q960" i="7"/>
  <c r="AZ962" i="7"/>
  <c r="AG962" i="7"/>
  <c r="Q962" i="7"/>
  <c r="P962" i="7"/>
  <c r="O962" i="7"/>
  <c r="AZ961" i="7"/>
  <c r="AG961" i="7"/>
  <c r="R961" i="7"/>
  <c r="Q961" i="7"/>
  <c r="P961" i="7"/>
  <c r="O961" i="7"/>
  <c r="Q958" i="7"/>
  <c r="AZ960" i="7"/>
  <c r="AG960" i="7"/>
  <c r="R960" i="7"/>
  <c r="P960" i="7"/>
  <c r="O960" i="7"/>
  <c r="AZ959" i="7"/>
  <c r="AG959" i="7"/>
  <c r="R959" i="7"/>
  <c r="Q959" i="7"/>
  <c r="P959" i="7"/>
  <c r="O959" i="7"/>
  <c r="Q956" i="7"/>
  <c r="AZ958" i="7"/>
  <c r="AG958" i="7"/>
  <c r="P958" i="7"/>
  <c r="O958" i="7"/>
  <c r="AZ957" i="7"/>
  <c r="AG957" i="7"/>
  <c r="R957" i="7"/>
  <c r="Q957" i="7"/>
  <c r="P957" i="7"/>
  <c r="O957" i="7"/>
  <c r="Q954" i="7"/>
  <c r="AZ956" i="7"/>
  <c r="AG956" i="7"/>
  <c r="R956" i="7"/>
  <c r="P956" i="7"/>
  <c r="O956" i="7"/>
  <c r="AZ955" i="7"/>
  <c r="AG955" i="7"/>
  <c r="R955" i="7"/>
  <c r="Q955" i="7"/>
  <c r="P955" i="7"/>
  <c r="O955" i="7"/>
  <c r="Q952" i="7"/>
  <c r="AZ954" i="7"/>
  <c r="AG954" i="7"/>
  <c r="P954" i="7"/>
  <c r="O954" i="7"/>
  <c r="AZ953" i="7"/>
  <c r="AG953" i="7"/>
  <c r="R953" i="7"/>
  <c r="Q953" i="7"/>
  <c r="P953" i="7"/>
  <c r="O953" i="7"/>
  <c r="Q950" i="7"/>
  <c r="AZ952" i="7"/>
  <c r="AG952" i="7"/>
  <c r="R952" i="7"/>
  <c r="P952" i="7"/>
  <c r="O952" i="7"/>
  <c r="AZ951" i="7"/>
  <c r="AG951" i="7"/>
  <c r="R951" i="7"/>
  <c r="Q951" i="7"/>
  <c r="P951" i="7"/>
  <c r="O951" i="7"/>
  <c r="Q948" i="7"/>
  <c r="AZ950" i="7"/>
  <c r="AG950" i="7"/>
  <c r="P950" i="7"/>
  <c r="O950" i="7"/>
  <c r="AZ949" i="7"/>
  <c r="AG949" i="7"/>
  <c r="R949" i="7"/>
  <c r="Q949" i="7"/>
  <c r="P949" i="7"/>
  <c r="O949" i="7"/>
  <c r="Q946" i="7"/>
  <c r="AZ948" i="7"/>
  <c r="AG948" i="7"/>
  <c r="R948" i="7"/>
  <c r="P948" i="7"/>
  <c r="O948" i="7"/>
  <c r="AZ947" i="7"/>
  <c r="AG947" i="7"/>
  <c r="R947" i="7"/>
  <c r="Q947" i="7"/>
  <c r="P947" i="7"/>
  <c r="O947" i="7"/>
  <c r="R944" i="7"/>
  <c r="AZ946" i="7"/>
  <c r="AG946" i="7"/>
  <c r="P946" i="7"/>
  <c r="O946" i="7"/>
  <c r="AZ945" i="7"/>
  <c r="AU945" i="7"/>
  <c r="AG945" i="7"/>
  <c r="R945" i="7"/>
  <c r="Q945" i="7"/>
  <c r="P945" i="7"/>
  <c r="O945" i="7"/>
  <c r="R942" i="7"/>
  <c r="AZ944" i="7"/>
  <c r="AG944" i="7"/>
  <c r="Q944" i="7"/>
  <c r="P944" i="7"/>
  <c r="O944" i="7"/>
  <c r="AZ943" i="7"/>
  <c r="AG943" i="7"/>
  <c r="R943" i="7"/>
  <c r="Q943" i="7"/>
  <c r="P943" i="7"/>
  <c r="O943" i="7"/>
  <c r="R940" i="7"/>
  <c r="AZ942" i="7"/>
  <c r="AG942" i="7"/>
  <c r="Q942" i="7"/>
  <c r="P942" i="7"/>
  <c r="O942" i="7"/>
  <c r="R939" i="7"/>
  <c r="AZ941" i="7"/>
  <c r="AG941" i="7"/>
  <c r="R941" i="7"/>
  <c r="Q941" i="7"/>
  <c r="P941" i="7"/>
  <c r="O941" i="7"/>
  <c r="R938" i="7"/>
  <c r="AZ940" i="7"/>
  <c r="AG940" i="7"/>
  <c r="P940" i="7"/>
  <c r="O940" i="7"/>
  <c r="AZ939" i="7"/>
  <c r="AG939" i="7"/>
  <c r="P939" i="7"/>
  <c r="O939" i="7"/>
  <c r="R936" i="7"/>
  <c r="AZ938" i="7"/>
  <c r="AG938" i="7"/>
  <c r="W938" i="7"/>
  <c r="S938" i="7"/>
  <c r="Q938" i="7"/>
  <c r="P938" i="7"/>
  <c r="O938" i="7"/>
  <c r="R935" i="7"/>
  <c r="AZ937" i="7"/>
  <c r="AG937" i="7"/>
  <c r="W937" i="7"/>
  <c r="S937" i="7"/>
  <c r="R937" i="7"/>
  <c r="Q937" i="7"/>
  <c r="P937" i="7"/>
  <c r="O937" i="7"/>
  <c r="R934" i="7"/>
  <c r="AZ936" i="7"/>
  <c r="AG936" i="7"/>
  <c r="W936" i="7"/>
  <c r="S936" i="7"/>
  <c r="Q936" i="7"/>
  <c r="P936" i="7"/>
  <c r="O936" i="7"/>
  <c r="Q933" i="7"/>
  <c r="AZ935" i="7"/>
  <c r="AG935" i="7"/>
  <c r="Q935" i="7"/>
  <c r="P935" i="7"/>
  <c r="O935" i="7"/>
  <c r="Q932" i="7"/>
  <c r="AZ934" i="7"/>
  <c r="AG934" i="7"/>
  <c r="Q934" i="7"/>
  <c r="S934" i="7" s="1"/>
  <c r="W934" i="7" s="1"/>
  <c r="P934" i="7"/>
  <c r="O934" i="7"/>
  <c r="R931" i="7"/>
  <c r="AZ933" i="7"/>
  <c r="AG933" i="7"/>
  <c r="R933" i="7"/>
  <c r="P933" i="7"/>
  <c r="O933" i="7"/>
  <c r="AZ932" i="7"/>
  <c r="AG932" i="7"/>
  <c r="P932" i="7"/>
  <c r="O932" i="7"/>
  <c r="AZ931" i="7"/>
  <c r="AG931" i="7"/>
  <c r="W931" i="7"/>
  <c r="S931" i="7"/>
  <c r="Q931" i="7"/>
  <c r="P931" i="7"/>
  <c r="O931" i="7"/>
  <c r="Q928" i="7"/>
  <c r="AZ930" i="7"/>
  <c r="AG930" i="7"/>
  <c r="W930" i="7"/>
  <c r="S930" i="7"/>
  <c r="R930" i="7"/>
  <c r="Q930" i="7"/>
  <c r="P930" i="7"/>
  <c r="O930" i="7"/>
  <c r="AZ929" i="7"/>
  <c r="AG929" i="7"/>
  <c r="W929" i="7"/>
  <c r="S929" i="7"/>
  <c r="R929" i="7"/>
  <c r="Q929" i="7"/>
  <c r="P929" i="7"/>
  <c r="O929" i="7"/>
  <c r="Q926" i="7"/>
  <c r="AZ928" i="7"/>
  <c r="AG928" i="7"/>
  <c r="P928" i="7"/>
  <c r="O928" i="7"/>
  <c r="AZ927" i="7"/>
  <c r="AG927" i="7"/>
  <c r="R927" i="7"/>
  <c r="Q927" i="7"/>
  <c r="P927" i="7"/>
  <c r="O927" i="7"/>
  <c r="Q924" i="7"/>
  <c r="AZ926" i="7"/>
  <c r="AG926" i="7"/>
  <c r="P926" i="7"/>
  <c r="O926" i="7"/>
  <c r="AZ925" i="7"/>
  <c r="AG925" i="7"/>
  <c r="R925" i="7"/>
  <c r="Q925" i="7"/>
  <c r="P925" i="7"/>
  <c r="O925" i="7"/>
  <c r="Q922" i="7"/>
  <c r="AZ924" i="7"/>
  <c r="AG924" i="7"/>
  <c r="R924" i="7"/>
  <c r="P924" i="7"/>
  <c r="O924" i="7"/>
  <c r="AZ923" i="7"/>
  <c r="AG923" i="7"/>
  <c r="R923" i="7"/>
  <c r="Q923" i="7"/>
  <c r="P923" i="7"/>
  <c r="O923" i="7"/>
  <c r="Q920" i="7"/>
  <c r="AZ922" i="7"/>
  <c r="AG922" i="7"/>
  <c r="P922" i="7"/>
  <c r="O922" i="7"/>
  <c r="AZ921" i="7"/>
  <c r="AG921" i="7"/>
  <c r="R921" i="7"/>
  <c r="Q921" i="7"/>
  <c r="P921" i="7"/>
  <c r="O921" i="7"/>
  <c r="AZ920" i="7"/>
  <c r="AG920" i="7"/>
  <c r="R920" i="7"/>
  <c r="P920" i="7"/>
  <c r="O920" i="7"/>
  <c r="AZ919" i="7"/>
  <c r="AG919" i="7"/>
  <c r="R919" i="7"/>
  <c r="Q919" i="7"/>
  <c r="P919" i="7"/>
  <c r="O919" i="7"/>
  <c r="AZ918" i="7"/>
  <c r="AG918" i="7"/>
  <c r="R918" i="7"/>
  <c r="P918" i="7"/>
  <c r="O918" i="7"/>
  <c r="Q918" i="7"/>
  <c r="AZ917" i="7"/>
  <c r="AG917" i="7"/>
  <c r="AD917" i="7"/>
  <c r="R917" i="7"/>
  <c r="P917" i="7"/>
  <c r="O917" i="7"/>
  <c r="Q917" i="7"/>
  <c r="AZ916" i="7"/>
  <c r="AU916" i="7"/>
  <c r="AG916" i="7"/>
  <c r="P916" i="7"/>
  <c r="O916" i="7"/>
  <c r="R916" i="7"/>
  <c r="AZ915" i="7"/>
  <c r="AG915" i="7"/>
  <c r="R915" i="7"/>
  <c r="P915" i="7"/>
  <c r="O915" i="7"/>
  <c r="Q915" i="7"/>
  <c r="AZ914" i="7"/>
  <c r="AG914" i="7"/>
  <c r="R914" i="7"/>
  <c r="P914" i="7"/>
  <c r="O914" i="7"/>
  <c r="Q914" i="7"/>
  <c r="AZ913" i="7"/>
  <c r="AG913" i="7"/>
  <c r="R913" i="7"/>
  <c r="P913" i="7"/>
  <c r="O913" i="7"/>
  <c r="Q913" i="7"/>
  <c r="AZ912" i="7"/>
  <c r="AU912" i="7"/>
  <c r="AG912" i="7"/>
  <c r="P912" i="7"/>
  <c r="O912" i="7"/>
  <c r="Q912" i="7"/>
  <c r="AZ911" i="7"/>
  <c r="AG911" i="7"/>
  <c r="R911" i="7"/>
  <c r="Q911" i="7"/>
  <c r="P911" i="7"/>
  <c r="O911" i="7"/>
  <c r="AZ910" i="7"/>
  <c r="AG910" i="7"/>
  <c r="R910" i="7"/>
  <c r="P910" i="7"/>
  <c r="O910" i="7"/>
  <c r="Q910" i="7"/>
  <c r="AZ909" i="7"/>
  <c r="AG909" i="7"/>
  <c r="R909" i="7"/>
  <c r="P909" i="7"/>
  <c r="O909" i="7"/>
  <c r="Q909" i="7"/>
  <c r="AZ908" i="7"/>
  <c r="AG908" i="7"/>
  <c r="P908" i="7"/>
  <c r="O908" i="7"/>
  <c r="Q908" i="7"/>
  <c r="AZ907" i="7"/>
  <c r="AG907" i="7"/>
  <c r="R907" i="7"/>
  <c r="P907" i="7"/>
  <c r="O907" i="7"/>
  <c r="Q907" i="7"/>
  <c r="S907" i="7" s="1"/>
  <c r="W907" i="7" s="1"/>
  <c r="AZ906" i="7"/>
  <c r="AG906" i="7"/>
  <c r="R906" i="7"/>
  <c r="P906" i="7"/>
  <c r="O906" i="7"/>
  <c r="Q906" i="7"/>
  <c r="AZ905" i="7"/>
  <c r="AG905" i="7"/>
  <c r="R905" i="7"/>
  <c r="P905" i="7"/>
  <c r="O905" i="7"/>
  <c r="Q905" i="7"/>
  <c r="S905" i="7" s="1"/>
  <c r="W905" i="7" s="1"/>
  <c r="AZ904" i="7"/>
  <c r="AG904" i="7"/>
  <c r="P904" i="7"/>
  <c r="O904" i="7"/>
  <c r="Q904" i="7"/>
  <c r="AZ903" i="7"/>
  <c r="AG903" i="7"/>
  <c r="R903" i="7"/>
  <c r="P903" i="7"/>
  <c r="O903" i="7"/>
  <c r="Q903" i="7"/>
  <c r="AZ902" i="7"/>
  <c r="AG902" i="7"/>
  <c r="R902" i="7"/>
  <c r="P902" i="7"/>
  <c r="O902" i="7"/>
  <c r="Q902" i="7"/>
  <c r="AZ901" i="7"/>
  <c r="AG901" i="7"/>
  <c r="R901" i="7"/>
  <c r="Q901" i="7"/>
  <c r="P901" i="7"/>
  <c r="O901" i="7"/>
  <c r="AZ900" i="7"/>
  <c r="AG900" i="7"/>
  <c r="P900" i="7"/>
  <c r="O900" i="7"/>
  <c r="R900" i="7"/>
  <c r="AZ899" i="7"/>
  <c r="AG899" i="7"/>
  <c r="R899" i="7"/>
  <c r="P899" i="7"/>
  <c r="O899" i="7"/>
  <c r="Q899" i="7"/>
  <c r="AZ898" i="7"/>
  <c r="AG898" i="7"/>
  <c r="P898" i="7"/>
  <c r="O898" i="7"/>
  <c r="R898" i="7"/>
  <c r="AZ897" i="7"/>
  <c r="AG897" i="7"/>
  <c r="P897" i="7"/>
  <c r="O897" i="7"/>
  <c r="R897" i="7"/>
  <c r="AZ896" i="7"/>
  <c r="AG896" i="7"/>
  <c r="P896" i="7"/>
  <c r="O896" i="7"/>
  <c r="R896" i="7"/>
  <c r="AZ895" i="7"/>
  <c r="AG895" i="7"/>
  <c r="R895" i="7"/>
  <c r="P895" i="7"/>
  <c r="O895" i="7"/>
  <c r="Q895" i="7"/>
  <c r="AZ894" i="7"/>
  <c r="AG894" i="7"/>
  <c r="P894" i="7"/>
  <c r="O894" i="7"/>
  <c r="R894" i="7"/>
  <c r="AZ893" i="7"/>
  <c r="AG893" i="7"/>
  <c r="P893" i="7"/>
  <c r="O893" i="7"/>
  <c r="R893" i="7"/>
  <c r="AZ850" i="7"/>
  <c r="AG850" i="7"/>
  <c r="P850" i="7"/>
  <c r="O850" i="7"/>
  <c r="R850" i="7"/>
  <c r="AZ849" i="7"/>
  <c r="AG849" i="7"/>
  <c r="R849" i="7"/>
  <c r="P849" i="7"/>
  <c r="O849" i="7"/>
  <c r="Q849" i="7"/>
  <c r="S849" i="7" s="1"/>
  <c r="W849" i="7" s="1"/>
  <c r="AZ848" i="7"/>
  <c r="AG848" i="7"/>
  <c r="P848" i="7"/>
  <c r="O848" i="7"/>
  <c r="R848" i="7"/>
  <c r="AZ847" i="7"/>
  <c r="AG847" i="7"/>
  <c r="P847" i="7"/>
  <c r="O847" i="7"/>
  <c r="R847" i="7"/>
  <c r="AZ846" i="7"/>
  <c r="AG846" i="7"/>
  <c r="P846" i="7"/>
  <c r="O846" i="7"/>
  <c r="R846" i="7"/>
  <c r="AZ845" i="7"/>
  <c r="AG845" i="7"/>
  <c r="R845" i="7"/>
  <c r="P845" i="7"/>
  <c r="O845" i="7"/>
  <c r="Q845" i="7"/>
  <c r="AZ844" i="7"/>
  <c r="AG844" i="7"/>
  <c r="P844" i="7"/>
  <c r="O844" i="7"/>
  <c r="R844" i="7"/>
  <c r="AZ843" i="7"/>
  <c r="AG843" i="7"/>
  <c r="P843" i="7"/>
  <c r="O843" i="7"/>
  <c r="R843" i="7"/>
  <c r="AZ842" i="7"/>
  <c r="AG842" i="7"/>
  <c r="P842" i="7"/>
  <c r="O842" i="7"/>
  <c r="R842" i="7"/>
  <c r="AZ841" i="7"/>
  <c r="AG841" i="7"/>
  <c r="R841" i="7"/>
  <c r="P841" i="7"/>
  <c r="O841" i="7"/>
  <c r="Q841" i="7"/>
  <c r="AZ840" i="7"/>
  <c r="AG840" i="7"/>
  <c r="P840" i="7"/>
  <c r="O840" i="7"/>
  <c r="R840" i="7"/>
  <c r="AZ839" i="7"/>
  <c r="AG839" i="7"/>
  <c r="P839" i="7"/>
  <c r="O839" i="7"/>
  <c r="R839" i="7"/>
  <c r="AZ838" i="7"/>
  <c r="AG838" i="7"/>
  <c r="P838" i="7"/>
  <c r="O838" i="7"/>
  <c r="R838" i="7"/>
  <c r="AZ837" i="7"/>
  <c r="AG837" i="7"/>
  <c r="R837" i="7"/>
  <c r="P837" i="7"/>
  <c r="O837" i="7"/>
  <c r="Q837" i="7"/>
  <c r="AZ892" i="7"/>
  <c r="AG892" i="7"/>
  <c r="P892" i="7"/>
  <c r="O892" i="7"/>
  <c r="R892" i="7"/>
  <c r="AZ891" i="7"/>
  <c r="AG891" i="7"/>
  <c r="P891" i="7"/>
  <c r="O891" i="7"/>
  <c r="R891" i="7"/>
  <c r="AZ890" i="7"/>
  <c r="AG890" i="7"/>
  <c r="P890" i="7"/>
  <c r="O890" i="7"/>
  <c r="R890" i="7"/>
  <c r="AZ889" i="7"/>
  <c r="AG889" i="7"/>
  <c r="R889" i="7"/>
  <c r="P889" i="7"/>
  <c r="O889" i="7"/>
  <c r="Q889" i="7"/>
  <c r="S889" i="7" s="1"/>
  <c r="W889" i="7" s="1"/>
  <c r="AZ888" i="7"/>
  <c r="AG888" i="7"/>
  <c r="P888" i="7"/>
  <c r="O888" i="7"/>
  <c r="R888" i="7"/>
  <c r="AZ887" i="7"/>
  <c r="AG887" i="7"/>
  <c r="P887" i="7"/>
  <c r="O887" i="7"/>
  <c r="R887" i="7"/>
  <c r="AZ886" i="7"/>
  <c r="AG886" i="7"/>
  <c r="P886" i="7"/>
  <c r="O886" i="7"/>
  <c r="R886" i="7"/>
  <c r="AZ885" i="7"/>
  <c r="AG885" i="7"/>
  <c r="R885" i="7"/>
  <c r="P885" i="7"/>
  <c r="O885" i="7"/>
  <c r="Q885" i="7"/>
  <c r="AZ884" i="7"/>
  <c r="AG884" i="7"/>
  <c r="P884" i="7"/>
  <c r="O884" i="7"/>
  <c r="R884" i="7"/>
  <c r="AZ883" i="7"/>
  <c r="AG883" i="7"/>
  <c r="P883" i="7"/>
  <c r="O883" i="7"/>
  <c r="R883" i="7"/>
  <c r="AZ882" i="7"/>
  <c r="AG882" i="7"/>
  <c r="P882" i="7"/>
  <c r="O882" i="7"/>
  <c r="R882" i="7"/>
  <c r="AZ881" i="7"/>
  <c r="AG881" i="7"/>
  <c r="R881" i="7"/>
  <c r="P881" i="7"/>
  <c r="O881" i="7"/>
  <c r="Q881" i="7"/>
  <c r="S881" i="7" s="1"/>
  <c r="W881" i="7" s="1"/>
  <c r="AD880" i="7"/>
  <c r="AZ880" i="7" s="1"/>
  <c r="R880" i="7"/>
  <c r="P880" i="7"/>
  <c r="O880" i="7"/>
  <c r="Q880" i="7"/>
  <c r="AZ879" i="7"/>
  <c r="AG879" i="7"/>
  <c r="R879" i="7"/>
  <c r="P879" i="7"/>
  <c r="O879" i="7"/>
  <c r="Q879" i="7"/>
  <c r="AZ878" i="7"/>
  <c r="AG878" i="7"/>
  <c r="P878" i="7"/>
  <c r="O878" i="7"/>
  <c r="R878" i="7"/>
  <c r="AZ877" i="7"/>
  <c r="AG877" i="7"/>
  <c r="R877" i="7"/>
  <c r="P877" i="7"/>
  <c r="O877" i="7"/>
  <c r="Q877" i="7"/>
  <c r="S877" i="7" s="1"/>
  <c r="W877" i="7" s="1"/>
  <c r="AZ876" i="7"/>
  <c r="AG876" i="7"/>
  <c r="R876" i="7"/>
  <c r="P876" i="7"/>
  <c r="O876" i="7"/>
  <c r="Q876" i="7"/>
  <c r="AZ875" i="7"/>
  <c r="AG875" i="7"/>
  <c r="R875" i="7"/>
  <c r="P875" i="7"/>
  <c r="O875" i="7"/>
  <c r="Q875" i="7"/>
  <c r="S875" i="7" s="1"/>
  <c r="W875" i="7" s="1"/>
  <c r="AZ874" i="7"/>
  <c r="AG874" i="7"/>
  <c r="P874" i="7"/>
  <c r="O874" i="7"/>
  <c r="R874" i="7"/>
  <c r="AZ873" i="7"/>
  <c r="AG873" i="7"/>
  <c r="R873" i="7"/>
  <c r="P873" i="7"/>
  <c r="O873" i="7"/>
  <c r="Q873" i="7"/>
  <c r="AZ872" i="7"/>
  <c r="AG872" i="7"/>
  <c r="R872" i="7"/>
  <c r="P872" i="7"/>
  <c r="O872" i="7"/>
  <c r="Q872" i="7"/>
  <c r="AZ871" i="7"/>
  <c r="AG871" i="7"/>
  <c r="R871" i="7"/>
  <c r="P871" i="7"/>
  <c r="O871" i="7"/>
  <c r="Q871" i="7"/>
  <c r="AZ870" i="7"/>
  <c r="AG870" i="7"/>
  <c r="P870" i="7"/>
  <c r="O870" i="7"/>
  <c r="R870" i="7"/>
  <c r="AZ869" i="7"/>
  <c r="AG869" i="7"/>
  <c r="W869" i="7"/>
  <c r="S869" i="7"/>
  <c r="R869" i="7"/>
  <c r="P869" i="7"/>
  <c r="O869" i="7"/>
  <c r="Q869" i="7"/>
  <c r="AZ868" i="7"/>
  <c r="AG868" i="7"/>
  <c r="R868" i="7"/>
  <c r="P868" i="7"/>
  <c r="O868" i="7"/>
  <c r="Q868" i="7"/>
  <c r="S868" i="7" s="1"/>
  <c r="W868" i="7" s="1"/>
  <c r="AZ867" i="7"/>
  <c r="AG867" i="7"/>
  <c r="R867" i="7"/>
  <c r="P867" i="7"/>
  <c r="O867" i="7"/>
  <c r="Q867" i="7"/>
  <c r="AZ866" i="7"/>
  <c r="AG866" i="7"/>
  <c r="P866" i="7"/>
  <c r="O866" i="7"/>
  <c r="R866" i="7"/>
  <c r="AZ865" i="7"/>
  <c r="AG865" i="7"/>
  <c r="R865" i="7"/>
  <c r="P865" i="7"/>
  <c r="O865" i="7"/>
  <c r="Q865" i="7"/>
  <c r="AZ864" i="7"/>
  <c r="AG864" i="7"/>
  <c r="R864" i="7"/>
  <c r="P864" i="7"/>
  <c r="O864" i="7"/>
  <c r="Q864" i="7"/>
  <c r="AZ863" i="7"/>
  <c r="AG863" i="7"/>
  <c r="R863" i="7"/>
  <c r="P863" i="7"/>
  <c r="O863" i="7"/>
  <c r="Q863" i="7"/>
  <c r="AZ862" i="7"/>
  <c r="AG862" i="7"/>
  <c r="P862" i="7"/>
  <c r="O862" i="7"/>
  <c r="R862" i="7"/>
  <c r="AD861" i="7"/>
  <c r="AG861" i="7" s="1"/>
  <c r="P861" i="7"/>
  <c r="O861" i="7"/>
  <c r="R861" i="7"/>
  <c r="AZ860" i="7"/>
  <c r="AG860" i="7"/>
  <c r="R860" i="7"/>
  <c r="P860" i="7"/>
  <c r="O860" i="7"/>
  <c r="Q860" i="7"/>
  <c r="AZ859" i="7"/>
  <c r="AG859" i="7"/>
  <c r="P859" i="7"/>
  <c r="O859" i="7"/>
  <c r="R859" i="7"/>
  <c r="AZ858" i="7"/>
  <c r="AG858" i="7"/>
  <c r="P858" i="7"/>
  <c r="O858" i="7"/>
  <c r="R858" i="7"/>
  <c r="AZ857" i="7"/>
  <c r="AG857" i="7"/>
  <c r="P857" i="7"/>
  <c r="O857" i="7"/>
  <c r="R857" i="7"/>
  <c r="AZ856" i="7"/>
  <c r="AG856" i="7"/>
  <c r="R856" i="7"/>
  <c r="P856" i="7"/>
  <c r="O856" i="7"/>
  <c r="Q856" i="7"/>
  <c r="AZ855" i="7"/>
  <c r="AG855" i="7"/>
  <c r="P855" i="7"/>
  <c r="O855" i="7"/>
  <c r="R855" i="7"/>
  <c r="AZ854" i="7"/>
  <c r="AG854" i="7"/>
  <c r="P854" i="7"/>
  <c r="O854" i="7"/>
  <c r="R854" i="7"/>
  <c r="AZ853" i="7"/>
  <c r="AG853" i="7"/>
  <c r="P853" i="7"/>
  <c r="O853" i="7"/>
  <c r="R853" i="7"/>
  <c r="AZ852" i="7"/>
  <c r="AG852" i="7"/>
  <c r="R852" i="7"/>
  <c r="P852" i="7"/>
  <c r="O852" i="7"/>
  <c r="Q852" i="7"/>
  <c r="AZ851" i="7"/>
  <c r="AG851" i="7"/>
  <c r="R851" i="7"/>
  <c r="Q851" i="7"/>
  <c r="P851" i="7"/>
  <c r="O851" i="7"/>
  <c r="AZ836" i="7"/>
  <c r="AG836" i="7"/>
  <c r="P836" i="7"/>
  <c r="O836" i="7"/>
  <c r="R836" i="7"/>
  <c r="AZ835" i="7"/>
  <c r="AG835" i="7"/>
  <c r="R835" i="7"/>
  <c r="P835" i="7"/>
  <c r="O835" i="7"/>
  <c r="Q835" i="7"/>
  <c r="S835" i="7" s="1"/>
  <c r="W835" i="7" s="1"/>
  <c r="AZ834" i="7"/>
  <c r="AG834" i="7"/>
  <c r="R834" i="7"/>
  <c r="P834" i="7"/>
  <c r="O834" i="7"/>
  <c r="Q834" i="7"/>
  <c r="AD833" i="7"/>
  <c r="P833" i="7"/>
  <c r="O833" i="7"/>
  <c r="R833" i="7"/>
  <c r="AZ832" i="7"/>
  <c r="AG832" i="7"/>
  <c r="P832" i="7"/>
  <c r="O832" i="7"/>
  <c r="R832" i="7"/>
  <c r="AZ831" i="7"/>
  <c r="AG831" i="7"/>
  <c r="P831" i="7"/>
  <c r="O831" i="7"/>
  <c r="R831" i="7"/>
  <c r="AZ830" i="7"/>
  <c r="AU830" i="7"/>
  <c r="AG830" i="7"/>
  <c r="R830" i="7"/>
  <c r="P830" i="7"/>
  <c r="O830" i="7"/>
  <c r="Q830" i="7"/>
  <c r="AZ829" i="7"/>
  <c r="AG829" i="7"/>
  <c r="P829" i="7"/>
  <c r="O829" i="7"/>
  <c r="R829" i="7"/>
  <c r="AZ828" i="7"/>
  <c r="AU828" i="7"/>
  <c r="AG828" i="7"/>
  <c r="P828" i="7"/>
  <c r="O828" i="7"/>
  <c r="R828" i="7"/>
  <c r="AZ827" i="7"/>
  <c r="AG827" i="7"/>
  <c r="P827" i="7"/>
  <c r="O827" i="7"/>
  <c r="R827" i="7"/>
  <c r="AZ826" i="7"/>
  <c r="AG826" i="7"/>
  <c r="P826" i="7"/>
  <c r="O826" i="7"/>
  <c r="R826" i="7"/>
  <c r="AZ825" i="7"/>
  <c r="AG825" i="7"/>
  <c r="R825" i="7"/>
  <c r="P825" i="7"/>
  <c r="O825" i="7"/>
  <c r="Q825" i="7"/>
  <c r="AZ824" i="7"/>
  <c r="AG824" i="7"/>
  <c r="P824" i="7"/>
  <c r="O824" i="7"/>
  <c r="R824" i="7"/>
  <c r="AZ823" i="7"/>
  <c r="AG823" i="7"/>
  <c r="P823" i="7"/>
  <c r="O823" i="7"/>
  <c r="R823" i="7"/>
  <c r="AZ822" i="7"/>
  <c r="AG822" i="7"/>
  <c r="P822" i="7"/>
  <c r="O822" i="7"/>
  <c r="R822" i="7"/>
  <c r="AZ821" i="7"/>
  <c r="AG821" i="7"/>
  <c r="R821" i="7"/>
  <c r="P821" i="7"/>
  <c r="O821" i="7"/>
  <c r="Q821" i="7"/>
  <c r="AZ820" i="7"/>
  <c r="AG820" i="7"/>
  <c r="P820" i="7"/>
  <c r="O820" i="7"/>
  <c r="R820" i="7"/>
  <c r="AZ819" i="7"/>
  <c r="AG819" i="7"/>
  <c r="P819" i="7"/>
  <c r="O819" i="7"/>
  <c r="R819" i="7"/>
  <c r="AZ818" i="7"/>
  <c r="AG818" i="7"/>
  <c r="P818" i="7"/>
  <c r="O818" i="7"/>
  <c r="R818" i="7"/>
  <c r="AZ817" i="7"/>
  <c r="AG817" i="7"/>
  <c r="R817" i="7"/>
  <c r="P817" i="7"/>
  <c r="O817" i="7"/>
  <c r="Q817" i="7"/>
  <c r="S817" i="7" s="1"/>
  <c r="W817" i="7" s="1"/>
  <c r="AZ816" i="7"/>
  <c r="AG816" i="7"/>
  <c r="P816" i="7"/>
  <c r="O816" i="7"/>
  <c r="R816" i="7"/>
  <c r="AZ815" i="7"/>
  <c r="AG815" i="7"/>
  <c r="R815" i="7"/>
  <c r="P815" i="7"/>
  <c r="O815" i="7"/>
  <c r="Q815" i="7"/>
  <c r="AZ814" i="7"/>
  <c r="AG814" i="7"/>
  <c r="P814" i="7"/>
  <c r="O814" i="7"/>
  <c r="R814" i="7"/>
  <c r="AZ813" i="7"/>
  <c r="AG813" i="7"/>
  <c r="R813" i="7"/>
  <c r="P813" i="7"/>
  <c r="O813" i="7"/>
  <c r="Q813" i="7"/>
  <c r="AZ812" i="7"/>
  <c r="AG812" i="7"/>
  <c r="P812" i="7"/>
  <c r="O812" i="7"/>
  <c r="R812" i="7"/>
  <c r="AZ811" i="7"/>
  <c r="AG811" i="7"/>
  <c r="R811" i="7"/>
  <c r="P811" i="7"/>
  <c r="O811" i="7"/>
  <c r="Q811" i="7"/>
  <c r="AZ810" i="7"/>
  <c r="AG810" i="7"/>
  <c r="P810" i="7"/>
  <c r="O810" i="7"/>
  <c r="R810" i="7"/>
  <c r="AZ809" i="7"/>
  <c r="AG809" i="7"/>
  <c r="R809" i="7"/>
  <c r="P809" i="7"/>
  <c r="O809" i="7"/>
  <c r="Q809" i="7"/>
  <c r="S809" i="7" s="1"/>
  <c r="W809" i="7" s="1"/>
  <c r="AZ808" i="7"/>
  <c r="AG808" i="7"/>
  <c r="P808" i="7"/>
  <c r="O808" i="7"/>
  <c r="R808" i="7"/>
  <c r="AZ807" i="7"/>
  <c r="AG807" i="7"/>
  <c r="R807" i="7"/>
  <c r="P807" i="7"/>
  <c r="O807" i="7"/>
  <c r="Q807" i="7"/>
  <c r="AZ806" i="7"/>
  <c r="AG806" i="7"/>
  <c r="P806" i="7"/>
  <c r="O806" i="7"/>
  <c r="R806" i="7"/>
  <c r="AZ805" i="7"/>
  <c r="AG805" i="7"/>
  <c r="R805" i="7"/>
  <c r="P805" i="7"/>
  <c r="O805" i="7"/>
  <c r="Q805" i="7"/>
  <c r="AZ804" i="7"/>
  <c r="AG804" i="7"/>
  <c r="P804" i="7"/>
  <c r="O804" i="7"/>
  <c r="R804" i="7"/>
  <c r="AZ803" i="7"/>
  <c r="AG803" i="7"/>
  <c r="R803" i="7"/>
  <c r="P803" i="7"/>
  <c r="O803" i="7"/>
  <c r="Q803" i="7"/>
  <c r="AZ802" i="7"/>
  <c r="AG802" i="7"/>
  <c r="P802" i="7"/>
  <c r="O802" i="7"/>
  <c r="R802" i="7"/>
  <c r="AZ801" i="7"/>
  <c r="AG801" i="7"/>
  <c r="R801" i="7"/>
  <c r="P801" i="7"/>
  <c r="O801" i="7"/>
  <c r="Q801" i="7"/>
  <c r="S801" i="7" s="1"/>
  <c r="W801" i="7" s="1"/>
  <c r="AZ800" i="7"/>
  <c r="AG800" i="7"/>
  <c r="P800" i="7"/>
  <c r="O800" i="7"/>
  <c r="R800" i="7"/>
  <c r="AZ799" i="7"/>
  <c r="AG799" i="7"/>
  <c r="R799" i="7"/>
  <c r="P799" i="7"/>
  <c r="O799" i="7"/>
  <c r="Q799" i="7"/>
  <c r="AZ798" i="7"/>
  <c r="AU798" i="7"/>
  <c r="AG798" i="7"/>
  <c r="R798" i="7"/>
  <c r="P798" i="7"/>
  <c r="O798" i="7"/>
  <c r="Q798" i="7"/>
  <c r="AZ797" i="7"/>
  <c r="AG797" i="7"/>
  <c r="P797" i="7"/>
  <c r="O797" i="7"/>
  <c r="R797" i="7"/>
  <c r="AZ796" i="7"/>
  <c r="AG796" i="7"/>
  <c r="R796" i="7"/>
  <c r="P796" i="7"/>
  <c r="O796" i="7"/>
  <c r="Q796" i="7"/>
  <c r="AZ795" i="7"/>
  <c r="AG795" i="7"/>
  <c r="P795" i="7"/>
  <c r="O795" i="7"/>
  <c r="R795" i="7"/>
  <c r="AZ794" i="7"/>
  <c r="AG794" i="7"/>
  <c r="R794" i="7"/>
  <c r="P794" i="7"/>
  <c r="O794" i="7"/>
  <c r="Q794" i="7"/>
  <c r="AZ793" i="7"/>
  <c r="AG793" i="7"/>
  <c r="P793" i="7"/>
  <c r="O793" i="7"/>
  <c r="R793" i="7"/>
  <c r="AZ792" i="7"/>
  <c r="AG792" i="7"/>
  <c r="R792" i="7"/>
  <c r="P792" i="7"/>
  <c r="O792" i="7"/>
  <c r="Q792" i="7"/>
  <c r="AZ791" i="7"/>
  <c r="AU791" i="7"/>
  <c r="AG791" i="7"/>
  <c r="P791" i="7"/>
  <c r="O791" i="7"/>
  <c r="R791" i="7"/>
  <c r="AZ790" i="7"/>
  <c r="AG790" i="7"/>
  <c r="R790" i="7"/>
  <c r="P790" i="7"/>
  <c r="O790" i="7"/>
  <c r="Q790" i="7"/>
  <c r="AZ789" i="7"/>
  <c r="AG789" i="7"/>
  <c r="P789" i="7"/>
  <c r="O789" i="7"/>
  <c r="R789" i="7"/>
  <c r="AZ788" i="7"/>
  <c r="AG788" i="7"/>
  <c r="R788" i="7"/>
  <c r="P788" i="7"/>
  <c r="O788" i="7"/>
  <c r="Q788" i="7"/>
  <c r="AZ787" i="7"/>
  <c r="AG787" i="7"/>
  <c r="P787" i="7"/>
  <c r="O787" i="7"/>
  <c r="R787" i="7"/>
  <c r="AZ786" i="7"/>
  <c r="AG786" i="7"/>
  <c r="R786" i="7"/>
  <c r="P786" i="7"/>
  <c r="O786" i="7"/>
  <c r="Q786" i="7"/>
  <c r="AZ785" i="7"/>
  <c r="AG785" i="7"/>
  <c r="P785" i="7"/>
  <c r="O785" i="7"/>
  <c r="R785" i="7"/>
  <c r="AZ784" i="7"/>
  <c r="AG784" i="7"/>
  <c r="R784" i="7"/>
  <c r="P784" i="7"/>
  <c r="O784" i="7"/>
  <c r="Q784" i="7"/>
  <c r="S784" i="7" s="1"/>
  <c r="W784" i="7" s="1"/>
  <c r="AZ783" i="7"/>
  <c r="AG783" i="7"/>
  <c r="P783" i="7"/>
  <c r="O783" i="7"/>
  <c r="R783" i="7"/>
  <c r="AZ782" i="7"/>
  <c r="AG782" i="7"/>
  <c r="R782" i="7"/>
  <c r="P782" i="7"/>
  <c r="O782" i="7"/>
  <c r="Q782" i="7"/>
  <c r="AZ781" i="7"/>
  <c r="AG781" i="7"/>
  <c r="P781" i="7"/>
  <c r="O781" i="7"/>
  <c r="R781" i="7"/>
  <c r="AZ780" i="7"/>
  <c r="AG780" i="7"/>
  <c r="R780" i="7"/>
  <c r="P780" i="7"/>
  <c r="O780" i="7"/>
  <c r="Q780" i="7"/>
  <c r="AZ779" i="7"/>
  <c r="AG779" i="7"/>
  <c r="P779" i="7"/>
  <c r="O779" i="7"/>
  <c r="R779" i="7"/>
  <c r="AZ778" i="7"/>
  <c r="AG778" i="7"/>
  <c r="R778" i="7"/>
  <c r="P778" i="7"/>
  <c r="O778" i="7"/>
  <c r="Q778" i="7"/>
  <c r="AZ777" i="7"/>
  <c r="AG777" i="7"/>
  <c r="P777" i="7"/>
  <c r="O777" i="7"/>
  <c r="R777" i="7"/>
  <c r="AZ776" i="7"/>
  <c r="AG776" i="7"/>
  <c r="R776" i="7"/>
  <c r="P776" i="7"/>
  <c r="O776" i="7"/>
  <c r="Q776" i="7"/>
  <c r="S776" i="7" s="1"/>
  <c r="W776" i="7" s="1"/>
  <c r="AZ775" i="7"/>
  <c r="AJ775" i="7"/>
  <c r="AG775" i="7"/>
  <c r="R775" i="7"/>
  <c r="P775" i="7"/>
  <c r="O775" i="7"/>
  <c r="Q775" i="7"/>
  <c r="AZ774" i="7"/>
  <c r="AG774" i="7"/>
  <c r="P774" i="7"/>
  <c r="O774" i="7"/>
  <c r="R774" i="7"/>
  <c r="AZ773" i="7"/>
  <c r="AG773" i="7"/>
  <c r="R773" i="7"/>
  <c r="P773" i="7"/>
  <c r="O773" i="7"/>
  <c r="Q773" i="7"/>
  <c r="AZ772" i="7"/>
  <c r="AG772" i="7"/>
  <c r="P772" i="7"/>
  <c r="O772" i="7"/>
  <c r="R772" i="7"/>
  <c r="AZ771" i="7"/>
  <c r="AG771" i="7"/>
  <c r="R771" i="7"/>
  <c r="P771" i="7"/>
  <c r="O771" i="7"/>
  <c r="Q771" i="7"/>
  <c r="AZ770" i="7"/>
  <c r="AG770" i="7"/>
  <c r="P770" i="7"/>
  <c r="O770" i="7"/>
  <c r="R770" i="7"/>
  <c r="AZ769" i="7"/>
  <c r="AG769" i="7"/>
  <c r="R769" i="7"/>
  <c r="P769" i="7"/>
  <c r="O769" i="7"/>
  <c r="Q769" i="7"/>
  <c r="S769" i="7" s="1"/>
  <c r="W769" i="7" s="1"/>
  <c r="AZ768" i="7"/>
  <c r="AG768" i="7"/>
  <c r="P768" i="7"/>
  <c r="O768" i="7"/>
  <c r="R768" i="7"/>
  <c r="AZ767" i="7"/>
  <c r="AG767" i="7"/>
  <c r="R767" i="7"/>
  <c r="P767" i="7"/>
  <c r="O767" i="7"/>
  <c r="Q767" i="7"/>
  <c r="AZ766" i="7"/>
  <c r="AG766" i="7"/>
  <c r="P766" i="7"/>
  <c r="O766" i="7"/>
  <c r="R766" i="7"/>
  <c r="AZ765" i="7"/>
  <c r="AG765" i="7"/>
  <c r="R765" i="7"/>
  <c r="P765" i="7"/>
  <c r="O765" i="7"/>
  <c r="Q765" i="7"/>
  <c r="AZ764" i="7"/>
  <c r="AG764" i="7"/>
  <c r="P764" i="7"/>
  <c r="O764" i="7"/>
  <c r="R764" i="7"/>
  <c r="AZ763" i="7"/>
  <c r="AG763" i="7"/>
  <c r="R763" i="7"/>
  <c r="P763" i="7"/>
  <c r="O763" i="7"/>
  <c r="Q763" i="7"/>
  <c r="AD762" i="7"/>
  <c r="P762" i="7"/>
  <c r="O762" i="7"/>
  <c r="R762" i="7"/>
  <c r="AZ761" i="7"/>
  <c r="AG761" i="7"/>
  <c r="R761" i="7"/>
  <c r="P761" i="7"/>
  <c r="O761" i="7"/>
  <c r="Q761" i="7"/>
  <c r="AZ760" i="7"/>
  <c r="AG760" i="7"/>
  <c r="P760" i="7"/>
  <c r="O760" i="7"/>
  <c r="R760" i="7"/>
  <c r="AZ759" i="7"/>
  <c r="AG759" i="7"/>
  <c r="R759" i="7"/>
  <c r="P759" i="7"/>
  <c r="O759" i="7"/>
  <c r="Q759" i="7"/>
  <c r="AZ758" i="7"/>
  <c r="AG758" i="7"/>
  <c r="P758" i="7"/>
  <c r="O758" i="7"/>
  <c r="R758" i="7"/>
  <c r="AZ757" i="7"/>
  <c r="AG757" i="7"/>
  <c r="R757" i="7"/>
  <c r="P757" i="7"/>
  <c r="O757" i="7"/>
  <c r="Q757" i="7"/>
  <c r="AZ756" i="7"/>
  <c r="AG756" i="7"/>
  <c r="P756" i="7"/>
  <c r="O756" i="7"/>
  <c r="R756" i="7"/>
  <c r="AZ755" i="7"/>
  <c r="AG755" i="7"/>
  <c r="R755" i="7"/>
  <c r="Q755" i="7"/>
  <c r="P755" i="7"/>
  <c r="O755" i="7"/>
  <c r="AZ754" i="7"/>
  <c r="AG754" i="7"/>
  <c r="P754" i="7"/>
  <c r="O754" i="7"/>
  <c r="R754" i="7"/>
  <c r="AZ753" i="7"/>
  <c r="AG753" i="7"/>
  <c r="R753" i="7"/>
  <c r="P753" i="7"/>
  <c r="O753" i="7"/>
  <c r="Q753" i="7"/>
  <c r="AZ752" i="7"/>
  <c r="AG752" i="7"/>
  <c r="R752" i="7"/>
  <c r="Q752" i="7"/>
  <c r="P752" i="7"/>
  <c r="O752" i="7"/>
  <c r="AZ751" i="7"/>
  <c r="AG751" i="7"/>
  <c r="P751" i="7"/>
  <c r="O751" i="7"/>
  <c r="R751" i="7"/>
  <c r="AZ750" i="7"/>
  <c r="AG750" i="7"/>
  <c r="R750" i="7"/>
  <c r="P750" i="7"/>
  <c r="O750" i="7"/>
  <c r="Q750" i="7"/>
  <c r="S750" i="7" s="1"/>
  <c r="W750" i="7" s="1"/>
  <c r="AZ749" i="7"/>
  <c r="AG749" i="7"/>
  <c r="R749" i="7"/>
  <c r="Q749" i="7"/>
  <c r="P749" i="7"/>
  <c r="O749" i="7"/>
  <c r="AZ748" i="7"/>
  <c r="AG748" i="7"/>
  <c r="R748" i="7"/>
  <c r="P748" i="7"/>
  <c r="O748" i="7"/>
  <c r="Q748" i="7"/>
  <c r="S748" i="7" s="1"/>
  <c r="W748" i="7" s="1"/>
  <c r="AZ747" i="7"/>
  <c r="AG747" i="7"/>
  <c r="P747" i="7"/>
  <c r="O747" i="7"/>
  <c r="R747" i="7"/>
  <c r="AZ746" i="7"/>
  <c r="AG746" i="7"/>
  <c r="R746" i="7"/>
  <c r="Q746" i="7"/>
  <c r="P746" i="7"/>
  <c r="O746" i="7"/>
  <c r="AZ745" i="7"/>
  <c r="AG745" i="7"/>
  <c r="R745" i="7"/>
  <c r="Q745" i="7"/>
  <c r="P745" i="7"/>
  <c r="O745" i="7"/>
  <c r="AZ744" i="7"/>
  <c r="AG744" i="7"/>
  <c r="P744" i="7"/>
  <c r="O744" i="7"/>
  <c r="R744" i="7"/>
  <c r="AZ743" i="7"/>
  <c r="AG743" i="7"/>
  <c r="R743" i="7"/>
  <c r="P743" i="7"/>
  <c r="O743" i="7"/>
  <c r="Q743" i="7"/>
  <c r="S743" i="7" s="1"/>
  <c r="W743" i="7" s="1"/>
  <c r="AZ742" i="7"/>
  <c r="AG742" i="7"/>
  <c r="P742" i="7"/>
  <c r="O742" i="7"/>
  <c r="R742" i="7"/>
  <c r="AZ741" i="7"/>
  <c r="AG741" i="7"/>
  <c r="R741" i="7"/>
  <c r="P741" i="7"/>
  <c r="O741" i="7"/>
  <c r="Q741" i="7"/>
  <c r="AZ740" i="7"/>
  <c r="AG740" i="7"/>
  <c r="P740" i="7"/>
  <c r="O740" i="7"/>
  <c r="R740" i="7"/>
  <c r="AZ739" i="7"/>
  <c r="AG739" i="7"/>
  <c r="R739" i="7"/>
  <c r="P739" i="7"/>
  <c r="O739" i="7"/>
  <c r="Q739" i="7"/>
  <c r="AZ738" i="7"/>
  <c r="AG738" i="7"/>
  <c r="P738" i="7"/>
  <c r="O738" i="7"/>
  <c r="R738" i="7"/>
  <c r="AZ737" i="7"/>
  <c r="AG737" i="7"/>
  <c r="R737" i="7"/>
  <c r="P737" i="7"/>
  <c r="O737" i="7"/>
  <c r="Q737" i="7"/>
  <c r="AZ736" i="7"/>
  <c r="AG736" i="7"/>
  <c r="P736" i="7"/>
  <c r="O736" i="7"/>
  <c r="R736" i="7"/>
  <c r="AZ735" i="7"/>
  <c r="AG735" i="7"/>
  <c r="R735" i="7"/>
  <c r="P735" i="7"/>
  <c r="O735" i="7"/>
  <c r="Q735" i="7"/>
  <c r="S735" i="7" s="1"/>
  <c r="W735" i="7" s="1"/>
  <c r="AZ734" i="7"/>
  <c r="AG734" i="7"/>
  <c r="P734" i="7"/>
  <c r="O734" i="7"/>
  <c r="R734" i="7"/>
  <c r="AZ733" i="7"/>
  <c r="AG733" i="7"/>
  <c r="R733" i="7"/>
  <c r="P733" i="7"/>
  <c r="O733" i="7"/>
  <c r="Q733" i="7"/>
  <c r="AZ732" i="7"/>
  <c r="AG732" i="7"/>
  <c r="W732" i="7"/>
  <c r="S732" i="7"/>
  <c r="R732" i="7"/>
  <c r="Q732" i="7"/>
  <c r="P732" i="7"/>
  <c r="O732" i="7"/>
  <c r="AZ731" i="7"/>
  <c r="AG731" i="7"/>
  <c r="R731" i="7"/>
  <c r="Q731" i="7"/>
  <c r="P731" i="7"/>
  <c r="O731" i="7"/>
  <c r="AZ730" i="7"/>
  <c r="AG730" i="7"/>
  <c r="P730" i="7"/>
  <c r="O730" i="7"/>
  <c r="R730" i="7"/>
  <c r="AZ729" i="7"/>
  <c r="AG729" i="7"/>
  <c r="R729" i="7"/>
  <c r="P729" i="7"/>
  <c r="O729" i="7"/>
  <c r="Q729" i="7"/>
  <c r="S729" i="7" s="1"/>
  <c r="W729" i="7" s="1"/>
  <c r="AZ728" i="7"/>
  <c r="AG728" i="7"/>
  <c r="P728" i="7"/>
  <c r="O728" i="7"/>
  <c r="R728" i="7"/>
  <c r="AZ727" i="7"/>
  <c r="AG727" i="7"/>
  <c r="R727" i="7"/>
  <c r="P727" i="7"/>
  <c r="O727" i="7"/>
  <c r="Q727" i="7"/>
  <c r="AZ726" i="7"/>
  <c r="AG726" i="7"/>
  <c r="P726" i="7"/>
  <c r="O726" i="7"/>
  <c r="R726" i="7"/>
  <c r="AZ725" i="7"/>
  <c r="AG725" i="7"/>
  <c r="R725" i="7"/>
  <c r="P725" i="7"/>
  <c r="O725" i="7"/>
  <c r="Q725" i="7"/>
  <c r="AZ724" i="7"/>
  <c r="AG724" i="7"/>
  <c r="P724" i="7"/>
  <c r="O724" i="7"/>
  <c r="R724" i="7"/>
  <c r="AZ723" i="7"/>
  <c r="AG723" i="7"/>
  <c r="R723" i="7"/>
  <c r="P723" i="7"/>
  <c r="O723" i="7"/>
  <c r="Q723" i="7"/>
  <c r="AZ722" i="7"/>
  <c r="AG722" i="7"/>
  <c r="P722" i="7"/>
  <c r="O722" i="7"/>
  <c r="R722" i="7"/>
  <c r="AZ721" i="7"/>
  <c r="AG721" i="7"/>
  <c r="R721" i="7"/>
  <c r="P721" i="7"/>
  <c r="O721" i="7"/>
  <c r="Q721" i="7"/>
  <c r="S721" i="7" s="1"/>
  <c r="W721" i="7" s="1"/>
  <c r="AZ720" i="7"/>
  <c r="AG720" i="7"/>
  <c r="P720" i="7"/>
  <c r="O720" i="7"/>
  <c r="R720" i="7"/>
  <c r="AZ719" i="7"/>
  <c r="AG719" i="7"/>
  <c r="R719" i="7"/>
  <c r="P719" i="7"/>
  <c r="O719" i="7"/>
  <c r="Q719" i="7"/>
  <c r="AZ718" i="7"/>
  <c r="AG718" i="7"/>
  <c r="P718" i="7"/>
  <c r="O718" i="7"/>
  <c r="R718" i="7"/>
  <c r="AZ717" i="7"/>
  <c r="AG717" i="7"/>
  <c r="R717" i="7"/>
  <c r="P717" i="7"/>
  <c r="O717" i="7"/>
  <c r="Q717" i="7"/>
  <c r="AZ716" i="7"/>
  <c r="AG716" i="7"/>
  <c r="P716" i="7"/>
  <c r="O716" i="7"/>
  <c r="R716" i="7"/>
  <c r="AZ715" i="7"/>
  <c r="AG715" i="7"/>
  <c r="R715" i="7"/>
  <c r="P715" i="7"/>
  <c r="O715" i="7"/>
  <c r="Q715" i="7"/>
  <c r="AZ714" i="7"/>
  <c r="AG714" i="7"/>
  <c r="P714" i="7"/>
  <c r="O714" i="7"/>
  <c r="R714" i="7"/>
  <c r="AZ713" i="7"/>
  <c r="AG713" i="7"/>
  <c r="R713" i="7"/>
  <c r="P713" i="7"/>
  <c r="O713" i="7"/>
  <c r="Q713" i="7"/>
  <c r="S713" i="7" s="1"/>
  <c r="W713" i="7" s="1"/>
  <c r="AZ712" i="7"/>
  <c r="AG712" i="7"/>
  <c r="P712" i="7"/>
  <c r="O712" i="7"/>
  <c r="R712" i="7"/>
  <c r="AZ711" i="7"/>
  <c r="AG711" i="7"/>
  <c r="R711" i="7"/>
  <c r="P711" i="7"/>
  <c r="O711" i="7"/>
  <c r="Q711" i="7"/>
  <c r="AZ710" i="7"/>
  <c r="AG710" i="7"/>
  <c r="W710" i="7"/>
  <c r="S710" i="7"/>
  <c r="P710" i="7"/>
  <c r="O710" i="7"/>
  <c r="R710" i="7"/>
  <c r="AZ709" i="7"/>
  <c r="AG709" i="7"/>
  <c r="R709" i="7"/>
  <c r="P709" i="7"/>
  <c r="O709" i="7"/>
  <c r="Q709" i="7"/>
  <c r="S709" i="7" s="1"/>
  <c r="W709" i="7" s="1"/>
  <c r="AZ708" i="7"/>
  <c r="AG708" i="7"/>
  <c r="P708" i="7"/>
  <c r="O708" i="7"/>
  <c r="R708" i="7"/>
  <c r="AZ707" i="7"/>
  <c r="AG707" i="7"/>
  <c r="R707" i="7"/>
  <c r="P707" i="7"/>
  <c r="O707" i="7"/>
  <c r="Q707" i="7"/>
  <c r="AZ706" i="7"/>
  <c r="AG706" i="7"/>
  <c r="P706" i="7"/>
  <c r="O706" i="7"/>
  <c r="R706" i="7"/>
  <c r="AZ705" i="7"/>
  <c r="AG705" i="7"/>
  <c r="R705" i="7"/>
  <c r="P705" i="7"/>
  <c r="O705" i="7"/>
  <c r="Q705" i="7"/>
  <c r="AZ704" i="7"/>
  <c r="AG704" i="7"/>
  <c r="P704" i="7"/>
  <c r="O704" i="7"/>
  <c r="R704" i="7"/>
  <c r="AZ703" i="7"/>
  <c r="AG703" i="7"/>
  <c r="R703" i="7"/>
  <c r="P703" i="7"/>
  <c r="O703" i="7"/>
  <c r="Q703" i="7"/>
  <c r="AZ702" i="7"/>
  <c r="AG702" i="7"/>
  <c r="P702" i="7"/>
  <c r="O702" i="7"/>
  <c r="R702" i="7"/>
  <c r="AZ701" i="7"/>
  <c r="AG701" i="7"/>
  <c r="R701" i="7"/>
  <c r="P701" i="7"/>
  <c r="O701" i="7"/>
  <c r="Q701" i="7"/>
  <c r="AZ700" i="7"/>
  <c r="AG700" i="7"/>
  <c r="P700" i="7"/>
  <c r="O700" i="7"/>
  <c r="R700" i="7"/>
  <c r="AZ699" i="7"/>
  <c r="AG699" i="7"/>
  <c r="R699" i="7"/>
  <c r="P699" i="7"/>
  <c r="O699" i="7"/>
  <c r="Q699" i="7"/>
  <c r="AZ698" i="7"/>
  <c r="AG698" i="7"/>
  <c r="P698" i="7"/>
  <c r="O698" i="7"/>
  <c r="R698" i="7"/>
  <c r="AZ697" i="7"/>
  <c r="AG697" i="7"/>
  <c r="R697" i="7"/>
  <c r="P697" i="7"/>
  <c r="O697" i="7"/>
  <c r="Q697" i="7"/>
  <c r="AZ696" i="7"/>
  <c r="AU696" i="7"/>
  <c r="AG696" i="7"/>
  <c r="P696" i="7"/>
  <c r="O696" i="7"/>
  <c r="R696" i="7"/>
  <c r="AZ695" i="7"/>
  <c r="AG695" i="7"/>
  <c r="R695" i="7"/>
  <c r="P695" i="7"/>
  <c r="O695" i="7"/>
  <c r="Q695" i="7"/>
  <c r="S695" i="7" s="1"/>
  <c r="W695" i="7" s="1"/>
  <c r="AZ694" i="7"/>
  <c r="AG694" i="7"/>
  <c r="P694" i="7"/>
  <c r="O694" i="7"/>
  <c r="R694" i="7"/>
  <c r="AZ693" i="7"/>
  <c r="AG693" i="7"/>
  <c r="R693" i="7"/>
  <c r="P693" i="7"/>
  <c r="O693" i="7"/>
  <c r="Q693" i="7"/>
  <c r="AZ692" i="7"/>
  <c r="AG692" i="7"/>
  <c r="P692" i="7"/>
  <c r="O692" i="7"/>
  <c r="R692" i="7"/>
  <c r="AZ691" i="7"/>
  <c r="AG691" i="7"/>
  <c r="R691" i="7"/>
  <c r="P691" i="7"/>
  <c r="O691" i="7"/>
  <c r="Q691" i="7"/>
  <c r="S691" i="7" s="1"/>
  <c r="W691" i="7" s="1"/>
  <c r="AZ690" i="7"/>
  <c r="AG690" i="7"/>
  <c r="P690" i="7"/>
  <c r="O690" i="7"/>
  <c r="R690" i="7"/>
  <c r="AZ689" i="7"/>
  <c r="AG689" i="7"/>
  <c r="R689" i="7"/>
  <c r="P689" i="7"/>
  <c r="O689" i="7"/>
  <c r="Q689" i="7"/>
  <c r="AZ688" i="7"/>
  <c r="AG688" i="7"/>
  <c r="P688" i="7"/>
  <c r="O688" i="7"/>
  <c r="R688" i="7"/>
  <c r="AZ687" i="7"/>
  <c r="AG687" i="7"/>
  <c r="R687" i="7"/>
  <c r="Q687" i="7"/>
  <c r="P687" i="7"/>
  <c r="O687" i="7"/>
  <c r="AZ686" i="7"/>
  <c r="AG686" i="7"/>
  <c r="P686" i="7"/>
  <c r="O686" i="7"/>
  <c r="R686" i="7"/>
  <c r="AZ685" i="7"/>
  <c r="AG685" i="7"/>
  <c r="R685" i="7"/>
  <c r="P685" i="7"/>
  <c r="O685" i="7"/>
  <c r="Q685" i="7"/>
  <c r="AZ684" i="7"/>
  <c r="AG684" i="7"/>
  <c r="P684" i="7"/>
  <c r="O684" i="7"/>
  <c r="R684" i="7"/>
  <c r="AZ683" i="7"/>
  <c r="AG683" i="7"/>
  <c r="R683" i="7"/>
  <c r="P683" i="7"/>
  <c r="O683" i="7"/>
  <c r="Q683" i="7"/>
  <c r="S683" i="7" s="1"/>
  <c r="W683" i="7" s="1"/>
  <c r="AZ682" i="7"/>
  <c r="AG682" i="7"/>
  <c r="P682" i="7"/>
  <c r="O682" i="7"/>
  <c r="R682" i="7"/>
  <c r="AZ681" i="7"/>
  <c r="AG681" i="7"/>
  <c r="R681" i="7"/>
  <c r="P681" i="7"/>
  <c r="O681" i="7"/>
  <c r="Q681" i="7"/>
  <c r="AZ680" i="7"/>
  <c r="AG680" i="7"/>
  <c r="P680" i="7"/>
  <c r="O680" i="7"/>
  <c r="R680" i="7"/>
  <c r="AZ679" i="7"/>
  <c r="AG679" i="7"/>
  <c r="R679" i="7"/>
  <c r="P679" i="7"/>
  <c r="O679" i="7"/>
  <c r="Q679" i="7"/>
  <c r="AZ678" i="7"/>
  <c r="AG678" i="7"/>
  <c r="P678" i="7"/>
  <c r="O678" i="7"/>
  <c r="R678" i="7"/>
  <c r="AZ677" i="7"/>
  <c r="AG677" i="7"/>
  <c r="R677" i="7"/>
  <c r="P677" i="7"/>
  <c r="O677" i="7"/>
  <c r="Q677" i="7"/>
  <c r="AZ676" i="7"/>
  <c r="AG676" i="7"/>
  <c r="P676" i="7"/>
  <c r="O676" i="7"/>
  <c r="R676" i="7"/>
  <c r="AZ675" i="7"/>
  <c r="AG675" i="7"/>
  <c r="R675" i="7"/>
  <c r="P675" i="7"/>
  <c r="O675" i="7"/>
  <c r="Q675" i="7"/>
  <c r="S675" i="7" s="1"/>
  <c r="W675" i="7" s="1"/>
  <c r="AZ674" i="7"/>
  <c r="AG674" i="7"/>
  <c r="P674" i="7"/>
  <c r="O674" i="7"/>
  <c r="R674" i="7"/>
  <c r="AZ673" i="7"/>
  <c r="AG673" i="7"/>
  <c r="R673" i="7"/>
  <c r="P673" i="7"/>
  <c r="O673" i="7"/>
  <c r="Q673" i="7"/>
  <c r="AZ672" i="7"/>
  <c r="AG672" i="7"/>
  <c r="P672" i="7"/>
  <c r="O672" i="7"/>
  <c r="R672" i="7"/>
  <c r="AZ671" i="7"/>
  <c r="AG671" i="7"/>
  <c r="R671" i="7"/>
  <c r="P671" i="7"/>
  <c r="O671" i="7"/>
  <c r="Q671" i="7"/>
  <c r="AZ670" i="7"/>
  <c r="AG670" i="7"/>
  <c r="P670" i="7"/>
  <c r="O670" i="7"/>
  <c r="R670" i="7"/>
  <c r="AZ669" i="7"/>
  <c r="AG669" i="7"/>
  <c r="R669" i="7"/>
  <c r="P669" i="7"/>
  <c r="O669" i="7"/>
  <c r="Q669" i="7"/>
  <c r="AZ668" i="7"/>
  <c r="AG668" i="7"/>
  <c r="P668" i="7"/>
  <c r="O668" i="7"/>
  <c r="R668" i="7"/>
  <c r="AZ667" i="7"/>
  <c r="AG667" i="7"/>
  <c r="R667" i="7"/>
  <c r="P667" i="7"/>
  <c r="O667" i="7"/>
  <c r="Q667" i="7"/>
  <c r="S667" i="7" s="1"/>
  <c r="W667" i="7" s="1"/>
  <c r="AZ666" i="7"/>
  <c r="AG666" i="7"/>
  <c r="P666" i="7"/>
  <c r="O666" i="7"/>
  <c r="R666" i="7"/>
  <c r="AZ665" i="7"/>
  <c r="AG665" i="7"/>
  <c r="R665" i="7"/>
  <c r="P665" i="7"/>
  <c r="O665" i="7"/>
  <c r="Q665" i="7"/>
  <c r="AZ664" i="7"/>
  <c r="AG664" i="7"/>
  <c r="P664" i="7"/>
  <c r="O664" i="7"/>
  <c r="R664" i="7"/>
  <c r="AZ663" i="7"/>
  <c r="AG663" i="7"/>
  <c r="R663" i="7"/>
  <c r="P663" i="7"/>
  <c r="O663" i="7"/>
  <c r="Q663" i="7"/>
  <c r="AZ662" i="7"/>
  <c r="AG662" i="7"/>
  <c r="P662" i="7"/>
  <c r="O662" i="7"/>
  <c r="R662" i="7"/>
  <c r="AZ661" i="7"/>
  <c r="AG661" i="7"/>
  <c r="R661" i="7"/>
  <c r="P661" i="7"/>
  <c r="O661" i="7"/>
  <c r="Q661" i="7"/>
  <c r="AZ660" i="7"/>
  <c r="AG660" i="7"/>
  <c r="P660" i="7"/>
  <c r="O660" i="7"/>
  <c r="R660" i="7"/>
  <c r="AZ659" i="7"/>
  <c r="AG659" i="7"/>
  <c r="R659" i="7"/>
  <c r="P659" i="7"/>
  <c r="O659" i="7"/>
  <c r="Q659" i="7"/>
  <c r="S659" i="7" s="1"/>
  <c r="W659" i="7" s="1"/>
  <c r="AZ658" i="7"/>
  <c r="AG658" i="7"/>
  <c r="P658" i="7"/>
  <c r="O658" i="7"/>
  <c r="R658" i="7"/>
  <c r="AZ657" i="7"/>
  <c r="AG657" i="7"/>
  <c r="R657" i="7"/>
  <c r="P657" i="7"/>
  <c r="O657" i="7"/>
  <c r="Q657" i="7"/>
  <c r="AZ656" i="7"/>
  <c r="AG656" i="7"/>
  <c r="P656" i="7"/>
  <c r="O656" i="7"/>
  <c r="R656" i="7"/>
  <c r="AZ655" i="7"/>
  <c r="AG655" i="7"/>
  <c r="R655" i="7"/>
  <c r="P655" i="7"/>
  <c r="O655" i="7"/>
  <c r="Q655" i="7"/>
  <c r="AZ654" i="7"/>
  <c r="AG654" i="7"/>
  <c r="P654" i="7"/>
  <c r="O654" i="7"/>
  <c r="R654" i="7"/>
  <c r="AZ653" i="7"/>
  <c r="AG653" i="7"/>
  <c r="R653" i="7"/>
  <c r="P653" i="7"/>
  <c r="O653" i="7"/>
  <c r="Q653" i="7"/>
  <c r="AZ652" i="7"/>
  <c r="AG652" i="7"/>
  <c r="P652" i="7"/>
  <c r="O652" i="7"/>
  <c r="R652" i="7"/>
  <c r="AZ651" i="7"/>
  <c r="AG651" i="7"/>
  <c r="R651" i="7"/>
  <c r="P651" i="7"/>
  <c r="O651" i="7"/>
  <c r="Q651" i="7"/>
  <c r="S651" i="7" s="1"/>
  <c r="W651" i="7" s="1"/>
  <c r="AZ650" i="7"/>
  <c r="AG650" i="7"/>
  <c r="P650" i="7"/>
  <c r="O650" i="7"/>
  <c r="R650" i="7"/>
  <c r="AZ649" i="7"/>
  <c r="AG649" i="7"/>
  <c r="R649" i="7"/>
  <c r="P649" i="7"/>
  <c r="O649" i="7"/>
  <c r="Q649" i="7"/>
  <c r="AZ648" i="7"/>
  <c r="AG648" i="7"/>
  <c r="P648" i="7"/>
  <c r="O648" i="7"/>
  <c r="R648" i="7"/>
  <c r="AZ647" i="7"/>
  <c r="AG647" i="7"/>
  <c r="R647" i="7"/>
  <c r="P647" i="7"/>
  <c r="O647" i="7"/>
  <c r="Q647" i="7"/>
  <c r="AZ646" i="7"/>
  <c r="AG646" i="7"/>
  <c r="P646" i="7"/>
  <c r="O646" i="7"/>
  <c r="R646" i="7"/>
  <c r="AZ645" i="7"/>
  <c r="AG645" i="7"/>
  <c r="R645" i="7"/>
  <c r="P645" i="7"/>
  <c r="O645" i="7"/>
  <c r="Q645" i="7"/>
  <c r="AZ644" i="7"/>
  <c r="AG644" i="7"/>
  <c r="P644" i="7"/>
  <c r="O644" i="7"/>
  <c r="R644" i="7"/>
  <c r="AZ643" i="7"/>
  <c r="AG643" i="7"/>
  <c r="R643" i="7"/>
  <c r="P643" i="7"/>
  <c r="O643" i="7"/>
  <c r="Q643" i="7"/>
  <c r="S643" i="7" s="1"/>
  <c r="W643" i="7" s="1"/>
  <c r="AZ642" i="7"/>
  <c r="AG642" i="7"/>
  <c r="P642" i="7"/>
  <c r="O642" i="7"/>
  <c r="R642" i="7"/>
  <c r="AZ641" i="7"/>
  <c r="AG641" i="7"/>
  <c r="R641" i="7"/>
  <c r="P641" i="7"/>
  <c r="O641" i="7"/>
  <c r="Q641" i="7"/>
  <c r="AZ640" i="7"/>
  <c r="AG640" i="7"/>
  <c r="P640" i="7"/>
  <c r="O640" i="7"/>
  <c r="R640" i="7"/>
  <c r="AZ639" i="7"/>
  <c r="AG639" i="7"/>
  <c r="R639" i="7"/>
  <c r="P639" i="7"/>
  <c r="O639" i="7"/>
  <c r="Q639" i="7"/>
  <c r="AZ638" i="7"/>
  <c r="AG638" i="7"/>
  <c r="P638" i="7"/>
  <c r="O638" i="7"/>
  <c r="R638" i="7"/>
  <c r="AZ637" i="7"/>
  <c r="AG637" i="7"/>
  <c r="R637" i="7"/>
  <c r="P637" i="7"/>
  <c r="O637" i="7"/>
  <c r="Q637" i="7"/>
  <c r="AZ636" i="7"/>
  <c r="AG636" i="7"/>
  <c r="P636" i="7"/>
  <c r="O636" i="7"/>
  <c r="R636" i="7"/>
  <c r="AZ635" i="7"/>
  <c r="AG635" i="7"/>
  <c r="R635" i="7"/>
  <c r="P635" i="7"/>
  <c r="O635" i="7"/>
  <c r="Q635" i="7"/>
  <c r="S635" i="7" s="1"/>
  <c r="W635" i="7" s="1"/>
  <c r="AZ634" i="7"/>
  <c r="AG634" i="7"/>
  <c r="P634" i="7"/>
  <c r="O634" i="7"/>
  <c r="R634" i="7"/>
  <c r="AZ633" i="7"/>
  <c r="AG633" i="7"/>
  <c r="R633" i="7"/>
  <c r="P633" i="7"/>
  <c r="O633" i="7"/>
  <c r="Q633" i="7"/>
  <c r="AZ632" i="7"/>
  <c r="AG632" i="7"/>
  <c r="P632" i="7"/>
  <c r="O632" i="7"/>
  <c r="R632" i="7"/>
  <c r="AZ631" i="7"/>
  <c r="AG631" i="7"/>
  <c r="R631" i="7"/>
  <c r="P631" i="7"/>
  <c r="O631" i="7"/>
  <c r="Q631" i="7"/>
  <c r="AZ630" i="7"/>
  <c r="AG630" i="7"/>
  <c r="P630" i="7"/>
  <c r="O630" i="7"/>
  <c r="R630" i="7"/>
  <c r="AZ629" i="7"/>
  <c r="AG629" i="7"/>
  <c r="R629" i="7"/>
  <c r="P629" i="7"/>
  <c r="O629" i="7"/>
  <c r="Q629" i="7"/>
  <c r="AZ628" i="7"/>
  <c r="AG628" i="7"/>
  <c r="P628" i="7"/>
  <c r="O628" i="7"/>
  <c r="R628" i="7"/>
  <c r="AZ627" i="7"/>
  <c r="AG627" i="7"/>
  <c r="R627" i="7"/>
  <c r="P627" i="7"/>
  <c r="O627" i="7"/>
  <c r="Q627" i="7"/>
  <c r="S627" i="7" s="1"/>
  <c r="W627" i="7" s="1"/>
  <c r="AZ626" i="7"/>
  <c r="AG626" i="7"/>
  <c r="P626" i="7"/>
  <c r="O626" i="7"/>
  <c r="R626" i="7"/>
  <c r="AZ625" i="7"/>
  <c r="AG625" i="7"/>
  <c r="R625" i="7"/>
  <c r="P625" i="7"/>
  <c r="O625" i="7"/>
  <c r="Q625" i="7"/>
  <c r="AZ624" i="7"/>
  <c r="AG624" i="7"/>
  <c r="P624" i="7"/>
  <c r="O624" i="7"/>
  <c r="R624" i="7"/>
  <c r="AZ623" i="7"/>
  <c r="AG623" i="7"/>
  <c r="R623" i="7"/>
  <c r="P623" i="7"/>
  <c r="O623" i="7"/>
  <c r="Q623" i="7"/>
  <c r="AZ622" i="7"/>
  <c r="AG622" i="7"/>
  <c r="P622" i="7"/>
  <c r="O622" i="7"/>
  <c r="R622" i="7"/>
  <c r="AZ621" i="7"/>
  <c r="AG621" i="7"/>
  <c r="R621" i="7"/>
  <c r="P621" i="7"/>
  <c r="O621" i="7"/>
  <c r="Q621" i="7"/>
  <c r="AZ620" i="7"/>
  <c r="AG620" i="7"/>
  <c r="P620" i="7"/>
  <c r="O620" i="7"/>
  <c r="R620" i="7"/>
  <c r="AZ619" i="7"/>
  <c r="AG619" i="7"/>
  <c r="R619" i="7"/>
  <c r="P619" i="7"/>
  <c r="O619" i="7"/>
  <c r="Q619" i="7"/>
  <c r="S619" i="7" s="1"/>
  <c r="W619" i="7" s="1"/>
  <c r="AZ618" i="7"/>
  <c r="AG618" i="7"/>
  <c r="P618" i="7"/>
  <c r="O618" i="7"/>
  <c r="R618" i="7"/>
  <c r="AZ617" i="7"/>
  <c r="AD617" i="7"/>
  <c r="AG617" i="7" s="1"/>
  <c r="R617" i="7"/>
  <c r="P617" i="7"/>
  <c r="O617" i="7"/>
  <c r="Q617" i="7"/>
  <c r="S617" i="7" s="1"/>
  <c r="W617" i="7" s="1"/>
  <c r="AZ616" i="7"/>
  <c r="AG616" i="7"/>
  <c r="P616" i="7"/>
  <c r="O616" i="7"/>
  <c r="R616" i="7"/>
  <c r="AZ615" i="7"/>
  <c r="AG615" i="7"/>
  <c r="R615" i="7"/>
  <c r="P615" i="7"/>
  <c r="O615" i="7"/>
  <c r="Q615" i="7"/>
  <c r="AZ614" i="7"/>
  <c r="AG614" i="7"/>
  <c r="P614" i="7"/>
  <c r="O614" i="7"/>
  <c r="R614" i="7"/>
  <c r="AZ613" i="7"/>
  <c r="AG613" i="7"/>
  <c r="R613" i="7"/>
  <c r="P613" i="7"/>
  <c r="O613" i="7"/>
  <c r="Q613" i="7"/>
  <c r="AZ612" i="7"/>
  <c r="AG612" i="7"/>
  <c r="P612" i="7"/>
  <c r="O612" i="7"/>
  <c r="R612" i="7"/>
  <c r="AZ611" i="7"/>
  <c r="AG611" i="7"/>
  <c r="R611" i="7"/>
  <c r="P611" i="7"/>
  <c r="O611" i="7"/>
  <c r="Q611" i="7"/>
  <c r="AZ610" i="7"/>
  <c r="AG610" i="7"/>
  <c r="P610" i="7"/>
  <c r="O610" i="7"/>
  <c r="R610" i="7"/>
  <c r="AZ609" i="7"/>
  <c r="AG609" i="7"/>
  <c r="R609" i="7"/>
  <c r="P609" i="7"/>
  <c r="O609" i="7"/>
  <c r="Q609" i="7"/>
  <c r="AZ608" i="7"/>
  <c r="AG608" i="7"/>
  <c r="P608" i="7"/>
  <c r="O608" i="7"/>
  <c r="R608" i="7"/>
  <c r="AZ607" i="7"/>
  <c r="AG607" i="7"/>
  <c r="R607" i="7"/>
  <c r="P607" i="7"/>
  <c r="O607" i="7"/>
  <c r="Q607" i="7"/>
  <c r="AZ606" i="7"/>
  <c r="AG606" i="7"/>
  <c r="P606" i="7"/>
  <c r="O606" i="7"/>
  <c r="R606" i="7"/>
  <c r="AZ605" i="7"/>
  <c r="AG605" i="7"/>
  <c r="R605" i="7"/>
  <c r="P605" i="7"/>
  <c r="O605" i="7"/>
  <c r="Q605" i="7"/>
  <c r="AZ604" i="7"/>
  <c r="AG604" i="7"/>
  <c r="P604" i="7"/>
  <c r="O604" i="7"/>
  <c r="R604" i="7"/>
  <c r="AZ603" i="7"/>
  <c r="AG603" i="7"/>
  <c r="R603" i="7"/>
  <c r="P603" i="7"/>
  <c r="O603" i="7"/>
  <c r="Q603" i="7"/>
  <c r="AZ602" i="7"/>
  <c r="AG602" i="7"/>
  <c r="P602" i="7"/>
  <c r="O602" i="7"/>
  <c r="R602" i="7"/>
  <c r="AZ601" i="7"/>
  <c r="AG601" i="7"/>
  <c r="R601" i="7"/>
  <c r="P601" i="7"/>
  <c r="O601" i="7"/>
  <c r="Q601" i="7"/>
  <c r="AZ600" i="7"/>
  <c r="AG600" i="7"/>
  <c r="R600" i="7"/>
  <c r="Q600" i="7"/>
  <c r="P600" i="7"/>
  <c r="O600" i="7"/>
  <c r="AZ599" i="7"/>
  <c r="AG599" i="7"/>
  <c r="R599" i="7"/>
  <c r="P599" i="7"/>
  <c r="O599" i="7"/>
  <c r="Q599" i="7"/>
  <c r="S599" i="7" s="1"/>
  <c r="W599" i="7" s="1"/>
  <c r="AZ598" i="7"/>
  <c r="AG598" i="7"/>
  <c r="P598" i="7"/>
  <c r="O598" i="7"/>
  <c r="R598" i="7"/>
  <c r="AZ597" i="7"/>
  <c r="AG597" i="7"/>
  <c r="R597" i="7"/>
  <c r="Q597" i="7"/>
  <c r="P597" i="7"/>
  <c r="O597" i="7"/>
  <c r="AZ596" i="7"/>
  <c r="AG596" i="7"/>
  <c r="R596" i="7"/>
  <c r="P596" i="7"/>
  <c r="O596" i="7"/>
  <c r="Q596" i="7"/>
  <c r="AZ595" i="7"/>
  <c r="AG595" i="7"/>
  <c r="P595" i="7"/>
  <c r="O595" i="7"/>
  <c r="R595" i="7"/>
  <c r="AZ594" i="7"/>
  <c r="AG594" i="7"/>
  <c r="R594" i="7"/>
  <c r="Q594" i="7"/>
  <c r="P594" i="7"/>
  <c r="O594" i="7"/>
  <c r="AZ593" i="7"/>
  <c r="AG593" i="7"/>
  <c r="P593" i="7"/>
  <c r="O593" i="7"/>
  <c r="R593" i="7"/>
  <c r="AZ592" i="7"/>
  <c r="AG592" i="7"/>
  <c r="R592" i="7"/>
  <c r="P592" i="7"/>
  <c r="O592" i="7"/>
  <c r="Q592" i="7"/>
  <c r="AZ591" i="7"/>
  <c r="AG591" i="7"/>
  <c r="R591" i="7"/>
  <c r="Q591" i="7"/>
  <c r="P591" i="7"/>
  <c r="O591" i="7"/>
  <c r="AZ590" i="7"/>
  <c r="AG590" i="7"/>
  <c r="P590" i="7"/>
  <c r="O590" i="7"/>
  <c r="R590" i="7"/>
  <c r="AZ589" i="7"/>
  <c r="AG589" i="7"/>
  <c r="R589" i="7"/>
  <c r="P589" i="7"/>
  <c r="O589" i="7"/>
  <c r="Q589" i="7"/>
  <c r="AZ588" i="7"/>
  <c r="AG588" i="7"/>
  <c r="R588" i="7"/>
  <c r="Q588" i="7"/>
  <c r="P588" i="7"/>
  <c r="O588" i="7"/>
  <c r="AZ587" i="7"/>
  <c r="AG587" i="7"/>
  <c r="R587" i="7"/>
  <c r="P587" i="7"/>
  <c r="O587" i="7"/>
  <c r="Q587" i="7"/>
  <c r="AZ586" i="7"/>
  <c r="AG586" i="7"/>
  <c r="P586" i="7"/>
  <c r="O586" i="7"/>
  <c r="R586" i="7"/>
  <c r="AZ585" i="7"/>
  <c r="AG585" i="7"/>
  <c r="R585" i="7"/>
  <c r="Q585" i="7"/>
  <c r="P585" i="7"/>
  <c r="O585" i="7"/>
  <c r="AZ584" i="7"/>
  <c r="AG584" i="7"/>
  <c r="R584" i="7"/>
  <c r="P584" i="7"/>
  <c r="O584" i="7"/>
  <c r="Q584" i="7"/>
  <c r="AZ583" i="7"/>
  <c r="AG583" i="7"/>
  <c r="P583" i="7"/>
  <c r="O583" i="7"/>
  <c r="R583" i="7"/>
  <c r="AZ582" i="7"/>
  <c r="AG582" i="7"/>
  <c r="R582" i="7"/>
  <c r="Q582" i="7"/>
  <c r="P582" i="7"/>
  <c r="O582" i="7"/>
  <c r="AZ581" i="7"/>
  <c r="AG581" i="7"/>
  <c r="P581" i="7"/>
  <c r="O581" i="7"/>
  <c r="R581" i="7"/>
  <c r="AZ580" i="7"/>
  <c r="AG580" i="7"/>
  <c r="R580" i="7"/>
  <c r="P580" i="7"/>
  <c r="O580" i="7"/>
  <c r="Q580" i="7"/>
  <c r="AZ579" i="7"/>
  <c r="AG579" i="7"/>
  <c r="P579" i="7"/>
  <c r="O579" i="7"/>
  <c r="R579" i="7"/>
  <c r="AZ578" i="7"/>
  <c r="AG578" i="7"/>
  <c r="R578" i="7"/>
  <c r="P578" i="7"/>
  <c r="O578" i="7"/>
  <c r="Q578" i="7"/>
  <c r="S578" i="7" s="1"/>
  <c r="W578" i="7" s="1"/>
  <c r="AZ577" i="7"/>
  <c r="AG577" i="7"/>
  <c r="P577" i="7"/>
  <c r="O577" i="7"/>
  <c r="R577" i="7"/>
  <c r="AZ576" i="7"/>
  <c r="AG576" i="7"/>
  <c r="R576" i="7"/>
  <c r="P576" i="7"/>
  <c r="O576" i="7"/>
  <c r="Q576" i="7"/>
  <c r="AZ575" i="7"/>
  <c r="AG575" i="7"/>
  <c r="P575" i="7"/>
  <c r="O575" i="7"/>
  <c r="R575" i="7"/>
  <c r="AZ574" i="7"/>
  <c r="AG574" i="7"/>
  <c r="R574" i="7"/>
  <c r="P574" i="7"/>
  <c r="O574" i="7"/>
  <c r="Q574" i="7"/>
  <c r="AZ573" i="7"/>
  <c r="AG573" i="7"/>
  <c r="P573" i="7"/>
  <c r="O573" i="7"/>
  <c r="R573" i="7"/>
  <c r="AZ572" i="7"/>
  <c r="AG572" i="7"/>
  <c r="R572" i="7"/>
  <c r="P572" i="7"/>
  <c r="O572" i="7"/>
  <c r="Q572" i="7"/>
  <c r="AZ571" i="7"/>
  <c r="AG571" i="7"/>
  <c r="P571" i="7"/>
  <c r="O571" i="7"/>
  <c r="R571" i="7"/>
  <c r="AZ570" i="7"/>
  <c r="AG570" i="7"/>
  <c r="R570" i="7"/>
  <c r="P570" i="7"/>
  <c r="O570" i="7"/>
  <c r="Q570" i="7"/>
  <c r="S570" i="7" s="1"/>
  <c r="W570" i="7" s="1"/>
  <c r="AZ569" i="7"/>
  <c r="AG569" i="7"/>
  <c r="P569" i="7"/>
  <c r="O569" i="7"/>
  <c r="R569" i="7"/>
  <c r="AZ568" i="7"/>
  <c r="AG568" i="7"/>
  <c r="R568" i="7"/>
  <c r="P568" i="7"/>
  <c r="O568" i="7"/>
  <c r="Q568" i="7"/>
  <c r="AZ567" i="7"/>
  <c r="AG567" i="7"/>
  <c r="P567" i="7"/>
  <c r="O567" i="7"/>
  <c r="R567" i="7"/>
  <c r="AZ566" i="7"/>
  <c r="AG566" i="7"/>
  <c r="R566" i="7"/>
  <c r="P566" i="7"/>
  <c r="O566" i="7"/>
  <c r="Q566" i="7"/>
  <c r="AZ565" i="7"/>
  <c r="AG565" i="7"/>
  <c r="P565" i="7"/>
  <c r="O565" i="7"/>
  <c r="R565" i="7"/>
  <c r="AZ564" i="7"/>
  <c r="AG564" i="7"/>
  <c r="R564" i="7"/>
  <c r="Q564" i="7"/>
  <c r="P564" i="7"/>
  <c r="O564" i="7"/>
  <c r="AZ563" i="7"/>
  <c r="AU563" i="7"/>
  <c r="AG563" i="7"/>
  <c r="P563" i="7"/>
  <c r="O563" i="7"/>
  <c r="R563" i="7"/>
  <c r="AZ562" i="7"/>
  <c r="AG562" i="7"/>
  <c r="R562" i="7"/>
  <c r="P562" i="7"/>
  <c r="O562" i="7"/>
  <c r="Q562" i="7"/>
  <c r="AZ561" i="7"/>
  <c r="AG561" i="7"/>
  <c r="P561" i="7"/>
  <c r="O561" i="7"/>
  <c r="R561" i="7"/>
  <c r="AZ560" i="7"/>
  <c r="AG560" i="7"/>
  <c r="R560" i="7"/>
  <c r="P560" i="7"/>
  <c r="O560" i="7"/>
  <c r="Q560" i="7"/>
  <c r="S560" i="7" s="1"/>
  <c r="W560" i="7" s="1"/>
  <c r="AZ559" i="7"/>
  <c r="AG559" i="7"/>
  <c r="P559" i="7"/>
  <c r="O559" i="7"/>
  <c r="R559" i="7"/>
  <c r="AZ558" i="7"/>
  <c r="AG558" i="7"/>
  <c r="R558" i="7"/>
  <c r="P558" i="7"/>
  <c r="O558" i="7"/>
  <c r="Q558" i="7"/>
  <c r="AZ557" i="7"/>
  <c r="AU557" i="7"/>
  <c r="AG557" i="7"/>
  <c r="R557" i="7"/>
  <c r="P557" i="7"/>
  <c r="O557" i="7"/>
  <c r="Q557" i="7"/>
  <c r="AZ556" i="7"/>
  <c r="AG556" i="7"/>
  <c r="P556" i="7"/>
  <c r="O556" i="7"/>
  <c r="R556" i="7"/>
  <c r="AZ555" i="7"/>
  <c r="AG555" i="7"/>
  <c r="R555" i="7"/>
  <c r="P555" i="7"/>
  <c r="O555" i="7"/>
  <c r="Q555" i="7"/>
  <c r="AZ554" i="7"/>
  <c r="AG554" i="7"/>
  <c r="P554" i="7"/>
  <c r="O554" i="7"/>
  <c r="R554" i="7"/>
  <c r="AZ553" i="7"/>
  <c r="AG553" i="7"/>
  <c r="R553" i="7"/>
  <c r="P553" i="7"/>
  <c r="O553" i="7"/>
  <c r="Q553" i="7"/>
  <c r="S553" i="7" s="1"/>
  <c r="W553" i="7" s="1"/>
  <c r="AZ552" i="7"/>
  <c r="AG552" i="7"/>
  <c r="P552" i="7"/>
  <c r="O552" i="7"/>
  <c r="R552" i="7"/>
  <c r="AZ551" i="7"/>
  <c r="AG551" i="7"/>
  <c r="R551" i="7"/>
  <c r="Q551" i="7"/>
  <c r="P551" i="7"/>
  <c r="O551" i="7"/>
  <c r="AZ550" i="7"/>
  <c r="AG550" i="7"/>
  <c r="R550" i="7"/>
  <c r="P550" i="7"/>
  <c r="O550" i="7"/>
  <c r="Q550" i="7"/>
  <c r="AZ549" i="7"/>
  <c r="AG549" i="7"/>
  <c r="P549" i="7"/>
  <c r="O549" i="7"/>
  <c r="R549" i="7"/>
  <c r="AZ548" i="7"/>
  <c r="AG548" i="7"/>
  <c r="R548" i="7"/>
  <c r="P548" i="7"/>
  <c r="O548" i="7"/>
  <c r="Q548" i="7"/>
  <c r="S548" i="7" s="1"/>
  <c r="W548" i="7" s="1"/>
  <c r="AZ547" i="7"/>
  <c r="AG547" i="7"/>
  <c r="P547" i="7"/>
  <c r="O547" i="7"/>
  <c r="R547" i="7"/>
  <c r="AZ546" i="7"/>
  <c r="AG546" i="7"/>
  <c r="R546" i="7"/>
  <c r="P546" i="7"/>
  <c r="O546" i="7"/>
  <c r="Q546" i="7"/>
  <c r="AZ545" i="7"/>
  <c r="AG545" i="7"/>
  <c r="P545" i="7"/>
  <c r="O545" i="7"/>
  <c r="R545" i="7"/>
  <c r="AZ544" i="7"/>
  <c r="AG544" i="7"/>
  <c r="R544" i="7"/>
  <c r="P544" i="7"/>
  <c r="O544" i="7"/>
  <c r="Q544" i="7"/>
  <c r="AZ543" i="7"/>
  <c r="AG543" i="7"/>
  <c r="P543" i="7"/>
  <c r="O543" i="7"/>
  <c r="R543" i="7"/>
  <c r="AZ542" i="7"/>
  <c r="AG542" i="7"/>
  <c r="R542" i="7"/>
  <c r="P542" i="7"/>
  <c r="O542" i="7"/>
  <c r="Q542" i="7"/>
  <c r="AZ541" i="7"/>
  <c r="AG541" i="7"/>
  <c r="P541" i="7"/>
  <c r="O541" i="7"/>
  <c r="R541" i="7"/>
  <c r="AZ540" i="7"/>
  <c r="AG540" i="7"/>
  <c r="R540" i="7"/>
  <c r="P540" i="7"/>
  <c r="O540" i="7"/>
  <c r="Q540" i="7"/>
  <c r="S540" i="7" s="1"/>
  <c r="W540" i="7" s="1"/>
  <c r="AZ539" i="7"/>
  <c r="AG539" i="7"/>
  <c r="P539" i="7"/>
  <c r="O539" i="7"/>
  <c r="R539" i="7"/>
  <c r="AZ538" i="7"/>
  <c r="AG538" i="7"/>
  <c r="R538" i="7"/>
  <c r="Q538" i="7"/>
  <c r="P538" i="7"/>
  <c r="O538" i="7"/>
  <c r="AZ537" i="7"/>
  <c r="AG537" i="7"/>
  <c r="P537" i="7"/>
  <c r="O537" i="7"/>
  <c r="R537" i="7"/>
  <c r="AZ536" i="7"/>
  <c r="AG536" i="7"/>
  <c r="R536" i="7"/>
  <c r="P536" i="7"/>
  <c r="O536" i="7"/>
  <c r="Q536" i="7"/>
  <c r="AZ535" i="7"/>
  <c r="AG535" i="7"/>
  <c r="P535" i="7"/>
  <c r="O535" i="7"/>
  <c r="R535" i="7"/>
  <c r="AZ534" i="7"/>
  <c r="AG534" i="7"/>
  <c r="R534" i="7"/>
  <c r="P534" i="7"/>
  <c r="O534" i="7"/>
  <c r="Q534" i="7"/>
  <c r="AZ533" i="7"/>
  <c r="AG533" i="7"/>
  <c r="R533" i="7"/>
  <c r="Q533" i="7"/>
  <c r="P533" i="7"/>
  <c r="O533" i="7"/>
  <c r="AZ532" i="7"/>
  <c r="AG532" i="7"/>
  <c r="R532" i="7"/>
  <c r="P532" i="7"/>
  <c r="O532" i="7"/>
  <c r="Q532" i="7"/>
  <c r="AZ531" i="7"/>
  <c r="AG531" i="7"/>
  <c r="P531" i="7"/>
  <c r="O531" i="7"/>
  <c r="R531" i="7"/>
  <c r="AZ530" i="7"/>
  <c r="AG530" i="7"/>
  <c r="AD530" i="7"/>
  <c r="R530" i="7"/>
  <c r="P530" i="7"/>
  <c r="O530" i="7"/>
  <c r="Q530" i="7"/>
  <c r="AZ529" i="7"/>
  <c r="AG529" i="7"/>
  <c r="P529" i="7"/>
  <c r="O529" i="7"/>
  <c r="R529" i="7"/>
  <c r="AZ528" i="7"/>
  <c r="AG528" i="7"/>
  <c r="R528" i="7"/>
  <c r="P528" i="7"/>
  <c r="O528" i="7"/>
  <c r="Q528" i="7"/>
  <c r="AZ527" i="7"/>
  <c r="AG527" i="7"/>
  <c r="P527" i="7"/>
  <c r="O527" i="7"/>
  <c r="R527" i="7"/>
  <c r="AZ526" i="7"/>
  <c r="AG526" i="7"/>
  <c r="R526" i="7"/>
  <c r="P526" i="7"/>
  <c r="O526" i="7"/>
  <c r="Q526" i="7"/>
  <c r="AZ525" i="7"/>
  <c r="AG525" i="7"/>
  <c r="P525" i="7"/>
  <c r="O525" i="7"/>
  <c r="R525" i="7"/>
  <c r="AZ524" i="7"/>
  <c r="AG524" i="7"/>
  <c r="R524" i="7"/>
  <c r="P524" i="7"/>
  <c r="O524" i="7"/>
  <c r="Q524" i="7"/>
  <c r="AZ523" i="7"/>
  <c r="AG523" i="7"/>
  <c r="P523" i="7"/>
  <c r="O523" i="7"/>
  <c r="R523" i="7"/>
  <c r="AZ522" i="7"/>
  <c r="AG522" i="7"/>
  <c r="R522" i="7"/>
  <c r="P522" i="7"/>
  <c r="O522" i="7"/>
  <c r="Q522" i="7"/>
  <c r="AZ521" i="7"/>
  <c r="AG521" i="7"/>
  <c r="P521" i="7"/>
  <c r="O521" i="7"/>
  <c r="R521" i="7"/>
  <c r="AZ520" i="7"/>
  <c r="AG520" i="7"/>
  <c r="R520" i="7"/>
  <c r="P520" i="7"/>
  <c r="O520" i="7"/>
  <c r="Q520" i="7"/>
  <c r="AZ519" i="7"/>
  <c r="AG519" i="7"/>
  <c r="P519" i="7"/>
  <c r="O519" i="7"/>
  <c r="R519" i="7"/>
  <c r="AZ518" i="7"/>
  <c r="AG518" i="7"/>
  <c r="R518" i="7"/>
  <c r="P518" i="7"/>
  <c r="O518" i="7"/>
  <c r="Q518" i="7"/>
  <c r="AZ517" i="7"/>
  <c r="AG517" i="7"/>
  <c r="P517" i="7"/>
  <c r="O517" i="7"/>
  <c r="R517" i="7"/>
  <c r="AZ516" i="7"/>
  <c r="AU516" i="7"/>
  <c r="AG516" i="7"/>
  <c r="P516" i="7"/>
  <c r="O516" i="7"/>
  <c r="R516" i="7"/>
  <c r="AZ515" i="7"/>
  <c r="AG515" i="7"/>
  <c r="R515" i="7"/>
  <c r="P515" i="7"/>
  <c r="O515" i="7"/>
  <c r="Q515" i="7"/>
  <c r="AZ514" i="7"/>
  <c r="AG514" i="7"/>
  <c r="P514" i="7"/>
  <c r="O514" i="7"/>
  <c r="R514" i="7"/>
  <c r="AZ513" i="7"/>
  <c r="AG513" i="7"/>
  <c r="R513" i="7"/>
  <c r="P513" i="7"/>
  <c r="O513" i="7"/>
  <c r="Q513" i="7"/>
  <c r="AZ512" i="7"/>
  <c r="AG512" i="7"/>
  <c r="P512" i="7"/>
  <c r="O512" i="7"/>
  <c r="R512" i="7"/>
  <c r="AZ511" i="7"/>
  <c r="AG511" i="7"/>
  <c r="R511" i="7"/>
  <c r="P511" i="7"/>
  <c r="O511" i="7"/>
  <c r="Q511" i="7"/>
  <c r="AD510" i="7"/>
  <c r="AZ510" i="7" s="1"/>
  <c r="P510" i="7"/>
  <c r="O510" i="7"/>
  <c r="R510" i="7"/>
  <c r="AZ509" i="7"/>
  <c r="AU509" i="7"/>
  <c r="AG509" i="7"/>
  <c r="P509" i="7"/>
  <c r="O509" i="7"/>
  <c r="R509" i="7"/>
  <c r="AZ508" i="7"/>
  <c r="AG508" i="7"/>
  <c r="R508" i="7"/>
  <c r="P508" i="7"/>
  <c r="O508" i="7"/>
  <c r="Q508" i="7"/>
  <c r="AZ507" i="7"/>
  <c r="AG507" i="7"/>
  <c r="P507" i="7"/>
  <c r="O507" i="7"/>
  <c r="R507" i="7"/>
  <c r="AZ506" i="7"/>
  <c r="AG506" i="7"/>
  <c r="R506" i="7"/>
  <c r="P506" i="7"/>
  <c r="O506" i="7"/>
  <c r="Q506" i="7"/>
  <c r="AZ505" i="7"/>
  <c r="AG505" i="7"/>
  <c r="P505" i="7"/>
  <c r="O505" i="7"/>
  <c r="R505" i="7"/>
  <c r="AZ504" i="7"/>
  <c r="AG504" i="7"/>
  <c r="R504" i="7"/>
  <c r="P504" i="7"/>
  <c r="O504" i="7"/>
  <c r="Q504" i="7"/>
  <c r="AZ503" i="7"/>
  <c r="AG503" i="7"/>
  <c r="P503" i="7"/>
  <c r="O503" i="7"/>
  <c r="R503" i="7"/>
  <c r="AZ502" i="7"/>
  <c r="AG502" i="7"/>
  <c r="R502" i="7"/>
  <c r="P502" i="7"/>
  <c r="O502" i="7"/>
  <c r="Q502" i="7"/>
  <c r="AD501" i="7"/>
  <c r="AZ501" i="7" s="1"/>
  <c r="P501" i="7"/>
  <c r="O501" i="7"/>
  <c r="R501" i="7"/>
  <c r="AZ500" i="7"/>
  <c r="AG500" i="7"/>
  <c r="R500" i="7"/>
  <c r="P500" i="7"/>
  <c r="O500" i="7"/>
  <c r="Q500" i="7"/>
  <c r="AZ499" i="7"/>
  <c r="AG499" i="7"/>
  <c r="P499" i="7"/>
  <c r="O499" i="7"/>
  <c r="R499" i="7"/>
  <c r="AZ498" i="7"/>
  <c r="AG498" i="7"/>
  <c r="R498" i="7"/>
  <c r="P498" i="7"/>
  <c r="O498" i="7"/>
  <c r="Q498" i="7"/>
  <c r="AZ497" i="7"/>
  <c r="AG497" i="7"/>
  <c r="P497" i="7"/>
  <c r="O497" i="7"/>
  <c r="R497" i="7"/>
  <c r="AZ496" i="7"/>
  <c r="AG496" i="7"/>
  <c r="R496" i="7"/>
  <c r="P496" i="7"/>
  <c r="O496" i="7"/>
  <c r="Q496" i="7"/>
  <c r="AZ495" i="7"/>
  <c r="AG495" i="7"/>
  <c r="P495" i="7"/>
  <c r="O495" i="7"/>
  <c r="R495" i="7"/>
  <c r="AZ494" i="7"/>
  <c r="AG494" i="7"/>
  <c r="R494" i="7"/>
  <c r="Q494" i="7"/>
  <c r="P494" i="7"/>
  <c r="O494" i="7"/>
  <c r="AZ493" i="7"/>
  <c r="AG493" i="7"/>
  <c r="P493" i="7"/>
  <c r="O493" i="7"/>
  <c r="R493" i="7"/>
  <c r="AZ492" i="7"/>
  <c r="AG492" i="7"/>
  <c r="R492" i="7"/>
  <c r="P492" i="7"/>
  <c r="O492" i="7"/>
  <c r="Q492" i="7"/>
  <c r="AZ491" i="7"/>
  <c r="AU491" i="7"/>
  <c r="AG491" i="7"/>
  <c r="P491" i="7"/>
  <c r="O491" i="7"/>
  <c r="R491" i="7"/>
  <c r="AZ490" i="7"/>
  <c r="AG490" i="7"/>
  <c r="R490" i="7"/>
  <c r="P490" i="7"/>
  <c r="O490" i="7"/>
  <c r="Q490" i="7"/>
  <c r="AZ489" i="7"/>
  <c r="AG489" i="7"/>
  <c r="P489" i="7"/>
  <c r="O489" i="7"/>
  <c r="R489" i="7"/>
  <c r="AZ488" i="7"/>
  <c r="AG488" i="7"/>
  <c r="R488" i="7"/>
  <c r="P488" i="7"/>
  <c r="O488" i="7"/>
  <c r="Q488" i="7"/>
  <c r="AZ487" i="7"/>
  <c r="AG487" i="7"/>
  <c r="P487" i="7"/>
  <c r="O487" i="7"/>
  <c r="R487" i="7"/>
  <c r="AZ486" i="7"/>
  <c r="AG486" i="7"/>
  <c r="R486" i="7"/>
  <c r="P486" i="7"/>
  <c r="O486" i="7"/>
  <c r="Q486" i="7"/>
  <c r="AZ485" i="7"/>
  <c r="AG485" i="7"/>
  <c r="P485" i="7"/>
  <c r="O485" i="7"/>
  <c r="R485" i="7"/>
  <c r="AZ484" i="7"/>
  <c r="AG484" i="7"/>
  <c r="R484" i="7"/>
  <c r="P484" i="7"/>
  <c r="O484" i="7"/>
  <c r="Q484" i="7"/>
  <c r="AZ483" i="7"/>
  <c r="AG483" i="7"/>
  <c r="P483" i="7"/>
  <c r="O483" i="7"/>
  <c r="R483" i="7"/>
  <c r="AZ482" i="7"/>
  <c r="AD482" i="7"/>
  <c r="AG482" i="7" s="1"/>
  <c r="P482" i="7"/>
  <c r="O482" i="7"/>
  <c r="R482" i="7"/>
  <c r="AZ481" i="7"/>
  <c r="AG481" i="7"/>
  <c r="R481" i="7"/>
  <c r="P481" i="7"/>
  <c r="O481" i="7"/>
  <c r="Q481" i="7"/>
  <c r="AZ480" i="7"/>
  <c r="AG480" i="7"/>
  <c r="P480" i="7"/>
  <c r="O480" i="7"/>
  <c r="R480" i="7"/>
  <c r="AZ479" i="7"/>
  <c r="AG479" i="7"/>
  <c r="R479" i="7"/>
  <c r="P479" i="7"/>
  <c r="O479" i="7"/>
  <c r="Q479" i="7"/>
  <c r="AZ478" i="7"/>
  <c r="AG478" i="7"/>
  <c r="P478" i="7"/>
  <c r="O478" i="7"/>
  <c r="R478" i="7"/>
  <c r="AZ477" i="7"/>
  <c r="AG477" i="7"/>
  <c r="R477" i="7"/>
  <c r="P477" i="7"/>
  <c r="O477" i="7"/>
  <c r="Q477" i="7"/>
  <c r="AZ476" i="7"/>
  <c r="AG476" i="7"/>
  <c r="P476" i="7"/>
  <c r="O476" i="7"/>
  <c r="R476" i="7"/>
  <c r="AZ475" i="7"/>
  <c r="AG475" i="7"/>
  <c r="R475" i="7"/>
  <c r="P475" i="7"/>
  <c r="O475" i="7"/>
  <c r="Q475" i="7"/>
  <c r="AZ474" i="7"/>
  <c r="AG474" i="7"/>
  <c r="P474" i="7"/>
  <c r="O474" i="7"/>
  <c r="R474" i="7"/>
  <c r="AZ473" i="7"/>
  <c r="AG473" i="7"/>
  <c r="R473" i="7"/>
  <c r="P473" i="7"/>
  <c r="O473" i="7"/>
  <c r="Q473" i="7"/>
  <c r="AZ472" i="7"/>
  <c r="AG472" i="7"/>
  <c r="P472" i="7"/>
  <c r="O472" i="7"/>
  <c r="R472" i="7"/>
  <c r="AZ471" i="7"/>
  <c r="AG471" i="7"/>
  <c r="R471" i="7"/>
  <c r="P471" i="7"/>
  <c r="O471" i="7"/>
  <c r="Q471" i="7"/>
  <c r="AZ470" i="7"/>
  <c r="AG470" i="7"/>
  <c r="P470" i="7"/>
  <c r="O470" i="7"/>
  <c r="R470" i="7"/>
  <c r="AZ469" i="7"/>
  <c r="AG469" i="7"/>
  <c r="R469" i="7"/>
  <c r="P469" i="7"/>
  <c r="O469" i="7"/>
  <c r="Q469" i="7"/>
  <c r="AZ468" i="7"/>
  <c r="AG468" i="7"/>
  <c r="P468" i="7"/>
  <c r="O468" i="7"/>
  <c r="R468" i="7"/>
  <c r="AZ467" i="7"/>
  <c r="AG467" i="7"/>
  <c r="R467" i="7"/>
  <c r="P467" i="7"/>
  <c r="O467" i="7"/>
  <c r="Q467" i="7"/>
  <c r="AZ466" i="7"/>
  <c r="AG466" i="7"/>
  <c r="P466" i="7"/>
  <c r="O466" i="7"/>
  <c r="R466" i="7"/>
  <c r="AZ465" i="7"/>
  <c r="AG465" i="7"/>
  <c r="R465" i="7"/>
  <c r="P465" i="7"/>
  <c r="O465" i="7"/>
  <c r="Q465" i="7"/>
  <c r="AZ464" i="7"/>
  <c r="AG464" i="7"/>
  <c r="P464" i="7"/>
  <c r="O464" i="7"/>
  <c r="R464" i="7"/>
  <c r="AZ463" i="7"/>
  <c r="AU463" i="7"/>
  <c r="AG463" i="7"/>
  <c r="R463" i="7"/>
  <c r="P463" i="7"/>
  <c r="O463" i="7"/>
  <c r="Q463" i="7"/>
  <c r="AZ462" i="7"/>
  <c r="AG462" i="7"/>
  <c r="P462" i="7"/>
  <c r="O462" i="7"/>
  <c r="R462" i="7"/>
  <c r="AZ461" i="7"/>
  <c r="AG461" i="7"/>
  <c r="R461" i="7"/>
  <c r="P461" i="7"/>
  <c r="O461" i="7"/>
  <c r="Q461" i="7"/>
  <c r="AZ460" i="7"/>
  <c r="AG460" i="7"/>
  <c r="R460" i="7"/>
  <c r="Q460" i="7"/>
  <c r="P460" i="7"/>
  <c r="O460" i="7"/>
  <c r="AZ459" i="7"/>
  <c r="AG459" i="7"/>
  <c r="R459" i="7"/>
  <c r="P459" i="7"/>
  <c r="O459" i="7"/>
  <c r="Q459" i="7"/>
  <c r="AZ458" i="7"/>
  <c r="AG458" i="7"/>
  <c r="P458" i="7"/>
  <c r="O458" i="7"/>
  <c r="R458" i="7"/>
  <c r="AZ457" i="7"/>
  <c r="AG457" i="7"/>
  <c r="R457" i="7"/>
  <c r="P457" i="7"/>
  <c r="O457" i="7"/>
  <c r="Q457" i="7"/>
  <c r="AZ456" i="7"/>
  <c r="AG456" i="7"/>
  <c r="P456" i="7"/>
  <c r="O456" i="7"/>
  <c r="R456" i="7"/>
  <c r="AZ455" i="7"/>
  <c r="AG455" i="7"/>
  <c r="R455" i="7"/>
  <c r="P455" i="7"/>
  <c r="O455" i="7"/>
  <c r="Q455" i="7"/>
  <c r="AZ454" i="7"/>
  <c r="AG454" i="7"/>
  <c r="P454" i="7"/>
  <c r="O454" i="7"/>
  <c r="R454" i="7"/>
  <c r="AZ453" i="7"/>
  <c r="AX453" i="7"/>
  <c r="AW453" i="7"/>
  <c r="AU453" i="7"/>
  <c r="AT453" i="7"/>
  <c r="AG453" i="7"/>
  <c r="R453" i="7"/>
  <c r="P453" i="7"/>
  <c r="O453" i="7"/>
  <c r="Q453" i="7"/>
  <c r="AZ452" i="7"/>
  <c r="AX452" i="7"/>
  <c r="AW452" i="7"/>
  <c r="AU452" i="7"/>
  <c r="AT452" i="7"/>
  <c r="AG452" i="7"/>
  <c r="P452" i="7"/>
  <c r="O452" i="7"/>
  <c r="R452" i="7"/>
  <c r="AZ451" i="7"/>
  <c r="AX451" i="7"/>
  <c r="AW451" i="7"/>
  <c r="AU451" i="7"/>
  <c r="AT451" i="7"/>
  <c r="AG451" i="7"/>
  <c r="R451" i="7"/>
  <c r="Q451" i="7"/>
  <c r="P451" i="7"/>
  <c r="O451" i="7"/>
  <c r="AZ450" i="7"/>
  <c r="AX450" i="7"/>
  <c r="AW450" i="7"/>
  <c r="AU450" i="7"/>
  <c r="AT450" i="7"/>
  <c r="AG450" i="7"/>
  <c r="R450" i="7"/>
  <c r="P450" i="7"/>
  <c r="O450" i="7"/>
  <c r="Q450" i="7"/>
  <c r="AZ449" i="7"/>
  <c r="AX449" i="7"/>
  <c r="AW449" i="7"/>
  <c r="AU449" i="7"/>
  <c r="AT449" i="7"/>
  <c r="AG449" i="7"/>
  <c r="P449" i="7"/>
  <c r="O449" i="7"/>
  <c r="R449" i="7"/>
  <c r="AZ448" i="7"/>
  <c r="AX448" i="7"/>
  <c r="AW448" i="7"/>
  <c r="AU448" i="7"/>
  <c r="AT448" i="7"/>
  <c r="AG448" i="7"/>
  <c r="R448" i="7"/>
  <c r="P448" i="7"/>
  <c r="O448" i="7"/>
  <c r="Q448" i="7"/>
  <c r="AZ447" i="7"/>
  <c r="AX447" i="7"/>
  <c r="AW447" i="7"/>
  <c r="AU447" i="7"/>
  <c r="AT447" i="7"/>
  <c r="AG447" i="7"/>
  <c r="P447" i="7"/>
  <c r="O447" i="7"/>
  <c r="R447" i="7"/>
  <c r="AZ446" i="7"/>
  <c r="AX446" i="7"/>
  <c r="AW446" i="7"/>
  <c r="AU446" i="7"/>
  <c r="AT446" i="7"/>
  <c r="AG446" i="7"/>
  <c r="R446" i="7"/>
  <c r="P446" i="7"/>
  <c r="O446" i="7"/>
  <c r="Q446" i="7"/>
  <c r="AZ445" i="7"/>
  <c r="AX445" i="7"/>
  <c r="AW445" i="7"/>
  <c r="AU445" i="7"/>
  <c r="AT445" i="7"/>
  <c r="AG445" i="7"/>
  <c r="P445" i="7"/>
  <c r="O445" i="7"/>
  <c r="R445" i="7"/>
  <c r="AZ444" i="7"/>
  <c r="AX444" i="7"/>
  <c r="AW444" i="7"/>
  <c r="AU444" i="7"/>
  <c r="AT444" i="7"/>
  <c r="AG444" i="7"/>
  <c r="R444" i="7"/>
  <c r="P444" i="7"/>
  <c r="O444" i="7"/>
  <c r="Q444" i="7"/>
  <c r="AZ443" i="7"/>
  <c r="AX443" i="7"/>
  <c r="AW443" i="7"/>
  <c r="AU443" i="7"/>
  <c r="AT443" i="7"/>
  <c r="AG443" i="7"/>
  <c r="P443" i="7"/>
  <c r="O443" i="7"/>
  <c r="R443" i="7"/>
  <c r="AZ442" i="7"/>
  <c r="AX442" i="7"/>
  <c r="AW442" i="7"/>
  <c r="AU442" i="7"/>
  <c r="AT442" i="7"/>
  <c r="AG442" i="7"/>
  <c r="R442" i="7"/>
  <c r="P442" i="7"/>
  <c r="O442" i="7"/>
  <c r="Q442" i="7"/>
  <c r="AZ441" i="7"/>
  <c r="AX441" i="7"/>
  <c r="AW441" i="7"/>
  <c r="AU441" i="7"/>
  <c r="AT441" i="7"/>
  <c r="AG441" i="7"/>
  <c r="P441" i="7"/>
  <c r="O441" i="7"/>
  <c r="R441" i="7"/>
  <c r="AX440" i="7"/>
  <c r="AW440" i="7"/>
  <c r="AU440" i="7"/>
  <c r="AD440" i="7"/>
  <c r="AG440" i="7" s="1"/>
  <c r="P440" i="7"/>
  <c r="O440" i="7"/>
  <c r="R440" i="7"/>
  <c r="AZ439" i="7"/>
  <c r="AX439" i="7"/>
  <c r="AW439" i="7"/>
  <c r="AU439" i="7"/>
  <c r="AT439" i="7"/>
  <c r="AG439" i="7"/>
  <c r="R439" i="7"/>
  <c r="P439" i="7"/>
  <c r="O439" i="7"/>
  <c r="Q439" i="7"/>
  <c r="AZ438" i="7"/>
  <c r="AX438" i="7"/>
  <c r="AW438" i="7"/>
  <c r="AU438" i="7"/>
  <c r="AT438" i="7"/>
  <c r="AG438" i="7"/>
  <c r="P438" i="7"/>
  <c r="O438" i="7"/>
  <c r="R438" i="7"/>
  <c r="AZ437" i="7"/>
  <c r="AX437" i="7"/>
  <c r="AW437" i="7"/>
  <c r="AU437" i="7"/>
  <c r="AT437" i="7"/>
  <c r="AG437" i="7"/>
  <c r="R437" i="7"/>
  <c r="P437" i="7"/>
  <c r="O437" i="7"/>
  <c r="Q437" i="7"/>
  <c r="AZ436" i="7"/>
  <c r="AX436" i="7"/>
  <c r="AW436" i="7"/>
  <c r="AU436" i="7"/>
  <c r="AT436" i="7"/>
  <c r="AG436" i="7"/>
  <c r="P436" i="7"/>
  <c r="O436" i="7"/>
  <c r="R436" i="7"/>
  <c r="AZ435" i="7"/>
  <c r="AX435" i="7"/>
  <c r="AW435" i="7"/>
  <c r="AU435" i="7"/>
  <c r="AT435" i="7"/>
  <c r="AG435" i="7"/>
  <c r="R435" i="7"/>
  <c r="P435" i="7"/>
  <c r="O435" i="7"/>
  <c r="Q435" i="7"/>
  <c r="AZ434" i="7"/>
  <c r="AX434" i="7"/>
  <c r="AW434" i="7"/>
  <c r="AU434" i="7"/>
  <c r="AT434" i="7"/>
  <c r="AG434" i="7"/>
  <c r="P434" i="7"/>
  <c r="O434" i="7"/>
  <c r="R434" i="7"/>
  <c r="AZ433" i="7"/>
  <c r="AX433" i="7"/>
  <c r="AW433" i="7"/>
  <c r="AU433" i="7"/>
  <c r="AT433" i="7"/>
  <c r="AG433" i="7"/>
  <c r="R433" i="7"/>
  <c r="P433" i="7"/>
  <c r="O433" i="7"/>
  <c r="Q433" i="7"/>
  <c r="AZ432" i="7"/>
  <c r="AX432" i="7"/>
  <c r="AW432" i="7"/>
  <c r="AU432" i="7"/>
  <c r="AT432" i="7"/>
  <c r="AG432" i="7"/>
  <c r="P432" i="7"/>
  <c r="O432" i="7"/>
  <c r="R432" i="7"/>
  <c r="AZ419" i="7"/>
  <c r="AX419" i="7"/>
  <c r="AW419" i="7"/>
  <c r="AU419" i="7"/>
  <c r="AT419" i="7"/>
  <c r="AG419" i="7"/>
  <c r="R419" i="7"/>
  <c r="P419" i="7"/>
  <c r="O419" i="7"/>
  <c r="Q419" i="7"/>
  <c r="AZ418" i="7"/>
  <c r="AX418" i="7"/>
  <c r="AW418" i="7"/>
  <c r="AU418" i="7"/>
  <c r="AT418" i="7"/>
  <c r="AG418" i="7"/>
  <c r="P418" i="7"/>
  <c r="O418" i="7"/>
  <c r="R418" i="7"/>
  <c r="AZ417" i="7"/>
  <c r="AX417" i="7"/>
  <c r="AW417" i="7"/>
  <c r="AU417" i="7"/>
  <c r="AT417" i="7"/>
  <c r="AG417" i="7"/>
  <c r="R417" i="7"/>
  <c r="P417" i="7"/>
  <c r="O417" i="7"/>
  <c r="Q417" i="7"/>
  <c r="AZ416" i="7"/>
  <c r="AX416" i="7"/>
  <c r="AW416" i="7"/>
  <c r="AU416" i="7"/>
  <c r="AT416" i="7"/>
  <c r="AG416" i="7"/>
  <c r="P416" i="7"/>
  <c r="O416" i="7"/>
  <c r="R416" i="7"/>
  <c r="AZ415" i="7"/>
  <c r="AX415" i="7"/>
  <c r="AW415" i="7"/>
  <c r="AU415" i="7"/>
  <c r="AT415" i="7"/>
  <c r="AG415" i="7"/>
  <c r="R415" i="7"/>
  <c r="P415" i="7"/>
  <c r="O415" i="7"/>
  <c r="Q415" i="7"/>
  <c r="AZ431" i="7"/>
  <c r="AX431" i="7"/>
  <c r="AW431" i="7"/>
  <c r="AU431" i="7"/>
  <c r="AT431" i="7"/>
  <c r="AG431" i="7"/>
  <c r="P431" i="7"/>
  <c r="O431" i="7"/>
  <c r="R431" i="7"/>
  <c r="AZ430" i="7"/>
  <c r="AX430" i="7"/>
  <c r="AW430" i="7"/>
  <c r="AU430" i="7"/>
  <c r="AT430" i="7"/>
  <c r="AG430" i="7"/>
  <c r="R430" i="7"/>
  <c r="P430" i="7"/>
  <c r="O430" i="7"/>
  <c r="Q430" i="7"/>
  <c r="AZ429" i="7"/>
  <c r="AX429" i="7"/>
  <c r="AW429" i="7"/>
  <c r="AU429" i="7"/>
  <c r="AT429" i="7"/>
  <c r="AG429" i="7"/>
  <c r="P429" i="7"/>
  <c r="O429" i="7"/>
  <c r="R429" i="7"/>
  <c r="AZ428" i="7"/>
  <c r="AX428" i="7"/>
  <c r="AW428" i="7"/>
  <c r="AU428" i="7"/>
  <c r="AT428" i="7"/>
  <c r="AG428" i="7"/>
  <c r="R428" i="7"/>
  <c r="P428" i="7"/>
  <c r="O428" i="7"/>
  <c r="Q428" i="7"/>
  <c r="AZ427" i="7"/>
  <c r="AX427" i="7"/>
  <c r="AW427" i="7"/>
  <c r="AU427" i="7"/>
  <c r="AT427" i="7"/>
  <c r="AG427" i="7"/>
  <c r="P427" i="7"/>
  <c r="O427" i="7"/>
  <c r="R427" i="7"/>
  <c r="AZ426" i="7"/>
  <c r="AX426" i="7"/>
  <c r="AW426" i="7"/>
  <c r="AU426" i="7"/>
  <c r="AT426" i="7"/>
  <c r="AG426" i="7"/>
  <c r="R426" i="7"/>
  <c r="P426" i="7"/>
  <c r="O426" i="7"/>
  <c r="Q426" i="7"/>
  <c r="AZ425" i="7"/>
  <c r="AX425" i="7"/>
  <c r="AW425" i="7"/>
  <c r="AU425" i="7"/>
  <c r="AT425" i="7"/>
  <c r="AG425" i="7"/>
  <c r="P425" i="7"/>
  <c r="O425" i="7"/>
  <c r="R425" i="7"/>
  <c r="AZ424" i="7"/>
  <c r="AX424" i="7"/>
  <c r="AW424" i="7"/>
  <c r="AU424" i="7"/>
  <c r="AT424" i="7"/>
  <c r="AG424" i="7"/>
  <c r="R424" i="7"/>
  <c r="P424" i="7"/>
  <c r="O424" i="7"/>
  <c r="Q424" i="7"/>
  <c r="AZ423" i="7"/>
  <c r="AX423" i="7"/>
  <c r="AW423" i="7"/>
  <c r="AU423" i="7"/>
  <c r="AT423" i="7"/>
  <c r="AG423" i="7"/>
  <c r="P423" i="7"/>
  <c r="O423" i="7"/>
  <c r="R423" i="7"/>
  <c r="AZ422" i="7"/>
  <c r="AX422" i="7"/>
  <c r="AW422" i="7"/>
  <c r="AU422" i="7"/>
  <c r="AT422" i="7"/>
  <c r="AG422" i="7"/>
  <c r="R422" i="7"/>
  <c r="P422" i="7"/>
  <c r="O422" i="7"/>
  <c r="Q422" i="7"/>
  <c r="AZ421" i="7"/>
  <c r="AX421" i="7"/>
  <c r="AW421" i="7"/>
  <c r="AU421" i="7"/>
  <c r="AT421" i="7"/>
  <c r="AG421" i="7"/>
  <c r="P421" i="7"/>
  <c r="O421" i="7"/>
  <c r="R421" i="7"/>
  <c r="AZ420" i="7"/>
  <c r="AX420" i="7"/>
  <c r="AW420" i="7"/>
  <c r="AU420" i="7"/>
  <c r="AT420" i="7"/>
  <c r="AG420" i="7"/>
  <c r="R420" i="7"/>
  <c r="P420" i="7"/>
  <c r="O420" i="7"/>
  <c r="Q420" i="7"/>
  <c r="AZ414" i="7"/>
  <c r="AX414" i="7"/>
  <c r="AW414" i="7"/>
  <c r="AU414" i="7"/>
  <c r="AT414" i="7"/>
  <c r="AG414" i="7"/>
  <c r="P414" i="7"/>
  <c r="O414" i="7"/>
  <c r="R414" i="7"/>
  <c r="AZ413" i="7"/>
  <c r="AX413" i="7"/>
  <c r="AW413" i="7"/>
  <c r="AU413" i="7"/>
  <c r="AT413" i="7"/>
  <c r="AG413" i="7"/>
  <c r="R413" i="7"/>
  <c r="P413" i="7"/>
  <c r="O413" i="7"/>
  <c r="Q413" i="7"/>
  <c r="AZ412" i="7"/>
  <c r="AX412" i="7"/>
  <c r="AW412" i="7"/>
  <c r="AU412" i="7"/>
  <c r="AT412" i="7"/>
  <c r="AG412" i="7"/>
  <c r="P412" i="7"/>
  <c r="O412" i="7"/>
  <c r="R412" i="7"/>
  <c r="AZ411" i="7"/>
  <c r="AX411" i="7"/>
  <c r="AW411" i="7"/>
  <c r="AU411" i="7"/>
  <c r="AT411" i="7"/>
  <c r="AG411" i="7"/>
  <c r="R411" i="7"/>
  <c r="P411" i="7"/>
  <c r="O411" i="7"/>
  <c r="Q411" i="7"/>
  <c r="AZ410" i="7"/>
  <c r="AX410" i="7"/>
  <c r="AW410" i="7"/>
  <c r="AU410" i="7"/>
  <c r="AT410" i="7"/>
  <c r="AG410" i="7"/>
  <c r="P410" i="7"/>
  <c r="O410" i="7"/>
  <c r="R410" i="7"/>
  <c r="AZ409" i="7"/>
  <c r="AX409" i="7"/>
  <c r="AW409" i="7"/>
  <c r="AU409" i="7"/>
  <c r="AT409" i="7"/>
  <c r="AG409" i="7"/>
  <c r="R409" i="7"/>
  <c r="P409" i="7"/>
  <c r="O409" i="7"/>
  <c r="Q409" i="7"/>
  <c r="AZ408" i="7"/>
  <c r="AX408" i="7"/>
  <c r="AW408" i="7"/>
  <c r="AU408" i="7"/>
  <c r="AT408" i="7"/>
  <c r="AG408" i="7"/>
  <c r="P408" i="7"/>
  <c r="O408" i="7"/>
  <c r="R408" i="7"/>
  <c r="AZ407" i="7"/>
  <c r="AX407" i="7"/>
  <c r="AW407" i="7"/>
  <c r="AU407" i="7"/>
  <c r="AT407" i="7"/>
  <c r="AG407" i="7"/>
  <c r="R407" i="7"/>
  <c r="P407" i="7"/>
  <c r="O407" i="7"/>
  <c r="Q407" i="7"/>
  <c r="AZ406" i="7"/>
  <c r="AX406" i="7"/>
  <c r="AW406" i="7"/>
  <c r="AU406" i="7"/>
  <c r="AT406" i="7"/>
  <c r="AG406" i="7"/>
  <c r="P406" i="7"/>
  <c r="O406" i="7"/>
  <c r="R406" i="7"/>
  <c r="AZ405" i="7"/>
  <c r="AX405" i="7"/>
  <c r="AW405" i="7"/>
  <c r="AU405" i="7"/>
  <c r="AT405" i="7"/>
  <c r="AG405" i="7"/>
  <c r="R405" i="7"/>
  <c r="P405" i="7"/>
  <c r="O405" i="7"/>
  <c r="Q405" i="7"/>
  <c r="AZ404" i="7"/>
  <c r="AX404" i="7"/>
  <c r="AW404" i="7"/>
  <c r="AU404" i="7"/>
  <c r="AT404" i="7"/>
  <c r="AG404" i="7"/>
  <c r="P404" i="7"/>
  <c r="O404" i="7"/>
  <c r="R404" i="7"/>
  <c r="AZ403" i="7"/>
  <c r="AX403" i="7"/>
  <c r="AW403" i="7"/>
  <c r="AU403" i="7"/>
  <c r="AT403" i="7"/>
  <c r="AG403" i="7"/>
  <c r="R403" i="7"/>
  <c r="P403" i="7"/>
  <c r="O403" i="7"/>
  <c r="Q403" i="7"/>
  <c r="AZ402" i="7"/>
  <c r="AX402" i="7"/>
  <c r="AW402" i="7"/>
  <c r="AU402" i="7"/>
  <c r="AT402" i="7"/>
  <c r="AG402" i="7"/>
  <c r="P402" i="7"/>
  <c r="O402" i="7"/>
  <c r="R402" i="7"/>
  <c r="AZ401" i="7"/>
  <c r="AX401" i="7"/>
  <c r="AW401" i="7"/>
  <c r="AU401" i="7"/>
  <c r="AT401" i="7"/>
  <c r="AG401" i="7"/>
  <c r="R401" i="7"/>
  <c r="P401" i="7"/>
  <c r="O401" i="7"/>
  <c r="Q401" i="7"/>
  <c r="AZ400" i="7"/>
  <c r="AX400" i="7"/>
  <c r="AW400" i="7"/>
  <c r="AU400" i="7"/>
  <c r="AT400" i="7"/>
  <c r="AG400" i="7"/>
  <c r="P400" i="7"/>
  <c r="O400" i="7"/>
  <c r="R400" i="7"/>
  <c r="AZ399" i="7"/>
  <c r="AX399" i="7"/>
  <c r="AW399" i="7"/>
  <c r="AU399" i="7"/>
  <c r="AT399" i="7"/>
  <c r="AG399" i="7"/>
  <c r="R399" i="7"/>
  <c r="P399" i="7"/>
  <c r="O399" i="7"/>
  <c r="Q399" i="7"/>
  <c r="AZ398" i="7"/>
  <c r="AX398" i="7"/>
  <c r="AW398" i="7"/>
  <c r="AU398" i="7"/>
  <c r="AT398" i="7"/>
  <c r="AG398" i="7"/>
  <c r="P398" i="7"/>
  <c r="O398" i="7"/>
  <c r="R398" i="7"/>
  <c r="AZ397" i="7"/>
  <c r="AX397" i="7"/>
  <c r="AW397" i="7"/>
  <c r="AU397" i="7"/>
  <c r="AT397" i="7"/>
  <c r="AG397" i="7"/>
  <c r="R397" i="7"/>
  <c r="P397" i="7"/>
  <c r="O397" i="7"/>
  <c r="Q397" i="7"/>
  <c r="AZ396" i="7"/>
  <c r="AX396" i="7"/>
  <c r="AW396" i="7"/>
  <c r="AU396" i="7"/>
  <c r="AT396" i="7"/>
  <c r="AG396" i="7"/>
  <c r="P396" i="7"/>
  <c r="O396" i="7"/>
  <c r="R396" i="7"/>
  <c r="AZ395" i="7"/>
  <c r="AX395" i="7"/>
  <c r="AW395" i="7"/>
  <c r="AU395" i="7"/>
  <c r="AT395" i="7"/>
  <c r="AG395" i="7"/>
  <c r="R395" i="7"/>
  <c r="P395" i="7"/>
  <c r="O395" i="7"/>
  <c r="Q395" i="7"/>
  <c r="AZ394" i="7"/>
  <c r="AX394" i="7"/>
  <c r="AW394" i="7"/>
  <c r="AU394" i="7"/>
  <c r="AT394" i="7"/>
  <c r="AG394" i="7"/>
  <c r="P394" i="7"/>
  <c r="O394" i="7"/>
  <c r="R394" i="7"/>
  <c r="AZ393" i="7"/>
  <c r="AX393" i="7"/>
  <c r="AW393" i="7"/>
  <c r="AU393" i="7"/>
  <c r="AT393" i="7"/>
  <c r="AG393" i="7"/>
  <c r="R393" i="7"/>
  <c r="P393" i="7"/>
  <c r="O393" i="7"/>
  <c r="Q393" i="7"/>
  <c r="AZ392" i="7"/>
  <c r="AX392" i="7"/>
  <c r="AW392" i="7"/>
  <c r="AU392" i="7"/>
  <c r="AT392" i="7"/>
  <c r="AG392" i="7"/>
  <c r="P392" i="7"/>
  <c r="O392" i="7"/>
  <c r="R392" i="7"/>
  <c r="AZ391" i="7"/>
  <c r="AX391" i="7"/>
  <c r="AW391" i="7"/>
  <c r="AU391" i="7"/>
  <c r="AT391" i="7"/>
  <c r="AG391" i="7"/>
  <c r="R391" i="7"/>
  <c r="P391" i="7"/>
  <c r="O391" i="7"/>
  <c r="Q391" i="7"/>
  <c r="AZ390" i="7"/>
  <c r="AX390" i="7"/>
  <c r="AW390" i="7"/>
  <c r="AU390" i="7"/>
  <c r="AT390" i="7"/>
  <c r="AG390" i="7"/>
  <c r="P390" i="7"/>
  <c r="O390" i="7"/>
  <c r="R390" i="7"/>
  <c r="AZ389" i="7"/>
  <c r="AX389" i="7"/>
  <c r="AW389" i="7"/>
  <c r="AU389" i="7"/>
  <c r="AT389" i="7"/>
  <c r="AG389" i="7"/>
  <c r="R389" i="7"/>
  <c r="P389" i="7"/>
  <c r="O389" i="7"/>
  <c r="Q389" i="7"/>
  <c r="AZ388" i="7"/>
  <c r="AX388" i="7"/>
  <c r="AW388" i="7"/>
  <c r="AU388" i="7"/>
  <c r="AT388" i="7"/>
  <c r="AG388" i="7"/>
  <c r="R388" i="7"/>
  <c r="Q388" i="7"/>
  <c r="P388" i="7"/>
  <c r="O388" i="7"/>
  <c r="AZ387" i="7"/>
  <c r="AX387" i="7"/>
  <c r="AW387" i="7"/>
  <c r="AU387" i="7"/>
  <c r="AT387" i="7"/>
  <c r="AG387" i="7"/>
  <c r="R387" i="7"/>
  <c r="P387" i="7"/>
  <c r="O387" i="7"/>
  <c r="Q387" i="7"/>
  <c r="AZ386" i="7"/>
  <c r="AX386" i="7"/>
  <c r="AW386" i="7"/>
  <c r="AU386" i="7"/>
  <c r="AT386" i="7"/>
  <c r="AG386" i="7"/>
  <c r="P386" i="7"/>
  <c r="O386" i="7"/>
  <c r="R386" i="7"/>
  <c r="AZ385" i="7"/>
  <c r="AX385" i="7"/>
  <c r="AW385" i="7"/>
  <c r="AU385" i="7"/>
  <c r="AT385" i="7"/>
  <c r="AG385" i="7"/>
  <c r="R385" i="7"/>
  <c r="P385" i="7"/>
  <c r="O385" i="7"/>
  <c r="Q385" i="7"/>
  <c r="AZ384" i="7"/>
  <c r="AX384" i="7"/>
  <c r="AW384" i="7"/>
  <c r="AU384" i="7"/>
  <c r="AT384" i="7"/>
  <c r="AG384" i="7"/>
  <c r="P384" i="7"/>
  <c r="O384" i="7"/>
  <c r="R384" i="7"/>
  <c r="AZ383" i="7"/>
  <c r="AX383" i="7"/>
  <c r="AW383" i="7"/>
  <c r="AU383" i="7"/>
  <c r="AT383" i="7"/>
  <c r="AG383" i="7"/>
  <c r="R383" i="7"/>
  <c r="P383" i="7"/>
  <c r="O383" i="7"/>
  <c r="Q383" i="7"/>
  <c r="AZ382" i="7"/>
  <c r="AX382" i="7"/>
  <c r="AW382" i="7"/>
  <c r="AU382" i="7"/>
  <c r="AT382" i="7"/>
  <c r="AG382" i="7"/>
  <c r="P382" i="7"/>
  <c r="O382" i="7"/>
  <c r="R382" i="7"/>
  <c r="AZ381" i="7"/>
  <c r="AX381" i="7"/>
  <c r="AW381" i="7"/>
  <c r="AU381" i="7"/>
  <c r="AT381" i="7"/>
  <c r="AG381" i="7"/>
  <c r="R381" i="7"/>
  <c r="P381" i="7"/>
  <c r="O381" i="7"/>
  <c r="Q381" i="7"/>
  <c r="AZ380" i="7"/>
  <c r="AX380" i="7"/>
  <c r="AW380" i="7"/>
  <c r="AU380" i="7"/>
  <c r="AT380" i="7"/>
  <c r="AG380" i="7"/>
  <c r="P380" i="7"/>
  <c r="O380" i="7"/>
  <c r="R380" i="7"/>
  <c r="AZ379" i="7"/>
  <c r="AX379" i="7"/>
  <c r="AW379" i="7"/>
  <c r="AU379" i="7"/>
  <c r="AT379" i="7"/>
  <c r="AG379" i="7"/>
  <c r="R379" i="7"/>
  <c r="P379" i="7"/>
  <c r="O379" i="7"/>
  <c r="Q379" i="7"/>
  <c r="AZ378" i="7"/>
  <c r="AX378" i="7"/>
  <c r="AW378" i="7"/>
  <c r="AU378" i="7"/>
  <c r="AT378" i="7"/>
  <c r="AG378" i="7"/>
  <c r="P378" i="7"/>
  <c r="O378" i="7"/>
  <c r="R378" i="7"/>
  <c r="AZ377" i="7"/>
  <c r="AX377" i="7"/>
  <c r="AW377" i="7"/>
  <c r="AU377" i="7"/>
  <c r="AT377" i="7"/>
  <c r="AG377" i="7"/>
  <c r="R377" i="7"/>
  <c r="P377" i="7"/>
  <c r="O377" i="7"/>
  <c r="Q377" i="7"/>
  <c r="AZ376" i="7"/>
  <c r="AX376" i="7"/>
  <c r="AW376" i="7"/>
  <c r="AU376" i="7"/>
  <c r="AT376" i="7"/>
  <c r="AG376" i="7"/>
  <c r="P376" i="7"/>
  <c r="O376" i="7"/>
  <c r="R376" i="7"/>
  <c r="AZ375" i="7"/>
  <c r="AX375" i="7"/>
  <c r="AW375" i="7"/>
  <c r="AU375" i="7"/>
  <c r="AT375" i="7"/>
  <c r="AG375" i="7"/>
  <c r="R375" i="7"/>
  <c r="P375" i="7"/>
  <c r="O375" i="7"/>
  <c r="Q375" i="7"/>
  <c r="AZ374" i="7"/>
  <c r="AX374" i="7"/>
  <c r="AW374" i="7"/>
  <c r="AU374" i="7"/>
  <c r="AT374" i="7"/>
  <c r="AG374" i="7"/>
  <c r="P374" i="7"/>
  <c r="O374" i="7"/>
  <c r="R374" i="7"/>
  <c r="AZ373" i="7"/>
  <c r="AX373" i="7"/>
  <c r="AW373" i="7"/>
  <c r="AU373" i="7"/>
  <c r="AT373" i="7"/>
  <c r="AG373" i="7"/>
  <c r="R373" i="7"/>
  <c r="P373" i="7"/>
  <c r="O373" i="7"/>
  <c r="Q373" i="7"/>
  <c r="AZ372" i="7"/>
  <c r="AX372" i="7"/>
  <c r="AW372" i="7"/>
  <c r="AU372" i="7"/>
  <c r="AT372" i="7"/>
  <c r="AG372" i="7"/>
  <c r="P372" i="7"/>
  <c r="O372" i="7"/>
  <c r="R372" i="7"/>
  <c r="AZ371" i="7"/>
  <c r="AX371" i="7"/>
  <c r="AW371" i="7"/>
  <c r="AU371" i="7"/>
  <c r="AT371" i="7"/>
  <c r="AG371" i="7"/>
  <c r="R371" i="7"/>
  <c r="P371" i="7"/>
  <c r="O371" i="7"/>
  <c r="Q371" i="7"/>
  <c r="AZ370" i="7"/>
  <c r="AX370" i="7"/>
  <c r="AW370" i="7"/>
  <c r="AU370" i="7"/>
  <c r="AT370" i="7"/>
  <c r="AG370" i="7"/>
  <c r="P370" i="7"/>
  <c r="O370" i="7"/>
  <c r="R370" i="7"/>
  <c r="AZ369" i="7"/>
  <c r="AX369" i="7"/>
  <c r="AW369" i="7"/>
  <c r="AU369" i="7"/>
  <c r="AT369" i="7"/>
  <c r="AG369" i="7"/>
  <c r="R369" i="7"/>
  <c r="P369" i="7"/>
  <c r="O369" i="7"/>
  <c r="Q369" i="7"/>
  <c r="AZ368" i="7"/>
  <c r="AX368" i="7"/>
  <c r="AW368" i="7"/>
  <c r="AU368" i="7"/>
  <c r="AT368" i="7"/>
  <c r="AG368" i="7"/>
  <c r="P368" i="7"/>
  <c r="O368" i="7"/>
  <c r="R368" i="7"/>
  <c r="AZ367" i="7"/>
  <c r="AX367" i="7"/>
  <c r="AW367" i="7"/>
  <c r="AU367" i="7"/>
  <c r="AT367" i="7"/>
  <c r="AG367" i="7"/>
  <c r="R367" i="7"/>
  <c r="P367" i="7"/>
  <c r="O367" i="7"/>
  <c r="Q367" i="7"/>
  <c r="AZ366" i="7"/>
  <c r="AX366" i="7"/>
  <c r="AW366" i="7"/>
  <c r="AU366" i="7"/>
  <c r="AT366" i="7"/>
  <c r="AG366" i="7"/>
  <c r="P366" i="7"/>
  <c r="O366" i="7"/>
  <c r="R366" i="7"/>
  <c r="AZ365" i="7"/>
  <c r="AX365" i="7"/>
  <c r="AW365" i="7"/>
  <c r="AU365" i="7"/>
  <c r="AT365" i="7"/>
  <c r="AG365" i="7"/>
  <c r="R365" i="7"/>
  <c r="P365" i="7"/>
  <c r="O365" i="7"/>
  <c r="Q365" i="7"/>
  <c r="AZ364" i="7"/>
  <c r="AX364" i="7"/>
  <c r="AW364" i="7"/>
  <c r="AU364" i="7"/>
  <c r="AT364" i="7"/>
  <c r="AG364" i="7"/>
  <c r="P364" i="7"/>
  <c r="O364" i="7"/>
  <c r="R364" i="7"/>
  <c r="AZ363" i="7"/>
  <c r="AX363" i="7"/>
  <c r="AW363" i="7"/>
  <c r="AU363" i="7"/>
  <c r="AT363" i="7"/>
  <c r="AG363" i="7"/>
  <c r="R363" i="7"/>
  <c r="Q363" i="7"/>
  <c r="P363" i="7"/>
  <c r="O363" i="7"/>
  <c r="AZ362" i="7"/>
  <c r="AX362" i="7"/>
  <c r="AW362" i="7"/>
  <c r="AU362" i="7"/>
  <c r="AT362" i="7"/>
  <c r="AG362" i="7"/>
  <c r="R362" i="7"/>
  <c r="P362" i="7"/>
  <c r="O362" i="7"/>
  <c r="Q362" i="7"/>
  <c r="AZ361" i="7"/>
  <c r="AX361" i="7"/>
  <c r="AW361" i="7"/>
  <c r="AU361" i="7"/>
  <c r="AT361" i="7"/>
  <c r="AG361" i="7"/>
  <c r="P361" i="7"/>
  <c r="O361" i="7"/>
  <c r="R361" i="7"/>
  <c r="AZ360" i="7"/>
  <c r="AX360" i="7"/>
  <c r="AW360" i="7"/>
  <c r="AU360" i="7"/>
  <c r="AT360" i="7"/>
  <c r="AG360" i="7"/>
  <c r="R360" i="7"/>
  <c r="Q360" i="7"/>
  <c r="P360" i="7"/>
  <c r="O360" i="7"/>
  <c r="AZ359" i="7"/>
  <c r="AX359" i="7"/>
  <c r="AW359" i="7"/>
  <c r="AU359" i="7"/>
  <c r="AT359" i="7"/>
  <c r="AG359" i="7"/>
  <c r="P359" i="7"/>
  <c r="O359" i="7"/>
  <c r="R359" i="7"/>
  <c r="AZ358" i="7"/>
  <c r="AX358" i="7"/>
  <c r="AW358" i="7"/>
  <c r="AU358" i="7"/>
  <c r="AT358" i="7"/>
  <c r="AG358" i="7"/>
  <c r="R358" i="7"/>
  <c r="P358" i="7"/>
  <c r="O358" i="7"/>
  <c r="Q358" i="7"/>
  <c r="AZ357" i="7"/>
  <c r="AX357" i="7"/>
  <c r="AW357" i="7"/>
  <c r="AU357" i="7"/>
  <c r="AT357" i="7"/>
  <c r="AG357" i="7"/>
  <c r="P357" i="7"/>
  <c r="O357" i="7"/>
  <c r="R357" i="7"/>
  <c r="AZ356" i="7"/>
  <c r="AX356" i="7"/>
  <c r="AW356" i="7"/>
  <c r="AU356" i="7"/>
  <c r="AT356" i="7"/>
  <c r="AG356" i="7"/>
  <c r="R356" i="7"/>
  <c r="P356" i="7"/>
  <c r="O356" i="7"/>
  <c r="Q356" i="7"/>
  <c r="AZ355" i="7"/>
  <c r="AX355" i="7"/>
  <c r="AW355" i="7"/>
  <c r="AU355" i="7"/>
  <c r="AT355" i="7"/>
  <c r="AG355" i="7"/>
  <c r="P355" i="7"/>
  <c r="O355" i="7"/>
  <c r="R355" i="7"/>
  <c r="AZ354" i="7"/>
  <c r="AX354" i="7"/>
  <c r="AW354" i="7"/>
  <c r="AU354" i="7"/>
  <c r="AT354" i="7"/>
  <c r="AG354" i="7"/>
  <c r="R354" i="7"/>
  <c r="P354" i="7"/>
  <c r="O354" i="7"/>
  <c r="Q354" i="7"/>
  <c r="AZ353" i="7"/>
  <c r="AX353" i="7"/>
  <c r="AW353" i="7"/>
  <c r="AU353" i="7"/>
  <c r="AT353" i="7"/>
  <c r="AG353" i="7"/>
  <c r="P353" i="7"/>
  <c r="O353" i="7"/>
  <c r="R353" i="7"/>
  <c r="AZ352" i="7"/>
  <c r="AX352" i="7"/>
  <c r="AW352" i="7"/>
  <c r="AU352" i="7"/>
  <c r="AT352" i="7"/>
  <c r="AG352" i="7"/>
  <c r="R352" i="7"/>
  <c r="P352" i="7"/>
  <c r="O352" i="7"/>
  <c r="Q352" i="7"/>
  <c r="AZ351" i="7"/>
  <c r="AX351" i="7"/>
  <c r="AW351" i="7"/>
  <c r="AU351" i="7"/>
  <c r="AT351" i="7"/>
  <c r="AG351" i="7"/>
  <c r="P351" i="7"/>
  <c r="O351" i="7"/>
  <c r="R351" i="7"/>
  <c r="AZ350" i="7"/>
  <c r="AX350" i="7"/>
  <c r="AW350" i="7"/>
  <c r="AU350" i="7"/>
  <c r="AT350" i="7"/>
  <c r="AG350" i="7"/>
  <c r="R350" i="7"/>
  <c r="P350" i="7"/>
  <c r="O350" i="7"/>
  <c r="Q350" i="7"/>
  <c r="AZ349" i="7"/>
  <c r="AX349" i="7"/>
  <c r="AW349" i="7"/>
  <c r="AU349" i="7"/>
  <c r="AT349" i="7"/>
  <c r="AG349" i="7"/>
  <c r="P349" i="7"/>
  <c r="O349" i="7"/>
  <c r="R349" i="7"/>
  <c r="AZ348" i="7"/>
  <c r="AX348" i="7"/>
  <c r="AW348" i="7"/>
  <c r="AU348" i="7"/>
  <c r="AT348" i="7"/>
  <c r="AG348" i="7"/>
  <c r="R348" i="7"/>
  <c r="P348" i="7"/>
  <c r="O348" i="7"/>
  <c r="Q348" i="7"/>
  <c r="AZ347" i="7"/>
  <c r="AX347" i="7"/>
  <c r="AW347" i="7"/>
  <c r="AU347" i="7"/>
  <c r="AT347" i="7"/>
  <c r="AG347" i="7"/>
  <c r="P347" i="7"/>
  <c r="O347" i="7"/>
  <c r="R347" i="7"/>
  <c r="AZ346" i="7"/>
  <c r="AX346" i="7"/>
  <c r="AW346" i="7"/>
  <c r="AU346" i="7"/>
  <c r="AT346" i="7"/>
  <c r="AG346" i="7"/>
  <c r="R346" i="7"/>
  <c r="P346" i="7"/>
  <c r="O346" i="7"/>
  <c r="Q346" i="7"/>
  <c r="AZ345" i="7"/>
  <c r="AX345" i="7"/>
  <c r="AW345" i="7"/>
  <c r="AU345" i="7"/>
  <c r="AT345" i="7"/>
  <c r="AG345" i="7"/>
  <c r="P345" i="7"/>
  <c r="O345" i="7"/>
  <c r="R345" i="7"/>
  <c r="AZ344" i="7"/>
  <c r="AX344" i="7"/>
  <c r="AW344" i="7"/>
  <c r="AU344" i="7"/>
  <c r="AT344" i="7"/>
  <c r="AG344" i="7"/>
  <c r="R344" i="7"/>
  <c r="P344" i="7"/>
  <c r="O344" i="7"/>
  <c r="Q344" i="7"/>
  <c r="AZ343" i="7"/>
  <c r="AX343" i="7"/>
  <c r="AW343" i="7"/>
  <c r="AU343" i="7"/>
  <c r="AT343" i="7"/>
  <c r="AG343" i="7"/>
  <c r="P343" i="7"/>
  <c r="O343" i="7"/>
  <c r="R343" i="7"/>
  <c r="AZ342" i="7"/>
  <c r="AX342" i="7"/>
  <c r="AW342" i="7"/>
  <c r="AU342" i="7"/>
  <c r="AT342" i="7"/>
  <c r="AG342" i="7"/>
  <c r="R342" i="7"/>
  <c r="P342" i="7"/>
  <c r="O342" i="7"/>
  <c r="Q342" i="7"/>
  <c r="AZ341" i="7"/>
  <c r="AX341" i="7"/>
  <c r="AW341" i="7"/>
  <c r="AU341" i="7"/>
  <c r="AT341" i="7"/>
  <c r="AG341" i="7"/>
  <c r="P341" i="7"/>
  <c r="O341" i="7"/>
  <c r="R341" i="7"/>
  <c r="AZ340" i="7"/>
  <c r="AX340" i="7"/>
  <c r="AW340" i="7"/>
  <c r="AU340" i="7"/>
  <c r="AT340" i="7"/>
  <c r="AG340" i="7"/>
  <c r="R340" i="7"/>
  <c r="P340" i="7"/>
  <c r="O340" i="7"/>
  <c r="Q340" i="7"/>
  <c r="AZ339" i="7"/>
  <c r="AX339" i="7"/>
  <c r="AW339" i="7"/>
  <c r="AU339" i="7"/>
  <c r="AT339" i="7"/>
  <c r="AG339" i="7"/>
  <c r="P339" i="7"/>
  <c r="O339" i="7"/>
  <c r="R339" i="7"/>
  <c r="AZ338" i="7"/>
  <c r="AX338" i="7"/>
  <c r="AW338" i="7"/>
  <c r="AU338" i="7"/>
  <c r="AT338" i="7"/>
  <c r="AG338" i="7"/>
  <c r="R338" i="7"/>
  <c r="P338" i="7"/>
  <c r="O338" i="7"/>
  <c r="Q338" i="7"/>
  <c r="AZ337" i="7"/>
  <c r="AX337" i="7"/>
  <c r="AW337" i="7"/>
  <c r="AU337" i="7"/>
  <c r="AT337" i="7"/>
  <c r="AG337" i="7"/>
  <c r="P337" i="7"/>
  <c r="O337" i="7"/>
  <c r="R337" i="7"/>
  <c r="AZ336" i="7"/>
  <c r="AX336" i="7"/>
  <c r="AW336" i="7"/>
  <c r="AU336" i="7"/>
  <c r="AT336" i="7"/>
  <c r="AG336" i="7"/>
  <c r="R336" i="7"/>
  <c r="P336" i="7"/>
  <c r="O336" i="7"/>
  <c r="Q336" i="7"/>
  <c r="AZ335" i="7"/>
  <c r="AX335" i="7"/>
  <c r="AW335" i="7"/>
  <c r="AU335" i="7"/>
  <c r="AT335" i="7"/>
  <c r="AG335" i="7"/>
  <c r="P335" i="7"/>
  <c r="O335" i="7"/>
  <c r="R335" i="7"/>
  <c r="AZ334" i="7"/>
  <c r="AX334" i="7"/>
  <c r="AW334" i="7"/>
  <c r="AU334" i="7"/>
  <c r="AT334" i="7"/>
  <c r="AG334" i="7"/>
  <c r="R334" i="7"/>
  <c r="P334" i="7"/>
  <c r="O334" i="7"/>
  <c r="Q334" i="7"/>
  <c r="AZ333" i="7"/>
  <c r="AX333" i="7"/>
  <c r="AW333" i="7"/>
  <c r="AU333" i="7"/>
  <c r="AT333" i="7"/>
  <c r="AG333" i="7"/>
  <c r="P333" i="7"/>
  <c r="O333" i="7"/>
  <c r="R333" i="7"/>
  <c r="AZ332" i="7"/>
  <c r="AX332" i="7"/>
  <c r="AW332" i="7"/>
  <c r="AU332" i="7"/>
  <c r="AT332" i="7"/>
  <c r="AG332" i="7"/>
  <c r="R332" i="7"/>
  <c r="P332" i="7"/>
  <c r="O332" i="7"/>
  <c r="Q332" i="7"/>
  <c r="AZ331" i="7"/>
  <c r="AX331" i="7"/>
  <c r="AW331" i="7"/>
  <c r="AU331" i="7"/>
  <c r="AT331" i="7"/>
  <c r="AG331" i="7"/>
  <c r="P331" i="7"/>
  <c r="O331" i="7"/>
  <c r="R331" i="7"/>
  <c r="AZ330" i="7"/>
  <c r="AX330" i="7"/>
  <c r="AW330" i="7"/>
  <c r="AU330" i="7"/>
  <c r="AT330" i="7"/>
  <c r="AG330" i="7"/>
  <c r="R330" i="7"/>
  <c r="P330" i="7"/>
  <c r="O330" i="7"/>
  <c r="Q330" i="7"/>
  <c r="AZ329" i="7"/>
  <c r="AX329" i="7"/>
  <c r="AW329" i="7"/>
  <c r="AU329" i="7"/>
  <c r="AT329" i="7"/>
  <c r="AG329" i="7"/>
  <c r="P329" i="7"/>
  <c r="O329" i="7"/>
  <c r="R329" i="7"/>
  <c r="AZ328" i="7"/>
  <c r="AX328" i="7"/>
  <c r="AW328" i="7"/>
  <c r="AU328" i="7"/>
  <c r="AT328" i="7"/>
  <c r="AG328" i="7"/>
  <c r="R328" i="7"/>
  <c r="P328" i="7"/>
  <c r="O328" i="7"/>
  <c r="Q328" i="7"/>
  <c r="AZ327" i="7"/>
  <c r="AX327" i="7"/>
  <c r="AW327" i="7"/>
  <c r="AU327" i="7"/>
  <c r="AT327" i="7"/>
  <c r="AG327" i="7"/>
  <c r="P327" i="7"/>
  <c r="O327" i="7"/>
  <c r="R327" i="7"/>
  <c r="AZ326" i="7"/>
  <c r="AX326" i="7"/>
  <c r="AW326" i="7"/>
  <c r="AU326" i="7"/>
  <c r="AT326" i="7"/>
  <c r="AG326" i="7"/>
  <c r="R326" i="7"/>
  <c r="P326" i="7"/>
  <c r="O326" i="7"/>
  <c r="Q326" i="7"/>
  <c r="AZ325" i="7"/>
  <c r="AX325" i="7"/>
  <c r="AW325" i="7"/>
  <c r="AU325" i="7"/>
  <c r="AT325" i="7"/>
  <c r="AG325" i="7"/>
  <c r="P325" i="7"/>
  <c r="O325" i="7"/>
  <c r="R325" i="7"/>
  <c r="AZ324" i="7"/>
  <c r="AX324" i="7"/>
  <c r="AW324" i="7"/>
  <c r="AU324" i="7"/>
  <c r="AT324" i="7"/>
  <c r="AG324" i="7"/>
  <c r="R324" i="7"/>
  <c r="P324" i="7"/>
  <c r="O324" i="7"/>
  <c r="Q324" i="7"/>
  <c r="AZ323" i="7"/>
  <c r="AX323" i="7"/>
  <c r="AW323" i="7"/>
  <c r="AU323" i="7"/>
  <c r="AT323" i="7"/>
  <c r="AG323" i="7"/>
  <c r="P323" i="7"/>
  <c r="O323" i="7"/>
  <c r="R323" i="7"/>
  <c r="AZ322" i="7"/>
  <c r="AX322" i="7"/>
  <c r="AW322" i="7"/>
  <c r="AU322" i="7"/>
  <c r="AT322" i="7"/>
  <c r="AG322" i="7"/>
  <c r="P322" i="7"/>
  <c r="O322" i="7"/>
  <c r="R322" i="7"/>
  <c r="AZ321" i="7"/>
  <c r="AX321" i="7"/>
  <c r="AW321" i="7"/>
  <c r="AU321" i="7"/>
  <c r="AT321" i="7"/>
  <c r="AG321" i="7"/>
  <c r="P321" i="7"/>
  <c r="O321" i="7"/>
  <c r="R321" i="7"/>
  <c r="AZ320" i="7"/>
  <c r="AX320" i="7"/>
  <c r="AW320" i="7"/>
  <c r="AU320" i="7"/>
  <c r="AT320" i="7"/>
  <c r="AG320" i="7"/>
  <c r="P320" i="7"/>
  <c r="O320" i="7"/>
  <c r="R320" i="7"/>
  <c r="AZ319" i="7"/>
  <c r="AX319" i="7"/>
  <c r="AW319" i="7"/>
  <c r="AU319" i="7"/>
  <c r="AT319" i="7"/>
  <c r="AG319" i="7"/>
  <c r="P319" i="7"/>
  <c r="O319" i="7"/>
  <c r="R319" i="7"/>
  <c r="AZ318" i="7"/>
  <c r="AX318" i="7"/>
  <c r="AW318" i="7"/>
  <c r="AU318" i="7"/>
  <c r="AT318" i="7"/>
  <c r="AG318" i="7"/>
  <c r="P318" i="7"/>
  <c r="O318" i="7"/>
  <c r="R318" i="7"/>
  <c r="AZ317" i="7"/>
  <c r="AX317" i="7"/>
  <c r="AW317" i="7"/>
  <c r="AU317" i="7"/>
  <c r="AT317" i="7"/>
  <c r="AG317" i="7"/>
  <c r="P317" i="7"/>
  <c r="O317" i="7"/>
  <c r="R317" i="7"/>
  <c r="AZ316" i="7"/>
  <c r="AX316" i="7"/>
  <c r="AW316" i="7"/>
  <c r="AU316" i="7"/>
  <c r="AT316" i="7"/>
  <c r="AG316" i="7"/>
  <c r="P316" i="7"/>
  <c r="O316" i="7"/>
  <c r="R316" i="7"/>
  <c r="AZ315" i="7"/>
  <c r="AX315" i="7"/>
  <c r="AW315" i="7"/>
  <c r="AU315" i="7"/>
  <c r="AT315" i="7"/>
  <c r="AG315" i="7"/>
  <c r="P315" i="7"/>
  <c r="O315" i="7"/>
  <c r="R315" i="7"/>
  <c r="AZ314" i="7"/>
  <c r="AX314" i="7"/>
  <c r="AW314" i="7"/>
  <c r="AU314" i="7"/>
  <c r="AT314" i="7"/>
  <c r="AG314" i="7"/>
  <c r="P314" i="7"/>
  <c r="O314" i="7"/>
  <c r="R314" i="7"/>
  <c r="AZ313" i="7"/>
  <c r="AX313" i="7"/>
  <c r="AW313" i="7"/>
  <c r="AU313" i="7"/>
  <c r="AT313" i="7"/>
  <c r="AG313" i="7"/>
  <c r="P313" i="7"/>
  <c r="O313" i="7"/>
  <c r="R313" i="7"/>
  <c r="AZ312" i="7"/>
  <c r="AX312" i="7"/>
  <c r="AW312" i="7"/>
  <c r="AU312" i="7"/>
  <c r="AT312" i="7"/>
  <c r="AG312" i="7"/>
  <c r="P312" i="7"/>
  <c r="O312" i="7"/>
  <c r="R312" i="7"/>
  <c r="AZ311" i="7"/>
  <c r="AX311" i="7"/>
  <c r="AW311" i="7"/>
  <c r="AU311" i="7"/>
  <c r="AT311" i="7"/>
  <c r="AG311" i="7"/>
  <c r="P311" i="7"/>
  <c r="O311" i="7"/>
  <c r="R311" i="7"/>
  <c r="AZ310" i="7"/>
  <c r="AX310" i="7"/>
  <c r="AW310" i="7"/>
  <c r="AU310" i="7"/>
  <c r="AT310" i="7"/>
  <c r="AG310" i="7"/>
  <c r="R310" i="7"/>
  <c r="Q310" i="7"/>
  <c r="P310" i="7"/>
  <c r="O310" i="7"/>
  <c r="AZ309" i="7"/>
  <c r="AX309" i="7"/>
  <c r="AW309" i="7"/>
  <c r="AU309" i="7"/>
  <c r="AT309" i="7"/>
  <c r="AG309" i="7"/>
  <c r="R309" i="7"/>
  <c r="P309" i="7"/>
  <c r="O309" i="7"/>
  <c r="Q309" i="7"/>
  <c r="AZ308" i="7"/>
  <c r="AX308" i="7"/>
  <c r="AW308" i="7"/>
  <c r="AU308" i="7"/>
  <c r="AT308" i="7"/>
  <c r="AG308" i="7"/>
  <c r="P308" i="7"/>
  <c r="O308" i="7"/>
  <c r="R308" i="7"/>
  <c r="AZ307" i="7"/>
  <c r="AX307" i="7"/>
  <c r="AW307" i="7"/>
  <c r="AU307" i="7"/>
  <c r="AT307" i="7"/>
  <c r="AG307" i="7"/>
  <c r="R307" i="7"/>
  <c r="P307" i="7"/>
  <c r="O307" i="7"/>
  <c r="Q307" i="7"/>
  <c r="AZ306" i="7"/>
  <c r="AX306" i="7"/>
  <c r="AW306" i="7"/>
  <c r="AU306" i="7"/>
  <c r="AT306" i="7"/>
  <c r="AG306" i="7"/>
  <c r="P306" i="7"/>
  <c r="O306" i="7"/>
  <c r="R306" i="7"/>
  <c r="AZ300" i="7"/>
  <c r="AX300" i="7"/>
  <c r="AW300" i="7"/>
  <c r="AU300" i="7"/>
  <c r="AT300" i="7"/>
  <c r="AG300" i="7"/>
  <c r="R300" i="7"/>
  <c r="P300" i="7"/>
  <c r="O300" i="7"/>
  <c r="Q300" i="7"/>
  <c r="AZ299" i="7"/>
  <c r="AX299" i="7"/>
  <c r="AW299" i="7"/>
  <c r="AU299" i="7"/>
  <c r="AT299" i="7"/>
  <c r="AG299" i="7"/>
  <c r="P299" i="7"/>
  <c r="O299" i="7"/>
  <c r="R299" i="7"/>
  <c r="AZ298" i="7"/>
  <c r="AX298" i="7"/>
  <c r="AW298" i="7"/>
  <c r="AU298" i="7"/>
  <c r="AT298" i="7"/>
  <c r="AG298" i="7"/>
  <c r="R298" i="7"/>
  <c r="P298" i="7"/>
  <c r="O298" i="7"/>
  <c r="Q298" i="7"/>
  <c r="AZ297" i="7"/>
  <c r="AX297" i="7"/>
  <c r="AW297" i="7"/>
  <c r="AU297" i="7"/>
  <c r="AT297" i="7"/>
  <c r="AG297" i="7"/>
  <c r="P297" i="7"/>
  <c r="O297" i="7"/>
  <c r="R297" i="7"/>
  <c r="AZ296" i="7"/>
  <c r="AX296" i="7"/>
  <c r="AW296" i="7"/>
  <c r="AU296" i="7"/>
  <c r="AT296" i="7"/>
  <c r="AG296" i="7"/>
  <c r="R296" i="7"/>
  <c r="P296" i="7"/>
  <c r="O296" i="7"/>
  <c r="Q296" i="7"/>
  <c r="AZ295" i="7"/>
  <c r="AX295" i="7"/>
  <c r="AW295" i="7"/>
  <c r="AU295" i="7"/>
  <c r="AT295" i="7"/>
  <c r="AG295" i="7"/>
  <c r="P295" i="7"/>
  <c r="O295" i="7"/>
  <c r="R295" i="7"/>
  <c r="AZ294" i="7"/>
  <c r="AX294" i="7"/>
  <c r="AW294" i="7"/>
  <c r="AU294" i="7"/>
  <c r="AT294" i="7"/>
  <c r="AG294" i="7"/>
  <c r="R294" i="7"/>
  <c r="P294" i="7"/>
  <c r="O294" i="7"/>
  <c r="Q294" i="7"/>
  <c r="AZ293" i="7"/>
  <c r="AX293" i="7"/>
  <c r="AW293" i="7"/>
  <c r="AU293" i="7"/>
  <c r="AT293" i="7"/>
  <c r="AG293" i="7"/>
  <c r="P293" i="7"/>
  <c r="O293" i="7"/>
  <c r="R293" i="7"/>
  <c r="AZ292" i="7"/>
  <c r="AX292" i="7"/>
  <c r="AW292" i="7"/>
  <c r="AU292" i="7"/>
  <c r="AT292" i="7"/>
  <c r="AG292" i="7"/>
  <c r="R292" i="7"/>
  <c r="Q292" i="7"/>
  <c r="P292" i="7"/>
  <c r="O292" i="7"/>
  <c r="AZ251" i="7"/>
  <c r="AX251" i="7"/>
  <c r="AW251" i="7"/>
  <c r="AU251" i="7"/>
  <c r="AT251" i="7"/>
  <c r="AG251" i="7"/>
  <c r="P251" i="7"/>
  <c r="O251" i="7"/>
  <c r="R251" i="7"/>
  <c r="AZ250" i="7"/>
  <c r="AX250" i="7"/>
  <c r="AW250" i="7"/>
  <c r="AU250" i="7"/>
  <c r="AT250" i="7"/>
  <c r="AG250" i="7"/>
  <c r="P250" i="7"/>
  <c r="O250" i="7"/>
  <c r="R250" i="7"/>
  <c r="AZ249" i="7"/>
  <c r="AX249" i="7"/>
  <c r="AW249" i="7"/>
  <c r="AU249" i="7"/>
  <c r="AT249" i="7"/>
  <c r="AG249" i="7"/>
  <c r="P249" i="7"/>
  <c r="O249" i="7"/>
  <c r="R249" i="7"/>
  <c r="AZ248" i="7"/>
  <c r="AX248" i="7"/>
  <c r="AW248" i="7"/>
  <c r="AU248" i="7"/>
  <c r="AT248" i="7"/>
  <c r="AG248" i="7"/>
  <c r="R248" i="7"/>
  <c r="P248" i="7"/>
  <c r="O248" i="7"/>
  <c r="Q248" i="7"/>
  <c r="AZ247" i="7"/>
  <c r="AX247" i="7"/>
  <c r="AW247" i="7"/>
  <c r="AU247" i="7"/>
  <c r="AT247" i="7"/>
  <c r="AG247" i="7"/>
  <c r="P247" i="7"/>
  <c r="O247" i="7"/>
  <c r="R247" i="7"/>
  <c r="AZ246" i="7"/>
  <c r="AX246" i="7"/>
  <c r="AW246" i="7"/>
  <c r="AU246" i="7"/>
  <c r="AT246" i="7"/>
  <c r="AG246" i="7"/>
  <c r="P246" i="7"/>
  <c r="O246" i="7"/>
  <c r="R246" i="7"/>
  <c r="AZ245" i="7"/>
  <c r="AX245" i="7"/>
  <c r="AW245" i="7"/>
  <c r="AU245" i="7"/>
  <c r="AT245" i="7"/>
  <c r="AG245" i="7"/>
  <c r="P245" i="7"/>
  <c r="O245" i="7"/>
  <c r="R245" i="7"/>
  <c r="AZ261" i="7"/>
  <c r="AX261" i="7"/>
  <c r="AW261" i="7"/>
  <c r="AU261" i="7"/>
  <c r="AT261" i="7"/>
  <c r="AG261" i="7"/>
  <c r="R261" i="7"/>
  <c r="P261" i="7"/>
  <c r="O261" i="7"/>
  <c r="Q261" i="7"/>
  <c r="AZ260" i="7"/>
  <c r="AX260" i="7"/>
  <c r="AW260" i="7"/>
  <c r="AU260" i="7"/>
  <c r="AT260" i="7"/>
  <c r="AG260" i="7"/>
  <c r="P260" i="7"/>
  <c r="O260" i="7"/>
  <c r="R260" i="7"/>
  <c r="AZ259" i="7"/>
  <c r="AX259" i="7"/>
  <c r="AW259" i="7"/>
  <c r="AU259" i="7"/>
  <c r="AT259" i="7"/>
  <c r="AG259" i="7"/>
  <c r="P259" i="7"/>
  <c r="O259" i="7"/>
  <c r="R259" i="7"/>
  <c r="AZ258" i="7"/>
  <c r="AX258" i="7"/>
  <c r="AW258" i="7"/>
  <c r="AU258" i="7"/>
  <c r="AT258" i="7"/>
  <c r="AG258" i="7"/>
  <c r="P258" i="7"/>
  <c r="O258" i="7"/>
  <c r="R258" i="7"/>
  <c r="AZ257" i="7"/>
  <c r="AX257" i="7"/>
  <c r="AW257" i="7"/>
  <c r="AU257" i="7"/>
  <c r="AT257" i="7"/>
  <c r="AG257" i="7"/>
  <c r="P257" i="7"/>
  <c r="O257" i="7"/>
  <c r="Q257" i="7"/>
  <c r="AZ256" i="7"/>
  <c r="AX256" i="7"/>
  <c r="AW256" i="7"/>
  <c r="AU256" i="7"/>
  <c r="AT256" i="7"/>
  <c r="AG256" i="7"/>
  <c r="R256" i="7"/>
  <c r="P256" i="7"/>
  <c r="O256" i="7"/>
  <c r="Q256" i="7"/>
  <c r="AZ255" i="7"/>
  <c r="AX255" i="7"/>
  <c r="AW255" i="7"/>
  <c r="AU255" i="7"/>
  <c r="AT255" i="7"/>
  <c r="AG255" i="7"/>
  <c r="P255" i="7"/>
  <c r="O255" i="7"/>
  <c r="Q255" i="7"/>
  <c r="AZ254" i="7"/>
  <c r="AX254" i="7"/>
  <c r="AW254" i="7"/>
  <c r="AU254" i="7"/>
  <c r="AT254" i="7"/>
  <c r="AG254" i="7"/>
  <c r="R254" i="7"/>
  <c r="P254" i="7"/>
  <c r="O254" i="7"/>
  <c r="Q254" i="7"/>
  <c r="AZ233" i="7"/>
  <c r="AX233" i="7"/>
  <c r="AW233" i="7"/>
  <c r="AU233" i="7"/>
  <c r="AT233" i="7"/>
  <c r="AG233" i="7"/>
  <c r="P233" i="7"/>
  <c r="O233" i="7"/>
  <c r="Q233" i="7"/>
  <c r="AZ232" i="7"/>
  <c r="AX232" i="7"/>
  <c r="AW232" i="7"/>
  <c r="AU232" i="7"/>
  <c r="AT232" i="7"/>
  <c r="AG232" i="7"/>
  <c r="R232" i="7"/>
  <c r="P232" i="7"/>
  <c r="O232" i="7"/>
  <c r="Q232" i="7"/>
  <c r="AZ231" i="7"/>
  <c r="AX231" i="7"/>
  <c r="AW231" i="7"/>
  <c r="AU231" i="7"/>
  <c r="AT231" i="7"/>
  <c r="AG231" i="7"/>
  <c r="R231" i="7"/>
  <c r="Q231" i="7"/>
  <c r="P231" i="7"/>
  <c r="O231" i="7"/>
  <c r="AZ230" i="7"/>
  <c r="AX230" i="7"/>
  <c r="AW230" i="7"/>
  <c r="AU230" i="7"/>
  <c r="AT230" i="7"/>
  <c r="AG230" i="7"/>
  <c r="P230" i="7"/>
  <c r="O230" i="7"/>
  <c r="R230" i="7"/>
  <c r="AZ229" i="7"/>
  <c r="AX229" i="7"/>
  <c r="AW229" i="7"/>
  <c r="AU229" i="7"/>
  <c r="AT229" i="7"/>
  <c r="AG229" i="7"/>
  <c r="R229" i="7"/>
  <c r="P229" i="7"/>
  <c r="O229" i="7"/>
  <c r="Q229" i="7"/>
  <c r="AZ228" i="7"/>
  <c r="AX228" i="7"/>
  <c r="AW228" i="7"/>
  <c r="AU228" i="7"/>
  <c r="AT228" i="7"/>
  <c r="AG228" i="7"/>
  <c r="P228" i="7"/>
  <c r="O228" i="7"/>
  <c r="R228" i="7"/>
  <c r="AZ278" i="7"/>
  <c r="AX278" i="7"/>
  <c r="AW278" i="7"/>
  <c r="AU278" i="7"/>
  <c r="AT278" i="7"/>
  <c r="AG278" i="7"/>
  <c r="R278" i="7"/>
  <c r="P278" i="7"/>
  <c r="O278" i="7"/>
  <c r="Q278" i="7"/>
  <c r="AZ277" i="7"/>
  <c r="AX277" i="7"/>
  <c r="AW277" i="7"/>
  <c r="AU277" i="7"/>
  <c r="AT277" i="7"/>
  <c r="AG277" i="7"/>
  <c r="P277" i="7"/>
  <c r="O277" i="7"/>
  <c r="R277" i="7"/>
  <c r="AZ276" i="7"/>
  <c r="AX276" i="7"/>
  <c r="AW276" i="7"/>
  <c r="AU276" i="7"/>
  <c r="AT276" i="7"/>
  <c r="AG276" i="7"/>
  <c r="R276" i="7"/>
  <c r="P276" i="7"/>
  <c r="O276" i="7"/>
  <c r="Q276" i="7"/>
  <c r="AZ244" i="7"/>
  <c r="AX244" i="7"/>
  <c r="AW244" i="7"/>
  <c r="AU244" i="7"/>
  <c r="AT244" i="7"/>
  <c r="AG244" i="7"/>
  <c r="P244" i="7"/>
  <c r="O244" i="7"/>
  <c r="R244" i="7"/>
  <c r="AZ243" i="7"/>
  <c r="AX243" i="7"/>
  <c r="AW243" i="7"/>
  <c r="AU243" i="7"/>
  <c r="AT243" i="7"/>
  <c r="AG243" i="7"/>
  <c r="R243" i="7"/>
  <c r="P243" i="7"/>
  <c r="O243" i="7"/>
  <c r="Q243" i="7"/>
  <c r="AZ242" i="7"/>
  <c r="AX242" i="7"/>
  <c r="AW242" i="7"/>
  <c r="AU242" i="7"/>
  <c r="AT242" i="7"/>
  <c r="AG242" i="7"/>
  <c r="P242" i="7"/>
  <c r="O242" i="7"/>
  <c r="R242" i="7"/>
  <c r="AZ241" i="7"/>
  <c r="AX241" i="7"/>
  <c r="AW241" i="7"/>
  <c r="AU241" i="7"/>
  <c r="AT241" i="7"/>
  <c r="AG241" i="7"/>
  <c r="R241" i="7"/>
  <c r="P241" i="7"/>
  <c r="O241" i="7"/>
  <c r="Q241" i="7"/>
  <c r="AZ240" i="7"/>
  <c r="AX240" i="7"/>
  <c r="AW240" i="7"/>
  <c r="AU240" i="7"/>
  <c r="AT240" i="7"/>
  <c r="AG240" i="7"/>
  <c r="P240" i="7"/>
  <c r="O240" i="7"/>
  <c r="R240" i="7"/>
  <c r="AZ239" i="7"/>
  <c r="AX239" i="7"/>
  <c r="AW239" i="7"/>
  <c r="AU239" i="7"/>
  <c r="AT239" i="7"/>
  <c r="AG239" i="7"/>
  <c r="R239" i="7"/>
  <c r="P239" i="7"/>
  <c r="O239" i="7"/>
  <c r="Q239" i="7"/>
  <c r="AZ238" i="7"/>
  <c r="AX238" i="7"/>
  <c r="AW238" i="7"/>
  <c r="AU238" i="7"/>
  <c r="AT238" i="7"/>
  <c r="AG238" i="7"/>
  <c r="R238" i="7"/>
  <c r="Q238" i="7"/>
  <c r="P238" i="7"/>
  <c r="O238" i="7"/>
  <c r="AZ237" i="7"/>
  <c r="AX237" i="7"/>
  <c r="AW237" i="7"/>
  <c r="AU237" i="7"/>
  <c r="AT237" i="7"/>
  <c r="AG237" i="7"/>
  <c r="R237" i="7"/>
  <c r="P237" i="7"/>
  <c r="O237" i="7"/>
  <c r="Q237" i="7"/>
  <c r="AZ275" i="7"/>
  <c r="AX275" i="7"/>
  <c r="AW275" i="7"/>
  <c r="AU275" i="7"/>
  <c r="AT275" i="7"/>
  <c r="AG275" i="7"/>
  <c r="P275" i="7"/>
  <c r="O275" i="7"/>
  <c r="R275" i="7"/>
  <c r="AZ236" i="7"/>
  <c r="AX236" i="7"/>
  <c r="AW236" i="7"/>
  <c r="AU236" i="7"/>
  <c r="AT236" i="7"/>
  <c r="AG236" i="7"/>
  <c r="W236" i="7"/>
  <c r="S236" i="7"/>
  <c r="R236" i="7"/>
  <c r="P236" i="7"/>
  <c r="O236" i="7"/>
  <c r="Q236" i="7"/>
  <c r="AZ235" i="7"/>
  <c r="AX235" i="7"/>
  <c r="AW235" i="7"/>
  <c r="AU235" i="7"/>
  <c r="AT235" i="7"/>
  <c r="AG235" i="7"/>
  <c r="P235" i="7"/>
  <c r="O235" i="7"/>
  <c r="R235" i="7"/>
  <c r="AZ234" i="7"/>
  <c r="AX234" i="7"/>
  <c r="AW234" i="7"/>
  <c r="AU234" i="7"/>
  <c r="AT234" i="7"/>
  <c r="AG234" i="7"/>
  <c r="R234" i="7"/>
  <c r="P234" i="7"/>
  <c r="O234" i="7"/>
  <c r="Q234" i="7"/>
  <c r="AZ305" i="7"/>
  <c r="AX305" i="7"/>
  <c r="AW305" i="7"/>
  <c r="AU305" i="7"/>
  <c r="AT305" i="7"/>
  <c r="AG305" i="7"/>
  <c r="P305" i="7"/>
  <c r="O305" i="7"/>
  <c r="R305" i="7"/>
  <c r="AZ253" i="7"/>
  <c r="AX253" i="7"/>
  <c r="AW253" i="7"/>
  <c r="AU253" i="7"/>
  <c r="AT253" i="7"/>
  <c r="AG253" i="7"/>
  <c r="R253" i="7"/>
  <c r="P253" i="7"/>
  <c r="O253" i="7"/>
  <c r="Q253" i="7"/>
  <c r="AZ304" i="7"/>
  <c r="AX304" i="7"/>
  <c r="AW304" i="7"/>
  <c r="AU304" i="7"/>
  <c r="AT304" i="7"/>
  <c r="AG304" i="7"/>
  <c r="P304" i="7"/>
  <c r="O304" i="7"/>
  <c r="R304" i="7"/>
  <c r="AZ303" i="7"/>
  <c r="AX303" i="7"/>
  <c r="AW303" i="7"/>
  <c r="AU303" i="7"/>
  <c r="AT303" i="7"/>
  <c r="AG303" i="7"/>
  <c r="R303" i="7"/>
  <c r="P303" i="7"/>
  <c r="O303" i="7"/>
  <c r="Q303" i="7"/>
  <c r="AZ302" i="7"/>
  <c r="AX302" i="7"/>
  <c r="AW302" i="7"/>
  <c r="AU302" i="7"/>
  <c r="AT302" i="7"/>
  <c r="AG302" i="7"/>
  <c r="P302" i="7"/>
  <c r="O302" i="7"/>
  <c r="R302" i="7"/>
  <c r="AZ252" i="7"/>
  <c r="AX252" i="7"/>
  <c r="AW252" i="7"/>
  <c r="AU252" i="7"/>
  <c r="AT252" i="7"/>
  <c r="AG252" i="7"/>
  <c r="R252" i="7"/>
  <c r="P252" i="7"/>
  <c r="O252" i="7"/>
  <c r="Q252" i="7"/>
  <c r="AZ301" i="7"/>
  <c r="AX301" i="7"/>
  <c r="AW301" i="7"/>
  <c r="AU301" i="7"/>
  <c r="AT301" i="7"/>
  <c r="AG301" i="7"/>
  <c r="P301" i="7"/>
  <c r="O301" i="7"/>
  <c r="R301" i="7"/>
  <c r="AZ203" i="7"/>
  <c r="AX203" i="7"/>
  <c r="AW203" i="7"/>
  <c r="AU203" i="7"/>
  <c r="AT203" i="7"/>
  <c r="AG203" i="7"/>
  <c r="R203" i="7"/>
  <c r="P203" i="7"/>
  <c r="O203" i="7"/>
  <c r="Q203" i="7"/>
  <c r="AZ202" i="7"/>
  <c r="AX202" i="7"/>
  <c r="AW202" i="7"/>
  <c r="AU202" i="7"/>
  <c r="AT202" i="7"/>
  <c r="AG202" i="7"/>
  <c r="P202" i="7"/>
  <c r="O202" i="7"/>
  <c r="R202" i="7"/>
  <c r="AZ262" i="7"/>
  <c r="AX262" i="7"/>
  <c r="AW262" i="7"/>
  <c r="AU262" i="7"/>
  <c r="AT262" i="7"/>
  <c r="AG262" i="7"/>
  <c r="R262" i="7"/>
  <c r="P262" i="7"/>
  <c r="O262" i="7"/>
  <c r="Q262" i="7"/>
  <c r="AZ274" i="7"/>
  <c r="AX274" i="7"/>
  <c r="AW274" i="7"/>
  <c r="AU274" i="7"/>
  <c r="AT274" i="7"/>
  <c r="AG274" i="7"/>
  <c r="P274" i="7"/>
  <c r="O274" i="7"/>
  <c r="R274" i="7"/>
  <c r="AZ273" i="7"/>
  <c r="AX273" i="7"/>
  <c r="AW273" i="7"/>
  <c r="AU273" i="7"/>
  <c r="AT273" i="7"/>
  <c r="AG273" i="7"/>
  <c r="R273" i="7"/>
  <c r="P273" i="7"/>
  <c r="O273" i="7"/>
  <c r="Q273" i="7"/>
  <c r="AZ272" i="7"/>
  <c r="AX272" i="7"/>
  <c r="AW272" i="7"/>
  <c r="AU272" i="7"/>
  <c r="AT272" i="7"/>
  <c r="AG272" i="7"/>
  <c r="P272" i="7"/>
  <c r="O272" i="7"/>
  <c r="R272" i="7"/>
  <c r="AZ271" i="7"/>
  <c r="AX271" i="7"/>
  <c r="AW271" i="7"/>
  <c r="AU271" i="7"/>
  <c r="AT271" i="7"/>
  <c r="AG271" i="7"/>
  <c r="R271" i="7"/>
  <c r="P271" i="7"/>
  <c r="O271" i="7"/>
  <c r="Q271" i="7"/>
  <c r="AZ270" i="7"/>
  <c r="AX270" i="7"/>
  <c r="AW270" i="7"/>
  <c r="AU270" i="7"/>
  <c r="AT270" i="7"/>
  <c r="AG270" i="7"/>
  <c r="P270" i="7"/>
  <c r="O270" i="7"/>
  <c r="R270" i="7"/>
  <c r="AZ269" i="7"/>
  <c r="AX269" i="7"/>
  <c r="AW269" i="7"/>
  <c r="AU269" i="7"/>
  <c r="AT269" i="7"/>
  <c r="AG269" i="7"/>
  <c r="R269" i="7"/>
  <c r="P269" i="7"/>
  <c r="O269" i="7"/>
  <c r="Q269" i="7"/>
  <c r="AZ268" i="7"/>
  <c r="AX268" i="7"/>
  <c r="AW268" i="7"/>
  <c r="AU268" i="7"/>
  <c r="AT268" i="7"/>
  <c r="AG268" i="7"/>
  <c r="P268" i="7"/>
  <c r="O268" i="7"/>
  <c r="R268" i="7"/>
  <c r="AZ267" i="7"/>
  <c r="AX267" i="7"/>
  <c r="AW267" i="7"/>
  <c r="AU267" i="7"/>
  <c r="AT267" i="7"/>
  <c r="AG267" i="7"/>
  <c r="R267" i="7"/>
  <c r="P267" i="7"/>
  <c r="O267" i="7"/>
  <c r="Q267" i="7"/>
  <c r="AZ280" i="7"/>
  <c r="AX280" i="7"/>
  <c r="AW280" i="7"/>
  <c r="AU280" i="7"/>
  <c r="AT280" i="7"/>
  <c r="AG280" i="7"/>
  <c r="P280" i="7"/>
  <c r="O280" i="7"/>
  <c r="R280" i="7"/>
  <c r="AZ279" i="7"/>
  <c r="AX279" i="7"/>
  <c r="AW279" i="7"/>
  <c r="AU279" i="7"/>
  <c r="AT279" i="7"/>
  <c r="AG279" i="7"/>
  <c r="R279" i="7"/>
  <c r="P279" i="7"/>
  <c r="O279" i="7"/>
  <c r="Q279" i="7"/>
  <c r="AZ227" i="7"/>
  <c r="AX227" i="7"/>
  <c r="AW227" i="7"/>
  <c r="AU227" i="7"/>
  <c r="AT227" i="7"/>
  <c r="AG227" i="7"/>
  <c r="P227" i="7"/>
  <c r="O227" i="7"/>
  <c r="R227" i="7"/>
  <c r="AZ266" i="7"/>
  <c r="AX266" i="7"/>
  <c r="AW266" i="7"/>
  <c r="AU266" i="7"/>
  <c r="AT266" i="7"/>
  <c r="AG266" i="7"/>
  <c r="R266" i="7"/>
  <c r="P266" i="7"/>
  <c r="O266" i="7"/>
  <c r="Q266" i="7"/>
  <c r="AZ226" i="7"/>
  <c r="AX226" i="7"/>
  <c r="AW226" i="7"/>
  <c r="AU226" i="7"/>
  <c r="AT226" i="7"/>
  <c r="AG226" i="7"/>
  <c r="P226" i="7"/>
  <c r="O226" i="7"/>
  <c r="R226" i="7"/>
  <c r="AZ265" i="7"/>
  <c r="AX265" i="7"/>
  <c r="AW265" i="7"/>
  <c r="AU265" i="7"/>
  <c r="AT265" i="7"/>
  <c r="AG265" i="7"/>
  <c r="R265" i="7"/>
  <c r="P265" i="7"/>
  <c r="O265" i="7"/>
  <c r="Q265" i="7"/>
  <c r="AZ264" i="7"/>
  <c r="AX264" i="7"/>
  <c r="AW264" i="7"/>
  <c r="AU264" i="7"/>
  <c r="AT264" i="7"/>
  <c r="AG264" i="7"/>
  <c r="P264" i="7"/>
  <c r="O264" i="7"/>
  <c r="R264" i="7"/>
  <c r="AZ200" i="7"/>
  <c r="AX200" i="7"/>
  <c r="AW200" i="7"/>
  <c r="AU200" i="7"/>
  <c r="AT200" i="7"/>
  <c r="AG200" i="7"/>
  <c r="R200" i="7"/>
  <c r="P200" i="7"/>
  <c r="O200" i="7"/>
  <c r="Q200" i="7"/>
  <c r="AZ155" i="7"/>
  <c r="AX155" i="7"/>
  <c r="AW155" i="7"/>
  <c r="AU155" i="7"/>
  <c r="AT155" i="7"/>
  <c r="AG155" i="7"/>
  <c r="P155" i="7"/>
  <c r="O155" i="7"/>
  <c r="R155" i="7"/>
  <c r="AZ263" i="7"/>
  <c r="AX263" i="7"/>
  <c r="AW263" i="7"/>
  <c r="AU263" i="7"/>
  <c r="AT263" i="7"/>
  <c r="AG263" i="7"/>
  <c r="R263" i="7"/>
  <c r="P263" i="7"/>
  <c r="O263" i="7"/>
  <c r="Q263" i="7"/>
  <c r="AZ207" i="7"/>
  <c r="AX207" i="7"/>
  <c r="AW207" i="7"/>
  <c r="AU207" i="7"/>
  <c r="AT207" i="7"/>
  <c r="AG207" i="7"/>
  <c r="P207" i="7"/>
  <c r="O207" i="7"/>
  <c r="R207" i="7"/>
  <c r="AZ206" i="7"/>
  <c r="AX206" i="7"/>
  <c r="AW206" i="7"/>
  <c r="AU206" i="7"/>
  <c r="AT206" i="7"/>
  <c r="AG206" i="7"/>
  <c r="R206" i="7"/>
  <c r="P206" i="7"/>
  <c r="O206" i="7"/>
  <c r="Q206" i="7"/>
  <c r="AZ205" i="7"/>
  <c r="AX205" i="7"/>
  <c r="AW205" i="7"/>
  <c r="AU205" i="7"/>
  <c r="AT205" i="7"/>
  <c r="AG205" i="7"/>
  <c r="P205" i="7"/>
  <c r="O205" i="7"/>
  <c r="R205" i="7"/>
  <c r="AZ154" i="7"/>
  <c r="AX154" i="7"/>
  <c r="AW154" i="7"/>
  <c r="AU154" i="7"/>
  <c r="AT154" i="7"/>
  <c r="AG154" i="7"/>
  <c r="R154" i="7"/>
  <c r="P154" i="7"/>
  <c r="O154" i="7"/>
  <c r="Q154" i="7"/>
  <c r="AZ204" i="7"/>
  <c r="AX204" i="7"/>
  <c r="AW204" i="7"/>
  <c r="AU204" i="7"/>
  <c r="AT204" i="7"/>
  <c r="AG204" i="7"/>
  <c r="P204" i="7"/>
  <c r="O204" i="7"/>
  <c r="R204" i="7"/>
  <c r="AZ216" i="7"/>
  <c r="AX216" i="7"/>
  <c r="AW216" i="7"/>
  <c r="AU216" i="7"/>
  <c r="AT216" i="7"/>
  <c r="AG216" i="7"/>
  <c r="R216" i="7"/>
  <c r="P216" i="7"/>
  <c r="O216" i="7"/>
  <c r="Q216" i="7"/>
  <c r="AZ215" i="7"/>
  <c r="AX215" i="7"/>
  <c r="AW215" i="7"/>
  <c r="AU215" i="7"/>
  <c r="AT215" i="7"/>
  <c r="AG215" i="7"/>
  <c r="P215" i="7"/>
  <c r="O215" i="7"/>
  <c r="R215" i="7"/>
  <c r="AZ214" i="7"/>
  <c r="AX214" i="7"/>
  <c r="AW214" i="7"/>
  <c r="AU214" i="7"/>
  <c r="AT214" i="7"/>
  <c r="AG214" i="7"/>
  <c r="R214" i="7"/>
  <c r="P214" i="7"/>
  <c r="O214" i="7"/>
  <c r="Q214" i="7"/>
  <c r="AZ213" i="7"/>
  <c r="AX213" i="7"/>
  <c r="AW213" i="7"/>
  <c r="AU213" i="7"/>
  <c r="AT213" i="7"/>
  <c r="AG213" i="7"/>
  <c r="P213" i="7"/>
  <c r="O213" i="7"/>
  <c r="R213" i="7"/>
  <c r="AZ212" i="7"/>
  <c r="AX212" i="7"/>
  <c r="AW212" i="7"/>
  <c r="AU212" i="7"/>
  <c r="AT212" i="7"/>
  <c r="AG212" i="7"/>
  <c r="R212" i="7"/>
  <c r="P212" i="7"/>
  <c r="O212" i="7"/>
  <c r="Q212" i="7"/>
  <c r="AZ291" i="7"/>
  <c r="AX291" i="7"/>
  <c r="AW291" i="7"/>
  <c r="AU291" i="7"/>
  <c r="AT291" i="7"/>
  <c r="AG291" i="7"/>
  <c r="P291" i="7"/>
  <c r="O291" i="7"/>
  <c r="R291" i="7"/>
  <c r="AZ290" i="7"/>
  <c r="AX290" i="7"/>
  <c r="AW290" i="7"/>
  <c r="AU290" i="7"/>
  <c r="AT290" i="7"/>
  <c r="AG290" i="7"/>
  <c r="R290" i="7"/>
  <c r="P290" i="7"/>
  <c r="O290" i="7"/>
  <c r="Q290" i="7"/>
  <c r="AZ289" i="7"/>
  <c r="AX289" i="7"/>
  <c r="AW289" i="7"/>
  <c r="AU289" i="7"/>
  <c r="AT289" i="7"/>
  <c r="AG289" i="7"/>
  <c r="P289" i="7"/>
  <c r="O289" i="7"/>
  <c r="R289" i="7"/>
  <c r="AZ288" i="7"/>
  <c r="AX288" i="7"/>
  <c r="AW288" i="7"/>
  <c r="AU288" i="7"/>
  <c r="AT288" i="7"/>
  <c r="AG288" i="7"/>
  <c r="R288" i="7"/>
  <c r="P288" i="7"/>
  <c r="O288" i="7"/>
  <c r="Q288" i="7"/>
  <c r="AZ287" i="7"/>
  <c r="AX287" i="7"/>
  <c r="AW287" i="7"/>
  <c r="AU287" i="7"/>
  <c r="AT287" i="7"/>
  <c r="AG287" i="7"/>
  <c r="P287" i="7"/>
  <c r="O287" i="7"/>
  <c r="R287" i="7"/>
  <c r="AZ286" i="7"/>
  <c r="AX286" i="7"/>
  <c r="AW286" i="7"/>
  <c r="AU286" i="7"/>
  <c r="AT286" i="7"/>
  <c r="AG286" i="7"/>
  <c r="R286" i="7"/>
  <c r="P286" i="7"/>
  <c r="O286" i="7"/>
  <c r="Q286" i="7"/>
  <c r="AZ285" i="7"/>
  <c r="AX285" i="7"/>
  <c r="AW285" i="7"/>
  <c r="AU285" i="7"/>
  <c r="AT285" i="7"/>
  <c r="AG285" i="7"/>
  <c r="P285" i="7"/>
  <c r="O285" i="7"/>
  <c r="R285" i="7"/>
  <c r="AZ284" i="7"/>
  <c r="AX284" i="7"/>
  <c r="AW284" i="7"/>
  <c r="AU284" i="7"/>
  <c r="AT284" i="7"/>
  <c r="AG284" i="7"/>
  <c r="R284" i="7"/>
  <c r="P284" i="7"/>
  <c r="O284" i="7"/>
  <c r="Q284" i="7"/>
  <c r="AZ283" i="7"/>
  <c r="AX283" i="7"/>
  <c r="AW283" i="7"/>
  <c r="AU283" i="7"/>
  <c r="AT283" i="7"/>
  <c r="AG283" i="7"/>
  <c r="P283" i="7"/>
  <c r="O283" i="7"/>
  <c r="R283" i="7"/>
  <c r="AZ282" i="7"/>
  <c r="AX282" i="7"/>
  <c r="AW282" i="7"/>
  <c r="AU282" i="7"/>
  <c r="AT282" i="7"/>
  <c r="AG282" i="7"/>
  <c r="R282" i="7"/>
  <c r="P282" i="7"/>
  <c r="O282" i="7"/>
  <c r="Q282" i="7"/>
  <c r="AZ281" i="7"/>
  <c r="AX281" i="7"/>
  <c r="AW281" i="7"/>
  <c r="AU281" i="7"/>
  <c r="AT281" i="7"/>
  <c r="AG281" i="7"/>
  <c r="P281" i="7"/>
  <c r="O281" i="7"/>
  <c r="R281" i="7"/>
  <c r="AZ225" i="7"/>
  <c r="AX225" i="7"/>
  <c r="AW225" i="7"/>
  <c r="AU225" i="7"/>
  <c r="AT225" i="7"/>
  <c r="AG225" i="7"/>
  <c r="R225" i="7"/>
  <c r="P225" i="7"/>
  <c r="O225" i="7"/>
  <c r="Q225" i="7"/>
  <c r="AZ211" i="7"/>
  <c r="AX211" i="7"/>
  <c r="AW211" i="7"/>
  <c r="AU211" i="7"/>
  <c r="AT211" i="7"/>
  <c r="AG211" i="7"/>
  <c r="P211" i="7"/>
  <c r="O211" i="7"/>
  <c r="R211" i="7"/>
  <c r="AX224" i="7"/>
  <c r="AW224" i="7"/>
  <c r="AU224" i="7"/>
  <c r="AD224" i="7"/>
  <c r="AG224" i="7" s="1"/>
  <c r="P224" i="7"/>
  <c r="O224" i="7"/>
  <c r="Q224" i="7"/>
  <c r="AZ210" i="7"/>
  <c r="AX210" i="7"/>
  <c r="AW210" i="7"/>
  <c r="AU210" i="7"/>
  <c r="AT210" i="7"/>
  <c r="AG210" i="7"/>
  <c r="R210" i="7"/>
  <c r="P210" i="7"/>
  <c r="O210" i="7"/>
  <c r="Q210" i="7"/>
  <c r="AZ219" i="7"/>
  <c r="AX219" i="7"/>
  <c r="AW219" i="7"/>
  <c r="AU219" i="7"/>
  <c r="AT219" i="7"/>
  <c r="AG219" i="7"/>
  <c r="P219" i="7"/>
  <c r="O219" i="7"/>
  <c r="Q219" i="7"/>
  <c r="AZ222" i="7"/>
  <c r="AX222" i="7"/>
  <c r="AW222" i="7"/>
  <c r="AU222" i="7"/>
  <c r="AT222" i="7"/>
  <c r="AG222" i="7"/>
  <c r="R222" i="7"/>
  <c r="P222" i="7"/>
  <c r="O222" i="7"/>
  <c r="Q222" i="7"/>
  <c r="AZ221" i="7"/>
  <c r="AX221" i="7"/>
  <c r="AW221" i="7"/>
  <c r="AU221" i="7"/>
  <c r="AT221" i="7"/>
  <c r="AG221" i="7"/>
  <c r="P221" i="7"/>
  <c r="O221" i="7"/>
  <c r="Q221" i="7"/>
  <c r="AZ223" i="7"/>
  <c r="AX223" i="7"/>
  <c r="AW223" i="7"/>
  <c r="AU223" i="7"/>
  <c r="AT223" i="7"/>
  <c r="AG223" i="7"/>
  <c r="R223" i="7"/>
  <c r="P223" i="7"/>
  <c r="O223" i="7"/>
  <c r="Q223" i="7"/>
  <c r="AZ196" i="7"/>
  <c r="AX196" i="7"/>
  <c r="AW196" i="7"/>
  <c r="AU196" i="7"/>
  <c r="AT196" i="7"/>
  <c r="AG196" i="7"/>
  <c r="P196" i="7"/>
  <c r="O196" i="7"/>
  <c r="Q196" i="7"/>
  <c r="AZ195" i="7"/>
  <c r="AX195" i="7"/>
  <c r="AW195" i="7"/>
  <c r="AU195" i="7"/>
  <c r="AT195" i="7"/>
  <c r="AG195" i="7"/>
  <c r="R195" i="7"/>
  <c r="P195" i="7"/>
  <c r="O195" i="7"/>
  <c r="Q195" i="7"/>
  <c r="AZ201" i="7"/>
  <c r="AX201" i="7"/>
  <c r="AW201" i="7"/>
  <c r="AU201" i="7"/>
  <c r="AT201" i="7"/>
  <c r="AG201" i="7"/>
  <c r="P201" i="7"/>
  <c r="O201" i="7"/>
  <c r="Q201" i="7"/>
  <c r="AZ194" i="7"/>
  <c r="AX194" i="7"/>
  <c r="AW194" i="7"/>
  <c r="AU194" i="7"/>
  <c r="AT194" i="7"/>
  <c r="AG194" i="7"/>
  <c r="R194" i="7"/>
  <c r="P194" i="7"/>
  <c r="O194" i="7"/>
  <c r="Q194" i="7"/>
  <c r="AZ199" i="7"/>
  <c r="AX199" i="7"/>
  <c r="AW199" i="7"/>
  <c r="AU199" i="7"/>
  <c r="AT199" i="7"/>
  <c r="AG199" i="7"/>
  <c r="P199" i="7"/>
  <c r="O199" i="7"/>
  <c r="Q199" i="7"/>
  <c r="AZ193" i="7"/>
  <c r="AX193" i="7"/>
  <c r="AW193" i="7"/>
  <c r="AU193" i="7"/>
  <c r="AT193" i="7"/>
  <c r="AG193" i="7"/>
  <c r="R193" i="7"/>
  <c r="P193" i="7"/>
  <c r="O193" i="7"/>
  <c r="Q193" i="7"/>
  <c r="AZ192" i="7"/>
  <c r="AX192" i="7"/>
  <c r="AW192" i="7"/>
  <c r="AU192" i="7"/>
  <c r="AT192" i="7"/>
  <c r="AG192" i="7"/>
  <c r="P192" i="7"/>
  <c r="O192" i="7"/>
  <c r="Q192" i="7"/>
  <c r="AZ191" i="7"/>
  <c r="AX191" i="7"/>
  <c r="AW191" i="7"/>
  <c r="AU191" i="7"/>
  <c r="AT191" i="7"/>
  <c r="AG191" i="7"/>
  <c r="R191" i="7"/>
  <c r="P191" i="7"/>
  <c r="O191" i="7"/>
  <c r="Q191" i="7"/>
  <c r="AZ190" i="7"/>
  <c r="AX190" i="7"/>
  <c r="AW190" i="7"/>
  <c r="AU190" i="7"/>
  <c r="AT190" i="7"/>
  <c r="AG190" i="7"/>
  <c r="P190" i="7"/>
  <c r="O190" i="7"/>
  <c r="Q190" i="7"/>
  <c r="AZ189" i="7"/>
  <c r="AX189" i="7"/>
  <c r="AW189" i="7"/>
  <c r="AU189" i="7"/>
  <c r="AT189" i="7"/>
  <c r="AG189" i="7"/>
  <c r="R189" i="7"/>
  <c r="P189" i="7"/>
  <c r="O189" i="7"/>
  <c r="Q189" i="7"/>
  <c r="AZ188" i="7"/>
  <c r="AX188" i="7"/>
  <c r="AW188" i="7"/>
  <c r="AU188" i="7"/>
  <c r="AT188" i="7"/>
  <c r="AG188" i="7"/>
  <c r="P188" i="7"/>
  <c r="O188" i="7"/>
  <c r="Q188" i="7"/>
  <c r="AZ198" i="7"/>
  <c r="AX198" i="7"/>
  <c r="AW198" i="7"/>
  <c r="AU198" i="7"/>
  <c r="AT198" i="7"/>
  <c r="AG198" i="7"/>
  <c r="R198" i="7"/>
  <c r="P198" i="7"/>
  <c r="O198" i="7"/>
  <c r="Q198" i="7"/>
  <c r="AZ197" i="7"/>
  <c r="AX197" i="7"/>
  <c r="AW197" i="7"/>
  <c r="AU197" i="7"/>
  <c r="AT197" i="7"/>
  <c r="AG197" i="7"/>
  <c r="P197" i="7"/>
  <c r="O197" i="7"/>
  <c r="Q197" i="7"/>
  <c r="AZ182" i="7"/>
  <c r="AX182" i="7"/>
  <c r="AW182" i="7"/>
  <c r="AU182" i="7"/>
  <c r="AT182" i="7"/>
  <c r="AG182" i="7"/>
  <c r="R182" i="7"/>
  <c r="P182" i="7"/>
  <c r="O182" i="7"/>
  <c r="Q182" i="7"/>
  <c r="AZ181" i="7"/>
  <c r="AX181" i="7"/>
  <c r="AW181" i="7"/>
  <c r="AU181" i="7"/>
  <c r="AT181" i="7"/>
  <c r="AG181" i="7"/>
  <c r="P181" i="7"/>
  <c r="O181" i="7"/>
  <c r="Q181" i="7"/>
  <c r="AZ180" i="7"/>
  <c r="AX180" i="7"/>
  <c r="AW180" i="7"/>
  <c r="AU180" i="7"/>
  <c r="AT180" i="7"/>
  <c r="AG180" i="7"/>
  <c r="R180" i="7"/>
  <c r="P180" i="7"/>
  <c r="O180" i="7"/>
  <c r="Q180" i="7"/>
  <c r="AZ187" i="7"/>
  <c r="AX187" i="7"/>
  <c r="AW187" i="7"/>
  <c r="AU187" i="7"/>
  <c r="AT187" i="7"/>
  <c r="AG187" i="7"/>
  <c r="P187" i="7"/>
  <c r="O187" i="7"/>
  <c r="Q187" i="7"/>
  <c r="AZ186" i="7"/>
  <c r="AX186" i="7"/>
  <c r="AW186" i="7"/>
  <c r="AU186" i="7"/>
  <c r="AT186" i="7"/>
  <c r="AG186" i="7"/>
  <c r="R186" i="7"/>
  <c r="P186" i="7"/>
  <c r="O186" i="7"/>
  <c r="Q186" i="7"/>
  <c r="AZ185" i="7"/>
  <c r="AX185" i="7"/>
  <c r="AW185" i="7"/>
  <c r="AU185" i="7"/>
  <c r="AT185" i="7"/>
  <c r="AG185" i="7"/>
  <c r="P185" i="7"/>
  <c r="O185" i="7"/>
  <c r="Q185" i="7"/>
  <c r="AZ184" i="7"/>
  <c r="AX184" i="7"/>
  <c r="AW184" i="7"/>
  <c r="AU184" i="7"/>
  <c r="AT184" i="7"/>
  <c r="AG184" i="7"/>
  <c r="R184" i="7"/>
  <c r="P184" i="7"/>
  <c r="O184" i="7"/>
  <c r="Q184" i="7"/>
  <c r="AZ183" i="7"/>
  <c r="AX183" i="7"/>
  <c r="AW183" i="7"/>
  <c r="AU183" i="7"/>
  <c r="AT183" i="7"/>
  <c r="AG183" i="7"/>
  <c r="P183" i="7"/>
  <c r="O183" i="7"/>
  <c r="Q183" i="7"/>
  <c r="AZ179" i="7"/>
  <c r="AX179" i="7"/>
  <c r="AW179" i="7"/>
  <c r="AU179" i="7"/>
  <c r="AT179" i="7"/>
  <c r="AG179" i="7"/>
  <c r="R179" i="7"/>
  <c r="P179" i="7"/>
  <c r="O179" i="7"/>
  <c r="Q179" i="7"/>
  <c r="AZ178" i="7"/>
  <c r="AX178" i="7"/>
  <c r="AW178" i="7"/>
  <c r="AU178" i="7"/>
  <c r="AT178" i="7"/>
  <c r="AG178" i="7"/>
  <c r="P178" i="7"/>
  <c r="O178" i="7"/>
  <c r="Q178" i="7"/>
  <c r="AX173" i="7"/>
  <c r="AW173" i="7"/>
  <c r="AU173" i="7"/>
  <c r="AD173" i="7"/>
  <c r="AZ173" i="7" s="1"/>
  <c r="R173" i="7"/>
  <c r="P173" i="7"/>
  <c r="O173" i="7"/>
  <c r="Q173" i="7"/>
  <c r="AZ172" i="7"/>
  <c r="AX172" i="7"/>
  <c r="AW172" i="7"/>
  <c r="AU172" i="7"/>
  <c r="AT172" i="7"/>
  <c r="AG172" i="7"/>
  <c r="P172" i="7"/>
  <c r="O172" i="7"/>
  <c r="R172" i="7"/>
  <c r="AZ177" i="7"/>
  <c r="AX177" i="7"/>
  <c r="AW177" i="7"/>
  <c r="AU177" i="7"/>
  <c r="AT177" i="7"/>
  <c r="AG177" i="7"/>
  <c r="R177" i="7"/>
  <c r="P177" i="7"/>
  <c r="O177" i="7"/>
  <c r="Q177" i="7"/>
  <c r="AZ171" i="7"/>
  <c r="AX171" i="7"/>
  <c r="AW171" i="7"/>
  <c r="AU171" i="7"/>
  <c r="AT171" i="7"/>
  <c r="AG171" i="7"/>
  <c r="P171" i="7"/>
  <c r="O171" i="7"/>
  <c r="R171" i="7"/>
  <c r="AZ176" i="7"/>
  <c r="AX176" i="7"/>
  <c r="AW176" i="7"/>
  <c r="AU176" i="7"/>
  <c r="AT176" i="7"/>
  <c r="AG176" i="7"/>
  <c r="R176" i="7"/>
  <c r="P176" i="7"/>
  <c r="O176" i="7"/>
  <c r="Q176" i="7"/>
  <c r="AZ175" i="7"/>
  <c r="AX175" i="7"/>
  <c r="AW175" i="7"/>
  <c r="AU175" i="7"/>
  <c r="AT175" i="7"/>
  <c r="AG175" i="7"/>
  <c r="P175" i="7"/>
  <c r="O175" i="7"/>
  <c r="R175" i="7"/>
  <c r="AZ174" i="7"/>
  <c r="AX174" i="7"/>
  <c r="AW174" i="7"/>
  <c r="AU174" i="7"/>
  <c r="AT174" i="7"/>
  <c r="AG174" i="7"/>
  <c r="R174" i="7"/>
  <c r="P174" i="7"/>
  <c r="O174" i="7"/>
  <c r="Q174" i="7"/>
  <c r="AX218" i="7"/>
  <c r="AW218" i="7"/>
  <c r="AU218" i="7"/>
  <c r="AD218" i="7"/>
  <c r="AZ218" i="7" s="1"/>
  <c r="R218" i="7"/>
  <c r="P218" i="7"/>
  <c r="O218" i="7"/>
  <c r="Q218" i="7"/>
  <c r="AX217" i="7"/>
  <c r="AW217" i="7"/>
  <c r="AU217" i="7"/>
  <c r="AD217" i="7"/>
  <c r="AG217" i="7" s="1"/>
  <c r="P217" i="7"/>
  <c r="O217" i="7"/>
  <c r="R217" i="7"/>
  <c r="AZ170" i="7"/>
  <c r="AX170" i="7"/>
  <c r="AW170" i="7"/>
  <c r="AU170" i="7"/>
  <c r="AT170" i="7"/>
  <c r="AG170" i="7"/>
  <c r="R170" i="7"/>
  <c r="P170" i="7"/>
  <c r="O170" i="7"/>
  <c r="Q170" i="7"/>
  <c r="AZ169" i="7"/>
  <c r="AX169" i="7"/>
  <c r="AW169" i="7"/>
  <c r="AU169" i="7"/>
  <c r="AT169" i="7"/>
  <c r="AG169" i="7"/>
  <c r="P169" i="7"/>
  <c r="O169" i="7"/>
  <c r="R169" i="7"/>
  <c r="AZ209" i="7"/>
  <c r="AX209" i="7"/>
  <c r="AW209" i="7"/>
  <c r="AU209" i="7"/>
  <c r="AT209" i="7"/>
  <c r="AG209" i="7"/>
  <c r="R209" i="7"/>
  <c r="P209" i="7"/>
  <c r="O209" i="7"/>
  <c r="Q209" i="7"/>
  <c r="AZ168" i="7"/>
  <c r="AX168" i="7"/>
  <c r="AW168" i="7"/>
  <c r="AU168" i="7"/>
  <c r="AT168" i="7"/>
  <c r="AG168" i="7"/>
  <c r="P168" i="7"/>
  <c r="O168" i="7"/>
  <c r="R168" i="7"/>
  <c r="AZ167" i="7"/>
  <c r="AX167" i="7"/>
  <c r="AW167" i="7"/>
  <c r="AU167" i="7"/>
  <c r="AT167" i="7"/>
  <c r="AG167" i="7"/>
  <c r="R167" i="7"/>
  <c r="P167" i="7"/>
  <c r="O167" i="7"/>
  <c r="Q167" i="7"/>
  <c r="AZ208" i="7"/>
  <c r="AX208" i="7"/>
  <c r="AW208" i="7"/>
  <c r="AU208" i="7"/>
  <c r="AT208" i="7"/>
  <c r="AG208" i="7"/>
  <c r="P208" i="7"/>
  <c r="O208" i="7"/>
  <c r="R208" i="7"/>
  <c r="AZ220" i="7"/>
  <c r="AX220" i="7"/>
  <c r="AW220" i="7"/>
  <c r="AU220" i="7"/>
  <c r="AT220" i="7"/>
  <c r="AG220" i="7"/>
  <c r="R220" i="7"/>
  <c r="P220" i="7"/>
  <c r="O220" i="7"/>
  <c r="Q220" i="7"/>
  <c r="AZ166" i="7"/>
  <c r="AX166" i="7"/>
  <c r="AW166" i="7"/>
  <c r="AU166" i="7"/>
  <c r="AT166" i="7"/>
  <c r="AG166" i="7"/>
  <c r="P166" i="7"/>
  <c r="O166" i="7"/>
  <c r="R166" i="7"/>
  <c r="AZ165" i="7"/>
  <c r="AX165" i="7"/>
  <c r="AW165" i="7"/>
  <c r="AU165" i="7"/>
  <c r="AT165" i="7"/>
  <c r="AG165" i="7"/>
  <c r="R165" i="7"/>
  <c r="P165" i="7"/>
  <c r="O165" i="7"/>
  <c r="Q165" i="7"/>
  <c r="AZ164" i="7"/>
  <c r="AX164" i="7"/>
  <c r="AW164" i="7"/>
  <c r="AU164" i="7"/>
  <c r="AT164" i="7"/>
  <c r="AG164" i="7"/>
  <c r="P164" i="7"/>
  <c r="O164" i="7"/>
  <c r="R164" i="7"/>
  <c r="AZ163" i="7"/>
  <c r="AX163" i="7"/>
  <c r="AW163" i="7"/>
  <c r="AU163" i="7"/>
  <c r="AT163" i="7"/>
  <c r="AG163" i="7"/>
  <c r="R163" i="7"/>
  <c r="P163" i="7"/>
  <c r="O163" i="7"/>
  <c r="Q163" i="7"/>
  <c r="AZ160" i="7"/>
  <c r="AX160" i="7"/>
  <c r="AW160" i="7"/>
  <c r="AU160" i="7"/>
  <c r="AT160" i="7"/>
  <c r="AG160" i="7"/>
  <c r="P160" i="7"/>
  <c r="O160" i="7"/>
  <c r="R160" i="7"/>
  <c r="AZ159" i="7"/>
  <c r="AX159" i="7"/>
  <c r="AW159" i="7"/>
  <c r="AU159" i="7"/>
  <c r="AT159" i="7"/>
  <c r="AG159" i="7"/>
  <c r="P159" i="7"/>
  <c r="O159" i="7"/>
  <c r="Q159" i="7"/>
  <c r="AZ158" i="7"/>
  <c r="AX158" i="7"/>
  <c r="AW158" i="7"/>
  <c r="AU158" i="7"/>
  <c r="AT158" i="7"/>
  <c r="AG158" i="7"/>
  <c r="R158" i="7"/>
  <c r="P158" i="7"/>
  <c r="O158" i="7"/>
  <c r="Q158" i="7"/>
  <c r="AZ162" i="7"/>
  <c r="AX162" i="7"/>
  <c r="AW162" i="7"/>
  <c r="AU162" i="7"/>
  <c r="AT162" i="7"/>
  <c r="AG162" i="7"/>
  <c r="P162" i="7"/>
  <c r="O162" i="7"/>
  <c r="Q162" i="7"/>
  <c r="AZ157" i="7"/>
  <c r="AX157" i="7"/>
  <c r="AW157" i="7"/>
  <c r="AU157" i="7"/>
  <c r="AT157" i="7"/>
  <c r="AG157" i="7"/>
  <c r="R157" i="7"/>
  <c r="P157" i="7"/>
  <c r="O157" i="7"/>
  <c r="Q157" i="7"/>
  <c r="AZ144" i="7"/>
  <c r="AX144" i="7"/>
  <c r="AW144" i="7"/>
  <c r="AU144" i="7"/>
  <c r="AT144" i="7"/>
  <c r="AG144" i="7"/>
  <c r="P144" i="7"/>
  <c r="O144" i="7"/>
  <c r="Q144" i="7"/>
  <c r="AZ143" i="7"/>
  <c r="AX143" i="7"/>
  <c r="AW143" i="7"/>
  <c r="AU143" i="7"/>
  <c r="AT143" i="7"/>
  <c r="AG143" i="7"/>
  <c r="R143" i="7"/>
  <c r="P143" i="7"/>
  <c r="O143" i="7"/>
  <c r="Q143" i="7"/>
  <c r="AZ153" i="7"/>
  <c r="AX153" i="7"/>
  <c r="AW153" i="7"/>
  <c r="AU153" i="7"/>
  <c r="AT153" i="7"/>
  <c r="AG153" i="7"/>
  <c r="P153" i="7"/>
  <c r="O153" i="7"/>
  <c r="Q153" i="7"/>
  <c r="AZ142" i="7"/>
  <c r="AX142" i="7"/>
  <c r="AW142" i="7"/>
  <c r="AU142" i="7"/>
  <c r="AT142" i="7"/>
  <c r="AG142" i="7"/>
  <c r="R142" i="7"/>
  <c r="P142" i="7"/>
  <c r="O142" i="7"/>
  <c r="Q142" i="7"/>
  <c r="AZ141" i="7"/>
  <c r="AX141" i="7"/>
  <c r="AW141" i="7"/>
  <c r="AU141" i="7"/>
  <c r="AT141" i="7"/>
  <c r="AG141" i="7"/>
  <c r="P141" i="7"/>
  <c r="O141" i="7"/>
  <c r="Q141" i="7"/>
  <c r="AZ152" i="7"/>
  <c r="AX152" i="7"/>
  <c r="AW152" i="7"/>
  <c r="AU152" i="7"/>
  <c r="AT152" i="7"/>
  <c r="AG152" i="7"/>
  <c r="R152" i="7"/>
  <c r="P152" i="7"/>
  <c r="O152" i="7"/>
  <c r="Q152" i="7"/>
  <c r="AZ151" i="7"/>
  <c r="AX151" i="7"/>
  <c r="AW151" i="7"/>
  <c r="AU151" i="7"/>
  <c r="AT151" i="7"/>
  <c r="AG151" i="7"/>
  <c r="P151" i="7"/>
  <c r="O151" i="7"/>
  <c r="Q151" i="7"/>
  <c r="AZ150" i="7"/>
  <c r="AX150" i="7"/>
  <c r="AW150" i="7"/>
  <c r="AU150" i="7"/>
  <c r="AT150" i="7"/>
  <c r="AG150" i="7"/>
  <c r="R150" i="7"/>
  <c r="P150" i="7"/>
  <c r="O150" i="7"/>
  <c r="Q150" i="7"/>
  <c r="AZ147" i="7"/>
  <c r="AX147" i="7"/>
  <c r="AW147" i="7"/>
  <c r="AU147" i="7"/>
  <c r="AT147" i="7"/>
  <c r="AG147" i="7"/>
  <c r="P147" i="7"/>
  <c r="O147" i="7"/>
  <c r="Q147" i="7"/>
  <c r="AZ146" i="7"/>
  <c r="AX146" i="7"/>
  <c r="AW146" i="7"/>
  <c r="AU146" i="7"/>
  <c r="AT146" i="7"/>
  <c r="AG146" i="7"/>
  <c r="R146" i="7"/>
  <c r="P146" i="7"/>
  <c r="O146" i="7"/>
  <c r="Q146" i="7"/>
  <c r="AZ145" i="7"/>
  <c r="AX145" i="7"/>
  <c r="AW145" i="7"/>
  <c r="AU145" i="7"/>
  <c r="AT145" i="7"/>
  <c r="AG145" i="7"/>
  <c r="P145" i="7"/>
  <c r="O145" i="7"/>
  <c r="Q145" i="7"/>
  <c r="AZ140" i="7"/>
  <c r="AX140" i="7"/>
  <c r="AW140" i="7"/>
  <c r="AU140" i="7"/>
  <c r="AT140" i="7"/>
  <c r="AG140" i="7"/>
  <c r="R140" i="7"/>
  <c r="P140" i="7"/>
  <c r="O140" i="7"/>
  <c r="Q140" i="7"/>
  <c r="AZ139" i="7"/>
  <c r="AX139" i="7"/>
  <c r="AW139" i="7"/>
  <c r="AU139" i="7"/>
  <c r="AT139" i="7"/>
  <c r="AG139" i="7"/>
  <c r="P139" i="7"/>
  <c r="O139" i="7"/>
  <c r="Q139" i="7"/>
  <c r="AZ149" i="7"/>
  <c r="AX149" i="7"/>
  <c r="AW149" i="7"/>
  <c r="AU149" i="7"/>
  <c r="AT149" i="7"/>
  <c r="AG149" i="7"/>
  <c r="R149" i="7"/>
  <c r="P149" i="7"/>
  <c r="O149" i="7"/>
  <c r="Q149" i="7"/>
  <c r="AZ138" i="7"/>
  <c r="AX138" i="7"/>
  <c r="AW138" i="7"/>
  <c r="AU138" i="7"/>
  <c r="AT138" i="7"/>
  <c r="AG138" i="7"/>
  <c r="P138" i="7"/>
  <c r="O138" i="7"/>
  <c r="Q138" i="7"/>
  <c r="AZ148" i="7"/>
  <c r="AX148" i="7"/>
  <c r="AW148" i="7"/>
  <c r="AU148" i="7"/>
  <c r="AT148" i="7"/>
  <c r="AG148" i="7"/>
  <c r="R148" i="7"/>
  <c r="P148" i="7"/>
  <c r="O148" i="7"/>
  <c r="Q148" i="7"/>
  <c r="AZ156" i="7"/>
  <c r="AX156" i="7"/>
  <c r="AW156" i="7"/>
  <c r="AU156" i="7"/>
  <c r="AT156" i="7"/>
  <c r="AG156" i="7"/>
  <c r="P156" i="7"/>
  <c r="O156" i="7"/>
  <c r="Q156" i="7"/>
  <c r="AZ82" i="7"/>
  <c r="AX82" i="7"/>
  <c r="AW82" i="7"/>
  <c r="AU82" i="7"/>
  <c r="AT82" i="7"/>
  <c r="AG82" i="7"/>
  <c r="R82" i="7"/>
  <c r="P82" i="7"/>
  <c r="O82" i="7"/>
  <c r="Q82" i="7"/>
  <c r="AZ137" i="7"/>
  <c r="AX137" i="7"/>
  <c r="AW137" i="7"/>
  <c r="AU137" i="7"/>
  <c r="AT137" i="7"/>
  <c r="AG137" i="7"/>
  <c r="P137" i="7"/>
  <c r="O137" i="7"/>
  <c r="Q137" i="7"/>
  <c r="AZ136" i="7"/>
  <c r="AX136" i="7"/>
  <c r="AW136" i="7"/>
  <c r="AU136" i="7"/>
  <c r="AT136" i="7"/>
  <c r="AG136" i="7"/>
  <c r="R136" i="7"/>
  <c r="P136" i="7"/>
  <c r="O136" i="7"/>
  <c r="Q136" i="7"/>
  <c r="AZ135" i="7"/>
  <c r="AX135" i="7"/>
  <c r="AW135" i="7"/>
  <c r="AU135" i="7"/>
  <c r="AT135" i="7"/>
  <c r="AG135" i="7"/>
  <c r="P135" i="7"/>
  <c r="O135" i="7"/>
  <c r="Q135" i="7"/>
  <c r="AZ134" i="7"/>
  <c r="AX134" i="7"/>
  <c r="AW134" i="7"/>
  <c r="AU134" i="7"/>
  <c r="AT134" i="7"/>
  <c r="AG134" i="7"/>
  <c r="R134" i="7"/>
  <c r="P134" i="7"/>
  <c r="O134" i="7"/>
  <c r="Q134" i="7"/>
  <c r="AZ133" i="7"/>
  <c r="AX133" i="7"/>
  <c r="AW133" i="7"/>
  <c r="AU133" i="7"/>
  <c r="AT133" i="7"/>
  <c r="AG133" i="7"/>
  <c r="P133" i="7"/>
  <c r="O133" i="7"/>
  <c r="Q133" i="7"/>
  <c r="AZ132" i="7"/>
  <c r="AX132" i="7"/>
  <c r="AW132" i="7"/>
  <c r="AU132" i="7"/>
  <c r="AT132" i="7"/>
  <c r="AG132" i="7"/>
  <c r="R132" i="7"/>
  <c r="P132" i="7"/>
  <c r="O132" i="7"/>
  <c r="Q132" i="7"/>
  <c r="AZ131" i="7"/>
  <c r="AX131" i="7"/>
  <c r="AW131" i="7"/>
  <c r="AU131" i="7"/>
  <c r="AT131" i="7"/>
  <c r="AG131" i="7"/>
  <c r="P131" i="7"/>
  <c r="O131" i="7"/>
  <c r="Q131" i="7"/>
  <c r="AZ130" i="7"/>
  <c r="AX130" i="7"/>
  <c r="AW130" i="7"/>
  <c r="AU130" i="7"/>
  <c r="AT130" i="7"/>
  <c r="AG130" i="7"/>
  <c r="R130" i="7"/>
  <c r="P130" i="7"/>
  <c r="O130" i="7"/>
  <c r="Q130" i="7"/>
  <c r="AZ129" i="7"/>
  <c r="AX129" i="7"/>
  <c r="AW129" i="7"/>
  <c r="AU129" i="7"/>
  <c r="AT129" i="7"/>
  <c r="AG129" i="7"/>
  <c r="P129" i="7"/>
  <c r="O129" i="7"/>
  <c r="Q129" i="7"/>
  <c r="AZ128" i="7"/>
  <c r="AX128" i="7"/>
  <c r="AW128" i="7"/>
  <c r="AU128" i="7"/>
  <c r="AT128" i="7"/>
  <c r="AG128" i="7"/>
  <c r="R128" i="7"/>
  <c r="P128" i="7"/>
  <c r="O128" i="7"/>
  <c r="Q128" i="7"/>
  <c r="AZ161" i="7"/>
  <c r="AX161" i="7"/>
  <c r="AW161" i="7"/>
  <c r="AU161" i="7"/>
  <c r="AT161" i="7"/>
  <c r="AG161" i="7"/>
  <c r="P161" i="7"/>
  <c r="O161" i="7"/>
  <c r="Q161" i="7"/>
  <c r="AZ100" i="7"/>
  <c r="AX100" i="7"/>
  <c r="AW100" i="7"/>
  <c r="AU100" i="7"/>
  <c r="AT100" i="7"/>
  <c r="AG100" i="7"/>
  <c r="R100" i="7"/>
  <c r="P100" i="7"/>
  <c r="O100" i="7"/>
  <c r="Q100" i="7"/>
  <c r="AZ126" i="7"/>
  <c r="AX126" i="7"/>
  <c r="AW126" i="7"/>
  <c r="AU126" i="7"/>
  <c r="AT126" i="7"/>
  <c r="AG126" i="7"/>
  <c r="P126" i="7"/>
  <c r="O126" i="7"/>
  <c r="Q126" i="7"/>
  <c r="AZ125" i="7"/>
  <c r="AX125" i="7"/>
  <c r="AW125" i="7"/>
  <c r="AU125" i="7"/>
  <c r="AT125" i="7"/>
  <c r="AG125" i="7"/>
  <c r="R125" i="7"/>
  <c r="P125" i="7"/>
  <c r="O125" i="7"/>
  <c r="Q125" i="7"/>
  <c r="AZ124" i="7"/>
  <c r="AX124" i="7"/>
  <c r="AW124" i="7"/>
  <c r="AU124" i="7"/>
  <c r="AT124" i="7"/>
  <c r="AG124" i="7"/>
  <c r="P124" i="7"/>
  <c r="O124" i="7"/>
  <c r="Q124" i="7"/>
  <c r="AZ99" i="7"/>
  <c r="AX99" i="7"/>
  <c r="AW99" i="7"/>
  <c r="AU99" i="7"/>
  <c r="AT99" i="7"/>
  <c r="AG99" i="7"/>
  <c r="R99" i="7"/>
  <c r="P99" i="7"/>
  <c r="O99" i="7"/>
  <c r="Q99" i="7"/>
  <c r="AZ123" i="7"/>
  <c r="AX123" i="7"/>
  <c r="AW123" i="7"/>
  <c r="AU123" i="7"/>
  <c r="AT123" i="7"/>
  <c r="AG123" i="7"/>
  <c r="P123" i="7"/>
  <c r="O123" i="7"/>
  <c r="Q123" i="7"/>
  <c r="AZ120" i="7"/>
  <c r="AX120" i="7"/>
  <c r="AW120" i="7"/>
  <c r="AU120" i="7"/>
  <c r="AT120" i="7"/>
  <c r="AG120" i="7"/>
  <c r="R120" i="7"/>
  <c r="P120" i="7"/>
  <c r="O120" i="7"/>
  <c r="Q120" i="7"/>
  <c r="AZ119" i="7"/>
  <c r="AX119" i="7"/>
  <c r="AW119" i="7"/>
  <c r="AU119" i="7"/>
  <c r="AT119" i="7"/>
  <c r="AG119" i="7"/>
  <c r="P119" i="7"/>
  <c r="O119" i="7"/>
  <c r="Q119" i="7"/>
  <c r="AZ118" i="7"/>
  <c r="AX118" i="7"/>
  <c r="AW118" i="7"/>
  <c r="AU118" i="7"/>
  <c r="AT118" i="7"/>
  <c r="AG118" i="7"/>
  <c r="R118" i="7"/>
  <c r="P118" i="7"/>
  <c r="O118" i="7"/>
  <c r="Q118" i="7"/>
  <c r="AZ117" i="7"/>
  <c r="AX117" i="7"/>
  <c r="AW117" i="7"/>
  <c r="AU117" i="7"/>
  <c r="AT117" i="7"/>
  <c r="AG117" i="7"/>
  <c r="P117" i="7"/>
  <c r="O117" i="7"/>
  <c r="Q117" i="7"/>
  <c r="AZ116" i="7"/>
  <c r="AX116" i="7"/>
  <c r="AW116" i="7"/>
  <c r="AU116" i="7"/>
  <c r="AT116" i="7"/>
  <c r="AG116" i="7"/>
  <c r="R116" i="7"/>
  <c r="P116" i="7"/>
  <c r="O116" i="7"/>
  <c r="Q116" i="7"/>
  <c r="AZ115" i="7"/>
  <c r="AX115" i="7"/>
  <c r="AW115" i="7"/>
  <c r="AU115" i="7"/>
  <c r="AT115" i="7"/>
  <c r="AG115" i="7"/>
  <c r="P115" i="7"/>
  <c r="O115" i="7"/>
  <c r="Q115" i="7"/>
  <c r="AZ98" i="7"/>
  <c r="AX98" i="7"/>
  <c r="AW98" i="7"/>
  <c r="AU98" i="7"/>
  <c r="AT98" i="7"/>
  <c r="AG98" i="7"/>
  <c r="R98" i="7"/>
  <c r="P98" i="7"/>
  <c r="O98" i="7"/>
  <c r="Q98" i="7"/>
  <c r="AZ122" i="7"/>
  <c r="AX122" i="7"/>
  <c r="AW122" i="7"/>
  <c r="AU122" i="7"/>
  <c r="AT122" i="7"/>
  <c r="AG122" i="7"/>
  <c r="P122" i="7"/>
  <c r="O122" i="7"/>
  <c r="Q122" i="7"/>
  <c r="AZ114" i="7"/>
  <c r="AX114" i="7"/>
  <c r="AW114" i="7"/>
  <c r="AU114" i="7"/>
  <c r="AT114" i="7"/>
  <c r="AG114" i="7"/>
  <c r="R114" i="7"/>
  <c r="P114" i="7"/>
  <c r="O114" i="7"/>
  <c r="Q114" i="7"/>
  <c r="AZ121" i="7"/>
  <c r="AX121" i="7"/>
  <c r="AW121" i="7"/>
  <c r="AU121" i="7"/>
  <c r="AT121" i="7"/>
  <c r="AG121" i="7"/>
  <c r="P121" i="7"/>
  <c r="O121" i="7"/>
  <c r="Q121" i="7"/>
  <c r="AZ113" i="7"/>
  <c r="AX113" i="7"/>
  <c r="AW113" i="7"/>
  <c r="AU113" i="7"/>
  <c r="AT113" i="7"/>
  <c r="AG113" i="7"/>
  <c r="R113" i="7"/>
  <c r="P113" i="7"/>
  <c r="O113" i="7"/>
  <c r="Q113" i="7"/>
  <c r="AZ112" i="7"/>
  <c r="AX112" i="7"/>
  <c r="AW112" i="7"/>
  <c r="AU112" i="7"/>
  <c r="AT112" i="7"/>
  <c r="AG112" i="7"/>
  <c r="P112" i="7"/>
  <c r="O112" i="7"/>
  <c r="Q112" i="7"/>
  <c r="AZ111" i="7"/>
  <c r="AX111" i="7"/>
  <c r="AW111" i="7"/>
  <c r="AU111" i="7"/>
  <c r="AT111" i="7"/>
  <c r="AG111" i="7"/>
  <c r="R111" i="7"/>
  <c r="P111" i="7"/>
  <c r="O111" i="7"/>
  <c r="Q111" i="7"/>
  <c r="AZ110" i="7"/>
  <c r="AX110" i="7"/>
  <c r="AW110" i="7"/>
  <c r="AU110" i="7"/>
  <c r="AT110" i="7"/>
  <c r="AG110" i="7"/>
  <c r="P110" i="7"/>
  <c r="O110" i="7"/>
  <c r="Q110" i="7"/>
  <c r="AZ109" i="7"/>
  <c r="AX109" i="7"/>
  <c r="AW109" i="7"/>
  <c r="AU109" i="7"/>
  <c r="AT109" i="7"/>
  <c r="AG109" i="7"/>
  <c r="R109" i="7"/>
  <c r="P109" i="7"/>
  <c r="O109" i="7"/>
  <c r="Q109" i="7"/>
  <c r="AZ108" i="7"/>
  <c r="AX108" i="7"/>
  <c r="AW108" i="7"/>
  <c r="AU108" i="7"/>
  <c r="AT108" i="7"/>
  <c r="AG108" i="7"/>
  <c r="P108" i="7"/>
  <c r="O108" i="7"/>
  <c r="Q108" i="7"/>
  <c r="AZ107" i="7"/>
  <c r="AX107" i="7"/>
  <c r="AW107" i="7"/>
  <c r="AU107" i="7"/>
  <c r="AT107" i="7"/>
  <c r="AG107" i="7"/>
  <c r="R107" i="7"/>
  <c r="P107" i="7"/>
  <c r="O107" i="7"/>
  <c r="Q107" i="7"/>
  <c r="AZ127" i="7"/>
  <c r="AX127" i="7"/>
  <c r="AW127" i="7"/>
  <c r="AU127" i="7"/>
  <c r="AT127" i="7"/>
  <c r="AG127" i="7"/>
  <c r="P127" i="7"/>
  <c r="O127" i="7"/>
  <c r="Q127" i="7"/>
  <c r="AZ106" i="7"/>
  <c r="AX106" i="7"/>
  <c r="AW106" i="7"/>
  <c r="AU106" i="7"/>
  <c r="AT106" i="7"/>
  <c r="AG106" i="7"/>
  <c r="R106" i="7"/>
  <c r="P106" i="7"/>
  <c r="O106" i="7"/>
  <c r="Q106" i="7"/>
  <c r="AZ105" i="7"/>
  <c r="AX105" i="7"/>
  <c r="AW105" i="7"/>
  <c r="AU105" i="7"/>
  <c r="AT105" i="7"/>
  <c r="AG105" i="7"/>
  <c r="P105" i="7"/>
  <c r="O105" i="7"/>
  <c r="Q105" i="7"/>
  <c r="AZ94" i="7"/>
  <c r="AX94" i="7"/>
  <c r="AW94" i="7"/>
  <c r="AU94" i="7"/>
  <c r="AT94" i="7"/>
  <c r="AD94" i="7"/>
  <c r="AG94" i="7" s="1"/>
  <c r="R94" i="7"/>
  <c r="P94" i="7"/>
  <c r="O94" i="7"/>
  <c r="Q94" i="7"/>
  <c r="AZ85" i="7"/>
  <c r="AX85" i="7"/>
  <c r="AW85" i="7"/>
  <c r="AU85" i="7"/>
  <c r="AT85" i="7"/>
  <c r="AG85" i="7"/>
  <c r="P85" i="7"/>
  <c r="O85" i="7"/>
  <c r="R85" i="7"/>
  <c r="AZ93" i="7"/>
  <c r="AX93" i="7"/>
  <c r="AW93" i="7"/>
  <c r="AU93" i="7"/>
  <c r="AT93" i="7"/>
  <c r="AG93" i="7"/>
  <c r="R93" i="7"/>
  <c r="P93" i="7"/>
  <c r="O93" i="7"/>
  <c r="Q93" i="7"/>
  <c r="AZ92" i="7"/>
  <c r="AX92" i="7"/>
  <c r="AW92" i="7"/>
  <c r="AU92" i="7"/>
  <c r="AT92" i="7"/>
  <c r="AG92" i="7"/>
  <c r="P92" i="7"/>
  <c r="O92" i="7"/>
  <c r="R92" i="7"/>
  <c r="AZ91" i="7"/>
  <c r="AX91" i="7"/>
  <c r="AW91" i="7"/>
  <c r="AU91" i="7"/>
  <c r="AT91" i="7"/>
  <c r="AG91" i="7"/>
  <c r="R91" i="7"/>
  <c r="P91" i="7"/>
  <c r="O91" i="7"/>
  <c r="Q91" i="7"/>
  <c r="AZ90" i="7"/>
  <c r="AX90" i="7"/>
  <c r="AW90" i="7"/>
  <c r="AU90" i="7"/>
  <c r="AT90" i="7"/>
  <c r="AG90" i="7"/>
  <c r="P90" i="7"/>
  <c r="O90" i="7"/>
  <c r="R90" i="7"/>
  <c r="AZ89" i="7"/>
  <c r="AX89" i="7"/>
  <c r="AW89" i="7"/>
  <c r="AU89" i="7"/>
  <c r="AT89" i="7"/>
  <c r="AG89" i="7"/>
  <c r="R89" i="7"/>
  <c r="P89" i="7"/>
  <c r="O89" i="7"/>
  <c r="Q89" i="7"/>
  <c r="AZ97" i="7"/>
  <c r="AX97" i="7"/>
  <c r="AW97" i="7"/>
  <c r="AU97" i="7"/>
  <c r="AT97" i="7"/>
  <c r="AG97" i="7"/>
  <c r="P97" i="7"/>
  <c r="O97" i="7"/>
  <c r="R97" i="7"/>
  <c r="AZ96" i="7"/>
  <c r="AX96" i="7"/>
  <c r="AW96" i="7"/>
  <c r="AU96" i="7"/>
  <c r="AT96" i="7"/>
  <c r="AG96" i="7"/>
  <c r="R96" i="7"/>
  <c r="P96" i="7"/>
  <c r="O96" i="7"/>
  <c r="Q96" i="7"/>
  <c r="AZ95" i="7"/>
  <c r="AX95" i="7"/>
  <c r="AW95" i="7"/>
  <c r="AU95" i="7"/>
  <c r="AT95" i="7"/>
  <c r="AG95" i="7"/>
  <c r="P95" i="7"/>
  <c r="O95" i="7"/>
  <c r="R95" i="7"/>
  <c r="AZ104" i="7"/>
  <c r="AX104" i="7"/>
  <c r="AW104" i="7"/>
  <c r="AU104" i="7"/>
  <c r="AT104" i="7"/>
  <c r="AG104" i="7"/>
  <c r="R104" i="7"/>
  <c r="P104" i="7"/>
  <c r="O104" i="7"/>
  <c r="Q104" i="7"/>
  <c r="AZ103" i="7"/>
  <c r="AX103" i="7"/>
  <c r="AW103" i="7"/>
  <c r="AU103" i="7"/>
  <c r="AT103" i="7"/>
  <c r="AG103" i="7"/>
  <c r="P103" i="7"/>
  <c r="O103" i="7"/>
  <c r="R103" i="7"/>
  <c r="AZ88" i="7"/>
  <c r="AX88" i="7"/>
  <c r="AW88" i="7"/>
  <c r="AU88" i="7"/>
  <c r="AT88" i="7"/>
  <c r="AG88" i="7"/>
  <c r="R88" i="7"/>
  <c r="P88" i="7"/>
  <c r="O88" i="7"/>
  <c r="Q88" i="7"/>
  <c r="AZ87" i="7"/>
  <c r="AX87" i="7"/>
  <c r="AW87" i="7"/>
  <c r="AU87" i="7"/>
  <c r="AT87" i="7"/>
  <c r="AG87" i="7"/>
  <c r="P87" i="7"/>
  <c r="O87" i="7"/>
  <c r="R87" i="7"/>
  <c r="AZ86" i="7"/>
  <c r="AX86" i="7"/>
  <c r="AW86" i="7"/>
  <c r="AU86" i="7"/>
  <c r="AT86" i="7"/>
  <c r="AG86" i="7"/>
  <c r="R86" i="7"/>
  <c r="P86" i="7"/>
  <c r="O86" i="7"/>
  <c r="Q86" i="7"/>
  <c r="AZ84" i="7"/>
  <c r="AX84" i="7"/>
  <c r="AW84" i="7"/>
  <c r="AU84" i="7"/>
  <c r="AT84" i="7"/>
  <c r="AG84" i="7"/>
  <c r="P84" i="7"/>
  <c r="O84" i="7"/>
  <c r="R84" i="7"/>
  <c r="AZ83" i="7"/>
  <c r="AX83" i="7"/>
  <c r="AW83" i="7"/>
  <c r="AU83" i="7"/>
  <c r="AT83" i="7"/>
  <c r="AG83" i="7"/>
  <c r="R83" i="7"/>
  <c r="P83" i="7"/>
  <c r="O83" i="7"/>
  <c r="Q83" i="7"/>
  <c r="AX102" i="7"/>
  <c r="AW102" i="7"/>
  <c r="AU102" i="7"/>
  <c r="AD102" i="7"/>
  <c r="AZ102" i="7" s="1"/>
  <c r="R102" i="7"/>
  <c r="P102" i="7"/>
  <c r="O102" i="7"/>
  <c r="Q102" i="7"/>
  <c r="AZ101" i="7"/>
  <c r="AX101" i="7"/>
  <c r="AW101" i="7"/>
  <c r="AU101" i="7"/>
  <c r="AT101" i="7"/>
  <c r="AG101" i="7"/>
  <c r="P101" i="7"/>
  <c r="O101" i="7"/>
  <c r="Q101" i="7"/>
  <c r="AZ81" i="7"/>
  <c r="AX81" i="7"/>
  <c r="AW81" i="7"/>
  <c r="AU81" i="7"/>
  <c r="AT81" i="7"/>
  <c r="AG81" i="7"/>
  <c r="R81" i="7"/>
  <c r="P81" i="7"/>
  <c r="O81" i="7"/>
  <c r="Q81" i="7"/>
  <c r="AZ80" i="7"/>
  <c r="AX80" i="7"/>
  <c r="AW80" i="7"/>
  <c r="AU80" i="7"/>
  <c r="AT80" i="7"/>
  <c r="AG80" i="7"/>
  <c r="P80" i="7"/>
  <c r="O80" i="7"/>
  <c r="Q80" i="7"/>
  <c r="AZ79" i="7"/>
  <c r="AX79" i="7"/>
  <c r="AW79" i="7"/>
  <c r="AU79" i="7"/>
  <c r="AT79" i="7"/>
  <c r="AG79" i="7"/>
  <c r="R79" i="7"/>
  <c r="P79" i="7"/>
  <c r="O79" i="7"/>
  <c r="Q79" i="7"/>
  <c r="AZ78" i="7"/>
  <c r="AX78" i="7"/>
  <c r="AW78" i="7"/>
  <c r="AU78" i="7"/>
  <c r="AT78" i="7"/>
  <c r="AG78" i="7"/>
  <c r="P78" i="7"/>
  <c r="O78" i="7"/>
  <c r="Q78" i="7"/>
  <c r="AZ77" i="7"/>
  <c r="AX77" i="7"/>
  <c r="AW77" i="7"/>
  <c r="AU77" i="7"/>
  <c r="AT77" i="7"/>
  <c r="AG77" i="7"/>
  <c r="R77" i="7"/>
  <c r="P77" i="7"/>
  <c r="O77" i="7"/>
  <c r="Q77" i="7"/>
  <c r="AZ76" i="7"/>
  <c r="AX76" i="7"/>
  <c r="AW76" i="7"/>
  <c r="AU76" i="7"/>
  <c r="AT76" i="7"/>
  <c r="AG76" i="7"/>
  <c r="P76" i="7"/>
  <c r="O76" i="7"/>
  <c r="Q76" i="7"/>
  <c r="AZ75" i="7"/>
  <c r="AX75" i="7"/>
  <c r="AW75" i="7"/>
  <c r="AU75" i="7"/>
  <c r="AT75" i="7"/>
  <c r="AG75" i="7"/>
  <c r="R75" i="7"/>
  <c r="P75" i="7"/>
  <c r="O75" i="7"/>
  <c r="Q75" i="7"/>
  <c r="AZ74" i="7"/>
  <c r="AX74" i="7"/>
  <c r="AW74" i="7"/>
  <c r="AU74" i="7"/>
  <c r="AT74" i="7"/>
  <c r="AG74" i="7"/>
  <c r="P74" i="7"/>
  <c r="O74" i="7"/>
  <c r="Q74" i="7"/>
  <c r="AZ73" i="7"/>
  <c r="AX73" i="7"/>
  <c r="AW73" i="7"/>
  <c r="AU73" i="7"/>
  <c r="AT73" i="7"/>
  <c r="AG73" i="7"/>
  <c r="R73" i="7"/>
  <c r="P73" i="7"/>
  <c r="O73" i="7"/>
  <c r="Q73" i="7"/>
  <c r="AZ72" i="7"/>
  <c r="AX72" i="7"/>
  <c r="AW72" i="7"/>
  <c r="AU72" i="7"/>
  <c r="AT72" i="7"/>
  <c r="AG72" i="7"/>
  <c r="R72" i="7"/>
  <c r="Q72" i="7"/>
  <c r="P72" i="7"/>
  <c r="O72" i="7"/>
  <c r="AZ71" i="7"/>
  <c r="AX71" i="7"/>
  <c r="AW71" i="7"/>
  <c r="AU71" i="7"/>
  <c r="AT71" i="7"/>
  <c r="AG71" i="7"/>
  <c r="P71" i="7"/>
  <c r="O71" i="7"/>
  <c r="R71" i="7"/>
  <c r="AZ70" i="7"/>
  <c r="AX70" i="7"/>
  <c r="AW70" i="7"/>
  <c r="AU70" i="7"/>
  <c r="AT70" i="7"/>
  <c r="AG70" i="7"/>
  <c r="R70" i="7"/>
  <c r="P70" i="7"/>
  <c r="O70" i="7"/>
  <c r="Q70" i="7"/>
  <c r="AZ69" i="7"/>
  <c r="AX69" i="7"/>
  <c r="AW69" i="7"/>
  <c r="AU69" i="7"/>
  <c r="AT69" i="7"/>
  <c r="AG69" i="7"/>
  <c r="P69" i="7"/>
  <c r="O69" i="7"/>
  <c r="R69" i="7"/>
  <c r="AZ68" i="7"/>
  <c r="AX68" i="7"/>
  <c r="AW68" i="7"/>
  <c r="AU68" i="7"/>
  <c r="AT68" i="7"/>
  <c r="AG68" i="7"/>
  <c r="R68" i="7"/>
  <c r="P68" i="7"/>
  <c r="O68" i="7"/>
  <c r="Q68" i="7"/>
  <c r="AZ45" i="7"/>
  <c r="AX45" i="7"/>
  <c r="AW45" i="7"/>
  <c r="AU45" i="7"/>
  <c r="AT45" i="7"/>
  <c r="AG45" i="7"/>
  <c r="R45" i="7"/>
  <c r="U45" i="7" s="1"/>
  <c r="P45" i="7"/>
  <c r="O45" i="7"/>
  <c r="Q45" i="7"/>
  <c r="AZ67" i="7"/>
  <c r="AX67" i="7"/>
  <c r="AW67" i="7"/>
  <c r="AU67" i="7"/>
  <c r="AT67" i="7"/>
  <c r="AG67" i="7"/>
  <c r="R67" i="7"/>
  <c r="U67" i="7" s="1"/>
  <c r="P67" i="7"/>
  <c r="O67" i="7"/>
  <c r="Q67" i="7"/>
  <c r="AZ65" i="7"/>
  <c r="AX65" i="7"/>
  <c r="AW65" i="7"/>
  <c r="AU65" i="7"/>
  <c r="AT65" i="7"/>
  <c r="AG65" i="7"/>
  <c r="R65" i="7"/>
  <c r="U65" i="7" s="1"/>
  <c r="P65" i="7"/>
  <c r="O65" i="7"/>
  <c r="Q65" i="7"/>
  <c r="AZ64" i="7"/>
  <c r="AX64" i="7"/>
  <c r="AW64" i="7"/>
  <c r="AU64" i="7"/>
  <c r="AT64" i="7"/>
  <c r="AG64" i="7"/>
  <c r="R64" i="7"/>
  <c r="U64" i="7" s="1"/>
  <c r="P64" i="7"/>
  <c r="O64" i="7"/>
  <c r="Q64" i="7"/>
  <c r="AZ63" i="7"/>
  <c r="AX63" i="7"/>
  <c r="AW63" i="7"/>
  <c r="AU63" i="7"/>
  <c r="AT63" i="7"/>
  <c r="AG63" i="7"/>
  <c r="R63" i="7"/>
  <c r="U63" i="7" s="1"/>
  <c r="P63" i="7"/>
  <c r="O63" i="7"/>
  <c r="Q63" i="7"/>
  <c r="AZ62" i="7"/>
  <c r="AX62" i="7"/>
  <c r="AW62" i="7"/>
  <c r="AU62" i="7"/>
  <c r="AT62" i="7"/>
  <c r="AG62" i="7"/>
  <c r="R62" i="7"/>
  <c r="U62" i="7" s="1"/>
  <c r="P62" i="7"/>
  <c r="O62" i="7"/>
  <c r="Q62" i="7"/>
  <c r="AZ61" i="7"/>
  <c r="AX61" i="7"/>
  <c r="AW61" i="7"/>
  <c r="AU61" i="7"/>
  <c r="AT61" i="7"/>
  <c r="AG61" i="7"/>
  <c r="R61" i="7"/>
  <c r="U61" i="7" s="1"/>
  <c r="P61" i="7"/>
  <c r="O61" i="7"/>
  <c r="Q61" i="7"/>
  <c r="AZ60" i="7"/>
  <c r="AX60" i="7"/>
  <c r="AW60" i="7"/>
  <c r="AU60" i="7"/>
  <c r="AT60" i="7"/>
  <c r="AG60" i="7"/>
  <c r="R60" i="7"/>
  <c r="U60" i="7" s="1"/>
  <c r="P60" i="7"/>
  <c r="O60" i="7"/>
  <c r="Q60" i="7"/>
  <c r="AZ37" i="7"/>
  <c r="AX37" i="7"/>
  <c r="AW37" i="7"/>
  <c r="AU37" i="7"/>
  <c r="AT37" i="7"/>
  <c r="AG37" i="7"/>
  <c r="R37" i="7"/>
  <c r="U37" i="7" s="1"/>
  <c r="P37" i="7"/>
  <c r="O37" i="7"/>
  <c r="Q37" i="7"/>
  <c r="AZ59" i="7"/>
  <c r="AX59" i="7"/>
  <c r="AW59" i="7"/>
  <c r="AU59" i="7"/>
  <c r="AT59" i="7"/>
  <c r="AG59" i="7"/>
  <c r="R59" i="7"/>
  <c r="U59" i="7" s="1"/>
  <c r="P59" i="7"/>
  <c r="O59" i="7"/>
  <c r="Q59" i="7"/>
  <c r="AZ58" i="7"/>
  <c r="AX58" i="7"/>
  <c r="AW58" i="7"/>
  <c r="AU58" i="7"/>
  <c r="AT58" i="7"/>
  <c r="AG58" i="7"/>
  <c r="R58" i="7"/>
  <c r="U58" i="7" s="1"/>
  <c r="P58" i="7"/>
  <c r="O58" i="7"/>
  <c r="Q58" i="7"/>
  <c r="AZ57" i="7"/>
  <c r="AX57" i="7"/>
  <c r="AW57" i="7"/>
  <c r="AU57" i="7"/>
  <c r="AT57" i="7"/>
  <c r="AG57" i="7"/>
  <c r="R57" i="7"/>
  <c r="U57" i="7" s="1"/>
  <c r="P57" i="7"/>
  <c r="O57" i="7"/>
  <c r="Q57" i="7"/>
  <c r="AZ56" i="7"/>
  <c r="AX56" i="7"/>
  <c r="AW56" i="7"/>
  <c r="AU56" i="7"/>
  <c r="AT56" i="7"/>
  <c r="AG56" i="7"/>
  <c r="R56" i="7"/>
  <c r="U56" i="7" s="1"/>
  <c r="P56" i="7"/>
  <c r="O56" i="7"/>
  <c r="Q56" i="7"/>
  <c r="AZ55" i="7"/>
  <c r="AX55" i="7"/>
  <c r="AW55" i="7"/>
  <c r="AU55" i="7"/>
  <c r="AT55" i="7"/>
  <c r="AG55" i="7"/>
  <c r="R55" i="7"/>
  <c r="U55" i="7" s="1"/>
  <c r="P55" i="7"/>
  <c r="O55" i="7"/>
  <c r="Q55" i="7"/>
  <c r="AZ54" i="7"/>
  <c r="AX54" i="7"/>
  <c r="AW54" i="7"/>
  <c r="AU54" i="7"/>
  <c r="AT54" i="7"/>
  <c r="AG54" i="7"/>
  <c r="R54" i="7"/>
  <c r="U54" i="7" s="1"/>
  <c r="P54" i="7"/>
  <c r="O54" i="7"/>
  <c r="Q54" i="7"/>
  <c r="AZ53" i="7"/>
  <c r="AX53" i="7"/>
  <c r="AW53" i="7"/>
  <c r="AU53" i="7"/>
  <c r="AT53" i="7"/>
  <c r="AG53" i="7"/>
  <c r="R53" i="7"/>
  <c r="U53" i="7" s="1"/>
  <c r="P53" i="7"/>
  <c r="O53" i="7"/>
  <c r="Q53" i="7"/>
  <c r="AZ52" i="7"/>
  <c r="AX52" i="7"/>
  <c r="AW52" i="7"/>
  <c r="AU52" i="7"/>
  <c r="AT52" i="7"/>
  <c r="AG52" i="7"/>
  <c r="R52" i="7"/>
  <c r="U52" i="7" s="1"/>
  <c r="P52" i="7"/>
  <c r="O52" i="7"/>
  <c r="Q52" i="7"/>
  <c r="AZ51" i="7"/>
  <c r="AX51" i="7"/>
  <c r="AW51" i="7"/>
  <c r="AU51" i="7"/>
  <c r="AT51" i="7"/>
  <c r="AG51" i="7"/>
  <c r="R51" i="7"/>
  <c r="U51" i="7" s="1"/>
  <c r="P51" i="7"/>
  <c r="O51" i="7"/>
  <c r="Q51" i="7"/>
  <c r="AZ50" i="7"/>
  <c r="AX50" i="7"/>
  <c r="AW50" i="7"/>
  <c r="AU50" i="7"/>
  <c r="AT50" i="7"/>
  <c r="AG50" i="7"/>
  <c r="R50" i="7"/>
  <c r="U50" i="7" s="1"/>
  <c r="P50" i="7"/>
  <c r="O50" i="7"/>
  <c r="Q50" i="7"/>
  <c r="AZ49" i="7"/>
  <c r="AX49" i="7"/>
  <c r="AW49" i="7"/>
  <c r="AU49" i="7"/>
  <c r="AT49" i="7"/>
  <c r="AG49" i="7"/>
  <c r="R49" i="7"/>
  <c r="U49" i="7" s="1"/>
  <c r="P49" i="7"/>
  <c r="O49" i="7"/>
  <c r="Q49" i="7"/>
  <c r="AZ48" i="7"/>
  <c r="AX48" i="7"/>
  <c r="AW48" i="7"/>
  <c r="AU48" i="7"/>
  <c r="AT48" i="7"/>
  <c r="AG48" i="7"/>
  <c r="R48" i="7"/>
  <c r="Q48" i="7"/>
  <c r="T48" i="7" s="1"/>
  <c r="P48" i="7"/>
  <c r="O48" i="7"/>
  <c r="AZ46" i="7"/>
  <c r="AX46" i="7"/>
  <c r="AW46" i="7"/>
  <c r="AU46" i="7"/>
  <c r="AT46" i="7"/>
  <c r="AG46" i="7"/>
  <c r="P46" i="7"/>
  <c r="O46" i="7"/>
  <c r="R46" i="7"/>
  <c r="U46" i="7" s="1"/>
  <c r="AZ44" i="7"/>
  <c r="AX44" i="7"/>
  <c r="AW44" i="7"/>
  <c r="AU44" i="7"/>
  <c r="AT44" i="7"/>
  <c r="AG44" i="7"/>
  <c r="P44" i="7"/>
  <c r="O44" i="7"/>
  <c r="R44" i="7"/>
  <c r="U44" i="7" s="1"/>
  <c r="AZ47" i="7"/>
  <c r="AX47" i="7"/>
  <c r="AW47" i="7"/>
  <c r="AU47" i="7"/>
  <c r="AT47" i="7"/>
  <c r="AG47" i="7"/>
  <c r="P47" i="7"/>
  <c r="O47" i="7"/>
  <c r="R47" i="7"/>
  <c r="U47" i="7" s="1"/>
  <c r="AZ42" i="7"/>
  <c r="AX42" i="7"/>
  <c r="AW42" i="7"/>
  <c r="AU42" i="7"/>
  <c r="AT42" i="7"/>
  <c r="AG42" i="7"/>
  <c r="P42" i="7"/>
  <c r="O42" i="7"/>
  <c r="R42" i="7"/>
  <c r="U42" i="7" s="1"/>
  <c r="AZ41" i="7"/>
  <c r="AX41" i="7"/>
  <c r="AW41" i="7"/>
  <c r="AU41" i="7"/>
  <c r="AT41" i="7"/>
  <c r="AG41" i="7"/>
  <c r="P41" i="7"/>
  <c r="O41" i="7"/>
  <c r="R41" i="7"/>
  <c r="U41" i="7" s="1"/>
  <c r="AZ40" i="7"/>
  <c r="AX40" i="7"/>
  <c r="AW40" i="7"/>
  <c r="AU40" i="7"/>
  <c r="AT40" i="7"/>
  <c r="AG40" i="7"/>
  <c r="P40" i="7"/>
  <c r="O40" i="7"/>
  <c r="R40" i="7"/>
  <c r="U40" i="7" s="1"/>
  <c r="AZ39" i="7"/>
  <c r="AX39" i="7"/>
  <c r="AW39" i="7"/>
  <c r="AU39" i="7"/>
  <c r="AT39" i="7"/>
  <c r="AG39" i="7"/>
  <c r="P39" i="7"/>
  <c r="O39" i="7"/>
  <c r="R39" i="7"/>
  <c r="U39" i="7" s="1"/>
  <c r="AZ38" i="7"/>
  <c r="AX38" i="7"/>
  <c r="AW38" i="7"/>
  <c r="AU38" i="7"/>
  <c r="AT38" i="7"/>
  <c r="AG38" i="7"/>
  <c r="P38" i="7"/>
  <c r="O38" i="7"/>
  <c r="R38" i="7"/>
  <c r="U38" i="7" s="1"/>
  <c r="AZ43" i="7"/>
  <c r="AX43" i="7"/>
  <c r="AW43" i="7"/>
  <c r="AU43" i="7"/>
  <c r="AT43" i="7"/>
  <c r="AG43" i="7"/>
  <c r="P43" i="7"/>
  <c r="O43" i="7"/>
  <c r="R43" i="7"/>
  <c r="U43" i="7" s="1"/>
  <c r="AZ36" i="7"/>
  <c r="AX36" i="7"/>
  <c r="AW36" i="7"/>
  <c r="AU36" i="7"/>
  <c r="AT36" i="7"/>
  <c r="AG36" i="7"/>
  <c r="R36" i="7"/>
  <c r="U36" i="7" s="1"/>
  <c r="P36" i="7"/>
  <c r="O36" i="7"/>
  <c r="Q36" i="7"/>
  <c r="AZ35" i="7"/>
  <c r="AX35" i="7"/>
  <c r="AW35" i="7"/>
  <c r="AU35" i="7"/>
  <c r="AT35" i="7"/>
  <c r="AG35" i="7"/>
  <c r="R35" i="7"/>
  <c r="U35" i="7" s="1"/>
  <c r="P35" i="7"/>
  <c r="O35" i="7"/>
  <c r="Q35" i="7"/>
  <c r="AZ66" i="7"/>
  <c r="AX66" i="7"/>
  <c r="AW66" i="7"/>
  <c r="AU66" i="7"/>
  <c r="AT66" i="7"/>
  <c r="AG66" i="7"/>
  <c r="R66" i="7"/>
  <c r="U66" i="7" s="1"/>
  <c r="P66" i="7"/>
  <c r="O66" i="7"/>
  <c r="Q66" i="7"/>
  <c r="AX34" i="7"/>
  <c r="AW34" i="7"/>
  <c r="AU34" i="7"/>
  <c r="AD34" i="7"/>
  <c r="AG34" i="7" s="1"/>
  <c r="R34" i="7"/>
  <c r="U34" i="7" s="1"/>
  <c r="P34" i="7"/>
  <c r="O34" i="7"/>
  <c r="Q34" i="7"/>
  <c r="AZ33" i="7"/>
  <c r="AX33" i="7"/>
  <c r="AW33" i="7"/>
  <c r="AU33" i="7"/>
  <c r="AT33" i="7"/>
  <c r="AG33" i="7"/>
  <c r="R33" i="7"/>
  <c r="U33" i="7" s="1"/>
  <c r="P33" i="7"/>
  <c r="O33" i="7"/>
  <c r="Q33" i="7"/>
  <c r="AZ32" i="7"/>
  <c r="AX32" i="7"/>
  <c r="AW32" i="7"/>
  <c r="AU32" i="7"/>
  <c r="AT32" i="7"/>
  <c r="AG32" i="7"/>
  <c r="R32" i="7"/>
  <c r="U32" i="7" s="1"/>
  <c r="P32" i="7"/>
  <c r="O32" i="7"/>
  <c r="Q32" i="7"/>
  <c r="AZ31" i="7"/>
  <c r="AX31" i="7"/>
  <c r="AW31" i="7"/>
  <c r="AU31" i="7"/>
  <c r="AT31" i="7"/>
  <c r="AG31" i="7"/>
  <c r="R31" i="7"/>
  <c r="U31" i="7" s="1"/>
  <c r="P31" i="7"/>
  <c r="O31" i="7"/>
  <c r="Q31" i="7"/>
  <c r="AZ30" i="7"/>
  <c r="AX30" i="7"/>
  <c r="AW30" i="7"/>
  <c r="AU30" i="7"/>
  <c r="AT30" i="7"/>
  <c r="AG30" i="7"/>
  <c r="R30" i="7"/>
  <c r="U30" i="7" s="1"/>
  <c r="P30" i="7"/>
  <c r="O30" i="7"/>
  <c r="Q30" i="7"/>
  <c r="AZ29" i="7"/>
  <c r="AX29" i="7"/>
  <c r="AW29" i="7"/>
  <c r="AU29" i="7"/>
  <c r="AT29" i="7"/>
  <c r="AG29" i="7"/>
  <c r="R29" i="7"/>
  <c r="U29" i="7" s="1"/>
  <c r="P29" i="7"/>
  <c r="O29" i="7"/>
  <c r="Q29" i="7"/>
  <c r="AZ28" i="7"/>
  <c r="AX28" i="7"/>
  <c r="AW28" i="7"/>
  <c r="AU28" i="7"/>
  <c r="AT28" i="7"/>
  <c r="AN28" i="7"/>
  <c r="AG28" i="7"/>
  <c r="R28" i="7"/>
  <c r="U28" i="7" s="1"/>
  <c r="P28" i="7"/>
  <c r="O28" i="7"/>
  <c r="Q28" i="7"/>
  <c r="AZ27" i="7"/>
  <c r="AX27" i="7"/>
  <c r="AW27" i="7"/>
  <c r="AU27" i="7"/>
  <c r="AT27" i="7"/>
  <c r="AG27" i="7"/>
  <c r="R27" i="7"/>
  <c r="U27" i="7" s="1"/>
  <c r="P27" i="7"/>
  <c r="O27" i="7"/>
  <c r="Q27" i="7"/>
  <c r="AZ18" i="7"/>
  <c r="AX18" i="7"/>
  <c r="AW18" i="7"/>
  <c r="AU18" i="7"/>
  <c r="AT18" i="7"/>
  <c r="AG18" i="7"/>
  <c r="R18" i="7"/>
  <c r="U18" i="7" s="1"/>
  <c r="P18" i="7"/>
  <c r="O18" i="7"/>
  <c r="Q18" i="7"/>
  <c r="AZ17" i="7"/>
  <c r="AX17" i="7"/>
  <c r="AW17" i="7"/>
  <c r="AU17" i="7"/>
  <c r="AT17" i="7"/>
  <c r="AG17" i="7"/>
  <c r="R17" i="7"/>
  <c r="U17" i="7" s="1"/>
  <c r="P17" i="7"/>
  <c r="O17" i="7"/>
  <c r="Q17" i="7"/>
  <c r="AZ16" i="7"/>
  <c r="AX16" i="7"/>
  <c r="AW16" i="7"/>
  <c r="AU16" i="7"/>
  <c r="AT16" i="7"/>
  <c r="AG16" i="7"/>
  <c r="R16" i="7"/>
  <c r="U16" i="7" s="1"/>
  <c r="P16" i="7"/>
  <c r="O16" i="7"/>
  <c r="Q16" i="7"/>
  <c r="AZ15" i="7"/>
  <c r="AX15" i="7"/>
  <c r="AW15" i="7"/>
  <c r="AU15" i="7"/>
  <c r="AT15" i="7"/>
  <c r="AG15" i="7"/>
  <c r="R15" i="7"/>
  <c r="U15" i="7" s="1"/>
  <c r="P15" i="7"/>
  <c r="O15" i="7"/>
  <c r="Q15" i="7"/>
  <c r="AZ14" i="7"/>
  <c r="AX14" i="7"/>
  <c r="AW14" i="7"/>
  <c r="AU14" i="7"/>
  <c r="AT14" i="7"/>
  <c r="AG14" i="7"/>
  <c r="R14" i="7"/>
  <c r="U14" i="7" s="1"/>
  <c r="P14" i="7"/>
  <c r="O14" i="7"/>
  <c r="Q14" i="7"/>
  <c r="AZ13" i="7"/>
  <c r="AX13" i="7"/>
  <c r="AW13" i="7"/>
  <c r="AU13" i="7"/>
  <c r="AT13" i="7"/>
  <c r="AG13" i="7"/>
  <c r="R13" i="7"/>
  <c r="U13" i="7" s="1"/>
  <c r="P13" i="7"/>
  <c r="O13" i="7"/>
  <c r="Q13" i="7"/>
  <c r="AZ12" i="7"/>
  <c r="AX12" i="7"/>
  <c r="AW12" i="7"/>
  <c r="AU12" i="7"/>
  <c r="AT12" i="7"/>
  <c r="AG12" i="7"/>
  <c r="R12" i="7"/>
  <c r="U12" i="7" s="1"/>
  <c r="P12" i="7"/>
  <c r="O12" i="7"/>
  <c r="Q12" i="7"/>
  <c r="AZ26" i="7"/>
  <c r="AX26" i="7"/>
  <c r="AW26" i="7"/>
  <c r="AU26" i="7"/>
  <c r="AT26" i="7"/>
  <c r="AG26" i="7"/>
  <c r="R26" i="7"/>
  <c r="U26" i="7" s="1"/>
  <c r="P26" i="7"/>
  <c r="O26" i="7"/>
  <c r="Q26" i="7"/>
  <c r="AZ25" i="7"/>
  <c r="AX25" i="7"/>
  <c r="AW25" i="7"/>
  <c r="AU25" i="7"/>
  <c r="AT25" i="7"/>
  <c r="AG25" i="7"/>
  <c r="R25" i="7"/>
  <c r="U25" i="7" s="1"/>
  <c r="P25" i="7"/>
  <c r="O25" i="7"/>
  <c r="Q25" i="7"/>
  <c r="AZ24" i="7"/>
  <c r="AX24" i="7"/>
  <c r="AW24" i="7"/>
  <c r="AU24" i="7"/>
  <c r="AT24" i="7"/>
  <c r="AG24" i="7"/>
  <c r="R24" i="7"/>
  <c r="U24" i="7" s="1"/>
  <c r="P24" i="7"/>
  <c r="O24" i="7"/>
  <c r="Q24" i="7"/>
  <c r="AZ23" i="7"/>
  <c r="AX23" i="7"/>
  <c r="AW23" i="7"/>
  <c r="AU23" i="7"/>
  <c r="AT23" i="7"/>
  <c r="AG23" i="7"/>
  <c r="R23" i="7"/>
  <c r="U23" i="7" s="1"/>
  <c r="P23" i="7"/>
  <c r="O23" i="7"/>
  <c r="Q23" i="7"/>
  <c r="AZ11" i="7"/>
  <c r="AX11" i="7"/>
  <c r="AW11" i="7"/>
  <c r="AU11" i="7"/>
  <c r="AT11" i="7"/>
  <c r="AG11" i="7"/>
  <c r="R11" i="7"/>
  <c r="U11" i="7" s="1"/>
  <c r="P11" i="7"/>
  <c r="O11" i="7"/>
  <c r="Q11" i="7"/>
  <c r="AZ22" i="7"/>
  <c r="AX22" i="7"/>
  <c r="AW22" i="7"/>
  <c r="AU22" i="7"/>
  <c r="AT22" i="7"/>
  <c r="AG22" i="7"/>
  <c r="AD22" i="7"/>
  <c r="P22" i="7"/>
  <c r="O22" i="7"/>
  <c r="R22" i="7"/>
  <c r="U22" i="7" s="1"/>
  <c r="AZ21" i="7"/>
  <c r="AX21" i="7"/>
  <c r="AW21" i="7"/>
  <c r="AU21" i="7"/>
  <c r="AT21" i="7"/>
  <c r="AG21" i="7"/>
  <c r="P21" i="7"/>
  <c r="O21" i="7"/>
  <c r="R21" i="7"/>
  <c r="U21" i="7" s="1"/>
  <c r="AZ20" i="7"/>
  <c r="AX20" i="7"/>
  <c r="AW20" i="7"/>
  <c r="AU20" i="7"/>
  <c r="AT20" i="7"/>
  <c r="AG20" i="7"/>
  <c r="P20" i="7"/>
  <c r="O20" i="7"/>
  <c r="R20" i="7"/>
  <c r="U20" i="7" s="1"/>
  <c r="AZ19" i="7"/>
  <c r="AX19" i="7"/>
  <c r="AW19" i="7"/>
  <c r="AU19" i="7"/>
  <c r="AT19" i="7"/>
  <c r="AG19" i="7"/>
  <c r="P19" i="7"/>
  <c r="O19" i="7"/>
  <c r="R19" i="7"/>
  <c r="U19" i="7" s="1"/>
  <c r="AZ10" i="7"/>
  <c r="AX10" i="7"/>
  <c r="AW10" i="7"/>
  <c r="AU10" i="7"/>
  <c r="AT10" i="7"/>
  <c r="AG10" i="7"/>
  <c r="P10" i="7"/>
  <c r="O10" i="7"/>
  <c r="R10" i="7"/>
  <c r="U10" i="7" s="1"/>
  <c r="AZ9" i="7"/>
  <c r="AX9" i="7"/>
  <c r="AW9" i="7"/>
  <c r="AU9" i="7"/>
  <c r="AT9" i="7"/>
  <c r="AG9" i="7"/>
  <c r="P9" i="7"/>
  <c r="O9" i="7"/>
  <c r="R9" i="7"/>
  <c r="U9" i="7" s="1"/>
  <c r="AZ8" i="7"/>
  <c r="AX8" i="7"/>
  <c r="AW8" i="7"/>
  <c r="AU8" i="7"/>
  <c r="AT8" i="7"/>
  <c r="AG8" i="7"/>
  <c r="P8" i="7"/>
  <c r="O8" i="7"/>
  <c r="R8" i="7"/>
  <c r="U8" i="7" s="1"/>
  <c r="AZ7" i="7"/>
  <c r="AX7" i="7"/>
  <c r="AW7" i="7"/>
  <c r="AU7" i="7"/>
  <c r="AT7" i="7"/>
  <c r="AG7" i="7"/>
  <c r="R7" i="7"/>
  <c r="U7" i="7" s="1"/>
  <c r="P7" i="7"/>
  <c r="O7" i="7"/>
  <c r="Q7" i="7"/>
  <c r="H1" i="7"/>
  <c r="AG173" i="7" l="1"/>
  <c r="AT224" i="7"/>
  <c r="AZ224" i="7"/>
  <c r="AG102" i="7"/>
  <c r="AT173" i="7"/>
  <c r="S841" i="7"/>
  <c r="W841" i="7" s="1"/>
  <c r="S899" i="7"/>
  <c r="W899" i="7" s="1"/>
  <c r="S906" i="7"/>
  <c r="W906" i="7" s="1"/>
  <c r="S918" i="7"/>
  <c r="W918" i="7" s="1"/>
  <c r="S973" i="7"/>
  <c r="W973" i="7" s="1"/>
  <c r="S980" i="7"/>
  <c r="W980" i="7" s="1"/>
  <c r="S986" i="7"/>
  <c r="W986" i="7" s="1"/>
  <c r="S79" i="7"/>
  <c r="W79" i="7" s="1"/>
  <c r="S111" i="7"/>
  <c r="W111" i="7" s="1"/>
  <c r="S116" i="7"/>
  <c r="W116" i="7" s="1"/>
  <c r="S125" i="7"/>
  <c r="W125" i="7" s="1"/>
  <c r="S132" i="7"/>
  <c r="W132" i="7" s="1"/>
  <c r="S148" i="7"/>
  <c r="W148" i="7" s="1"/>
  <c r="S150" i="7"/>
  <c r="W150" i="7" s="1"/>
  <c r="S157" i="7"/>
  <c r="W157" i="7" s="1"/>
  <c r="S167" i="7"/>
  <c r="W167" i="7" s="1"/>
  <c r="AG218" i="7"/>
  <c r="S174" i="7"/>
  <c r="W174" i="7" s="1"/>
  <c r="S184" i="7"/>
  <c r="W184" i="7" s="1"/>
  <c r="S198" i="7"/>
  <c r="W198" i="7" s="1"/>
  <c r="S194" i="7"/>
  <c r="W194" i="7" s="1"/>
  <c r="S210" i="7"/>
  <c r="W210" i="7" s="1"/>
  <c r="S288" i="7"/>
  <c r="W288" i="7" s="1"/>
  <c r="S216" i="7"/>
  <c r="W216" i="7" s="1"/>
  <c r="S200" i="7"/>
  <c r="W200" i="7" s="1"/>
  <c r="S262" i="7"/>
  <c r="W262" i="7" s="1"/>
  <c r="S253" i="7"/>
  <c r="W253" i="7" s="1"/>
  <c r="S276" i="7"/>
  <c r="W276" i="7" s="1"/>
  <c r="S248" i="7"/>
  <c r="W248" i="7" s="1"/>
  <c r="S292" i="7"/>
  <c r="W292" i="7" s="1"/>
  <c r="S294" i="7"/>
  <c r="W294" i="7" s="1"/>
  <c r="S307" i="7"/>
  <c r="W307" i="7" s="1"/>
  <c r="S324" i="7"/>
  <c r="W324" i="7" s="1"/>
  <c r="AT440" i="7"/>
  <c r="AZ440" i="7"/>
  <c r="AZ861" i="7"/>
  <c r="S790" i="7"/>
  <c r="W790" i="7" s="1"/>
  <c r="S830" i="7"/>
  <c r="W830" i="7" s="1"/>
  <c r="S852" i="7"/>
  <c r="W852" i="7" s="1"/>
  <c r="S956" i="7"/>
  <c r="W956" i="7" s="1"/>
  <c r="S191" i="7"/>
  <c r="W191" i="7" s="1"/>
  <c r="S223" i="7"/>
  <c r="W223" i="7" s="1"/>
  <c r="S284" i="7"/>
  <c r="W284" i="7" s="1"/>
  <c r="S212" i="7"/>
  <c r="W212" i="7" s="1"/>
  <c r="S206" i="7"/>
  <c r="W206" i="7" s="1"/>
  <c r="S266" i="7"/>
  <c r="W266" i="7" s="1"/>
  <c r="S271" i="7"/>
  <c r="W271" i="7" s="1"/>
  <c r="S252" i="7"/>
  <c r="W252" i="7" s="1"/>
  <c r="S241" i="7"/>
  <c r="W241" i="7" s="1"/>
  <c r="S229" i="7"/>
  <c r="W229" i="7" s="1"/>
  <c r="S254" i="7"/>
  <c r="W254" i="7" s="1"/>
  <c r="S298" i="7"/>
  <c r="W298" i="7" s="1"/>
  <c r="S328" i="7"/>
  <c r="W328" i="7" s="1"/>
  <c r="S336" i="7"/>
  <c r="W336" i="7" s="1"/>
  <c r="S344" i="7"/>
  <c r="W344" i="7" s="1"/>
  <c r="S352" i="7"/>
  <c r="W352" i="7" s="1"/>
  <c r="S365" i="7"/>
  <c r="W365" i="7" s="1"/>
  <c r="S373" i="7"/>
  <c r="W373" i="7" s="1"/>
  <c r="S381" i="7"/>
  <c r="W381" i="7" s="1"/>
  <c r="S391" i="7"/>
  <c r="W391" i="7" s="1"/>
  <c r="S420" i="7"/>
  <c r="W420" i="7" s="1"/>
  <c r="S428" i="7"/>
  <c r="W428" i="7" s="1"/>
  <c r="S419" i="7"/>
  <c r="W419" i="7" s="1"/>
  <c r="S439" i="7"/>
  <c r="W439" i="7" s="1"/>
  <c r="S442" i="7"/>
  <c r="W442" i="7" s="1"/>
  <c r="S450" i="7"/>
  <c r="W450" i="7" s="1"/>
  <c r="S455" i="7"/>
  <c r="W455" i="7" s="1"/>
  <c r="S467" i="7"/>
  <c r="W467" i="7" s="1"/>
  <c r="S475" i="7"/>
  <c r="W475" i="7" s="1"/>
  <c r="S486" i="7"/>
  <c r="W486" i="7" s="1"/>
  <c r="S496" i="7"/>
  <c r="W496" i="7" s="1"/>
  <c r="S502" i="7"/>
  <c r="W502" i="7" s="1"/>
  <c r="S513" i="7"/>
  <c r="W513" i="7" s="1"/>
  <c r="S518" i="7"/>
  <c r="W518" i="7" s="1"/>
  <c r="S526" i="7"/>
  <c r="W526" i="7" s="1"/>
  <c r="S546" i="7"/>
  <c r="W546" i="7" s="1"/>
  <c r="S558" i="7"/>
  <c r="W558" i="7" s="1"/>
  <c r="S564" i="7"/>
  <c r="W564" i="7" s="1"/>
  <c r="S568" i="7"/>
  <c r="W568" i="7" s="1"/>
  <c r="S576" i="7"/>
  <c r="W576" i="7" s="1"/>
  <c r="S582" i="7"/>
  <c r="W582" i="7" s="1"/>
  <c r="S584" i="7"/>
  <c r="W584" i="7" s="1"/>
  <c r="S611" i="7"/>
  <c r="W611" i="7" s="1"/>
  <c r="S621" i="7"/>
  <c r="W621" i="7" s="1"/>
  <c r="S629" i="7"/>
  <c r="W629" i="7" s="1"/>
  <c r="S637" i="7"/>
  <c r="W637" i="7" s="1"/>
  <c r="S645" i="7"/>
  <c r="W645" i="7" s="1"/>
  <c r="S653" i="7"/>
  <c r="W653" i="7" s="1"/>
  <c r="S661" i="7"/>
  <c r="W661" i="7" s="1"/>
  <c r="S669" i="7"/>
  <c r="W669" i="7" s="1"/>
  <c r="S677" i="7"/>
  <c r="W677" i="7" s="1"/>
  <c r="S685" i="7"/>
  <c r="W685" i="7" s="1"/>
  <c r="S703" i="7"/>
  <c r="W703" i="7" s="1"/>
  <c r="S715" i="7"/>
  <c r="W715" i="7" s="1"/>
  <c r="S723" i="7"/>
  <c r="W723" i="7" s="1"/>
  <c r="S388" i="7"/>
  <c r="W388" i="7" s="1"/>
  <c r="S731" i="7"/>
  <c r="W731" i="7" s="1"/>
  <c r="S70" i="7"/>
  <c r="W70" i="7" s="1"/>
  <c r="S75" i="7"/>
  <c r="W75" i="7" s="1"/>
  <c r="S102" i="7"/>
  <c r="W102" i="7" s="1"/>
  <c r="S86" i="7"/>
  <c r="W86" i="7" s="1"/>
  <c r="S107" i="7"/>
  <c r="W107" i="7" s="1"/>
  <c r="S120" i="7"/>
  <c r="W120" i="7" s="1"/>
  <c r="S128" i="7"/>
  <c r="W128" i="7" s="1"/>
  <c r="S140" i="7"/>
  <c r="W140" i="7" s="1"/>
  <c r="S142" i="7"/>
  <c r="W142" i="7" s="1"/>
  <c r="S165" i="7"/>
  <c r="W165" i="7" s="1"/>
  <c r="S170" i="7"/>
  <c r="W170" i="7" s="1"/>
  <c r="S177" i="7"/>
  <c r="W177" i="7" s="1"/>
  <c r="S180" i="7"/>
  <c r="W180" i="7" s="1"/>
  <c r="S594" i="7"/>
  <c r="W594" i="7" s="1"/>
  <c r="S605" i="7"/>
  <c r="W605" i="7" s="1"/>
  <c r="S739" i="7"/>
  <c r="W739" i="7" s="1"/>
  <c r="S759" i="7"/>
  <c r="W759" i="7" s="1"/>
  <c r="S765" i="7"/>
  <c r="W765" i="7" s="1"/>
  <c r="S773" i="7"/>
  <c r="W773" i="7" s="1"/>
  <c r="S780" i="7"/>
  <c r="W780" i="7" s="1"/>
  <c r="S788" i="7"/>
  <c r="W788" i="7" s="1"/>
  <c r="S798" i="7"/>
  <c r="W798" i="7" s="1"/>
  <c r="S805" i="7"/>
  <c r="W805" i="7" s="1"/>
  <c r="S737" i="7"/>
  <c r="W737" i="7" s="1"/>
  <c r="S755" i="7"/>
  <c r="W755" i="7" s="1"/>
  <c r="S757" i="7"/>
  <c r="W757" i="7" s="1"/>
  <c r="S763" i="7"/>
  <c r="W763" i="7" s="1"/>
  <c r="S771" i="7"/>
  <c r="W771" i="7" s="1"/>
  <c r="S778" i="7"/>
  <c r="W778" i="7" s="1"/>
  <c r="S786" i="7"/>
  <c r="W786" i="7" s="1"/>
  <c r="S796" i="7"/>
  <c r="W796" i="7" s="1"/>
  <c r="S860" i="7"/>
  <c r="W860" i="7" s="1"/>
  <c r="S863" i="7"/>
  <c r="W863" i="7" s="1"/>
  <c r="S873" i="7"/>
  <c r="W873" i="7" s="1"/>
  <c r="S589" i="7"/>
  <c r="W589" i="7" s="1"/>
  <c r="S601" i="7"/>
  <c r="W601" i="7" s="1"/>
  <c r="S609" i="7"/>
  <c r="W609" i="7" s="1"/>
  <c r="S332" i="7"/>
  <c r="W332" i="7" s="1"/>
  <c r="S340" i="7"/>
  <c r="W340" i="7" s="1"/>
  <c r="S348" i="7"/>
  <c r="W348" i="7" s="1"/>
  <c r="S356" i="7"/>
  <c r="W356" i="7" s="1"/>
  <c r="S369" i="7"/>
  <c r="W369" i="7" s="1"/>
  <c r="S377" i="7"/>
  <c r="W377" i="7" s="1"/>
  <c r="S385" i="7"/>
  <c r="W385" i="7" s="1"/>
  <c r="S395" i="7"/>
  <c r="W395" i="7" s="1"/>
  <c r="S403" i="7"/>
  <c r="W403" i="7" s="1"/>
  <c r="S411" i="7"/>
  <c r="W411" i="7" s="1"/>
  <c r="S424" i="7"/>
  <c r="W424" i="7" s="1"/>
  <c r="S415" i="7"/>
  <c r="W415" i="7" s="1"/>
  <c r="S435" i="7"/>
  <c r="W435" i="7" s="1"/>
  <c r="S446" i="7"/>
  <c r="W446" i="7" s="1"/>
  <c r="S459" i="7"/>
  <c r="W459" i="7" s="1"/>
  <c r="S461" i="7"/>
  <c r="W461" i="7" s="1"/>
  <c r="S471" i="7"/>
  <c r="W471" i="7" s="1"/>
  <c r="S479" i="7"/>
  <c r="W479" i="7" s="1"/>
  <c r="S492" i="7"/>
  <c r="W492" i="7" s="1"/>
  <c r="S500" i="7"/>
  <c r="W500" i="7" s="1"/>
  <c r="S506" i="7"/>
  <c r="W506" i="7" s="1"/>
  <c r="S522" i="7"/>
  <c r="W522" i="7" s="1"/>
  <c r="S530" i="7"/>
  <c r="W530" i="7" s="1"/>
  <c r="S532" i="7"/>
  <c r="W532" i="7" s="1"/>
  <c r="S534" i="7"/>
  <c r="W534" i="7" s="1"/>
  <c r="S542" i="7"/>
  <c r="W542" i="7" s="1"/>
  <c r="S550" i="7"/>
  <c r="W550" i="7" s="1"/>
  <c r="S555" i="7"/>
  <c r="W555" i="7" s="1"/>
  <c r="S562" i="7"/>
  <c r="W562" i="7" s="1"/>
  <c r="S572" i="7"/>
  <c r="W572" i="7" s="1"/>
  <c r="S580" i="7"/>
  <c r="W580" i="7" s="1"/>
  <c r="S592" i="7"/>
  <c r="W592" i="7" s="1"/>
  <c r="S607" i="7"/>
  <c r="W607" i="7" s="1"/>
  <c r="S625" i="7"/>
  <c r="W625" i="7" s="1"/>
  <c r="S641" i="7"/>
  <c r="W641" i="7" s="1"/>
  <c r="S665" i="7"/>
  <c r="W665" i="7" s="1"/>
  <c r="S673" i="7"/>
  <c r="W673" i="7" s="1"/>
  <c r="S681" i="7"/>
  <c r="W681" i="7" s="1"/>
  <c r="S689" i="7"/>
  <c r="W689" i="7" s="1"/>
  <c r="S792" i="7"/>
  <c r="W792" i="7" s="1"/>
  <c r="S799" i="7"/>
  <c r="W799" i="7" s="1"/>
  <c r="S807" i="7"/>
  <c r="W807" i="7" s="1"/>
  <c r="S815" i="7"/>
  <c r="W815" i="7" s="1"/>
  <c r="S864" i="7"/>
  <c r="W864" i="7" s="1"/>
  <c r="S872" i="7"/>
  <c r="W872" i="7" s="1"/>
  <c r="S879" i="7"/>
  <c r="W879" i="7" s="1"/>
  <c r="S885" i="7"/>
  <c r="W885" i="7" s="1"/>
  <c r="S845" i="7"/>
  <c r="W845" i="7" s="1"/>
  <c r="S902" i="7"/>
  <c r="W902" i="7" s="1"/>
  <c r="S909" i="7"/>
  <c r="W909" i="7" s="1"/>
  <c r="S913" i="7"/>
  <c r="W913" i="7" s="1"/>
  <c r="S7" i="7"/>
  <c r="W7" i="7" s="1"/>
  <c r="S88" i="7"/>
  <c r="W88" i="7" s="1"/>
  <c r="S109" i="7"/>
  <c r="W109" i="7" s="1"/>
  <c r="S98" i="7"/>
  <c r="W98" i="7" s="1"/>
  <c r="S99" i="7"/>
  <c r="W99" i="7" s="1"/>
  <c r="S146" i="7"/>
  <c r="W146" i="7" s="1"/>
  <c r="S143" i="7"/>
  <c r="W143" i="7" s="1"/>
  <c r="S220" i="7"/>
  <c r="W220" i="7" s="1"/>
  <c r="S173" i="7"/>
  <c r="W173" i="7" s="1"/>
  <c r="S179" i="7"/>
  <c r="W179" i="7" s="1"/>
  <c r="S182" i="7"/>
  <c r="W182" i="7" s="1"/>
  <c r="S193" i="7"/>
  <c r="W193" i="7" s="1"/>
  <c r="S222" i="7"/>
  <c r="W222" i="7" s="1"/>
  <c r="S286" i="7"/>
  <c r="W286" i="7" s="1"/>
  <c r="S214" i="7"/>
  <c r="W214" i="7" s="1"/>
  <c r="S68" i="7"/>
  <c r="W68" i="7" s="1"/>
  <c r="S73" i="7"/>
  <c r="W73" i="7" s="1"/>
  <c r="S81" i="7"/>
  <c r="W81" i="7" s="1"/>
  <c r="S83" i="7"/>
  <c r="W83" i="7" s="1"/>
  <c r="S96" i="7"/>
  <c r="W96" i="7" s="1"/>
  <c r="S94" i="7"/>
  <c r="W94" i="7" s="1"/>
  <c r="S106" i="7"/>
  <c r="W106" i="7" s="1"/>
  <c r="S113" i="7"/>
  <c r="W113" i="7" s="1"/>
  <c r="S118" i="7"/>
  <c r="W118" i="7" s="1"/>
  <c r="S134" i="7"/>
  <c r="W134" i="7" s="1"/>
  <c r="S149" i="7"/>
  <c r="W149" i="7" s="1"/>
  <c r="S152" i="7"/>
  <c r="W152" i="7" s="1"/>
  <c r="S158" i="7"/>
  <c r="W158" i="7" s="1"/>
  <c r="S163" i="7"/>
  <c r="W163" i="7" s="1"/>
  <c r="S218" i="7"/>
  <c r="W218" i="7" s="1"/>
  <c r="S186" i="7"/>
  <c r="W186" i="7" s="1"/>
  <c r="S189" i="7"/>
  <c r="W189" i="7" s="1"/>
  <c r="S195" i="7"/>
  <c r="W195" i="7" s="1"/>
  <c r="S282" i="7"/>
  <c r="W282" i="7" s="1"/>
  <c r="S290" i="7"/>
  <c r="W290" i="7" s="1"/>
  <c r="S154" i="7"/>
  <c r="W154" i="7" s="1"/>
  <c r="S265" i="7"/>
  <c r="W265" i="7" s="1"/>
  <c r="S615" i="7"/>
  <c r="W615" i="7" s="1"/>
  <c r="S263" i="7"/>
  <c r="W263" i="7" s="1"/>
  <c r="S279" i="7"/>
  <c r="W279" i="7" s="1"/>
  <c r="S273" i="7"/>
  <c r="W273" i="7" s="1"/>
  <c r="S303" i="7"/>
  <c r="W303" i="7" s="1"/>
  <c r="S243" i="7"/>
  <c r="W243" i="7" s="1"/>
  <c r="S256" i="7"/>
  <c r="W256" i="7" s="1"/>
  <c r="S300" i="7"/>
  <c r="W300" i="7" s="1"/>
  <c r="S330" i="7"/>
  <c r="W330" i="7" s="1"/>
  <c r="S338" i="7"/>
  <c r="W338" i="7" s="1"/>
  <c r="S346" i="7"/>
  <c r="W346" i="7" s="1"/>
  <c r="S354" i="7"/>
  <c r="W354" i="7" s="1"/>
  <c r="S362" i="7"/>
  <c r="W362" i="7" s="1"/>
  <c r="S363" i="7"/>
  <c r="W363" i="7" s="1"/>
  <c r="S367" i="7"/>
  <c r="W367" i="7" s="1"/>
  <c r="S375" i="7"/>
  <c r="W375" i="7" s="1"/>
  <c r="S383" i="7"/>
  <c r="W383" i="7" s="1"/>
  <c r="S389" i="7"/>
  <c r="W389" i="7" s="1"/>
  <c r="S397" i="7"/>
  <c r="W397" i="7" s="1"/>
  <c r="S405" i="7"/>
  <c r="W405" i="7" s="1"/>
  <c r="S413" i="7"/>
  <c r="W413" i="7" s="1"/>
  <c r="S426" i="7"/>
  <c r="W426" i="7" s="1"/>
  <c r="S417" i="7"/>
  <c r="W417" i="7" s="1"/>
  <c r="S437" i="7"/>
  <c r="W437" i="7" s="1"/>
  <c r="S448" i="7"/>
  <c r="W448" i="7" s="1"/>
  <c r="S453" i="7"/>
  <c r="W453" i="7" s="1"/>
  <c r="S463" i="7"/>
  <c r="W463" i="7" s="1"/>
  <c r="S465" i="7"/>
  <c r="W465" i="7" s="1"/>
  <c r="S473" i="7"/>
  <c r="W473" i="7" s="1"/>
  <c r="S481" i="7"/>
  <c r="W481" i="7" s="1"/>
  <c r="S484" i="7"/>
  <c r="W484" i="7" s="1"/>
  <c r="S508" i="7"/>
  <c r="W508" i="7" s="1"/>
  <c r="S511" i="7"/>
  <c r="W511" i="7" s="1"/>
  <c r="S524" i="7"/>
  <c r="W524" i="7" s="1"/>
  <c r="S536" i="7"/>
  <c r="W536" i="7" s="1"/>
  <c r="S544" i="7"/>
  <c r="W544" i="7" s="1"/>
  <c r="S557" i="7"/>
  <c r="W557" i="7" s="1"/>
  <c r="S566" i="7"/>
  <c r="W566" i="7" s="1"/>
  <c r="S574" i="7"/>
  <c r="W574" i="7" s="1"/>
  <c r="S587" i="7"/>
  <c r="W587" i="7" s="1"/>
  <c r="S596" i="7"/>
  <c r="W596" i="7" s="1"/>
  <c r="S603" i="7"/>
  <c r="W603" i="7" s="1"/>
  <c r="S613" i="7"/>
  <c r="W613" i="7" s="1"/>
  <c r="S623" i="7"/>
  <c r="W623" i="7" s="1"/>
  <c r="S631" i="7"/>
  <c r="W631" i="7" s="1"/>
  <c r="S639" i="7"/>
  <c r="W639" i="7" s="1"/>
  <c r="S647" i="7"/>
  <c r="W647" i="7" s="1"/>
  <c r="S655" i="7"/>
  <c r="W655" i="7" s="1"/>
  <c r="S663" i="7"/>
  <c r="W663" i="7" s="1"/>
  <c r="S671" i="7"/>
  <c r="W671" i="7" s="1"/>
  <c r="S679" i="7"/>
  <c r="W679" i="7" s="1"/>
  <c r="S699" i="7"/>
  <c r="W699" i="7" s="1"/>
  <c r="S707" i="7"/>
  <c r="W707" i="7" s="1"/>
  <c r="S711" i="7"/>
  <c r="W711" i="7" s="1"/>
  <c r="S719" i="7"/>
  <c r="W719" i="7" s="1"/>
  <c r="S727" i="7"/>
  <c r="W727" i="7" s="1"/>
  <c r="S733" i="7"/>
  <c r="W733" i="7" s="1"/>
  <c r="S741" i="7"/>
  <c r="W741" i="7" s="1"/>
  <c r="S745" i="7"/>
  <c r="W745" i="7" s="1"/>
  <c r="S753" i="7"/>
  <c r="W753" i="7" s="1"/>
  <c r="S761" i="7"/>
  <c r="W761" i="7" s="1"/>
  <c r="S767" i="7"/>
  <c r="W767" i="7" s="1"/>
  <c r="S775" i="7"/>
  <c r="W775" i="7" s="1"/>
  <c r="S782" i="7"/>
  <c r="W782" i="7" s="1"/>
  <c r="S794" i="7"/>
  <c r="W794" i="7" s="1"/>
  <c r="S803" i="7"/>
  <c r="W803" i="7" s="1"/>
  <c r="S813" i="7"/>
  <c r="W813" i="7" s="1"/>
  <c r="S825" i="7"/>
  <c r="W825" i="7" s="1"/>
  <c r="S834" i="7"/>
  <c r="W834" i="7" s="1"/>
  <c r="S856" i="7"/>
  <c r="W856" i="7" s="1"/>
  <c r="S867" i="7"/>
  <c r="W867" i="7" s="1"/>
  <c r="S876" i="7"/>
  <c r="W876" i="7" s="1"/>
  <c r="S880" i="7"/>
  <c r="W880" i="7" s="1"/>
  <c r="S837" i="7"/>
  <c r="W837" i="7" s="1"/>
  <c r="S895" i="7"/>
  <c r="W895" i="7" s="1"/>
  <c r="S903" i="7"/>
  <c r="W903" i="7" s="1"/>
  <c r="S910" i="7"/>
  <c r="W910" i="7" s="1"/>
  <c r="S911" i="7"/>
  <c r="W911" i="7" s="1"/>
  <c r="S914" i="7"/>
  <c r="W914" i="7" s="1"/>
  <c r="S957" i="7"/>
  <c r="W957" i="7" s="1"/>
  <c r="S972" i="7"/>
  <c r="W972" i="7" s="1"/>
  <c r="S533" i="7"/>
  <c r="W533" i="7" s="1"/>
  <c r="S693" i="7"/>
  <c r="W693" i="7" s="1"/>
  <c r="S697" i="7"/>
  <c r="W697" i="7" s="1"/>
  <c r="S705" i="7"/>
  <c r="W705" i="7" s="1"/>
  <c r="S717" i="7"/>
  <c r="W717" i="7" s="1"/>
  <c r="S725" i="7"/>
  <c r="W725" i="7" s="1"/>
  <c r="S811" i="7"/>
  <c r="W811" i="7" s="1"/>
  <c r="S865" i="7"/>
  <c r="W865" i="7" s="1"/>
  <c r="S924" i="7"/>
  <c r="W924" i="7" s="1"/>
  <c r="S962" i="7"/>
  <c r="W962" i="7" s="1"/>
  <c r="S269" i="7"/>
  <c r="W269" i="7" s="1"/>
  <c r="S203" i="7"/>
  <c r="W203" i="7" s="1"/>
  <c r="S234" i="7"/>
  <c r="W234" i="7" s="1"/>
  <c r="S237" i="7"/>
  <c r="W237" i="7" s="1"/>
  <c r="S238" i="7"/>
  <c r="W238" i="7" s="1"/>
  <c r="S239" i="7"/>
  <c r="W239" i="7" s="1"/>
  <c r="S278" i="7"/>
  <c r="W278" i="7" s="1"/>
  <c r="S232" i="7"/>
  <c r="W232" i="7" s="1"/>
  <c r="S261" i="7"/>
  <c r="W261" i="7" s="1"/>
  <c r="S296" i="7"/>
  <c r="W296" i="7" s="1"/>
  <c r="S309" i="7"/>
  <c r="W309" i="7" s="1"/>
  <c r="S326" i="7"/>
  <c r="W326" i="7" s="1"/>
  <c r="S334" i="7"/>
  <c r="W334" i="7" s="1"/>
  <c r="S342" i="7"/>
  <c r="W342" i="7" s="1"/>
  <c r="S350" i="7"/>
  <c r="W350" i="7" s="1"/>
  <c r="S358" i="7"/>
  <c r="W358" i="7" s="1"/>
  <c r="S371" i="7"/>
  <c r="W371" i="7" s="1"/>
  <c r="S379" i="7"/>
  <c r="W379" i="7" s="1"/>
  <c r="S387" i="7"/>
  <c r="W387" i="7" s="1"/>
  <c r="S393" i="7"/>
  <c r="W393" i="7" s="1"/>
  <c r="S401" i="7"/>
  <c r="W401" i="7" s="1"/>
  <c r="S409" i="7"/>
  <c r="W409" i="7" s="1"/>
  <c r="S422" i="7"/>
  <c r="W422" i="7" s="1"/>
  <c r="S430" i="7"/>
  <c r="W430" i="7" s="1"/>
  <c r="S433" i="7"/>
  <c r="W433" i="7" s="1"/>
  <c r="S444" i="7"/>
  <c r="W444" i="7" s="1"/>
  <c r="S457" i="7"/>
  <c r="W457" i="7" s="1"/>
  <c r="S469" i="7"/>
  <c r="W469" i="7" s="1"/>
  <c r="S477" i="7"/>
  <c r="W477" i="7" s="1"/>
  <c r="S488" i="7"/>
  <c r="W488" i="7" s="1"/>
  <c r="S498" i="7"/>
  <c r="W498" i="7" s="1"/>
  <c r="S504" i="7"/>
  <c r="W504" i="7" s="1"/>
  <c r="S515" i="7"/>
  <c r="W515" i="7" s="1"/>
  <c r="S520" i="7"/>
  <c r="W520" i="7" s="1"/>
  <c r="S528" i="7"/>
  <c r="W528" i="7" s="1"/>
  <c r="S591" i="7"/>
  <c r="W591" i="7" s="1"/>
  <c r="S915" i="7"/>
  <c r="W915" i="7" s="1"/>
  <c r="S917" i="7"/>
  <c r="W917" i="7" s="1"/>
  <c r="S945" i="7"/>
  <c r="W945" i="7" s="1"/>
  <c r="S975" i="7"/>
  <c r="W975" i="7" s="1"/>
  <c r="S982" i="7"/>
  <c r="W982" i="7" s="1"/>
  <c r="S985" i="7"/>
  <c r="W985" i="7" s="1"/>
  <c r="S988" i="7"/>
  <c r="W988" i="7" s="1"/>
  <c r="S77" i="7"/>
  <c r="W77" i="7" s="1"/>
  <c r="S130" i="7"/>
  <c r="W130" i="7" s="1"/>
  <c r="S82" i="7"/>
  <c r="W82" i="7" s="1"/>
  <c r="S267" i="7"/>
  <c r="W267" i="7" s="1"/>
  <c r="S104" i="7"/>
  <c r="W104" i="7" s="1"/>
  <c r="S93" i="7"/>
  <c r="W93" i="7" s="1"/>
  <c r="S114" i="7"/>
  <c r="W114" i="7" s="1"/>
  <c r="S136" i="7"/>
  <c r="W136" i="7" s="1"/>
  <c r="S407" i="7"/>
  <c r="W407" i="7" s="1"/>
  <c r="S633" i="7"/>
  <c r="W633" i="7" s="1"/>
  <c r="S209" i="7"/>
  <c r="W209" i="7" s="1"/>
  <c r="S231" i="7"/>
  <c r="W231" i="7" s="1"/>
  <c r="S399" i="7"/>
  <c r="W399" i="7" s="1"/>
  <c r="S649" i="7"/>
  <c r="W649" i="7" s="1"/>
  <c r="S657" i="7"/>
  <c r="W657" i="7" s="1"/>
  <c r="S701" i="7"/>
  <c r="W701" i="7" s="1"/>
  <c r="S821" i="7"/>
  <c r="W821" i="7" s="1"/>
  <c r="S176" i="7"/>
  <c r="W176" i="7" s="1"/>
  <c r="S225" i="7"/>
  <c r="W225" i="7" s="1"/>
  <c r="S89" i="7"/>
  <c r="W89" i="7" s="1"/>
  <c r="S72" i="7"/>
  <c r="W72" i="7" s="1"/>
  <c r="S310" i="7"/>
  <c r="W310" i="7" s="1"/>
  <c r="S494" i="7"/>
  <c r="W494" i="7" s="1"/>
  <c r="S920" i="7"/>
  <c r="W920" i="7" s="1"/>
  <c r="S960" i="7"/>
  <c r="W960" i="7" s="1"/>
  <c r="S100" i="7"/>
  <c r="W100" i="7" s="1"/>
  <c r="S451" i="7"/>
  <c r="W451" i="7" s="1"/>
  <c r="S538" i="7"/>
  <c r="W538" i="7" s="1"/>
  <c r="S944" i="7"/>
  <c r="W944" i="7" s="1"/>
  <c r="S952" i="7"/>
  <c r="W952" i="7" s="1"/>
  <c r="S91" i="7"/>
  <c r="W91" i="7" s="1"/>
  <c r="S360" i="7"/>
  <c r="W360" i="7" s="1"/>
  <c r="S687" i="7"/>
  <c r="W687" i="7" s="1"/>
  <c r="S851" i="7"/>
  <c r="W851" i="7" s="1"/>
  <c r="S901" i="7"/>
  <c r="W901" i="7" s="1"/>
  <c r="S921" i="7"/>
  <c r="W921" i="7" s="1"/>
  <c r="S933" i="7"/>
  <c r="W933" i="7" s="1"/>
  <c r="S941" i="7"/>
  <c r="W941" i="7" s="1"/>
  <c r="S942" i="7"/>
  <c r="W942" i="7" s="1"/>
  <c r="S943" i="7"/>
  <c r="W943" i="7" s="1"/>
  <c r="S949" i="7"/>
  <c r="W949" i="7" s="1"/>
  <c r="S600" i="7"/>
  <c r="W600" i="7" s="1"/>
  <c r="S749" i="7"/>
  <c r="W749" i="7" s="1"/>
  <c r="S752" i="7"/>
  <c r="W752" i="7" s="1"/>
  <c r="S925" i="7"/>
  <c r="W925" i="7" s="1"/>
  <c r="S948" i="7"/>
  <c r="W948" i="7" s="1"/>
  <c r="S953" i="7"/>
  <c r="W953" i="7" s="1"/>
  <c r="S963" i="7"/>
  <c r="W963" i="7" s="1"/>
  <c r="S871" i="7"/>
  <c r="W871" i="7" s="1"/>
  <c r="S48" i="7"/>
  <c r="W48" i="7" s="1"/>
  <c r="S551" i="7"/>
  <c r="W551" i="7" s="1"/>
  <c r="S588" i="7"/>
  <c r="W588" i="7" s="1"/>
  <c r="S961" i="7"/>
  <c r="W961" i="7" s="1"/>
  <c r="S490" i="7"/>
  <c r="W490" i="7" s="1"/>
  <c r="S460" i="7"/>
  <c r="W460" i="7" s="1"/>
  <c r="S965" i="7"/>
  <c r="W965" i="7" s="1"/>
  <c r="T25" i="7"/>
  <c r="S25" i="7"/>
  <c r="W25" i="7" s="1"/>
  <c r="T14" i="7"/>
  <c r="S14" i="7"/>
  <c r="W14" i="7" s="1"/>
  <c r="T18" i="7"/>
  <c r="S18" i="7"/>
  <c r="W18" i="7" s="1"/>
  <c r="T31" i="7"/>
  <c r="S31" i="7"/>
  <c r="W31" i="7" s="1"/>
  <c r="S36" i="7"/>
  <c r="W36" i="7" s="1"/>
  <c r="T36" i="7"/>
  <c r="T49" i="7"/>
  <c r="S49" i="7"/>
  <c r="W49" i="7" s="1"/>
  <c r="T53" i="7"/>
  <c r="S53" i="7"/>
  <c r="W53" i="7" s="1"/>
  <c r="T57" i="7"/>
  <c r="S57" i="7"/>
  <c r="W57" i="7" s="1"/>
  <c r="T60" i="7"/>
  <c r="S60" i="7"/>
  <c r="W60" i="7" s="1"/>
  <c r="T64" i="7"/>
  <c r="S64" i="7"/>
  <c r="W64" i="7" s="1"/>
  <c r="T24" i="7"/>
  <c r="S24" i="7"/>
  <c r="W24" i="7" s="1"/>
  <c r="T13" i="7"/>
  <c r="S13" i="7"/>
  <c r="W13" i="7" s="1"/>
  <c r="T17" i="7"/>
  <c r="S17" i="7"/>
  <c r="W17" i="7" s="1"/>
  <c r="T30" i="7"/>
  <c r="S30" i="7"/>
  <c r="W30" i="7" s="1"/>
  <c r="T34" i="7"/>
  <c r="S34" i="7"/>
  <c r="W34" i="7" s="1"/>
  <c r="S35" i="7"/>
  <c r="W35" i="7" s="1"/>
  <c r="T35" i="7"/>
  <c r="T52" i="7"/>
  <c r="S52" i="7"/>
  <c r="W52" i="7" s="1"/>
  <c r="T56" i="7"/>
  <c r="S56" i="7"/>
  <c r="W56" i="7" s="1"/>
  <c r="T37" i="7"/>
  <c r="S37" i="7"/>
  <c r="W37" i="7" s="1"/>
  <c r="T63" i="7"/>
  <c r="S63" i="7"/>
  <c r="W63" i="7" s="1"/>
  <c r="T45" i="7"/>
  <c r="S45" i="7"/>
  <c r="W45" i="7" s="1"/>
  <c r="T23" i="7"/>
  <c r="S23" i="7"/>
  <c r="W23" i="7" s="1"/>
  <c r="T12" i="7"/>
  <c r="S12" i="7"/>
  <c r="W12" i="7" s="1"/>
  <c r="T16" i="7"/>
  <c r="S16" i="7"/>
  <c r="W16" i="7" s="1"/>
  <c r="T28" i="7"/>
  <c r="S28" i="7"/>
  <c r="W28" i="7" s="1"/>
  <c r="T29" i="7"/>
  <c r="S29" i="7"/>
  <c r="W29" i="7" s="1"/>
  <c r="T33" i="7"/>
  <c r="S33" i="7"/>
  <c r="W33" i="7" s="1"/>
  <c r="S66" i="7"/>
  <c r="W66" i="7" s="1"/>
  <c r="T66" i="7"/>
  <c r="T51" i="7"/>
  <c r="S51" i="7"/>
  <c r="W51" i="7" s="1"/>
  <c r="T55" i="7"/>
  <c r="S55" i="7"/>
  <c r="W55" i="7" s="1"/>
  <c r="T59" i="7"/>
  <c r="S59" i="7"/>
  <c r="W59" i="7" s="1"/>
  <c r="T62" i="7"/>
  <c r="S62" i="7"/>
  <c r="W62" i="7" s="1"/>
  <c r="T67" i="7"/>
  <c r="S67" i="7"/>
  <c r="W67" i="7" s="1"/>
  <c r="T11" i="7"/>
  <c r="S11" i="7"/>
  <c r="W11" i="7" s="1"/>
  <c r="T26" i="7"/>
  <c r="S26" i="7"/>
  <c r="W26" i="7" s="1"/>
  <c r="T15" i="7"/>
  <c r="S15" i="7"/>
  <c r="W15" i="7" s="1"/>
  <c r="T27" i="7"/>
  <c r="S27" i="7"/>
  <c r="W27" i="7" s="1"/>
  <c r="T32" i="7"/>
  <c r="S32" i="7"/>
  <c r="W32" i="7" s="1"/>
  <c r="T50" i="7"/>
  <c r="S50" i="7"/>
  <c r="W50" i="7" s="1"/>
  <c r="T54" i="7"/>
  <c r="S54" i="7"/>
  <c r="W54" i="7" s="1"/>
  <c r="T58" i="7"/>
  <c r="S58" i="7"/>
  <c r="W58" i="7" s="1"/>
  <c r="T61" i="7"/>
  <c r="S61" i="7"/>
  <c r="W61" i="7" s="1"/>
  <c r="T65" i="7"/>
  <c r="S65" i="7"/>
  <c r="W65" i="7" s="1"/>
  <c r="AT34" i="7"/>
  <c r="AZ34" i="7"/>
  <c r="U48" i="7"/>
  <c r="R74" i="7"/>
  <c r="S74" i="7" s="1"/>
  <c r="W74" i="7" s="1"/>
  <c r="R76" i="7"/>
  <c r="S76" i="7" s="1"/>
  <c r="W76" i="7" s="1"/>
  <c r="R78" i="7"/>
  <c r="S78" i="7" s="1"/>
  <c r="W78" i="7" s="1"/>
  <c r="R80" i="7"/>
  <c r="S80" i="7" s="1"/>
  <c r="W80" i="7" s="1"/>
  <c r="R101" i="7"/>
  <c r="S101" i="7" s="1"/>
  <c r="W101" i="7" s="1"/>
  <c r="R105" i="7"/>
  <c r="S105" i="7" s="1"/>
  <c r="W105" i="7" s="1"/>
  <c r="R127" i="7"/>
  <c r="S127" i="7" s="1"/>
  <c r="W127" i="7" s="1"/>
  <c r="R108" i="7"/>
  <c r="S108" i="7" s="1"/>
  <c r="W108" i="7" s="1"/>
  <c r="R110" i="7"/>
  <c r="S110" i="7" s="1"/>
  <c r="W110" i="7" s="1"/>
  <c r="R112" i="7"/>
  <c r="S112" i="7" s="1"/>
  <c r="W112" i="7" s="1"/>
  <c r="R121" i="7"/>
  <c r="S121" i="7" s="1"/>
  <c r="W121" i="7" s="1"/>
  <c r="R122" i="7"/>
  <c r="S122" i="7" s="1"/>
  <c r="W122" i="7" s="1"/>
  <c r="R115" i="7"/>
  <c r="S115" i="7" s="1"/>
  <c r="W115" i="7" s="1"/>
  <c r="R117" i="7"/>
  <c r="S117" i="7" s="1"/>
  <c r="W117" i="7" s="1"/>
  <c r="R119" i="7"/>
  <c r="S119" i="7" s="1"/>
  <c r="W119" i="7" s="1"/>
  <c r="R123" i="7"/>
  <c r="S123" i="7" s="1"/>
  <c r="W123" i="7" s="1"/>
  <c r="R124" i="7"/>
  <c r="S124" i="7" s="1"/>
  <c r="W124" i="7" s="1"/>
  <c r="R126" i="7"/>
  <c r="S126" i="7" s="1"/>
  <c r="W126" i="7" s="1"/>
  <c r="R161" i="7"/>
  <c r="S161" i="7" s="1"/>
  <c r="W161" i="7" s="1"/>
  <c r="R129" i="7"/>
  <c r="S129" i="7" s="1"/>
  <c r="W129" i="7" s="1"/>
  <c r="R131" i="7"/>
  <c r="S131" i="7" s="1"/>
  <c r="W131" i="7" s="1"/>
  <c r="R133" i="7"/>
  <c r="S133" i="7" s="1"/>
  <c r="W133" i="7" s="1"/>
  <c r="R135" i="7"/>
  <c r="S135" i="7" s="1"/>
  <c r="W135" i="7" s="1"/>
  <c r="R137" i="7"/>
  <c r="S137" i="7" s="1"/>
  <c r="W137" i="7" s="1"/>
  <c r="R156" i="7"/>
  <c r="S156" i="7" s="1"/>
  <c r="W156" i="7" s="1"/>
  <c r="R138" i="7"/>
  <c r="S138" i="7" s="1"/>
  <c r="W138" i="7" s="1"/>
  <c r="R139" i="7"/>
  <c r="S139" i="7" s="1"/>
  <c r="W139" i="7" s="1"/>
  <c r="R145" i="7"/>
  <c r="S145" i="7" s="1"/>
  <c r="W145" i="7" s="1"/>
  <c r="R147" i="7"/>
  <c r="S147" i="7" s="1"/>
  <c r="W147" i="7" s="1"/>
  <c r="R151" i="7"/>
  <c r="S151" i="7" s="1"/>
  <c r="W151" i="7" s="1"/>
  <c r="R141" i="7"/>
  <c r="S141" i="7" s="1"/>
  <c r="W141" i="7" s="1"/>
  <c r="R153" i="7"/>
  <c r="S153" i="7" s="1"/>
  <c r="W153" i="7" s="1"/>
  <c r="R144" i="7"/>
  <c r="S144" i="7" s="1"/>
  <c r="W144" i="7" s="1"/>
  <c r="R162" i="7"/>
  <c r="S162" i="7" s="1"/>
  <c r="W162" i="7" s="1"/>
  <c r="R159" i="7"/>
  <c r="U159" i="7" s="1"/>
  <c r="AT217" i="7"/>
  <c r="AZ217" i="7"/>
  <c r="R178" i="7"/>
  <c r="S178" i="7" s="1"/>
  <c r="W178" i="7" s="1"/>
  <c r="R183" i="7"/>
  <c r="S183" i="7" s="1"/>
  <c r="W183" i="7" s="1"/>
  <c r="R185" i="7"/>
  <c r="S185" i="7" s="1"/>
  <c r="W185" i="7" s="1"/>
  <c r="R187" i="7"/>
  <c r="S187" i="7" s="1"/>
  <c r="W187" i="7" s="1"/>
  <c r="R181" i="7"/>
  <c r="S181" i="7" s="1"/>
  <c r="W181" i="7" s="1"/>
  <c r="R197" i="7"/>
  <c r="S197" i="7" s="1"/>
  <c r="W197" i="7" s="1"/>
  <c r="R188" i="7"/>
  <c r="S188" i="7" s="1"/>
  <c r="W188" i="7" s="1"/>
  <c r="R190" i="7"/>
  <c r="S190" i="7" s="1"/>
  <c r="W190" i="7" s="1"/>
  <c r="R192" i="7"/>
  <c r="S192" i="7" s="1"/>
  <c r="W192" i="7" s="1"/>
  <c r="R199" i="7"/>
  <c r="S199" i="7" s="1"/>
  <c r="W199" i="7" s="1"/>
  <c r="R201" i="7"/>
  <c r="S201" i="7" s="1"/>
  <c r="W201" i="7" s="1"/>
  <c r="R196" i="7"/>
  <c r="S196" i="7" s="1"/>
  <c r="W196" i="7" s="1"/>
  <c r="R221" i="7"/>
  <c r="S221" i="7" s="1"/>
  <c r="W221" i="7" s="1"/>
  <c r="R219" i="7"/>
  <c r="S219" i="7" s="1"/>
  <c r="W219" i="7" s="1"/>
  <c r="R224" i="7"/>
  <c r="S224" i="7" s="1"/>
  <c r="W224" i="7" s="1"/>
  <c r="R233" i="7"/>
  <c r="S233" i="7" s="1"/>
  <c r="W233" i="7" s="1"/>
  <c r="R255" i="7"/>
  <c r="S255" i="7" s="1"/>
  <c r="W255" i="7" s="1"/>
  <c r="R257" i="7"/>
  <c r="S257" i="7" s="1"/>
  <c r="W257" i="7" s="1"/>
  <c r="Q312" i="7"/>
  <c r="S312" i="7" s="1"/>
  <c r="W312" i="7" s="1"/>
  <c r="Q314" i="7"/>
  <c r="S314" i="7" s="1"/>
  <c r="W314" i="7" s="1"/>
  <c r="Q316" i="7"/>
  <c r="S316" i="7" s="1"/>
  <c r="W316" i="7" s="1"/>
  <c r="Q318" i="7"/>
  <c r="S318" i="7" s="1"/>
  <c r="W318" i="7" s="1"/>
  <c r="Q320" i="7"/>
  <c r="S320" i="7" s="1"/>
  <c r="W320" i="7" s="1"/>
  <c r="Q322" i="7"/>
  <c r="S322" i="7" s="1"/>
  <c r="W322" i="7" s="1"/>
  <c r="Q43" i="7"/>
  <c r="Q38" i="7"/>
  <c r="Q39" i="7"/>
  <c r="Q40" i="7"/>
  <c r="Q41" i="7"/>
  <c r="Q42" i="7"/>
  <c r="Q47" i="7"/>
  <c r="Q44" i="7"/>
  <c r="Q46" i="7"/>
  <c r="Q258" i="7"/>
  <c r="S258" i="7" s="1"/>
  <c r="W258" i="7" s="1"/>
  <c r="Q245" i="7"/>
  <c r="S245" i="7" s="1"/>
  <c r="W245" i="7" s="1"/>
  <c r="Q249" i="7"/>
  <c r="S249" i="7" s="1"/>
  <c r="W249" i="7" s="1"/>
  <c r="Q293" i="7"/>
  <c r="S293" i="7" s="1"/>
  <c r="W293" i="7" s="1"/>
  <c r="Q295" i="7"/>
  <c r="S295" i="7" s="1"/>
  <c r="W295" i="7" s="1"/>
  <c r="Q297" i="7"/>
  <c r="S297" i="7" s="1"/>
  <c r="W297" i="7" s="1"/>
  <c r="Q299" i="7"/>
  <c r="S299" i="7" s="1"/>
  <c r="W299" i="7" s="1"/>
  <c r="Q306" i="7"/>
  <c r="S306" i="7" s="1"/>
  <c r="W306" i="7" s="1"/>
  <c r="Q308" i="7"/>
  <c r="S308" i="7" s="1"/>
  <c r="W308" i="7" s="1"/>
  <c r="Q8" i="7"/>
  <c r="Q9" i="7"/>
  <c r="Q10" i="7"/>
  <c r="Q19" i="7"/>
  <c r="Q20" i="7"/>
  <c r="Q21" i="7"/>
  <c r="Q22" i="7"/>
  <c r="Q69" i="7"/>
  <c r="S69" i="7" s="1"/>
  <c r="W69" i="7" s="1"/>
  <c r="Q71" i="7"/>
  <c r="S71" i="7" s="1"/>
  <c r="W71" i="7" s="1"/>
  <c r="Q84" i="7"/>
  <c r="S84" i="7" s="1"/>
  <c r="W84" i="7" s="1"/>
  <c r="Q87" i="7"/>
  <c r="S87" i="7" s="1"/>
  <c r="W87" i="7" s="1"/>
  <c r="Q103" i="7"/>
  <c r="S103" i="7" s="1"/>
  <c r="W103" i="7" s="1"/>
  <c r="Q95" i="7"/>
  <c r="S95" i="7" s="1"/>
  <c r="W95" i="7" s="1"/>
  <c r="Q97" i="7"/>
  <c r="S97" i="7" s="1"/>
  <c r="W97" i="7" s="1"/>
  <c r="Q90" i="7"/>
  <c r="S90" i="7" s="1"/>
  <c r="W90" i="7" s="1"/>
  <c r="Q92" i="7"/>
  <c r="S92" i="7" s="1"/>
  <c r="W92" i="7" s="1"/>
  <c r="Q85" i="7"/>
  <c r="S85" i="7" s="1"/>
  <c r="W85" i="7" s="1"/>
  <c r="Q160" i="7"/>
  <c r="S160" i="7" s="1"/>
  <c r="W160" i="7" s="1"/>
  <c r="Q164" i="7"/>
  <c r="S164" i="7" s="1"/>
  <c r="W164" i="7" s="1"/>
  <c r="Q166" i="7"/>
  <c r="S166" i="7" s="1"/>
  <c r="W166" i="7" s="1"/>
  <c r="Q208" i="7"/>
  <c r="S208" i="7" s="1"/>
  <c r="W208" i="7" s="1"/>
  <c r="Q168" i="7"/>
  <c r="S168" i="7" s="1"/>
  <c r="W168" i="7" s="1"/>
  <c r="Q169" i="7"/>
  <c r="S169" i="7" s="1"/>
  <c r="W169" i="7" s="1"/>
  <c r="Q217" i="7"/>
  <c r="S217" i="7" s="1"/>
  <c r="W217" i="7" s="1"/>
  <c r="Q175" i="7"/>
  <c r="S175" i="7" s="1"/>
  <c r="W175" i="7" s="1"/>
  <c r="Q171" i="7"/>
  <c r="S171" i="7" s="1"/>
  <c r="W171" i="7" s="1"/>
  <c r="Q172" i="7"/>
  <c r="S172" i="7" s="1"/>
  <c r="W172" i="7" s="1"/>
  <c r="Q211" i="7"/>
  <c r="S211" i="7" s="1"/>
  <c r="W211" i="7" s="1"/>
  <c r="Q281" i="7"/>
  <c r="S281" i="7" s="1"/>
  <c r="W281" i="7" s="1"/>
  <c r="Q283" i="7"/>
  <c r="S283" i="7" s="1"/>
  <c r="W283" i="7" s="1"/>
  <c r="Q285" i="7"/>
  <c r="S285" i="7" s="1"/>
  <c r="W285" i="7" s="1"/>
  <c r="Q287" i="7"/>
  <c r="S287" i="7" s="1"/>
  <c r="W287" i="7" s="1"/>
  <c r="Q289" i="7"/>
  <c r="S289" i="7" s="1"/>
  <c r="W289" i="7" s="1"/>
  <c r="Q291" i="7"/>
  <c r="S291" i="7" s="1"/>
  <c r="W291" i="7" s="1"/>
  <c r="Q213" i="7"/>
  <c r="S213" i="7" s="1"/>
  <c r="W213" i="7" s="1"/>
  <c r="Q215" i="7"/>
  <c r="S215" i="7" s="1"/>
  <c r="W215" i="7" s="1"/>
  <c r="Q204" i="7"/>
  <c r="S204" i="7" s="1"/>
  <c r="W204" i="7" s="1"/>
  <c r="Q205" i="7"/>
  <c r="S205" i="7" s="1"/>
  <c r="W205" i="7" s="1"/>
  <c r="Q207" i="7"/>
  <c r="S207" i="7" s="1"/>
  <c r="W207" i="7" s="1"/>
  <c r="Q155" i="7"/>
  <c r="S155" i="7" s="1"/>
  <c r="W155" i="7" s="1"/>
  <c r="Q264" i="7"/>
  <c r="S264" i="7" s="1"/>
  <c r="W264" i="7" s="1"/>
  <c r="Q226" i="7"/>
  <c r="S226" i="7" s="1"/>
  <c r="W226" i="7" s="1"/>
  <c r="Q227" i="7"/>
  <c r="S227" i="7" s="1"/>
  <c r="W227" i="7" s="1"/>
  <c r="Q280" i="7"/>
  <c r="S280" i="7" s="1"/>
  <c r="W280" i="7" s="1"/>
  <c r="Q268" i="7"/>
  <c r="S268" i="7" s="1"/>
  <c r="W268" i="7" s="1"/>
  <c r="Q270" i="7"/>
  <c r="S270" i="7" s="1"/>
  <c r="W270" i="7" s="1"/>
  <c r="Q272" i="7"/>
  <c r="S272" i="7" s="1"/>
  <c r="W272" i="7" s="1"/>
  <c r="Q274" i="7"/>
  <c r="S274" i="7" s="1"/>
  <c r="W274" i="7" s="1"/>
  <c r="Q202" i="7"/>
  <c r="S202" i="7" s="1"/>
  <c r="W202" i="7" s="1"/>
  <c r="Q301" i="7"/>
  <c r="S301" i="7" s="1"/>
  <c r="W301" i="7" s="1"/>
  <c r="Q302" i="7"/>
  <c r="S302" i="7" s="1"/>
  <c r="W302" i="7" s="1"/>
  <c r="Q304" i="7"/>
  <c r="S304" i="7" s="1"/>
  <c r="W304" i="7" s="1"/>
  <c r="Q305" i="7"/>
  <c r="S305" i="7" s="1"/>
  <c r="W305" i="7" s="1"/>
  <c r="Q235" i="7"/>
  <c r="S235" i="7" s="1"/>
  <c r="W235" i="7" s="1"/>
  <c r="Q275" i="7"/>
  <c r="S275" i="7" s="1"/>
  <c r="W275" i="7" s="1"/>
  <c r="Q240" i="7"/>
  <c r="S240" i="7" s="1"/>
  <c r="W240" i="7" s="1"/>
  <c r="Q242" i="7"/>
  <c r="S242" i="7" s="1"/>
  <c r="W242" i="7" s="1"/>
  <c r="Q244" i="7"/>
  <c r="S244" i="7" s="1"/>
  <c r="W244" i="7" s="1"/>
  <c r="Q277" i="7"/>
  <c r="S277" i="7" s="1"/>
  <c r="W277" i="7" s="1"/>
  <c r="Q228" i="7"/>
  <c r="S228" i="7" s="1"/>
  <c r="W228" i="7" s="1"/>
  <c r="Q230" i="7"/>
  <c r="S230" i="7" s="1"/>
  <c r="W230" i="7" s="1"/>
  <c r="Q259" i="7"/>
  <c r="S259" i="7" s="1"/>
  <c r="W259" i="7" s="1"/>
  <c r="Q246" i="7"/>
  <c r="S246" i="7" s="1"/>
  <c r="W246" i="7" s="1"/>
  <c r="Q250" i="7"/>
  <c r="S250" i="7" s="1"/>
  <c r="W250" i="7" s="1"/>
  <c r="AT102" i="7"/>
  <c r="AT218" i="7"/>
  <c r="Q260" i="7"/>
  <c r="S260" i="7" s="1"/>
  <c r="W260" i="7" s="1"/>
  <c r="Q247" i="7"/>
  <c r="S247" i="7" s="1"/>
  <c r="W247" i="7" s="1"/>
  <c r="Q251" i="7"/>
  <c r="S251" i="7" s="1"/>
  <c r="W251" i="7" s="1"/>
  <c r="S585" i="7"/>
  <c r="W585" i="7" s="1"/>
  <c r="Q590" i="7"/>
  <c r="S590" i="7" s="1"/>
  <c r="W590" i="7" s="1"/>
  <c r="S597" i="7"/>
  <c r="W597" i="7" s="1"/>
  <c r="Q602" i="7"/>
  <c r="S602" i="7" s="1"/>
  <c r="W602" i="7" s="1"/>
  <c r="Q604" i="7"/>
  <c r="S604" i="7" s="1"/>
  <c r="W604" i="7" s="1"/>
  <c r="Q606" i="7"/>
  <c r="S606" i="7" s="1"/>
  <c r="W606" i="7" s="1"/>
  <c r="Q608" i="7"/>
  <c r="S608" i="7" s="1"/>
  <c r="W608" i="7" s="1"/>
  <c r="Q610" i="7"/>
  <c r="S610" i="7" s="1"/>
  <c r="W610" i="7" s="1"/>
  <c r="Q612" i="7"/>
  <c r="S612" i="7" s="1"/>
  <c r="W612" i="7" s="1"/>
  <c r="Q614" i="7"/>
  <c r="S614" i="7" s="1"/>
  <c r="W614" i="7" s="1"/>
  <c r="Q616" i="7"/>
  <c r="S616" i="7" s="1"/>
  <c r="W616" i="7" s="1"/>
  <c r="Q690" i="7"/>
  <c r="S690" i="7" s="1"/>
  <c r="W690" i="7" s="1"/>
  <c r="Q756" i="7"/>
  <c r="S756" i="7" s="1"/>
  <c r="W756" i="7" s="1"/>
  <c r="Q783" i="7"/>
  <c r="S783" i="7" s="1"/>
  <c r="W783" i="7" s="1"/>
  <c r="Q791" i="7"/>
  <c r="S791" i="7" s="1"/>
  <c r="W791" i="7" s="1"/>
  <c r="Q804" i="7"/>
  <c r="S804" i="7" s="1"/>
  <c r="W804" i="7" s="1"/>
  <c r="Q812" i="7"/>
  <c r="S812" i="7" s="1"/>
  <c r="W812" i="7" s="1"/>
  <c r="Q822" i="7"/>
  <c r="S822" i="7" s="1"/>
  <c r="W822" i="7" s="1"/>
  <c r="Q829" i="7"/>
  <c r="S829" i="7" s="1"/>
  <c r="W829" i="7" s="1"/>
  <c r="Q870" i="7"/>
  <c r="S870" i="7" s="1"/>
  <c r="W870" i="7" s="1"/>
  <c r="Q878" i="7"/>
  <c r="S878" i="7" s="1"/>
  <c r="W878" i="7" s="1"/>
  <c r="Q882" i="7"/>
  <c r="S882" i="7" s="1"/>
  <c r="W882" i="7" s="1"/>
  <c r="Q842" i="7"/>
  <c r="S842" i="7" s="1"/>
  <c r="W842" i="7" s="1"/>
  <c r="Q361" i="7"/>
  <c r="S361" i="7" s="1"/>
  <c r="W361" i="7" s="1"/>
  <c r="Q441" i="7"/>
  <c r="S441" i="7" s="1"/>
  <c r="W441" i="7" s="1"/>
  <c r="Q443" i="7"/>
  <c r="S443" i="7" s="1"/>
  <c r="W443" i="7" s="1"/>
  <c r="Q445" i="7"/>
  <c r="S445" i="7" s="1"/>
  <c r="W445" i="7" s="1"/>
  <c r="Q447" i="7"/>
  <c r="S447" i="7" s="1"/>
  <c r="W447" i="7" s="1"/>
  <c r="Q449" i="7"/>
  <c r="S449" i="7" s="1"/>
  <c r="W449" i="7" s="1"/>
  <c r="Q462" i="7"/>
  <c r="S462" i="7" s="1"/>
  <c r="W462" i="7" s="1"/>
  <c r="Q483" i="7"/>
  <c r="S483" i="7" s="1"/>
  <c r="W483" i="7" s="1"/>
  <c r="Q485" i="7"/>
  <c r="S485" i="7" s="1"/>
  <c r="W485" i="7" s="1"/>
  <c r="Q487" i="7"/>
  <c r="S487" i="7" s="1"/>
  <c r="W487" i="7" s="1"/>
  <c r="Q489" i="7"/>
  <c r="S489" i="7" s="1"/>
  <c r="W489" i="7" s="1"/>
  <c r="Q491" i="7"/>
  <c r="S491" i="7" s="1"/>
  <c r="W491" i="7" s="1"/>
  <c r="Q495" i="7"/>
  <c r="S495" i="7" s="1"/>
  <c r="W495" i="7" s="1"/>
  <c r="Q497" i="7"/>
  <c r="S497" i="7" s="1"/>
  <c r="W497" i="7" s="1"/>
  <c r="Q499" i="7"/>
  <c r="S499" i="7" s="1"/>
  <c r="W499" i="7" s="1"/>
  <c r="Q501" i="7"/>
  <c r="S501" i="7" s="1"/>
  <c r="W501" i="7" s="1"/>
  <c r="Q510" i="7"/>
  <c r="S510" i="7" s="1"/>
  <c r="W510" i="7" s="1"/>
  <c r="Q517" i="7"/>
  <c r="S517" i="7" s="1"/>
  <c r="W517" i="7" s="1"/>
  <c r="Q519" i="7"/>
  <c r="S519" i="7" s="1"/>
  <c r="W519" i="7" s="1"/>
  <c r="Q521" i="7"/>
  <c r="S521" i="7" s="1"/>
  <c r="W521" i="7" s="1"/>
  <c r="Q523" i="7"/>
  <c r="S523" i="7" s="1"/>
  <c r="W523" i="7" s="1"/>
  <c r="Q525" i="7"/>
  <c r="S525" i="7" s="1"/>
  <c r="W525" i="7" s="1"/>
  <c r="Q527" i="7"/>
  <c r="S527" i="7" s="1"/>
  <c r="W527" i="7" s="1"/>
  <c r="Q529" i="7"/>
  <c r="S529" i="7" s="1"/>
  <c r="W529" i="7" s="1"/>
  <c r="Q539" i="7"/>
  <c r="S539" i="7" s="1"/>
  <c r="W539" i="7" s="1"/>
  <c r="Q541" i="7"/>
  <c r="S541" i="7" s="1"/>
  <c r="W541" i="7" s="1"/>
  <c r="Q543" i="7"/>
  <c r="S543" i="7" s="1"/>
  <c r="W543" i="7" s="1"/>
  <c r="Q545" i="7"/>
  <c r="S545" i="7" s="1"/>
  <c r="W545" i="7" s="1"/>
  <c r="Q547" i="7"/>
  <c r="S547" i="7" s="1"/>
  <c r="W547" i="7" s="1"/>
  <c r="Q549" i="7"/>
  <c r="S549" i="7" s="1"/>
  <c r="W549" i="7" s="1"/>
  <c r="Q559" i="7"/>
  <c r="S559" i="7" s="1"/>
  <c r="W559" i="7" s="1"/>
  <c r="Q561" i="7"/>
  <c r="S561" i="7" s="1"/>
  <c r="W561" i="7" s="1"/>
  <c r="Q563" i="7"/>
  <c r="S563" i="7" s="1"/>
  <c r="W563" i="7" s="1"/>
  <c r="Q565" i="7"/>
  <c r="S565" i="7" s="1"/>
  <c r="W565" i="7" s="1"/>
  <c r="Q567" i="7"/>
  <c r="S567" i="7" s="1"/>
  <c r="W567" i="7" s="1"/>
  <c r="Q569" i="7"/>
  <c r="S569" i="7" s="1"/>
  <c r="W569" i="7" s="1"/>
  <c r="Q571" i="7"/>
  <c r="S571" i="7" s="1"/>
  <c r="W571" i="7" s="1"/>
  <c r="Q573" i="7"/>
  <c r="S573" i="7" s="1"/>
  <c r="W573" i="7" s="1"/>
  <c r="Q575" i="7"/>
  <c r="S575" i="7" s="1"/>
  <c r="W575" i="7" s="1"/>
  <c r="Q577" i="7"/>
  <c r="S577" i="7" s="1"/>
  <c r="W577" i="7" s="1"/>
  <c r="Q579" i="7"/>
  <c r="S579" i="7" s="1"/>
  <c r="W579" i="7" s="1"/>
  <c r="Q583" i="7"/>
  <c r="S583" i="7" s="1"/>
  <c r="W583" i="7" s="1"/>
  <c r="Q595" i="7"/>
  <c r="S595" i="7" s="1"/>
  <c r="W595" i="7" s="1"/>
  <c r="Q688" i="7"/>
  <c r="S688" i="7" s="1"/>
  <c r="W688" i="7" s="1"/>
  <c r="Q696" i="7"/>
  <c r="S696" i="7" s="1"/>
  <c r="W696" i="7" s="1"/>
  <c r="S746" i="7"/>
  <c r="W746" i="7" s="1"/>
  <c r="Q762" i="7"/>
  <c r="S762" i="7" s="1"/>
  <c r="W762" i="7" s="1"/>
  <c r="Q781" i="7"/>
  <c r="S781" i="7" s="1"/>
  <c r="W781" i="7" s="1"/>
  <c r="Q789" i="7"/>
  <c r="S789" i="7" s="1"/>
  <c r="W789" i="7" s="1"/>
  <c r="Q802" i="7"/>
  <c r="S802" i="7" s="1"/>
  <c r="W802" i="7" s="1"/>
  <c r="Q810" i="7"/>
  <c r="S810" i="7" s="1"/>
  <c r="W810" i="7" s="1"/>
  <c r="Q818" i="7"/>
  <c r="S818" i="7" s="1"/>
  <c r="W818" i="7" s="1"/>
  <c r="AG833" i="7"/>
  <c r="AZ833" i="7"/>
  <c r="Q866" i="7"/>
  <c r="S866" i="7" s="1"/>
  <c r="W866" i="7" s="1"/>
  <c r="Q838" i="7"/>
  <c r="S838" i="7" s="1"/>
  <c r="W838" i="7" s="1"/>
  <c r="S935" i="7"/>
  <c r="W935" i="7" s="1"/>
  <c r="Q311" i="7"/>
  <c r="S311" i="7" s="1"/>
  <c r="W311" i="7" s="1"/>
  <c r="Q313" i="7"/>
  <c r="S313" i="7" s="1"/>
  <c r="W313" i="7" s="1"/>
  <c r="Q315" i="7"/>
  <c r="S315" i="7" s="1"/>
  <c r="W315" i="7" s="1"/>
  <c r="Q317" i="7"/>
  <c r="S317" i="7" s="1"/>
  <c r="W317" i="7" s="1"/>
  <c r="Q319" i="7"/>
  <c r="S319" i="7" s="1"/>
  <c r="W319" i="7" s="1"/>
  <c r="Q321" i="7"/>
  <c r="S321" i="7" s="1"/>
  <c r="W321" i="7" s="1"/>
  <c r="Q323" i="7"/>
  <c r="S323" i="7" s="1"/>
  <c r="W323" i="7" s="1"/>
  <c r="Q325" i="7"/>
  <c r="S325" i="7" s="1"/>
  <c r="W325" i="7" s="1"/>
  <c r="Q327" i="7"/>
  <c r="S327" i="7" s="1"/>
  <c r="W327" i="7" s="1"/>
  <c r="Q329" i="7"/>
  <c r="S329" i="7" s="1"/>
  <c r="W329" i="7" s="1"/>
  <c r="Q331" i="7"/>
  <c r="S331" i="7" s="1"/>
  <c r="W331" i="7" s="1"/>
  <c r="Q333" i="7"/>
  <c r="S333" i="7" s="1"/>
  <c r="W333" i="7" s="1"/>
  <c r="Q335" i="7"/>
  <c r="S335" i="7" s="1"/>
  <c r="W335" i="7" s="1"/>
  <c r="Q337" i="7"/>
  <c r="S337" i="7" s="1"/>
  <c r="W337" i="7" s="1"/>
  <c r="Q339" i="7"/>
  <c r="S339" i="7" s="1"/>
  <c r="W339" i="7" s="1"/>
  <c r="Q341" i="7"/>
  <c r="S341" i="7" s="1"/>
  <c r="W341" i="7" s="1"/>
  <c r="Q343" i="7"/>
  <c r="S343" i="7" s="1"/>
  <c r="W343" i="7" s="1"/>
  <c r="Q345" i="7"/>
  <c r="S345" i="7" s="1"/>
  <c r="W345" i="7" s="1"/>
  <c r="Q347" i="7"/>
  <c r="S347" i="7" s="1"/>
  <c r="W347" i="7" s="1"/>
  <c r="Q349" i="7"/>
  <c r="S349" i="7" s="1"/>
  <c r="W349" i="7" s="1"/>
  <c r="Q351" i="7"/>
  <c r="S351" i="7" s="1"/>
  <c r="W351" i="7" s="1"/>
  <c r="Q353" i="7"/>
  <c r="S353" i="7" s="1"/>
  <c r="W353" i="7" s="1"/>
  <c r="Q355" i="7"/>
  <c r="S355" i="7" s="1"/>
  <c r="W355" i="7" s="1"/>
  <c r="Q357" i="7"/>
  <c r="S357" i="7" s="1"/>
  <c r="W357" i="7" s="1"/>
  <c r="Q359" i="7"/>
  <c r="S359" i="7" s="1"/>
  <c r="W359" i="7" s="1"/>
  <c r="Q364" i="7"/>
  <c r="S364" i="7" s="1"/>
  <c r="W364" i="7" s="1"/>
  <c r="Q366" i="7"/>
  <c r="S366" i="7" s="1"/>
  <c r="W366" i="7" s="1"/>
  <c r="Q368" i="7"/>
  <c r="S368" i="7" s="1"/>
  <c r="W368" i="7" s="1"/>
  <c r="Q370" i="7"/>
  <c r="S370" i="7" s="1"/>
  <c r="W370" i="7" s="1"/>
  <c r="Q372" i="7"/>
  <c r="S372" i="7" s="1"/>
  <c r="W372" i="7" s="1"/>
  <c r="Q374" i="7"/>
  <c r="S374" i="7" s="1"/>
  <c r="W374" i="7" s="1"/>
  <c r="Q376" i="7"/>
  <c r="S376" i="7" s="1"/>
  <c r="W376" i="7" s="1"/>
  <c r="Q378" i="7"/>
  <c r="S378" i="7" s="1"/>
  <c r="W378" i="7" s="1"/>
  <c r="Q380" i="7"/>
  <c r="S380" i="7" s="1"/>
  <c r="W380" i="7" s="1"/>
  <c r="Q382" i="7"/>
  <c r="S382" i="7" s="1"/>
  <c r="W382" i="7" s="1"/>
  <c r="Q384" i="7"/>
  <c r="S384" i="7" s="1"/>
  <c r="W384" i="7" s="1"/>
  <c r="Q386" i="7"/>
  <c r="S386" i="7" s="1"/>
  <c r="W386" i="7" s="1"/>
  <c r="Q390" i="7"/>
  <c r="S390" i="7" s="1"/>
  <c r="W390" i="7" s="1"/>
  <c r="Q392" i="7"/>
  <c r="S392" i="7" s="1"/>
  <c r="W392" i="7" s="1"/>
  <c r="Q394" i="7"/>
  <c r="S394" i="7" s="1"/>
  <c r="W394" i="7" s="1"/>
  <c r="Q396" i="7"/>
  <c r="S396" i="7" s="1"/>
  <c r="W396" i="7" s="1"/>
  <c r="Q398" i="7"/>
  <c r="S398" i="7" s="1"/>
  <c r="W398" i="7" s="1"/>
  <c r="Q400" i="7"/>
  <c r="S400" i="7" s="1"/>
  <c r="W400" i="7" s="1"/>
  <c r="Q402" i="7"/>
  <c r="S402" i="7" s="1"/>
  <c r="W402" i="7" s="1"/>
  <c r="Q404" i="7"/>
  <c r="S404" i="7" s="1"/>
  <c r="W404" i="7" s="1"/>
  <c r="Q406" i="7"/>
  <c r="S406" i="7" s="1"/>
  <c r="W406" i="7" s="1"/>
  <c r="Q408" i="7"/>
  <c r="S408" i="7" s="1"/>
  <c r="W408" i="7" s="1"/>
  <c r="Q410" i="7"/>
  <c r="S410" i="7" s="1"/>
  <c r="W410" i="7" s="1"/>
  <c r="Q412" i="7"/>
  <c r="S412" i="7" s="1"/>
  <c r="W412" i="7" s="1"/>
  <c r="Q414" i="7"/>
  <c r="S414" i="7" s="1"/>
  <c r="W414" i="7" s="1"/>
  <c r="Q421" i="7"/>
  <c r="S421" i="7" s="1"/>
  <c r="W421" i="7" s="1"/>
  <c r="Q423" i="7"/>
  <c r="S423" i="7" s="1"/>
  <c r="W423" i="7" s="1"/>
  <c r="Q425" i="7"/>
  <c r="S425" i="7" s="1"/>
  <c r="W425" i="7" s="1"/>
  <c r="Q427" i="7"/>
  <c r="S427" i="7" s="1"/>
  <c r="W427" i="7" s="1"/>
  <c r="Q429" i="7"/>
  <c r="S429" i="7" s="1"/>
  <c r="W429" i="7" s="1"/>
  <c r="Q431" i="7"/>
  <c r="S431" i="7" s="1"/>
  <c r="W431" i="7" s="1"/>
  <c r="Q416" i="7"/>
  <c r="S416" i="7" s="1"/>
  <c r="W416" i="7" s="1"/>
  <c r="Q418" i="7"/>
  <c r="S418" i="7" s="1"/>
  <c r="W418" i="7" s="1"/>
  <c r="Q432" i="7"/>
  <c r="S432" i="7" s="1"/>
  <c r="W432" i="7" s="1"/>
  <c r="Q434" i="7"/>
  <c r="S434" i="7" s="1"/>
  <c r="W434" i="7" s="1"/>
  <c r="Q436" i="7"/>
  <c r="S436" i="7" s="1"/>
  <c r="W436" i="7" s="1"/>
  <c r="Q438" i="7"/>
  <c r="S438" i="7" s="1"/>
  <c r="W438" i="7" s="1"/>
  <c r="Q440" i="7"/>
  <c r="S440" i="7" s="1"/>
  <c r="W440" i="7" s="1"/>
  <c r="Q452" i="7"/>
  <c r="S452" i="7" s="1"/>
  <c r="W452" i="7" s="1"/>
  <c r="Q454" i="7"/>
  <c r="S454" i="7" s="1"/>
  <c r="W454" i="7" s="1"/>
  <c r="Q456" i="7"/>
  <c r="S456" i="7" s="1"/>
  <c r="W456" i="7" s="1"/>
  <c r="Q458" i="7"/>
  <c r="S458" i="7" s="1"/>
  <c r="W458" i="7" s="1"/>
  <c r="Q464" i="7"/>
  <c r="S464" i="7" s="1"/>
  <c r="W464" i="7" s="1"/>
  <c r="Q466" i="7"/>
  <c r="S466" i="7" s="1"/>
  <c r="W466" i="7" s="1"/>
  <c r="Q468" i="7"/>
  <c r="S468" i="7" s="1"/>
  <c r="W468" i="7" s="1"/>
  <c r="Q470" i="7"/>
  <c r="S470" i="7" s="1"/>
  <c r="W470" i="7" s="1"/>
  <c r="Q472" i="7"/>
  <c r="S472" i="7" s="1"/>
  <c r="W472" i="7" s="1"/>
  <c r="Q474" i="7"/>
  <c r="S474" i="7" s="1"/>
  <c r="W474" i="7" s="1"/>
  <c r="Q476" i="7"/>
  <c r="S476" i="7" s="1"/>
  <c r="W476" i="7" s="1"/>
  <c r="Q478" i="7"/>
  <c r="S478" i="7" s="1"/>
  <c r="W478" i="7" s="1"/>
  <c r="Q480" i="7"/>
  <c r="S480" i="7" s="1"/>
  <c r="W480" i="7" s="1"/>
  <c r="Q482" i="7"/>
  <c r="S482" i="7" s="1"/>
  <c r="W482" i="7" s="1"/>
  <c r="Q493" i="7"/>
  <c r="S493" i="7" s="1"/>
  <c r="W493" i="7" s="1"/>
  <c r="AG501" i="7"/>
  <c r="Q503" i="7"/>
  <c r="S503" i="7" s="1"/>
  <c r="W503" i="7" s="1"/>
  <c r="Q505" i="7"/>
  <c r="S505" i="7" s="1"/>
  <c r="W505" i="7" s="1"/>
  <c r="Q507" i="7"/>
  <c r="S507" i="7" s="1"/>
  <c r="W507" i="7" s="1"/>
  <c r="Q509" i="7"/>
  <c r="S509" i="7" s="1"/>
  <c r="W509" i="7" s="1"/>
  <c r="AG510" i="7"/>
  <c r="Q512" i="7"/>
  <c r="S512" i="7" s="1"/>
  <c r="W512" i="7" s="1"/>
  <c r="Q514" i="7"/>
  <c r="S514" i="7" s="1"/>
  <c r="W514" i="7" s="1"/>
  <c r="Q516" i="7"/>
  <c r="S516" i="7" s="1"/>
  <c r="W516" i="7" s="1"/>
  <c r="Q531" i="7"/>
  <c r="S531" i="7" s="1"/>
  <c r="W531" i="7" s="1"/>
  <c r="Q535" i="7"/>
  <c r="S535" i="7" s="1"/>
  <c r="W535" i="7" s="1"/>
  <c r="Q537" i="7"/>
  <c r="S537" i="7" s="1"/>
  <c r="W537" i="7" s="1"/>
  <c r="Q552" i="7"/>
  <c r="S552" i="7" s="1"/>
  <c r="W552" i="7" s="1"/>
  <c r="Q554" i="7"/>
  <c r="S554" i="7" s="1"/>
  <c r="W554" i="7" s="1"/>
  <c r="Q556" i="7"/>
  <c r="S556" i="7" s="1"/>
  <c r="W556" i="7" s="1"/>
  <c r="Q694" i="7"/>
  <c r="S694" i="7" s="1"/>
  <c r="W694" i="7" s="1"/>
  <c r="Q751" i="7"/>
  <c r="S751" i="7" s="1"/>
  <c r="W751" i="7" s="1"/>
  <c r="Q760" i="7"/>
  <c r="S760" i="7" s="1"/>
  <c r="W760" i="7" s="1"/>
  <c r="AZ762" i="7"/>
  <c r="AG762" i="7"/>
  <c r="Q779" i="7"/>
  <c r="S779" i="7" s="1"/>
  <c r="W779" i="7" s="1"/>
  <c r="Q787" i="7"/>
  <c r="S787" i="7" s="1"/>
  <c r="W787" i="7" s="1"/>
  <c r="Q800" i="7"/>
  <c r="S800" i="7" s="1"/>
  <c r="W800" i="7" s="1"/>
  <c r="Q808" i="7"/>
  <c r="S808" i="7" s="1"/>
  <c r="W808" i="7" s="1"/>
  <c r="Q816" i="7"/>
  <c r="S816" i="7" s="1"/>
  <c r="W816" i="7" s="1"/>
  <c r="Q832" i="7"/>
  <c r="S832" i="7" s="1"/>
  <c r="W832" i="7" s="1"/>
  <c r="Q836" i="7"/>
  <c r="S836" i="7" s="1"/>
  <c r="W836" i="7" s="1"/>
  <c r="Q874" i="7"/>
  <c r="S874" i="7" s="1"/>
  <c r="W874" i="7" s="1"/>
  <c r="Q890" i="7"/>
  <c r="S890" i="7" s="1"/>
  <c r="W890" i="7" s="1"/>
  <c r="Q692" i="7"/>
  <c r="S692" i="7" s="1"/>
  <c r="W692" i="7" s="1"/>
  <c r="Q758" i="7"/>
  <c r="S758" i="7" s="1"/>
  <c r="W758" i="7" s="1"/>
  <c r="Q777" i="7"/>
  <c r="S777" i="7" s="1"/>
  <c r="W777" i="7" s="1"/>
  <c r="Q785" i="7"/>
  <c r="S785" i="7" s="1"/>
  <c r="W785" i="7" s="1"/>
  <c r="Q806" i="7"/>
  <c r="S806" i="7" s="1"/>
  <c r="W806" i="7" s="1"/>
  <c r="Q814" i="7"/>
  <c r="S814" i="7" s="1"/>
  <c r="W814" i="7" s="1"/>
  <c r="Q826" i="7"/>
  <c r="S826" i="7" s="1"/>
  <c r="W826" i="7" s="1"/>
  <c r="Q854" i="7"/>
  <c r="S854" i="7" s="1"/>
  <c r="W854" i="7" s="1"/>
  <c r="Q858" i="7"/>
  <c r="S858" i="7" s="1"/>
  <c r="W858" i="7" s="1"/>
  <c r="Q862" i="7"/>
  <c r="S862" i="7" s="1"/>
  <c r="W862" i="7" s="1"/>
  <c r="Q886" i="7"/>
  <c r="S886" i="7" s="1"/>
  <c r="W886" i="7" s="1"/>
  <c r="Q581" i="7"/>
  <c r="S581" i="7" s="1"/>
  <c r="W581" i="7" s="1"/>
  <c r="Q586" i="7"/>
  <c r="S586" i="7" s="1"/>
  <c r="W586" i="7" s="1"/>
  <c r="Q593" i="7"/>
  <c r="S593" i="7" s="1"/>
  <c r="W593" i="7" s="1"/>
  <c r="Q598" i="7"/>
  <c r="S598" i="7" s="1"/>
  <c r="W598" i="7" s="1"/>
  <c r="Q618" i="7"/>
  <c r="S618" i="7" s="1"/>
  <c r="W618" i="7" s="1"/>
  <c r="Q620" i="7"/>
  <c r="S620" i="7" s="1"/>
  <c r="W620" i="7" s="1"/>
  <c r="Q622" i="7"/>
  <c r="S622" i="7" s="1"/>
  <c r="W622" i="7" s="1"/>
  <c r="Q624" i="7"/>
  <c r="S624" i="7" s="1"/>
  <c r="W624" i="7" s="1"/>
  <c r="Q626" i="7"/>
  <c r="S626" i="7" s="1"/>
  <c r="W626" i="7" s="1"/>
  <c r="Q628" i="7"/>
  <c r="S628" i="7" s="1"/>
  <c r="W628" i="7" s="1"/>
  <c r="Q630" i="7"/>
  <c r="S630" i="7" s="1"/>
  <c r="W630" i="7" s="1"/>
  <c r="Q632" i="7"/>
  <c r="S632" i="7" s="1"/>
  <c r="W632" i="7" s="1"/>
  <c r="Q634" i="7"/>
  <c r="S634" i="7" s="1"/>
  <c r="W634" i="7" s="1"/>
  <c r="Q636" i="7"/>
  <c r="S636" i="7" s="1"/>
  <c r="W636" i="7" s="1"/>
  <c r="Q638" i="7"/>
  <c r="S638" i="7" s="1"/>
  <c r="W638" i="7" s="1"/>
  <c r="Q640" i="7"/>
  <c r="S640" i="7" s="1"/>
  <c r="W640" i="7" s="1"/>
  <c r="Q642" i="7"/>
  <c r="S642" i="7" s="1"/>
  <c r="W642" i="7" s="1"/>
  <c r="Q644" i="7"/>
  <c r="S644" i="7" s="1"/>
  <c r="W644" i="7" s="1"/>
  <c r="Q646" i="7"/>
  <c r="S646" i="7" s="1"/>
  <c r="W646" i="7" s="1"/>
  <c r="Q648" i="7"/>
  <c r="S648" i="7" s="1"/>
  <c r="W648" i="7" s="1"/>
  <c r="Q650" i="7"/>
  <c r="S650" i="7" s="1"/>
  <c r="W650" i="7" s="1"/>
  <c r="Q652" i="7"/>
  <c r="S652" i="7" s="1"/>
  <c r="W652" i="7" s="1"/>
  <c r="Q654" i="7"/>
  <c r="S654" i="7" s="1"/>
  <c r="W654" i="7" s="1"/>
  <c r="Q656" i="7"/>
  <c r="S656" i="7" s="1"/>
  <c r="W656" i="7" s="1"/>
  <c r="Q658" i="7"/>
  <c r="S658" i="7" s="1"/>
  <c r="W658" i="7" s="1"/>
  <c r="Q660" i="7"/>
  <c r="S660" i="7" s="1"/>
  <c r="W660" i="7" s="1"/>
  <c r="Q662" i="7"/>
  <c r="S662" i="7" s="1"/>
  <c r="W662" i="7" s="1"/>
  <c r="Q664" i="7"/>
  <c r="S664" i="7" s="1"/>
  <c r="W664" i="7" s="1"/>
  <c r="Q666" i="7"/>
  <c r="S666" i="7" s="1"/>
  <c r="W666" i="7" s="1"/>
  <c r="Q668" i="7"/>
  <c r="S668" i="7" s="1"/>
  <c r="W668" i="7" s="1"/>
  <c r="Q670" i="7"/>
  <c r="S670" i="7" s="1"/>
  <c r="W670" i="7" s="1"/>
  <c r="Q672" i="7"/>
  <c r="S672" i="7" s="1"/>
  <c r="W672" i="7" s="1"/>
  <c r="Q674" i="7"/>
  <c r="S674" i="7" s="1"/>
  <c r="W674" i="7" s="1"/>
  <c r="Q676" i="7"/>
  <c r="S676" i="7" s="1"/>
  <c r="W676" i="7" s="1"/>
  <c r="Q678" i="7"/>
  <c r="S678" i="7" s="1"/>
  <c r="W678" i="7" s="1"/>
  <c r="Q680" i="7"/>
  <c r="S680" i="7" s="1"/>
  <c r="W680" i="7" s="1"/>
  <c r="Q682" i="7"/>
  <c r="S682" i="7" s="1"/>
  <c r="W682" i="7" s="1"/>
  <c r="Q684" i="7"/>
  <c r="S684" i="7" s="1"/>
  <c r="W684" i="7" s="1"/>
  <c r="Q686" i="7"/>
  <c r="S686" i="7" s="1"/>
  <c r="W686" i="7" s="1"/>
  <c r="Q698" i="7"/>
  <c r="S698" i="7" s="1"/>
  <c r="W698" i="7" s="1"/>
  <c r="Q700" i="7"/>
  <c r="S700" i="7" s="1"/>
  <c r="W700" i="7" s="1"/>
  <c r="Q702" i="7"/>
  <c r="S702" i="7" s="1"/>
  <c r="W702" i="7" s="1"/>
  <c r="Q704" i="7"/>
  <c r="S704" i="7" s="1"/>
  <c r="W704" i="7" s="1"/>
  <c r="Q706" i="7"/>
  <c r="S706" i="7" s="1"/>
  <c r="W706" i="7" s="1"/>
  <c r="Q708" i="7"/>
  <c r="S708" i="7" s="1"/>
  <c r="W708" i="7" s="1"/>
  <c r="Q710" i="7"/>
  <c r="Q712" i="7"/>
  <c r="S712" i="7" s="1"/>
  <c r="W712" i="7" s="1"/>
  <c r="Q714" i="7"/>
  <c r="S714" i="7" s="1"/>
  <c r="W714" i="7" s="1"/>
  <c r="Q716" i="7"/>
  <c r="S716" i="7" s="1"/>
  <c r="W716" i="7" s="1"/>
  <c r="Q718" i="7"/>
  <c r="S718" i="7" s="1"/>
  <c r="W718" i="7" s="1"/>
  <c r="Q720" i="7"/>
  <c r="S720" i="7" s="1"/>
  <c r="W720" i="7" s="1"/>
  <c r="Q722" i="7"/>
  <c r="S722" i="7" s="1"/>
  <c r="W722" i="7" s="1"/>
  <c r="Q724" i="7"/>
  <c r="S724" i="7" s="1"/>
  <c r="W724" i="7" s="1"/>
  <c r="Q726" i="7"/>
  <c r="S726" i="7" s="1"/>
  <c r="W726" i="7" s="1"/>
  <c r="Q728" i="7"/>
  <c r="S728" i="7" s="1"/>
  <c r="W728" i="7" s="1"/>
  <c r="Q730" i="7"/>
  <c r="S730" i="7" s="1"/>
  <c r="W730" i="7" s="1"/>
  <c r="Q734" i="7"/>
  <c r="S734" i="7" s="1"/>
  <c r="W734" i="7" s="1"/>
  <c r="Q736" i="7"/>
  <c r="S736" i="7" s="1"/>
  <c r="W736" i="7" s="1"/>
  <c r="Q738" i="7"/>
  <c r="S738" i="7" s="1"/>
  <c r="W738" i="7" s="1"/>
  <c r="Q740" i="7"/>
  <c r="S740" i="7" s="1"/>
  <c r="W740" i="7" s="1"/>
  <c r="Q742" i="7"/>
  <c r="S742" i="7" s="1"/>
  <c r="W742" i="7" s="1"/>
  <c r="Q744" i="7"/>
  <c r="S744" i="7" s="1"/>
  <c r="W744" i="7" s="1"/>
  <c r="Q747" i="7"/>
  <c r="S747" i="7" s="1"/>
  <c r="W747" i="7" s="1"/>
  <c r="Q754" i="7"/>
  <c r="S754" i="7" s="1"/>
  <c r="W754" i="7" s="1"/>
  <c r="Q764" i="7"/>
  <c r="S764" i="7" s="1"/>
  <c r="W764" i="7" s="1"/>
  <c r="Q766" i="7"/>
  <c r="S766" i="7" s="1"/>
  <c r="W766" i="7" s="1"/>
  <c r="Q768" i="7"/>
  <c r="S768" i="7" s="1"/>
  <c r="W768" i="7" s="1"/>
  <c r="Q770" i="7"/>
  <c r="S770" i="7" s="1"/>
  <c r="W770" i="7" s="1"/>
  <c r="Q772" i="7"/>
  <c r="S772" i="7" s="1"/>
  <c r="W772" i="7" s="1"/>
  <c r="Q774" i="7"/>
  <c r="S774" i="7" s="1"/>
  <c r="W774" i="7" s="1"/>
  <c r="Q793" i="7"/>
  <c r="S793" i="7" s="1"/>
  <c r="W793" i="7" s="1"/>
  <c r="Q795" i="7"/>
  <c r="S795" i="7" s="1"/>
  <c r="W795" i="7" s="1"/>
  <c r="Q797" i="7"/>
  <c r="S797" i="7" s="1"/>
  <c r="W797" i="7" s="1"/>
  <c r="Q819" i="7"/>
  <c r="S819" i="7" s="1"/>
  <c r="W819" i="7" s="1"/>
  <c r="Q823" i="7"/>
  <c r="S823" i="7" s="1"/>
  <c r="W823" i="7" s="1"/>
  <c r="Q827" i="7"/>
  <c r="S827" i="7" s="1"/>
  <c r="W827" i="7" s="1"/>
  <c r="Q833" i="7"/>
  <c r="S833" i="7" s="1"/>
  <c r="W833" i="7" s="1"/>
  <c r="Q855" i="7"/>
  <c r="S855" i="7" s="1"/>
  <c r="W855" i="7" s="1"/>
  <c r="Q859" i="7"/>
  <c r="S859" i="7" s="1"/>
  <c r="W859" i="7" s="1"/>
  <c r="Q883" i="7"/>
  <c r="S883" i="7" s="1"/>
  <c r="W883" i="7" s="1"/>
  <c r="Q887" i="7"/>
  <c r="S887" i="7" s="1"/>
  <c r="W887" i="7" s="1"/>
  <c r="Q891" i="7"/>
  <c r="S891" i="7" s="1"/>
  <c r="W891" i="7" s="1"/>
  <c r="Q839" i="7"/>
  <c r="S839" i="7" s="1"/>
  <c r="W839" i="7" s="1"/>
  <c r="Q843" i="7"/>
  <c r="S843" i="7" s="1"/>
  <c r="W843" i="7" s="1"/>
  <c r="Q847" i="7"/>
  <c r="S847" i="7" s="1"/>
  <c r="W847" i="7" s="1"/>
  <c r="Q893" i="7"/>
  <c r="S893" i="7" s="1"/>
  <c r="W893" i="7" s="1"/>
  <c r="Q897" i="7"/>
  <c r="S897" i="7" s="1"/>
  <c r="W897" i="7" s="1"/>
  <c r="R904" i="7"/>
  <c r="S904" i="7" s="1"/>
  <c r="W904" i="7" s="1"/>
  <c r="R908" i="7"/>
  <c r="S908" i="7" s="1"/>
  <c r="W908" i="7" s="1"/>
  <c r="R912" i="7"/>
  <c r="S912" i="7" s="1"/>
  <c r="W912" i="7" s="1"/>
  <c r="Q916" i="7"/>
  <c r="S916" i="7" s="1"/>
  <c r="W916" i="7" s="1"/>
  <c r="R922" i="7"/>
  <c r="S922" i="7" s="1"/>
  <c r="W922" i="7" s="1"/>
  <c r="R926" i="7"/>
  <c r="S926" i="7" s="1"/>
  <c r="W926" i="7" s="1"/>
  <c r="Q939" i="7"/>
  <c r="S939" i="7" s="1"/>
  <c r="W939" i="7" s="1"/>
  <c r="R946" i="7"/>
  <c r="S946" i="7" s="1"/>
  <c r="W946" i="7" s="1"/>
  <c r="R950" i="7"/>
  <c r="S950" i="7" s="1"/>
  <c r="W950" i="7" s="1"/>
  <c r="R954" i="7"/>
  <c r="S954" i="7" s="1"/>
  <c r="W954" i="7" s="1"/>
  <c r="R958" i="7"/>
  <c r="S958" i="7" s="1"/>
  <c r="W958" i="7" s="1"/>
  <c r="Q969" i="7"/>
  <c r="S969" i="7" s="1"/>
  <c r="W969" i="7" s="1"/>
  <c r="Q981" i="7"/>
  <c r="S981" i="7" s="1"/>
  <c r="W981" i="7" s="1"/>
  <c r="Q820" i="7"/>
  <c r="S820" i="7" s="1"/>
  <c r="W820" i="7" s="1"/>
  <c r="Q824" i="7"/>
  <c r="S824" i="7" s="1"/>
  <c r="W824" i="7" s="1"/>
  <c r="Q828" i="7"/>
  <c r="S828" i="7" s="1"/>
  <c r="W828" i="7" s="1"/>
  <c r="AG880" i="7"/>
  <c r="Q884" i="7"/>
  <c r="S884" i="7" s="1"/>
  <c r="W884" i="7" s="1"/>
  <c r="Q888" i="7"/>
  <c r="S888" i="7" s="1"/>
  <c r="W888" i="7" s="1"/>
  <c r="Q892" i="7"/>
  <c r="S892" i="7" s="1"/>
  <c r="W892" i="7" s="1"/>
  <c r="Q840" i="7"/>
  <c r="S840" i="7" s="1"/>
  <c r="W840" i="7" s="1"/>
  <c r="Q844" i="7"/>
  <c r="S844" i="7" s="1"/>
  <c r="W844" i="7" s="1"/>
  <c r="Q848" i="7"/>
  <c r="S848" i="7" s="1"/>
  <c r="W848" i="7" s="1"/>
  <c r="Q894" i="7"/>
  <c r="S894" i="7" s="1"/>
  <c r="W894" i="7" s="1"/>
  <c r="Q898" i="7"/>
  <c r="S898" i="7" s="1"/>
  <c r="W898" i="7" s="1"/>
  <c r="S919" i="7"/>
  <c r="W919" i="7" s="1"/>
  <c r="S923" i="7"/>
  <c r="W923" i="7" s="1"/>
  <c r="S927" i="7"/>
  <c r="W927" i="7" s="1"/>
  <c r="R932" i="7"/>
  <c r="S932" i="7" s="1"/>
  <c r="W932" i="7" s="1"/>
  <c r="Q940" i="7"/>
  <c r="S940" i="7" s="1"/>
  <c r="W940" i="7" s="1"/>
  <c r="S947" i="7"/>
  <c r="W947" i="7" s="1"/>
  <c r="S951" i="7"/>
  <c r="W951" i="7" s="1"/>
  <c r="S955" i="7"/>
  <c r="W955" i="7" s="1"/>
  <c r="S959" i="7"/>
  <c r="W959" i="7" s="1"/>
  <c r="R964" i="7"/>
  <c r="S964" i="7" s="1"/>
  <c r="W964" i="7" s="1"/>
  <c r="Q976" i="7"/>
  <c r="S976" i="7" s="1"/>
  <c r="W976" i="7" s="1"/>
  <c r="Q983" i="7"/>
  <c r="S983" i="7" s="1"/>
  <c r="W983" i="7" s="1"/>
  <c r="Q987" i="7"/>
  <c r="S987" i="7" s="1"/>
  <c r="W987" i="7" s="1"/>
  <c r="Q831" i="7"/>
  <c r="S831" i="7" s="1"/>
  <c r="W831" i="7" s="1"/>
  <c r="Q853" i="7"/>
  <c r="S853" i="7" s="1"/>
  <c r="W853" i="7" s="1"/>
  <c r="Q857" i="7"/>
  <c r="S857" i="7" s="1"/>
  <c r="W857" i="7" s="1"/>
  <c r="Q861" i="7"/>
  <c r="S861" i="7" s="1"/>
  <c r="W861" i="7" s="1"/>
  <c r="R928" i="7"/>
  <c r="S928" i="7" s="1"/>
  <c r="W928" i="7" s="1"/>
  <c r="Q978" i="7"/>
  <c r="S978" i="7" s="1"/>
  <c r="W978" i="7" s="1"/>
  <c r="Q979" i="7"/>
  <c r="S979" i="7" s="1"/>
  <c r="W979" i="7" s="1"/>
  <c r="Q846" i="7"/>
  <c r="S846" i="7" s="1"/>
  <c r="W846" i="7" s="1"/>
  <c r="Q850" i="7"/>
  <c r="S850" i="7" s="1"/>
  <c r="W850" i="7" s="1"/>
  <c r="Q896" i="7"/>
  <c r="S896" i="7" s="1"/>
  <c r="W896" i="7" s="1"/>
  <c r="Q900" i="7"/>
  <c r="S900" i="7" s="1"/>
  <c r="W900" i="7" s="1"/>
  <c r="Q970" i="7"/>
  <c r="S970" i="7" s="1"/>
  <c r="W970" i="7" s="1"/>
  <c r="Q974" i="7"/>
  <c r="S974" i="7" s="1"/>
  <c r="W974" i="7" s="1"/>
  <c r="Q989" i="7"/>
  <c r="S989" i="7" s="1"/>
  <c r="W989" i="7" s="1"/>
  <c r="S159" i="7" l="1"/>
  <c r="W159" i="7" s="1"/>
  <c r="T22" i="7"/>
  <c r="S22" i="7"/>
  <c r="W22" i="7" s="1"/>
  <c r="T10" i="7"/>
  <c r="S10" i="7"/>
  <c r="W10" i="7" s="1"/>
  <c r="S46" i="7"/>
  <c r="W46" i="7" s="1"/>
  <c r="T46" i="7"/>
  <c r="S41" i="7"/>
  <c r="W41" i="7" s="1"/>
  <c r="T41" i="7"/>
  <c r="S43" i="7"/>
  <c r="W43" i="7" s="1"/>
  <c r="T43" i="7"/>
  <c r="T21" i="7"/>
  <c r="S21" i="7"/>
  <c r="W21" i="7" s="1"/>
  <c r="T9" i="7"/>
  <c r="S9" i="7"/>
  <c r="W9" i="7" s="1"/>
  <c r="S44" i="7"/>
  <c r="W44" i="7" s="1"/>
  <c r="T44" i="7"/>
  <c r="S40" i="7"/>
  <c r="W40" i="7" s="1"/>
  <c r="T40" i="7"/>
  <c r="T20" i="7"/>
  <c r="S20" i="7"/>
  <c r="W20" i="7" s="1"/>
  <c r="T8" i="7"/>
  <c r="S8" i="7"/>
  <c r="W8" i="7" s="1"/>
  <c r="S47" i="7"/>
  <c r="W47" i="7" s="1"/>
  <c r="T47" i="7"/>
  <c r="S39" i="7"/>
  <c r="W39" i="7" s="1"/>
  <c r="T39" i="7"/>
  <c r="T19" i="7"/>
  <c r="S19" i="7"/>
  <c r="W19" i="7" s="1"/>
  <c r="S42" i="7"/>
  <c r="W42" i="7" s="1"/>
  <c r="T42" i="7"/>
  <c r="S38" i="7"/>
  <c r="W38" i="7" s="1"/>
  <c r="T3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I19" authorId="0" shapeId="0" xr:uid="{00000000-0006-0000-0600-000008000000}">
      <text>
        <r>
          <rPr>
            <sz val="11"/>
            <color theme="1"/>
            <rFont val="Arial"/>
            <scheme val="minor"/>
          </rPr>
          <t>7L64-WP TOTAL STOCK HO DAN BPN 34 (SOH TGL 13 JULI)
6L1-137-1 (SOH HO 191)
======</t>
        </r>
      </text>
    </comment>
    <comment ref="AI22" authorId="0" shapeId="0" xr:uid="{00000000-0006-0000-0600-000005000000}">
      <text>
        <r>
          <rPr>
            <sz val="11"/>
            <color theme="1"/>
            <rFont val="Arial"/>
            <scheme val="minor"/>
          </rPr>
          <t>PAKAI PN REMARK WH 7L64-WP TOTAL STOCK HO DAN BPN 34 (SOH TGL 13 JULI)
6L1-137-1 (SOH HO 191)
======</t>
        </r>
      </text>
    </comment>
    <comment ref="AI23" authorId="0" shapeId="0" xr:uid="{00000000-0006-0000-0600-000003000000}">
      <text>
        <r>
          <rPr>
            <sz val="11"/>
            <color theme="1"/>
            <rFont val="Arial"/>
            <scheme val="minor"/>
          </rPr>
          <t>7L64-WP TOTAL STOCK HO DAN BPN 34 (SOH TGL 13 JULI)
6L1-137-1 (SOH HO 191)
======</t>
        </r>
      </text>
    </comment>
    <comment ref="AH29" authorId="0" shapeId="0" xr:uid="{00000000-0006-0000-0600-000006000000}">
      <text>
        <r>
          <rPr>
            <sz val="11"/>
            <color theme="1"/>
            <rFont val="Arial"/>
            <scheme val="minor"/>
          </rPr>
          <t>pakai pn sesuai remark WH
======</t>
        </r>
      </text>
    </comment>
    <comment ref="AH30" authorId="0" shapeId="0" xr:uid="{00000000-0006-0000-0600-000004000000}">
      <text>
        <r>
          <rPr>
            <sz val="11"/>
            <color theme="1"/>
            <rFont val="Arial"/>
            <scheme val="minor"/>
          </rPr>
          <t>pakai pn sesuai remark WH (READY STOCK)
======</t>
        </r>
      </text>
    </comment>
    <comment ref="AH36" authorId="0" shapeId="0" xr:uid="{00000000-0006-0000-0600-000009000000}">
      <text>
        <r>
          <rPr>
            <sz val="11"/>
            <color theme="1"/>
            <rFont val="Arial"/>
            <scheme val="minor"/>
          </rPr>
          <t>PAKAI PN 7L9-12 (READY DI BPN 3 (PACK OF 100 PCS)
======</t>
        </r>
      </text>
    </comment>
    <comment ref="AH67" authorId="0" shapeId="0" xr:uid="{00000000-0006-0000-0600-000001000000}">
      <text>
        <r>
          <rPr>
            <sz val="11"/>
            <color theme="1"/>
            <rFont val="Arial"/>
            <scheme val="minor"/>
          </rPr>
          <t>Pakai PN 7L10-10-1 (stock ready 1831 di HO)
======</t>
        </r>
      </text>
    </comment>
    <comment ref="AH91" authorId="0" shapeId="0" xr:uid="{00000000-0006-0000-0600-000002000000}">
      <text>
        <r>
          <rPr>
            <sz val="11"/>
            <color theme="1"/>
            <rFont val="Arial"/>
            <scheme val="minor"/>
          </rPr>
          <t>Ready pn meteran 5L17-202-1
======</t>
        </r>
      </text>
    </comment>
    <comment ref="AH144" authorId="0" shapeId="0" xr:uid="{00000000-0006-0000-0600-000007000000}">
      <text>
        <r>
          <rPr>
            <sz val="11"/>
            <color theme="1"/>
            <rFont val="Arial"/>
            <scheme val="minor"/>
          </rPr>
          <t>Ready HO pn 7L9-8-1
======</t>
        </r>
      </text>
    </comment>
  </commentList>
</comments>
</file>

<file path=xl/sharedStrings.xml><?xml version="1.0" encoding="utf-8"?>
<sst xmlns="http://schemas.openxmlformats.org/spreadsheetml/2006/main" count="14802" uniqueCount="1402">
  <si>
    <t>DESCRIPTION</t>
  </si>
  <si>
    <t>2L3-ND60S</t>
  </si>
  <si>
    <t>Warren</t>
  </si>
  <si>
    <t>2L3-ND60F</t>
  </si>
  <si>
    <t>LED Work Lamp 60W, 9-80VDC, IP68, Flood Beam</t>
  </si>
  <si>
    <t>2L3-ND40S</t>
  </si>
  <si>
    <t>2L3-ND40F</t>
  </si>
  <si>
    <t>LED Work Light 40W, 9-80VDC, IP68, Flood Beam LOURDES</t>
  </si>
  <si>
    <t>2L3-ND25S</t>
  </si>
  <si>
    <t>2L3-ND25F</t>
  </si>
  <si>
    <t>2L3-2F</t>
  </si>
  <si>
    <t>2L3-2S</t>
  </si>
  <si>
    <t>2L3-2S-FG</t>
  </si>
  <si>
    <t>2L3-6F</t>
  </si>
  <si>
    <t>2L3-6S</t>
  </si>
  <si>
    <t>2L3-8F</t>
  </si>
  <si>
    <t>2L3-8S</t>
  </si>
  <si>
    <t>2L3-28F</t>
  </si>
  <si>
    <t>2L3-28S</t>
  </si>
  <si>
    <t>2L3-42F</t>
  </si>
  <si>
    <t>120W Work Lamp LED, 9-32 VDC, 6000K, 9600LM, Flood Beam, IP68</t>
  </si>
  <si>
    <t>2L3-42S</t>
  </si>
  <si>
    <t>120W Work Lamp LED, 9-32 VDC, 6000K, 9600LM, Spot Beam, IP68</t>
  </si>
  <si>
    <t>2L3-26F</t>
  </si>
  <si>
    <t>2L3-26S</t>
  </si>
  <si>
    <t>2L3-43F</t>
  </si>
  <si>
    <t>2L3-43S</t>
  </si>
  <si>
    <t>3L4-7ASA</t>
  </si>
  <si>
    <t>LED (SMD Led) Strobe Beacon Amber : 12-24VDC with Alumunium screw base</t>
  </si>
  <si>
    <t>3L4-7ASB</t>
  </si>
  <si>
    <t>LED (SMD Led) Strobe Beacon Blue : 12-24VDC with Alumunium screw base</t>
  </si>
  <si>
    <t>3L3-8AA</t>
  </si>
  <si>
    <t>3L3-8AB</t>
  </si>
  <si>
    <t>3L1-31</t>
  </si>
  <si>
    <t>Backup, Switchable volume : 112dB, 12-24VDC</t>
  </si>
  <si>
    <t>3L1-6-1</t>
  </si>
  <si>
    <t>Back Up Alarm 107dB, 12-80VDC</t>
  </si>
  <si>
    <t>3L1-1-1</t>
  </si>
  <si>
    <t>Back Up Alarm 112dB, 12-48VDC</t>
  </si>
  <si>
    <t>3L1-6-2</t>
  </si>
  <si>
    <t>11L-LVGB500</t>
  </si>
  <si>
    <t>11L-1290-1</t>
  </si>
  <si>
    <t>Part Number</t>
  </si>
  <si>
    <t>11L-0514</t>
  </si>
  <si>
    <t>11L-0515-7-4</t>
  </si>
  <si>
    <t>11L-1561-10</t>
  </si>
  <si>
    <t>11L-1561-20</t>
  </si>
  <si>
    <t>3L7-6</t>
  </si>
  <si>
    <t>11L-0956A</t>
  </si>
  <si>
    <t>11L-0956R</t>
  </si>
  <si>
    <t>11L-1365-1-500</t>
  </si>
  <si>
    <t>11L-1365-2-1000</t>
  </si>
  <si>
    <t>11L-1365-2-600</t>
  </si>
  <si>
    <t>11L-1365-3-300</t>
  </si>
  <si>
    <t>9L8B-1</t>
  </si>
  <si>
    <t>Battery Master Switch with Lever Kit</t>
  </si>
  <si>
    <t>11L-3024</t>
  </si>
  <si>
    <t>14L-0420</t>
  </si>
  <si>
    <t>9L630</t>
  </si>
  <si>
    <t>Clipsal, Switch,module,250V,10A,IP66</t>
  </si>
  <si>
    <t>11L-1290-ARW</t>
  </si>
  <si>
    <t>2L1-1F-24</t>
  </si>
  <si>
    <t>2L3-54F</t>
  </si>
  <si>
    <t>2L3-54S</t>
  </si>
  <si>
    <t>Note</t>
  </si>
  <si>
    <t>PN GMI</t>
  </si>
  <si>
    <t>Deskripsi Barang</t>
  </si>
  <si>
    <t>10L172-1</t>
  </si>
  <si>
    <t>6-36V Circuit Tester</t>
  </si>
  <si>
    <t/>
  </si>
  <si>
    <t>11L-0023</t>
  </si>
  <si>
    <t>Heat Shrink Assorted 10-20 mm</t>
  </si>
  <si>
    <t>11L-0060-4</t>
  </si>
  <si>
    <t>Buggy Whip Panjang 4 meter</t>
  </si>
  <si>
    <t>11L-0085</t>
  </si>
  <si>
    <t>Clamp 500A</t>
  </si>
  <si>
    <t>11L-0240</t>
  </si>
  <si>
    <t>Isolasi Electrical 3M Scotch 33+</t>
  </si>
  <si>
    <t>GIS</t>
  </si>
  <si>
    <t>11L-0240-23</t>
  </si>
  <si>
    <t>3M SCOTCH 23 ISOLASI LISTRIK / RUBBER SPLICING TAPE</t>
  </si>
  <si>
    <t>11L-0538-13-50</t>
  </si>
  <si>
    <t>BATTERY CABLE LUG 6-8 (pack of 50)</t>
  </si>
  <si>
    <t>11L-0852</t>
  </si>
  <si>
    <t>P17 IP44 SOC. SURF, 415V 32A (555258)</t>
  </si>
  <si>
    <t>11L-0855</t>
  </si>
  <si>
    <t>P17 IP44 SOC. SURF, 250V 16A (555154)</t>
  </si>
  <si>
    <t>11L-0857-M</t>
  </si>
  <si>
    <t>Connector IP 44 AM-TOP 16A, 3P, 230V Mennekes</t>
  </si>
  <si>
    <t>11L-0858</t>
  </si>
  <si>
    <t>P17 PLUG 2P+E 16A 200/250 (555124)</t>
  </si>
  <si>
    <t>11L-0903-T</t>
  </si>
  <si>
    <t>Telemecanique XALK174 Pushbutton with tagging</t>
  </si>
  <si>
    <t>11L-1129</t>
  </si>
  <si>
    <t>Heat Shrink Assorted 3.0-6.0 mm, Length 300mm</t>
  </si>
  <si>
    <t>11L-1179</t>
  </si>
  <si>
    <t>Mom On / Off / Mom On Toggle Switch</t>
  </si>
  <si>
    <t>SWITCH TOGGLE 25A MOM(0N)/OF/MOM(ON)</t>
  </si>
  <si>
    <t>11L-1179-3</t>
  </si>
  <si>
    <t>Toggle Switch 3P ON-Off-ON</t>
  </si>
  <si>
    <t>11L-1444-24-2</t>
  </si>
  <si>
    <t>Horn Disc Flosser 24V High-Low Tone</t>
  </si>
  <si>
    <t>11L-1609-21</t>
  </si>
  <si>
    <t>THERMAL OVERLOAD RELAY SCHNEIDER LRD21 LRD 21 12-18A</t>
  </si>
  <si>
    <t>11L-1944</t>
  </si>
  <si>
    <t>Mini relay 5pin 24V 20A Bosch</t>
  </si>
  <si>
    <t>11L-1967</t>
  </si>
  <si>
    <t>Black Sleek Horn 24V 113dB(A) Hella - Set</t>
  </si>
  <si>
    <t>11L-2248-30</t>
  </si>
  <si>
    <t>Voltage Reduce 25A</t>
  </si>
  <si>
    <t>No</t>
  </si>
  <si>
    <t>Qty</t>
  </si>
  <si>
    <t>PO GIS</t>
  </si>
  <si>
    <t>PO GMI</t>
  </si>
  <si>
    <t>11L-2504-6GY</t>
  </si>
  <si>
    <t>Terminal Block 6 mm Viking Legrand 037162 Grey</t>
  </si>
  <si>
    <t>11L-3553-25-1.5-BK</t>
  </si>
  <si>
    <t>Cable gland M25 x 1.5 Black</t>
  </si>
  <si>
    <t>11L-3553-32-1.5-BK</t>
  </si>
  <si>
    <t>Cable gland M32 x 1.5 Black</t>
  </si>
  <si>
    <t>11L-3580</t>
  </si>
  <si>
    <t>DEUTSCH 23 WAY PLUG (HD34-24-23PE)</t>
  </si>
  <si>
    <t>9L635</t>
  </si>
  <si>
    <t>11L-3581</t>
  </si>
  <si>
    <t>DEUTSCH 14 WAY PLUG (HD34-18-14PE)</t>
  </si>
  <si>
    <t>11L-4045-1M</t>
  </si>
  <si>
    <t>Plugs IP 44 Power-TOP 16A, 3P, 230V Mennekes</t>
  </si>
  <si>
    <t>11L-4045-M</t>
  </si>
  <si>
    <t>Mennekes Plugs IP 44 Power-TOP Wall mounted receptacles IP44 (through-wiring type) 16A, 3P, 230V</t>
  </si>
  <si>
    <t>11L-4187-PE</t>
  </si>
  <si>
    <t>TE Connectivity / DEUTSCH HD36-18-14PE</t>
  </si>
  <si>
    <t>11L-4225-M20-BK</t>
  </si>
  <si>
    <t>Cable Gland M20IP68 20x1.5 - Black</t>
  </si>
  <si>
    <t>11L-4745-32</t>
  </si>
  <si>
    <t>Contactor LC1D32M7 3P 32A 220V Schneider</t>
  </si>
  <si>
    <t>11L-5522</t>
  </si>
  <si>
    <t>Mennekes Plug 13520 IP54 32A 5P 400V</t>
  </si>
  <si>
    <t>11L-5714-1-25</t>
  </si>
  <si>
    <t>ACTI9 STI 1P 25A FUSE 10.3X38MM</t>
  </si>
  <si>
    <t>11L-5717-3-63</t>
  </si>
  <si>
    <t>KAVACHA 63A 440V SURFACE MOUNT TRIPLE POLE ISOLATING SWITCH IP66</t>
  </si>
  <si>
    <t>11L-5718</t>
  </si>
  <si>
    <t>End Stop Terminal viking Legrand 37511 Stopper</t>
  </si>
  <si>
    <t>11L-5721</t>
  </si>
  <si>
    <t>Gas Butane Robinson tabung 220 gram</t>
  </si>
  <si>
    <t>14L-0557</t>
  </si>
  <si>
    <t>Oring Kit Shanxiu 18D</t>
  </si>
  <si>
    <t>1L5-S-1-HD/PC-2,5e-v.2</t>
  </si>
  <si>
    <t>Operation Fatigue Detection System for HD/PC (2,5 meter ECO) with Warning Buzzer
  include Harness</t>
  </si>
  <si>
    <t>LED Work Lamp 10-30VDC 3500 lumens 48W Flood Lens Square Type</t>
  </si>
  <si>
    <t>3L1-112</t>
  </si>
  <si>
    <t>Back Up alarm 112dB 12-48 V</t>
  </si>
  <si>
    <t>3L3-8AA-2</t>
  </si>
  <si>
    <t>Amber Xenon Beacon Light 12-48VDC with alumunium screw base</t>
  </si>
  <si>
    <t>3L1-5-112dB</t>
  </si>
  <si>
    <t>3L4-7ASC</t>
  </si>
  <si>
    <t>LED (SMD Led) Strobe Beacon Clear : 12-24VDC with Alumunium screw base</t>
  </si>
  <si>
    <t>4L1-2470</t>
  </si>
  <si>
    <t>Head Light Globe H1 24V 70W</t>
  </si>
  <si>
    <t>4L3-2470</t>
  </si>
  <si>
    <t>Head Light Globe H3 24V 70W</t>
  </si>
  <si>
    <t>4L4-126055-H</t>
  </si>
  <si>
    <t>Head Light Globe H4 12V 60/55W Hella</t>
  </si>
  <si>
    <t>4L4-2410090</t>
  </si>
  <si>
    <t>Head Light Globe H4 24V 100/90W</t>
  </si>
  <si>
    <t>4L4-247570</t>
  </si>
  <si>
    <t>Head Light Globe H4 24V 75/70W</t>
  </si>
  <si>
    <t>4L7-2470</t>
  </si>
  <si>
    <t>Head Light Globe H7 24V 70W</t>
  </si>
  <si>
    <t>11L-0925</t>
  </si>
  <si>
    <t>4LTB-16-10</t>
  </si>
  <si>
    <t>Turn &amp; Brake Lights 24V 21/5W BAY15D (Pack of 10 Pcs)</t>
  </si>
  <si>
    <t>4LTB-19</t>
  </si>
  <si>
    <t>Turn &amp; Brake Lights 24V 21/5W BA15D</t>
  </si>
  <si>
    <t>4LTB-35-10</t>
  </si>
  <si>
    <t>Turn &amp; Brake Lights 24V 5W BA15S (pack of 10)</t>
  </si>
  <si>
    <t>5L17-118</t>
  </si>
  <si>
    <t>BATTERY CABLE LUG 70-10 (Pack of 10)</t>
  </si>
  <si>
    <t>5L17-121-1</t>
  </si>
  <si>
    <t>BATTERY CABLE LUG 95-12</t>
  </si>
  <si>
    <t>No. PO</t>
  </si>
  <si>
    <t>5L17-142</t>
  </si>
  <si>
    <t>CABLE LUG ASSORTMENT</t>
  </si>
  <si>
    <t>5L17-16-1</t>
  </si>
  <si>
    <t>H/D BATTERY TERMINAL (Negative)</t>
  </si>
  <si>
    <t>5L17-17-1</t>
  </si>
  <si>
    <t>H/D BATTERY TERMINAL (Positive)</t>
  </si>
  <si>
    <t>5L17-314-BK</t>
  </si>
  <si>
    <t>NITTO 21E PVC TAPE 19MM X 20M BLACK</t>
  </si>
  <si>
    <t>5L17-183-BK</t>
  </si>
  <si>
    <t>Cable Ties width: 3.6mm, length: 150mm Black (Pak 0f 100)</t>
  </si>
  <si>
    <t>6L1-369-1</t>
  </si>
  <si>
    <t>Solid Crimp Socket Terminal 16mm (1 pcs)</t>
  </si>
  <si>
    <t>5L17-184-BK</t>
  </si>
  <si>
    <t>Cable Ties width: 4.8mm, length: 200mm Black (Pak 0f 100)</t>
  </si>
  <si>
    <t>5L17-192-370-BK</t>
  </si>
  <si>
    <t>Cable Ties width: 7.6mm, length: 370mm Black (pack 0f 100)</t>
  </si>
  <si>
    <t>6L1-293</t>
  </si>
  <si>
    <t>6 Way Deutsch Connector Kit</t>
  </si>
  <si>
    <t>6L1-290</t>
  </si>
  <si>
    <t>2 Way Deutsch Connector Kit</t>
  </si>
  <si>
    <t>5L17-202-1.2</t>
  </si>
  <si>
    <t>Heatshrink 2.5mm Red (Roll of 1.2 Mtr)</t>
  </si>
  <si>
    <t>5L17-207</t>
  </si>
  <si>
    <t>Heatshrink 5mm Black (1.5m)</t>
  </si>
  <si>
    <t>5L17-242-30</t>
  </si>
  <si>
    <t>Split Convulated Tubing 10.5mm Black (30m)</t>
  </si>
  <si>
    <t>5L17-260</t>
  </si>
  <si>
    <t>Non-Split Convulated Tubing 10.0mm Black (50m)</t>
  </si>
  <si>
    <t>5L17-394-BK</t>
  </si>
  <si>
    <t>Cable Ties width: 2.5mm, length: 100mm Black (pack 0f 100)</t>
  </si>
  <si>
    <t>5L17-422-BK</t>
  </si>
  <si>
    <t>Cable Ties width: 9mm, length: 550mm Black (pack 0f 100)</t>
  </si>
  <si>
    <t>5L17-91-15</t>
  </si>
  <si>
    <t>BLACK BATT TERMINAL INSULATOR (Cable Entry 15mm)</t>
  </si>
  <si>
    <t>5L17-92-15</t>
  </si>
  <si>
    <t>RED BATT TERMINAL INSULATOR (Cable Entry 15mm)</t>
  </si>
  <si>
    <t>5L5-10-100BK</t>
  </si>
  <si>
    <t>Battery &amp; Starter cable nominal area 1.5mm2 Black (roll of 100 Mtr)</t>
  </si>
  <si>
    <t>5L7-2-30</t>
  </si>
  <si>
    <t>Twin Sheat two core flat cable 4 MM (roll of 30 mtr)</t>
  </si>
  <si>
    <t>5LAVSS2-BK-100</t>
  </si>
  <si>
    <t>Cable single core 4 mm Black (roll of 100 Mtr)</t>
  </si>
  <si>
    <t>5LAVSS2-BK-30</t>
  </si>
  <si>
    <t>Cable single core 4 mm Black (roll of 30 Mtr)</t>
  </si>
  <si>
    <t>5LAVSS2-BL-30</t>
  </si>
  <si>
    <t>Cable single core 4 mm Blue (roll of 30 Mtr)</t>
  </si>
  <si>
    <t>5LAVSS2-GR-30</t>
  </si>
  <si>
    <t>Cable single core 4 mm Green (roll of 30 Mtr)</t>
  </si>
  <si>
    <t>5LAVSS2-RD-100</t>
  </si>
  <si>
    <t>Cable single core 4 mm Red (roll of 100 Mtr)</t>
  </si>
  <si>
    <t>5LAVSS2-RD-30</t>
  </si>
  <si>
    <t>Cable single core 4 mm Red (roll of 30 Mtr)</t>
  </si>
  <si>
    <t>5LAVSS2-YW-30</t>
  </si>
  <si>
    <t>Cable single core 4 mm Yellow (roll of 30 Mtr)</t>
  </si>
  <si>
    <t>5LAWG14-30BR</t>
  </si>
  <si>
    <t>Cable AWG 14 Brown (Roll of 30mtr)</t>
  </si>
  <si>
    <t>5LNYYHY-3-1.5-50</t>
  </si>
  <si>
    <t>Cable NYYHY 3 x 1.5 mm2 Eterna (Roll of 50mtr)</t>
  </si>
  <si>
    <t>5LNYYHY-3-2.5-100</t>
  </si>
  <si>
    <t xml:space="preserve">Cable NYYHY 3 x 2.5 mm2 (Roll of 100 Mtr) </t>
  </si>
  <si>
    <t>4LTB-5</t>
  </si>
  <si>
    <t>5LNYYHY-3-2.5-100-S</t>
  </si>
  <si>
    <t>5LNYYHY-4-6-1-S</t>
  </si>
  <si>
    <t>Cable NYYHY 4 x 6 mm2 (Roll of 1mtr) Supreme</t>
  </si>
  <si>
    <t>6L1-0039</t>
  </si>
  <si>
    <t>Connector 2 Pin DT06-2S-CE05</t>
  </si>
  <si>
    <t>6L1-0085-B</t>
  </si>
  <si>
    <t>Connector 2Pin DT06-2S-E005</t>
  </si>
  <si>
    <t>6L1-106</t>
  </si>
  <si>
    <t>Vinyl Insulated Ring Terminal blue 4mm (1 pack of 100)</t>
  </si>
  <si>
    <t>6L1-112</t>
  </si>
  <si>
    <t>6L1-291</t>
  </si>
  <si>
    <t>3 Way Deutsch Connector Kit</t>
  </si>
  <si>
    <t>6L1-292</t>
  </si>
  <si>
    <t>4 Way Deutsch Connector Kit</t>
  </si>
  <si>
    <t>11L-FT96575</t>
  </si>
  <si>
    <t>6L1-294</t>
  </si>
  <si>
    <t>8 Way Deutsch Connector Kit</t>
  </si>
  <si>
    <t>11L-1562-I</t>
  </si>
  <si>
    <t>6L1-295</t>
  </si>
  <si>
    <t>12 Way Deutsch Connector Kit</t>
  </si>
  <si>
    <t>6L1-298</t>
  </si>
  <si>
    <t>3 Way Plug &amp; Wedge Kit</t>
  </si>
  <si>
    <t>6L1-299</t>
  </si>
  <si>
    <t>3 Way Socket &amp; Wedge Kit</t>
  </si>
  <si>
    <t>6L1-302</t>
  </si>
  <si>
    <t>6 Way Plug &amp; Wedge Kit</t>
  </si>
  <si>
    <t>6L1-303</t>
  </si>
  <si>
    <t>6 Way Socket &amp; Wedge Kit</t>
  </si>
  <si>
    <t>6L1-365-1</t>
  </si>
  <si>
    <t>Solid Crimp Pin Terminal 16 mm (1 pcs)</t>
  </si>
  <si>
    <t>6L1-380</t>
  </si>
  <si>
    <t>Deutsch Removal Tools light blue 16mm</t>
  </si>
  <si>
    <t>6L1-381-BL</t>
  </si>
  <si>
    <t>Deutsch Removal Tools Blue 16mm</t>
  </si>
  <si>
    <t>6L1-382</t>
  </si>
  <si>
    <t>Deutsch Removal Tools red 20mm</t>
  </si>
  <si>
    <t>6L1-845</t>
  </si>
  <si>
    <t>Connectors 776427-1</t>
  </si>
  <si>
    <t>6L1-90</t>
  </si>
  <si>
    <t>Vinyl Insulated Spade Terminal blue 4mm (1 pack of 100)</t>
  </si>
  <si>
    <t>7L10-10-50</t>
  </si>
  <si>
    <t>Standard Blade Fuses (ATS) 15 Amp blue (pack of 50)</t>
  </si>
  <si>
    <t>11L-1985</t>
  </si>
  <si>
    <t>7L10-12-50</t>
  </si>
  <si>
    <t>Standard Blade Fuses (ATS) 20 Amp yellow (pack of 50)</t>
  </si>
  <si>
    <t>7L10-7</t>
  </si>
  <si>
    <t>Standard Blade Fuses (ATS) 10 Amp red (pack of 10)</t>
  </si>
  <si>
    <t>11L-1986</t>
  </si>
  <si>
    <t>7L23-21</t>
  </si>
  <si>
    <t>INLINE WATERPROOF 30AMP BLADEATS FUSE HOLDER 54405BL</t>
  </si>
  <si>
    <t>11L-1988-BL</t>
  </si>
  <si>
    <t>7L23-27</t>
  </si>
  <si>
    <t>Weather Proof In-Line Fuse Holder (pack of 1)</t>
  </si>
  <si>
    <t>7L64</t>
  </si>
  <si>
    <t>Relay Holder</t>
  </si>
  <si>
    <t>7L65-12</t>
  </si>
  <si>
    <t>Mini Relay NO 5PIN 24V 30A</t>
  </si>
  <si>
    <t>7L65-18</t>
  </si>
  <si>
    <t>Mini Relay CO 5PIN 24VDC 10/20A</t>
  </si>
  <si>
    <t>7L65-21</t>
  </si>
  <si>
    <t>Mini Relay CO 5PIN 12V 30/40A</t>
  </si>
  <si>
    <t>7L65-22</t>
  </si>
  <si>
    <t>Mini Relay CO 5PIN 24V 20/30A</t>
  </si>
  <si>
    <t>2L3-ND40SNB</t>
  </si>
  <si>
    <t>7L9-12-50</t>
  </si>
  <si>
    <t>Mini Blade Fuses (ATN) 20 Amp yellow (pack of 50)</t>
  </si>
  <si>
    <t>7L9-8-50</t>
  </si>
  <si>
    <t>Mini Blade Fuses (ATN) 10 Amp red (pack of 50)</t>
  </si>
  <si>
    <t>2L3-ND40FNB</t>
  </si>
  <si>
    <t>7L9-9-50</t>
  </si>
  <si>
    <t>Mini Blade Fuses (ATN) 15 Amp blue (pack of 50)</t>
  </si>
  <si>
    <t>9L20</t>
  </si>
  <si>
    <t>Lockout Lever Kit</t>
  </si>
  <si>
    <t>9L377</t>
  </si>
  <si>
    <t>Jumbo Double Combination Lamp</t>
  </si>
  <si>
    <t>9L631</t>
  </si>
  <si>
    <t>Clipsal, Switch,module,250V,20A,IP66</t>
  </si>
  <si>
    <t>Emergency Stop</t>
  </si>
  <si>
    <t>9L636</t>
  </si>
  <si>
    <t>Toggle Switch KN3A-101, 2PIN ON-OFF, Screw Terminals</t>
  </si>
  <si>
    <t>9L776</t>
  </si>
  <si>
    <t>KNS-1, Toggle Switch, SPST, ON-OFF, With Cable</t>
  </si>
  <si>
    <t>9L777</t>
  </si>
  <si>
    <t>ASW-B05, Start Push Button Switch, 2PIN, Screw Terminal, Big Black Button</t>
  </si>
  <si>
    <t>5L17-5</t>
  </si>
  <si>
    <t>5L17-4</t>
  </si>
  <si>
    <t>11L-3583</t>
  </si>
  <si>
    <t>PO</t>
  </si>
  <si>
    <t>PO Full Supply</t>
  </si>
  <si>
    <t>Stock</t>
  </si>
  <si>
    <t>Rekonsil</t>
  </si>
  <si>
    <t>PO partial Supply</t>
  </si>
  <si>
    <t>Out Of Stock</t>
  </si>
  <si>
    <t>Partial</t>
  </si>
  <si>
    <t>Waiting</t>
  </si>
  <si>
    <t xml:space="preserve">  </t>
  </si>
  <si>
    <t xml:space="preserve"> </t>
  </si>
  <si>
    <t>Noted</t>
  </si>
  <si>
    <t>untuk supply area hanya ke petrosea BPN, tetapi secara dokumen tujuan sesuai site yang order ( SLA 3 hari dari terbir PO ), Stock harus di jaga min-max nya</t>
  </si>
  <si>
    <t>ADM. MARKETING</t>
  </si>
  <si>
    <t>WAREHOUSE</t>
  </si>
  <si>
    <t>PPIC</t>
  </si>
  <si>
    <t>PURCHASING</t>
  </si>
  <si>
    <t>LOGISTIC</t>
  </si>
  <si>
    <t>SLA</t>
  </si>
  <si>
    <t>Marketing</t>
  </si>
  <si>
    <t>Tgl Input SO</t>
  </si>
  <si>
    <t>No. SO</t>
  </si>
  <si>
    <t>Tgl Email PO dari marketing</t>
  </si>
  <si>
    <t>Tgl PO Customer</t>
  </si>
  <si>
    <t>Due Date</t>
  </si>
  <si>
    <t>Customer</t>
  </si>
  <si>
    <t>PN PTRO</t>
  </si>
  <si>
    <t xml:space="preserve">Qty </t>
  </si>
  <si>
    <t>tanggal kirim</t>
  </si>
  <si>
    <t>NO DOKUMEN</t>
  </si>
  <si>
    <t>QTY  KIRIM</t>
  </si>
  <si>
    <t>Tanggal PO GMI</t>
  </si>
  <si>
    <t>Remarks</t>
  </si>
  <si>
    <t>Estimasi tgl kedatangan barang</t>
  </si>
  <si>
    <t>Tgl Rekonsil dengan Petrosea</t>
  </si>
  <si>
    <t>No Document Rekonsil</t>
  </si>
  <si>
    <t>Qty rekonsil</t>
  </si>
  <si>
    <t>SELISIH</t>
  </si>
  <si>
    <t>Ket Rekonsil</t>
  </si>
  <si>
    <t>NO DO AFTER REKONSIL</t>
  </si>
  <si>
    <t>Tgl PR - Tgl PO OUT</t>
  </si>
  <si>
    <t>Tgl Kirim IK GMI - Tgl SO Consig</t>
  </si>
  <si>
    <t>Tgl Kirim GMI - Tgl DO PO OUT</t>
  </si>
  <si>
    <t>OST PO vs SUPPLY IK</t>
  </si>
  <si>
    <t>Danang</t>
  </si>
  <si>
    <t>PT. PETROSEA TBK</t>
  </si>
  <si>
    <t>14L-0434</t>
  </si>
  <si>
    <t>EA</t>
  </si>
  <si>
    <t>(IBP)</t>
  </si>
  <si>
    <t>11L-3472</t>
  </si>
  <si>
    <t xml:space="preserve">                                 </t>
  </si>
  <si>
    <t>11L-3473</t>
  </si>
  <si>
    <t>2L3-48S</t>
  </si>
  <si>
    <t>GMI-BPP</t>
  </si>
  <si>
    <t>PSF</t>
  </si>
  <si>
    <t>Novita</t>
  </si>
  <si>
    <t>KJA</t>
  </si>
  <si>
    <t>7L16-13</t>
  </si>
  <si>
    <t>7L64-WP
6L1-137-1</t>
  </si>
  <si>
    <t>AFANDI</t>
  </si>
  <si>
    <t>Ost Revisi PR satuan</t>
  </si>
  <si>
    <t>ROLL</t>
  </si>
  <si>
    <t>Jobcosting</t>
  </si>
  <si>
    <t>PR-GMI-3964</t>
  </si>
  <si>
    <t>Sudah delivery dari HO</t>
  </si>
  <si>
    <t>4LTB-44</t>
  </si>
  <si>
    <t xml:space="preserve">PARTIAL </t>
  </si>
  <si>
    <t>11L-1365-1-500-CHIP</t>
  </si>
  <si>
    <t>Lion Parcel</t>
  </si>
  <si>
    <t>99LP1784608570102</t>
  </si>
  <si>
    <t>6L1-301</t>
  </si>
  <si>
    <t>Vale Bahodopi</t>
  </si>
  <si>
    <t>SDA</t>
  </si>
  <si>
    <t>IK 35123</t>
  </si>
  <si>
    <t>Proses nego trial 11L-2288</t>
  </si>
  <si>
    <t>5L17-258-BL-1</t>
  </si>
  <si>
    <t>5L17-260-BL-M</t>
  </si>
  <si>
    <t>11L-3963-BK</t>
  </si>
  <si>
    <t>11L-1434-Red</t>
  </si>
  <si>
    <t>LIon Parcel</t>
  </si>
  <si>
    <t>BSL</t>
  </si>
  <si>
    <t>Stock Whs</t>
  </si>
  <si>
    <t>PBP</t>
  </si>
  <si>
    <t>5L17-17-16-1</t>
  </si>
  <si>
    <t>6L1-296</t>
  </si>
  <si>
    <t>2 Way Plug &amp; Wedge Kit</t>
  </si>
  <si>
    <t>6L1-297</t>
  </si>
  <si>
    <t>6L1-300</t>
  </si>
  <si>
    <t>6L1-304</t>
  </si>
  <si>
    <t>6L1-305</t>
  </si>
  <si>
    <t>6L1-306</t>
  </si>
  <si>
    <t>6L1-307</t>
  </si>
  <si>
    <t>6L1-307-B</t>
  </si>
  <si>
    <t>Pak</t>
  </si>
  <si>
    <t>7L10-8-1</t>
  </si>
  <si>
    <t>7L9-10-1</t>
  </si>
  <si>
    <t>7L9-4-1</t>
  </si>
  <si>
    <t>ea</t>
  </si>
  <si>
    <t>PARTIAL, KARNA STOCK TIDAK SESUAI</t>
  </si>
  <si>
    <t>Set</t>
  </si>
  <si>
    <t>(CEP)</t>
  </si>
  <si>
    <t>pak</t>
  </si>
  <si>
    <t>7L9-12</t>
  </si>
  <si>
    <t>PRC</t>
  </si>
  <si>
    <t>MUTU</t>
  </si>
  <si>
    <t>PR-GMI-3979</t>
  </si>
  <si>
    <t>BBB</t>
  </si>
  <si>
    <t>Memakai 7L65-18</t>
  </si>
  <si>
    <t>Status</t>
  </si>
  <si>
    <t>10L139</t>
  </si>
  <si>
    <t>10L150</t>
  </si>
  <si>
    <t>10L153</t>
  </si>
  <si>
    <t>PR-GMI-3984</t>
  </si>
  <si>
    <t>10L195</t>
  </si>
  <si>
    <t>AFANDI, Jacky</t>
  </si>
  <si>
    <t>11L-1776-2</t>
  </si>
  <si>
    <t>Buzzer bulat 12-24V 80dB</t>
  </si>
  <si>
    <t>5L17-223WG</t>
  </si>
  <si>
    <t>rol</t>
  </si>
  <si>
    <t>9L392</t>
  </si>
  <si>
    <t>Tidak ada PN di PR ini - Memakai AVSS</t>
  </si>
  <si>
    <t>(KS)</t>
  </si>
  <si>
    <t>7L10-10-1</t>
  </si>
  <si>
    <t>DBK</t>
  </si>
  <si>
    <t>PR-GMI-4002</t>
  </si>
  <si>
    <t>PR-GMI-4113, PR-GMI-4242</t>
  </si>
  <si>
    <t>4, 3</t>
  </si>
  <si>
    <t>5L17-227WG</t>
  </si>
  <si>
    <t>7L10-12-1</t>
  </si>
  <si>
    <t>WAITING PENYESUAIAN STOCK ACURATE</t>
  </si>
  <si>
    <t>Mtr</t>
  </si>
  <si>
    <t>Tidak ada PN part ini - Memakai AVSS</t>
  </si>
  <si>
    <t>34874, 35054</t>
  </si>
  <si>
    <t>PR-GMI-4003</t>
  </si>
  <si>
    <t>6L1-44</t>
  </si>
  <si>
    <t>Menunggu kedatangan dari HO</t>
  </si>
  <si>
    <t>PO di closed, menunggu revisi PR pakai AVSS</t>
  </si>
  <si>
    <t>5L17-202-1</t>
  </si>
  <si>
    <t>Import</t>
  </si>
  <si>
    <t>PR-GMI-4113</t>
  </si>
  <si>
    <t>Masih cari vendor</t>
  </si>
  <si>
    <t>Tidak ada PN ini di PR &amp; Req Revisi PR satuan</t>
  </si>
  <si>
    <t>33418,34483, 35060</t>
  </si>
  <si>
    <t>Novita, AFANDI</t>
  </si>
  <si>
    <t>4LTB-14</t>
  </si>
  <si>
    <t>9L698</t>
  </si>
  <si>
    <t>Vinyl Fully Insulated Female Blade Terminal red 2.5-3mm (1 pack of 100)</t>
  </si>
  <si>
    <t>11L-0688</t>
  </si>
  <si>
    <t>5L17-213WG</t>
  </si>
  <si>
    <t>11L-3601</t>
  </si>
  <si>
    <t>set</t>
  </si>
  <si>
    <t>Harusnya memakai stock whs (hanya membutuhkan cm)</t>
  </si>
  <si>
    <t>Tidak ada PN part ini</t>
  </si>
  <si>
    <t>box</t>
  </si>
  <si>
    <t>FRP</t>
  </si>
  <si>
    <t>11L-4221-55</t>
  </si>
  <si>
    <t>11L-4221-3</t>
  </si>
  <si>
    <t>11L-4221-4</t>
  </si>
  <si>
    <t>11L-4221-G</t>
  </si>
  <si>
    <t>11L-4221-521</t>
  </si>
  <si>
    <t>11L-4221-F</t>
  </si>
  <si>
    <t>11L-4506</t>
  </si>
  <si>
    <t>11L-4507</t>
  </si>
  <si>
    <t>11L-4508</t>
  </si>
  <si>
    <t>11L-4509</t>
  </si>
  <si>
    <t>11L-4512</t>
  </si>
  <si>
    <t>11L-4514</t>
  </si>
  <si>
    <t>PR-GMI-4025</t>
  </si>
  <si>
    <t>UPDATE 18 Mei 2024</t>
  </si>
  <si>
    <t>PN BUMA</t>
  </si>
  <si>
    <t>PN GIS</t>
  </si>
  <si>
    <t>Lati</t>
  </si>
  <si>
    <t>BIN</t>
  </si>
  <si>
    <t>SDJ</t>
  </si>
  <si>
    <t>ADR</t>
  </si>
  <si>
    <t>ADT</t>
  </si>
  <si>
    <t>IBP</t>
  </si>
  <si>
    <t>IPR</t>
  </si>
  <si>
    <t>TOTAL Stock</t>
  </si>
  <si>
    <t>Z00100006217</t>
  </si>
  <si>
    <t>LED Worklamp Range 3000-4000 Lm (kotak)</t>
  </si>
  <si>
    <t>LED Work Light 40W, 9-80VDC, IP68,SPOT Beam LOURDES</t>
  </si>
  <si>
    <t>Z00100006219</t>
  </si>
  <si>
    <t>LED Worklamp Range 4000-5000 Lm</t>
  </si>
  <si>
    <t>Z00100006232</t>
  </si>
  <si>
    <t>LED Worklamp Range 5000-7000 Lm</t>
  </si>
  <si>
    <t>LED Work Lamp 60W, 9-80VDC, IP68, Spot Beam</t>
  </si>
  <si>
    <t>Z00100006215</t>
  </si>
  <si>
    <t>LED Worklamp Range 1000-2000 Lm</t>
  </si>
  <si>
    <t>LED Work Lamp 10-30VDC 2200 lumens Spot Lens Square Type</t>
  </si>
  <si>
    <t>LED Work Lamp 10-30VDC 2200 lumens Flood Lens Square Type</t>
  </si>
  <si>
    <t>Z00100006221</t>
  </si>
  <si>
    <t>LED Worklamp Range 7000-10,000 Lm</t>
  </si>
  <si>
    <t>Z00100006216</t>
  </si>
  <si>
    <t>LED Worklamp Range 2000-3000 Lm</t>
  </si>
  <si>
    <t>LED Work Lamp 9-32VDC, 27W, 1890 lumens, IP68 Flood Lens</t>
  </si>
  <si>
    <t>LED Work Lamp 9-32VDC, 27W, 1890 lumens, IP68 Spot Lens</t>
  </si>
  <si>
    <t>Z00100006231</t>
  </si>
  <si>
    <t>LED Work Lamp 9-32VDC, 20W, 1600 Lumens, IP68 Spot Lens</t>
  </si>
  <si>
    <t>Z00100006220</t>
  </si>
  <si>
    <t>2L3-44S</t>
  </si>
  <si>
    <t>LED Work Lamp 9-32VDC, 65W, 5200 Lumens, IP68 Spot Lens</t>
  </si>
  <si>
    <t>Z00100006222</t>
  </si>
  <si>
    <t>LED Worklamp Range 20,000 Lm up</t>
  </si>
  <si>
    <t>Work Lamp 360W Flood Heavy Duty Light</t>
  </si>
  <si>
    <t>Work Lamp 360W Spot Heavy Duty Light</t>
  </si>
  <si>
    <t>Z00100006223</t>
  </si>
  <si>
    <t>LED Worklamp Tower Lamp</t>
  </si>
  <si>
    <t>LED flood light 500w ; AC100V-277V; Beam Angle: 80 degree; 115Lm/w; 5700K</t>
  </si>
  <si>
    <t>IK 35104</t>
  </si>
  <si>
    <t>PR-GMI-4114</t>
  </si>
  <si>
    <t>10 (PN SATUAN)</t>
  </si>
  <si>
    <t>Tidak ada di PR - Harusnya PN satuan</t>
  </si>
  <si>
    <t>LAUT</t>
  </si>
  <si>
    <t>DONE SAMPAI</t>
  </si>
  <si>
    <t>UDARA</t>
  </si>
  <si>
    <t>Freight</t>
  </si>
  <si>
    <t>Vendor</t>
  </si>
  <si>
    <t>ETD</t>
  </si>
  <si>
    <t xml:space="preserve">EXPEDISI </t>
  </si>
  <si>
    <t>AWB / BL</t>
  </si>
  <si>
    <t>Total Coli</t>
  </si>
  <si>
    <t>Pick up date</t>
  </si>
  <si>
    <t>ETA</t>
  </si>
  <si>
    <t>NO Invoice  Forwarder</t>
  </si>
  <si>
    <t>Kondisi Barang</t>
  </si>
  <si>
    <t>JAS</t>
  </si>
  <si>
    <t>9L635 / ESP 6/6 (100)</t>
  </si>
  <si>
    <t>Andalin</t>
  </si>
  <si>
    <t>618 BNE 24359753</t>
  </si>
  <si>
    <t>5 Koli</t>
  </si>
  <si>
    <t>Sampai Whs 13/07/2023</t>
  </si>
  <si>
    <t>11L-1562-I / 1027-005-1200 (1500)</t>
  </si>
  <si>
    <t>11L-0925 / HM7546J (100)</t>
  </si>
  <si>
    <t>11L-0925 / HM7546J (20)</t>
  </si>
  <si>
    <t>6207 &amp; 6208</t>
  </si>
  <si>
    <t>11L-3577 / DT04-12PB-CE07 (30)</t>
  </si>
  <si>
    <t>11L-3578 / DT06-2S-EP06 (30)</t>
  </si>
  <si>
    <t>11L-3579 / DT06-3S-EP06 (20)</t>
  </si>
  <si>
    <t>11L-3581 / HD34-18-PE (20)</t>
  </si>
  <si>
    <t>11L-3582 / HD34-18-14SE (20)</t>
  </si>
  <si>
    <t>11L-3580 / HD34-24-23PE (20)</t>
  </si>
  <si>
    <t>11L-3583 / HD36-18-14SE (20)</t>
  </si>
  <si>
    <t>11L-1161-1 / HD36-18-14PE (20)</t>
  </si>
  <si>
    <t>5L17-5 / E55-0206 (3)</t>
  </si>
  <si>
    <t>5L17-4 / E55-0205 (3)</t>
  </si>
  <si>
    <t>VEISE</t>
  </si>
  <si>
    <t>11L-0561-10</t>
  </si>
  <si>
    <t>Fedex</t>
  </si>
  <si>
    <t>1 Koli</t>
  </si>
  <si>
    <t>Sampai whs 20/07/2023</t>
  </si>
  <si>
    <t>Yueqing Aibeiken</t>
  </si>
  <si>
    <t>Sampai Whs 15/08/2023</t>
  </si>
  <si>
    <t>TopBright</t>
  </si>
  <si>
    <t>Sampai whs 09/08/2023</t>
  </si>
  <si>
    <t>Shenzhen Top Lead Insdustrial</t>
  </si>
  <si>
    <t>AXG2307280</t>
  </si>
  <si>
    <t>15 Koli</t>
  </si>
  <si>
    <t>Sampai whs 26/07/2023</t>
  </si>
  <si>
    <t>Shanghai star electronic</t>
  </si>
  <si>
    <t>1Koli</t>
  </si>
  <si>
    <t>Sampai whs 28/07/2023</t>
  </si>
  <si>
    <t xml:space="preserve">Sample ST2152-2 </t>
  </si>
  <si>
    <t>Mouser Electronics</t>
  </si>
  <si>
    <t>Sampai whs 25/07/2023</t>
  </si>
  <si>
    <t>Showlight</t>
  </si>
  <si>
    <t>618 CAN 65308</t>
  </si>
  <si>
    <t>60 Koli</t>
  </si>
  <si>
    <t>Sampai whs 16/08/2023</t>
  </si>
  <si>
    <t>Teehon</t>
  </si>
  <si>
    <t>2L3-ND80F-TH</t>
  </si>
  <si>
    <t>2L3-ND120F-TH</t>
  </si>
  <si>
    <t>11L-4059-TH</t>
  </si>
  <si>
    <t>11L-4060-TH</t>
  </si>
  <si>
    <t>11L-4061-TH</t>
  </si>
  <si>
    <t>Shenzhen Top Lead</t>
  </si>
  <si>
    <t>MII</t>
  </si>
  <si>
    <t>784-02009501</t>
  </si>
  <si>
    <t>29 Koli</t>
  </si>
  <si>
    <t>Sampai whs 19/08/2023</t>
  </si>
  <si>
    <t>Barang Repair</t>
  </si>
  <si>
    <t>Star Connect</t>
  </si>
  <si>
    <t>2 Koli</t>
  </si>
  <si>
    <t>Sampai whs 24/08/2023</t>
  </si>
  <si>
    <t>6L1-593</t>
  </si>
  <si>
    <t>Sampai whs 15/09/2023</t>
  </si>
  <si>
    <t>5816, 5817, 5820, 5829, 5864, 5874, 5865, 5862</t>
  </si>
  <si>
    <t>S00180138</t>
  </si>
  <si>
    <t>Sampai whs 29/08/2023</t>
  </si>
  <si>
    <t>Shanghai Jing Rui</t>
  </si>
  <si>
    <t>11L-1365-1-500-Chip</t>
  </si>
  <si>
    <t>JT2308075</t>
  </si>
  <si>
    <t>50 Koli</t>
  </si>
  <si>
    <t>Sampai whs 02/09/2023</t>
  </si>
  <si>
    <t>Valens Company Limited</t>
  </si>
  <si>
    <t>FEDEX</t>
  </si>
  <si>
    <t>Sampai whs 06/09/2023</t>
  </si>
  <si>
    <t>Auto Electrical</t>
  </si>
  <si>
    <t>Sampai whs 07/09/2023</t>
  </si>
  <si>
    <t>MEDUQH931436</t>
  </si>
  <si>
    <t>103 Koli</t>
  </si>
  <si>
    <t>Sampai whs 05/10/2023</t>
  </si>
  <si>
    <t>GD JG Electronic</t>
  </si>
  <si>
    <t>Showlights</t>
  </si>
  <si>
    <t>Nanjing Futrun</t>
  </si>
  <si>
    <t>Xiamen MJ</t>
  </si>
  <si>
    <t>Selesai produksi 20/09/2023</t>
  </si>
  <si>
    <t>5L17-260-BL-1</t>
  </si>
  <si>
    <t>Shanghai Star</t>
  </si>
  <si>
    <t>Selesai produksi 04/09/2023</t>
  </si>
  <si>
    <t>SAMPLE</t>
  </si>
  <si>
    <t>Changzhou Guangyang Auto Bulb Factory</t>
  </si>
  <si>
    <t>4LTB-40</t>
  </si>
  <si>
    <t>6740 &amp; 6420</t>
  </si>
  <si>
    <t>Sampai whs 22/09/2023</t>
  </si>
  <si>
    <t>AXG2309516</t>
  </si>
  <si>
    <t>11 Koli</t>
  </si>
  <si>
    <t>Sampai whs 04/10/2023</t>
  </si>
  <si>
    <t>PR-GMI-4073</t>
  </si>
  <si>
    <t>Barang Repair GMI</t>
  </si>
  <si>
    <t>Barang Repair GIS 6177</t>
  </si>
  <si>
    <t>WL27 12-45V 16PCS 3535LED BLACK GUM 3 CABLES AMBER ALU</t>
  </si>
  <si>
    <t>WL27 SQUARE XENON WHITE 12-48V  ALU TWO CABLES</t>
  </si>
  <si>
    <t>Changzhou Wujin Yueda</t>
  </si>
  <si>
    <t>8 Koli</t>
  </si>
  <si>
    <t>Sampai whs 06/10/2023</t>
  </si>
  <si>
    <t>9 Koli</t>
  </si>
  <si>
    <t>Veise</t>
  </si>
  <si>
    <t>CN05457402</t>
  </si>
  <si>
    <t>20 Feet</t>
  </si>
  <si>
    <t>Sampai whs 08/11/2023</t>
  </si>
  <si>
    <t>Changzhou Wujin</t>
  </si>
  <si>
    <t xml:space="preserve">AXG2310221 </t>
  </si>
  <si>
    <t>Sampai whs 18/10/2023</t>
  </si>
  <si>
    <t>INV-AN02-15906</t>
  </si>
  <si>
    <t>13 Koli</t>
  </si>
  <si>
    <t>Sampai whs 17/10/2023</t>
  </si>
  <si>
    <t>JT23102094</t>
  </si>
  <si>
    <t>6 Koli</t>
  </si>
  <si>
    <t>Sampai whs 07/11/2023</t>
  </si>
  <si>
    <t xml:space="preserve">Fedex </t>
  </si>
  <si>
    <t>3 Koli</t>
  </si>
  <si>
    <t>4LT02-6</t>
  </si>
  <si>
    <t>7L23-20</t>
  </si>
  <si>
    <t xml:space="preserve">
Top Quality Auto Electric</t>
  </si>
  <si>
    <t xml:space="preserve">Andalin  </t>
  </si>
  <si>
    <t>297-51052363</t>
  </si>
  <si>
    <t>Sampai whs 28/10/2023</t>
  </si>
  <si>
    <t>Sampai whs 03/11/2023</t>
  </si>
  <si>
    <t>14 koli</t>
  </si>
  <si>
    <t>Sampai whs 01/11/2023</t>
  </si>
  <si>
    <t>CLAIM WARRANTY</t>
  </si>
  <si>
    <t>BC Project</t>
  </si>
  <si>
    <t>Veise Electronic</t>
  </si>
  <si>
    <t>Sampai whs 31/10/2023</t>
  </si>
  <si>
    <t>Showlights Electronic</t>
  </si>
  <si>
    <t>132S</t>
  </si>
  <si>
    <t>16 Koli</t>
  </si>
  <si>
    <t>Sampai whs 04/12/2023</t>
  </si>
  <si>
    <t>Shanghai Star Electronic</t>
  </si>
  <si>
    <t>Yueqing Haidie Electric</t>
  </si>
  <si>
    <t>JT2311147</t>
  </si>
  <si>
    <t>25 Koli</t>
  </si>
  <si>
    <t>Sampai whs 14/11/2023</t>
  </si>
  <si>
    <t>KLINE</t>
  </si>
  <si>
    <t>GSEHC2300020</t>
  </si>
  <si>
    <t>10 Koli</t>
  </si>
  <si>
    <t>BPM</t>
  </si>
  <si>
    <t>Sampai whs 08/01/2024</t>
  </si>
  <si>
    <t>GSEHC2300026</t>
  </si>
  <si>
    <t>18 Koli</t>
  </si>
  <si>
    <t>GSEHC2300049</t>
  </si>
  <si>
    <t>Sampai whs 19/01/2024</t>
  </si>
  <si>
    <t>Sampai whs 20/12/2023</t>
  </si>
  <si>
    <t>changzhou wujin yueda</t>
  </si>
  <si>
    <t>Sampai whs 15/12/2023</t>
  </si>
  <si>
    <t>Sunlec international PTY</t>
  </si>
  <si>
    <t>5L14-KIT</t>
  </si>
  <si>
    <t>Sampai whs 05/12/2023</t>
  </si>
  <si>
    <t>Sampai whs 30/11/2023</t>
  </si>
  <si>
    <t>5L17-236WG</t>
  </si>
  <si>
    <t>12 Koli</t>
  </si>
  <si>
    <t>9L4</t>
  </si>
  <si>
    <t>6L-0046</t>
  </si>
  <si>
    <t>6L-0047</t>
  </si>
  <si>
    <t>6L-0048</t>
  </si>
  <si>
    <t>6L-0049</t>
  </si>
  <si>
    <t>6L-0050</t>
  </si>
  <si>
    <t>6L-0051</t>
  </si>
  <si>
    <t>HIT240100407</t>
  </si>
  <si>
    <t>Sampai whs 10/01/2024</t>
  </si>
  <si>
    <t>HIT240100107</t>
  </si>
  <si>
    <t>Sampai whs 22/01/2024</t>
  </si>
  <si>
    <t>Sampai whs 14/12/2023</t>
  </si>
  <si>
    <t>6L1-4</t>
  </si>
  <si>
    <t>Shenzhen Sunbow</t>
  </si>
  <si>
    <t>11L-3728-15-BK-50</t>
  </si>
  <si>
    <t>Sampai whs 21/12/2023</t>
  </si>
  <si>
    <t xml:space="preserve">auto electrical import </t>
  </si>
  <si>
    <t>774550248640  (Dikirim sama Vendor)</t>
  </si>
  <si>
    <t>Sampai whs 26/12/2023</t>
  </si>
  <si>
    <t>20 Koli</t>
  </si>
  <si>
    <t>Sampai whs 25/01/2023</t>
  </si>
  <si>
    <t>SBL</t>
  </si>
  <si>
    <t>999-05143386</t>
  </si>
  <si>
    <t>26 Koli</t>
  </si>
  <si>
    <t>Sampai whs 24/01/2024</t>
  </si>
  <si>
    <t>Valens Company</t>
  </si>
  <si>
    <t>7 Koli</t>
  </si>
  <si>
    <t>Arenland</t>
  </si>
  <si>
    <t>7L13-5</t>
  </si>
  <si>
    <t>Sampai whs 03/01/2023</t>
  </si>
  <si>
    <t>7L23-55</t>
  </si>
  <si>
    <t>10-01-2024</t>
  </si>
  <si>
    <t>13-01-2024</t>
  </si>
  <si>
    <t>Sampai whs 12/01/2024</t>
  </si>
  <si>
    <t>Showlights electronics</t>
  </si>
  <si>
    <t>4Koli</t>
  </si>
  <si>
    <t>Sampai Whs 11/01/2024</t>
  </si>
  <si>
    <t>Shanghai Star (Kekurangan supply)</t>
  </si>
  <si>
    <t>6L1-0046</t>
  </si>
  <si>
    <t>6L1-0050</t>
  </si>
  <si>
    <t>Zhengzhou Kingclima</t>
  </si>
  <si>
    <t>14L-0540</t>
  </si>
  <si>
    <t>Sampai whs 11/01/2024</t>
  </si>
  <si>
    <t>11-01-2024</t>
  </si>
  <si>
    <t>Sampai whs 16/01/2024</t>
  </si>
  <si>
    <t>Safe Electronic</t>
  </si>
  <si>
    <t>11L-2760-4</t>
  </si>
  <si>
    <t>Sampai whs 09/01/2024</t>
  </si>
  <si>
    <t>FSL Autotech</t>
  </si>
  <si>
    <t>JT2401166</t>
  </si>
  <si>
    <t>59 Koli</t>
  </si>
  <si>
    <t>Sampai whs 24-01-2024</t>
  </si>
  <si>
    <t>4LTB-42</t>
  </si>
  <si>
    <t>4LTB-10</t>
  </si>
  <si>
    <t>4LTB-35</t>
  </si>
  <si>
    <t>4L2-2470</t>
  </si>
  <si>
    <t>4LWL-10</t>
  </si>
  <si>
    <t>4L3-1255</t>
  </si>
  <si>
    <t>4L2-1255</t>
  </si>
  <si>
    <t>4LTB-8</t>
  </si>
  <si>
    <t>PR-GMI-4044</t>
  </si>
  <si>
    <t>Topbright Technology</t>
  </si>
  <si>
    <t>MK-24010034</t>
  </si>
  <si>
    <t>Sampai whs 23/01/2024</t>
  </si>
  <si>
    <t>6L1-0055</t>
  </si>
  <si>
    <t>JAS Oceania</t>
  </si>
  <si>
    <t>11L-2561</t>
  </si>
  <si>
    <t>HWSZJKT24101290</t>
  </si>
  <si>
    <t>100 Koli</t>
  </si>
  <si>
    <t>Sampai whs 22/02/2024</t>
  </si>
  <si>
    <t>shanghai jing rui lighting</t>
  </si>
  <si>
    <t>JJCSHJKY400216</t>
  </si>
  <si>
    <t>Sampai whs 27/02/2024</t>
  </si>
  <si>
    <t>Tap Baut Pengganti</t>
  </si>
  <si>
    <t>Sampai whs 12/02/2024</t>
  </si>
  <si>
    <t>Sampai whs 02/02/2024</t>
  </si>
  <si>
    <t>DEWELL</t>
  </si>
  <si>
    <t>S03516214</t>
  </si>
  <si>
    <t>Sampai whs 21/05/2024</t>
  </si>
  <si>
    <t>PAID 05/07/2024</t>
  </si>
  <si>
    <t>JT2401330</t>
  </si>
  <si>
    <t>Sampai whs 31/01/2024</t>
  </si>
  <si>
    <t>05/03/2024</t>
  </si>
  <si>
    <t>784-06473935</t>
  </si>
  <si>
    <t>14 Koli</t>
  </si>
  <si>
    <t>Sampai whs 07/03/2024</t>
  </si>
  <si>
    <t>PAID 17/05/2024</t>
  </si>
  <si>
    <t>Suzhou Arenland</t>
  </si>
  <si>
    <t>Sampai whs 06/02/2024</t>
  </si>
  <si>
    <t>Sampai whs 09/02/2024</t>
  </si>
  <si>
    <t>Sirius Light Technology</t>
  </si>
  <si>
    <t>672-25913974</t>
  </si>
  <si>
    <t>Sampai whs 29/04/2024</t>
  </si>
  <si>
    <t>PAID 22/05/2024</t>
  </si>
  <si>
    <t>Jas Oceania</t>
  </si>
  <si>
    <t>5L8-8-30</t>
  </si>
  <si>
    <t>Sampai whs 20/02/2024</t>
  </si>
  <si>
    <t>10 (SUPPLY 10 DARI 22)</t>
  </si>
  <si>
    <t>Sampai whs 22/04/2024</t>
  </si>
  <si>
    <t>SZAE2401407</t>
  </si>
  <si>
    <t>Sampai whs 19/04/2024</t>
  </si>
  <si>
    <t>PAID 31/05/2024</t>
  </si>
  <si>
    <t>3L4-7ASA (WL-27)</t>
  </si>
  <si>
    <t>WL300 (Sampel)</t>
  </si>
  <si>
    <t>WL301 (Sampel)</t>
  </si>
  <si>
    <t>784-06473095</t>
  </si>
  <si>
    <t>21 Koli</t>
  </si>
  <si>
    <t>Sampai whs 15-03-2024</t>
  </si>
  <si>
    <t>Yueqing Haidie</t>
  </si>
  <si>
    <t>11L-4185-3P</t>
  </si>
  <si>
    <t>Sampai whs 19-03-2024</t>
  </si>
  <si>
    <t>Sampai whs 27/03/2024</t>
  </si>
  <si>
    <t>Sampai whs 04/04/2024</t>
  </si>
  <si>
    <t>LESCHACO</t>
  </si>
  <si>
    <t>618-34088062</t>
  </si>
  <si>
    <t>17 Koli</t>
  </si>
  <si>
    <t>Sampai whs 25/06/2024</t>
  </si>
  <si>
    <t>PAID 15/08/2024</t>
  </si>
  <si>
    <t>SPJM</t>
  </si>
  <si>
    <t>Sampai whs 21/06/2024</t>
  </si>
  <si>
    <t>11L-1224</t>
  </si>
  <si>
    <t>Sampai whs 28/03/2024</t>
  </si>
  <si>
    <t>Yueqing Chaochen</t>
  </si>
  <si>
    <t>5L17-91-15-10</t>
  </si>
  <si>
    <t>Sampai whs 01/04/2024</t>
  </si>
  <si>
    <t>5L17-92-15-10</t>
  </si>
  <si>
    <t>Mouser</t>
  </si>
  <si>
    <t>11L-3632</t>
  </si>
  <si>
    <t>FEDEX (Vendor yg Kirim)</t>
  </si>
  <si>
    <t>Sampai whs 14/06/2024</t>
  </si>
  <si>
    <t>PAID 19/07/2024</t>
  </si>
  <si>
    <t>Dikirim Vendor Charge ke GMI (FEDEX)</t>
  </si>
  <si>
    <t>Sampai whs 18/04/2024</t>
  </si>
  <si>
    <t>11L-1365-1-500-COVER</t>
  </si>
  <si>
    <t>11L-1365-1-500-RING-WH</t>
  </si>
  <si>
    <t>11L-1365-1-500-RING-BK</t>
  </si>
  <si>
    <t>11L-1365-1-500-BOLT</t>
  </si>
  <si>
    <t>11L-1365-1-500-WHCOVER</t>
  </si>
  <si>
    <t>618-32435233</t>
  </si>
  <si>
    <t>Sampai whs 03/05/2024</t>
  </si>
  <si>
    <t>PAID 13/06/2024</t>
  </si>
  <si>
    <t>SNZ24005176</t>
  </si>
  <si>
    <t>Sampai whs 16/05/2024</t>
  </si>
  <si>
    <t>PAID 20/06/2024</t>
  </si>
  <si>
    <t>6L-0019</t>
  </si>
  <si>
    <t>FEDEX (vendor yang kirim)</t>
  </si>
  <si>
    <t>Sampai whs 08/05/2024</t>
  </si>
  <si>
    <t>6L1-0071</t>
  </si>
  <si>
    <t>Ningbo Jiangbei</t>
  </si>
  <si>
    <t>11L-4777</t>
  </si>
  <si>
    <t>DHL</t>
  </si>
  <si>
    <t>Sampai whs 04/06/2024</t>
  </si>
  <si>
    <t>6L1-0072-11</t>
  </si>
  <si>
    <t>6L1-0073-10</t>
  </si>
  <si>
    <t>Itone. Co</t>
  </si>
  <si>
    <t>672-25914420</t>
  </si>
  <si>
    <t>Sampai whs 18/05/2024</t>
  </si>
  <si>
    <t>PAID 06/06/2024</t>
  </si>
  <si>
    <t>11L-0956A (SAMPEL ITL-9776A)</t>
  </si>
  <si>
    <t>11L-0956R (SAMPEL ITL-9776R)</t>
  </si>
  <si>
    <t>9L354 (SAMPEL ITL-9776AR)</t>
  </si>
  <si>
    <t>Wattmaster</t>
  </si>
  <si>
    <t>11L-4715-14-40-OR</t>
  </si>
  <si>
    <t>Sampai whs 06/06/2024</t>
  </si>
  <si>
    <t>PAID 11/07/2024</t>
  </si>
  <si>
    <t>SNZ24007418</t>
  </si>
  <si>
    <t>Sampai whs 05/07/2024</t>
  </si>
  <si>
    <t>PAID 29/08/2024</t>
  </si>
  <si>
    <t>LESCHACO (FEDEX)</t>
  </si>
  <si>
    <t>PAID 08/08/2024</t>
  </si>
  <si>
    <t>11L-HSWG60/20</t>
  </si>
  <si>
    <t>MK-24060013</t>
  </si>
  <si>
    <t>Sampai whs 19/06/2024</t>
  </si>
  <si>
    <t>SNZ24006268</t>
  </si>
  <si>
    <t>37 Koli</t>
  </si>
  <si>
    <t>Sampai whs 11/06/2024</t>
  </si>
  <si>
    <t>PAID 25/07/2024</t>
  </si>
  <si>
    <t>Sampai whs 27/06/2024</t>
  </si>
  <si>
    <t>PAID 02/08/2024</t>
  </si>
  <si>
    <t>Sampai whs 22/07/2024</t>
  </si>
  <si>
    <t>PAID 05/09/2024</t>
  </si>
  <si>
    <t>7403 &amp; 7381</t>
  </si>
  <si>
    <t>Ningbo Beilun</t>
  </si>
  <si>
    <t>9L-SM03</t>
  </si>
  <si>
    <t>112-75873825</t>
  </si>
  <si>
    <t>S00019162</t>
  </si>
  <si>
    <t>1 Pallet</t>
  </si>
  <si>
    <t>Sampai whs 30/07/2024</t>
  </si>
  <si>
    <t>PAID 12/09/2024</t>
  </si>
  <si>
    <t>Top Quality</t>
  </si>
  <si>
    <t>UT-T2400621</t>
  </si>
  <si>
    <t>Sampai whs 12/08/2024</t>
  </si>
  <si>
    <t>PAID 26/09/2024</t>
  </si>
  <si>
    <t>34029, 34976</t>
  </si>
  <si>
    <t>Sampai whs 26/06/2024</t>
  </si>
  <si>
    <t>14L-0540-S</t>
  </si>
  <si>
    <t>Sampai whs 26/07/2024</t>
  </si>
  <si>
    <t>GD JG</t>
  </si>
  <si>
    <t>SNZ24008484</t>
  </si>
  <si>
    <t>Sampai whs 25/07/2024</t>
  </si>
  <si>
    <t>SNZ24010007</t>
  </si>
  <si>
    <t>Sampai whs 29/08/2024</t>
  </si>
  <si>
    <t>PAD 11/10/2024</t>
  </si>
  <si>
    <t>EXMN2400456</t>
  </si>
  <si>
    <t>Sampai whs 19/07/2024</t>
  </si>
  <si>
    <t>JYDSH240603897N</t>
  </si>
  <si>
    <t>Sampai whs 26/08/2024</t>
  </si>
  <si>
    <t>PAID 19/09/2024</t>
  </si>
  <si>
    <t>NHI</t>
  </si>
  <si>
    <t>131-04512616</t>
  </si>
  <si>
    <t>6L1-0090</t>
  </si>
  <si>
    <t>Sampai whs 08/07/2024</t>
  </si>
  <si>
    <t>PR-GMI-4208</t>
  </si>
  <si>
    <t>6L1-0098-30-S</t>
  </si>
  <si>
    <t>6L1-0098-30-P</t>
  </si>
  <si>
    <t>6L1-0098-22-S</t>
  </si>
  <si>
    <t>6L1-0098-22-P</t>
  </si>
  <si>
    <t>7679 &amp; 7680</t>
  </si>
  <si>
    <t>6L1-649</t>
  </si>
  <si>
    <t>6L1-650</t>
  </si>
  <si>
    <t>Pengganti GIS (7401)</t>
  </si>
  <si>
    <t>6L1-470</t>
  </si>
  <si>
    <t>SNZ24008890</t>
  </si>
  <si>
    <t>Sampai whs 01/08/2024</t>
  </si>
  <si>
    <t>Sampai whs 24/07/2024</t>
  </si>
  <si>
    <t>Shanghai Weknown Auto</t>
  </si>
  <si>
    <t>Sampai whs 31/07/2024</t>
  </si>
  <si>
    <t>3L9R</t>
  </si>
  <si>
    <t>Foshan Xing Yuan</t>
  </si>
  <si>
    <t>Sampai whs 07/08/2024</t>
  </si>
  <si>
    <t>GBM</t>
  </si>
  <si>
    <t>Sampai whs 29/07/2024</t>
  </si>
  <si>
    <t>11L-1988-BL-N</t>
  </si>
  <si>
    <t>Sampai whs 19/08/2024</t>
  </si>
  <si>
    <t>6L1-289</t>
  </si>
  <si>
    <t>6L1-288</t>
  </si>
  <si>
    <t>6L1-284</t>
  </si>
  <si>
    <t>6L1-285</t>
  </si>
  <si>
    <t>6L1-286</t>
  </si>
  <si>
    <t>6L1-287</t>
  </si>
  <si>
    <t>Sampai whs 05/11/2024</t>
  </si>
  <si>
    <t>DONE 21/11/2024</t>
  </si>
  <si>
    <t>SNZ24009286</t>
  </si>
  <si>
    <t>Sampai whs 14/08/2024</t>
  </si>
  <si>
    <t>7474 7661 7663 7664 7665 7666</t>
  </si>
  <si>
    <t>PAID 11/10/2024</t>
  </si>
  <si>
    <t>SZSE24081295</t>
  </si>
  <si>
    <t>Sampai whs 09/09/2024</t>
  </si>
  <si>
    <t>DONE 20/09/2024</t>
  </si>
  <si>
    <t>6956 , 6957 , 6958</t>
  </si>
  <si>
    <t>SENTUL TECHNOLOGY (NAOYUKI TSUBOGO)</t>
  </si>
  <si>
    <t>11L-1892-16-W04</t>
  </si>
  <si>
    <t>Sampai whs 16/08/2024</t>
  </si>
  <si>
    <t>SNZ24010753</t>
  </si>
  <si>
    <t>30 Koli</t>
  </si>
  <si>
    <t>Sampai whs 12/09/2024</t>
  </si>
  <si>
    <t>PAID 07/11/2024</t>
  </si>
  <si>
    <t>Sampai whs 03/09/2024</t>
  </si>
  <si>
    <t>PAID 17/10/2024</t>
  </si>
  <si>
    <t>SNZ24010385</t>
  </si>
  <si>
    <t>Sampai whs 05/09/2024</t>
  </si>
  <si>
    <t>Lampzone Technology</t>
  </si>
  <si>
    <t xml:space="preserve">VALENS COMPANY LIMITED </t>
  </si>
  <si>
    <t>203-70878861</t>
  </si>
  <si>
    <t>Sampai whs 10/09/2024</t>
  </si>
  <si>
    <t>PAID 24/10/2024</t>
  </si>
  <si>
    <t>2L3-43F (Barang warranty)</t>
  </si>
  <si>
    <t>MENUNGGU ORDERAN 2L3-43F</t>
  </si>
  <si>
    <t>Kingclima</t>
  </si>
  <si>
    <t>TNJ24013301</t>
  </si>
  <si>
    <t>2 PALLETS</t>
  </si>
  <si>
    <t>Sampai whs 12/11/2024</t>
  </si>
  <si>
    <t>DONE 22/11/2024</t>
  </si>
  <si>
    <t>11L-1892-8</t>
  </si>
  <si>
    <t>Sampai whs 26/09/2024</t>
  </si>
  <si>
    <t>PAID 14/11/2024</t>
  </si>
  <si>
    <t>2L3-42F datang 12 pcs. Harusnya 2L3-42S 16 pcs</t>
  </si>
  <si>
    <t>SNZ24012571</t>
  </si>
  <si>
    <t>Sampai whs 31/10/2024</t>
  </si>
  <si>
    <t>Lampzone</t>
  </si>
  <si>
    <t>46 Koli</t>
  </si>
  <si>
    <t>DONE 26/11/2024</t>
  </si>
  <si>
    <t>SNZ24012570</t>
  </si>
  <si>
    <t>DONE 25/11/2024</t>
  </si>
  <si>
    <t>7762 7790</t>
  </si>
  <si>
    <t>SCNID2412776</t>
  </si>
  <si>
    <t>Sampai whs 07/11/2024</t>
  </si>
  <si>
    <t>11L-5120</t>
  </si>
  <si>
    <t>S00229901</t>
  </si>
  <si>
    <t>Sampai whs 08/10/2024</t>
  </si>
  <si>
    <t>DONE 17/10/2024</t>
  </si>
  <si>
    <t>SNZ24011737</t>
  </si>
  <si>
    <t>Sampai whs 04/10/2024</t>
  </si>
  <si>
    <t>LESCHACO (FEDEX) (JILID 2)</t>
  </si>
  <si>
    <t>Sampai whs 09/10/2024</t>
  </si>
  <si>
    <t>DONE 18/10/2024</t>
  </si>
  <si>
    <t>Shanghai Weknown</t>
  </si>
  <si>
    <t>160-85735252</t>
  </si>
  <si>
    <t>31 Koli</t>
  </si>
  <si>
    <t>Sampai whs 22/10/2024</t>
  </si>
  <si>
    <t>DONE 07/11/2024</t>
  </si>
  <si>
    <t>Box diterima rusak dan sobek</t>
  </si>
  <si>
    <t>SNZ24012252</t>
  </si>
  <si>
    <t>Sampai whs 17/10/2024</t>
  </si>
  <si>
    <t>DONE 21/10/2024</t>
  </si>
  <si>
    <t>Sampai whs 15/10/2024</t>
  </si>
  <si>
    <t>DONE 24/10/2024</t>
  </si>
  <si>
    <t>Sampai whs 28/10/2024</t>
  </si>
  <si>
    <t>6L1-383-1</t>
  </si>
  <si>
    <t>SHANGHAI JING RUI</t>
  </si>
  <si>
    <t>Sampai whs 20/11/2024</t>
  </si>
  <si>
    <t>DONE 29/11/2024</t>
  </si>
  <si>
    <t>BARANG SNI</t>
  </si>
  <si>
    <t>Sampai whs 18/11/2024</t>
  </si>
  <si>
    <t>YONGWEI LIGHTING ELECTRICAL</t>
  </si>
  <si>
    <t>4 Koli</t>
  </si>
  <si>
    <t>Sampai whs 19/11/2024</t>
  </si>
  <si>
    <t>Cancel</t>
  </si>
  <si>
    <t>3L3-8AR-2</t>
  </si>
  <si>
    <t>Box</t>
  </si>
  <si>
    <t>GUANGZHOU IDEALPLUSING</t>
  </si>
  <si>
    <t>8L57-20</t>
  </si>
  <si>
    <t>RCAP</t>
  </si>
  <si>
    <t>14L-0420-CM</t>
  </si>
  <si>
    <t>Sampai whs 25/02/2025</t>
  </si>
  <si>
    <t>Done 06/03/2025</t>
  </si>
  <si>
    <t>Sampai whs 21/11/2024</t>
  </si>
  <si>
    <t>5L17-207WG</t>
  </si>
  <si>
    <t>Sampai whs 14/11/2024</t>
  </si>
  <si>
    <t>SNZ24014923</t>
  </si>
  <si>
    <t>Sampai whs 17/12/2024</t>
  </si>
  <si>
    <t>Sampai whs 26/11/2024</t>
  </si>
  <si>
    <t>Pengiriman agak lama karena 1 box ketinggalan dari Fedex</t>
  </si>
  <si>
    <t>6L1-214</t>
  </si>
  <si>
    <t>6L1-215</t>
  </si>
  <si>
    <t>03/12/2024</t>
  </si>
  <si>
    <t>Sampai whs 03/12/2024</t>
  </si>
  <si>
    <t>Close PR. Memakai 14L-0557, ready BPN</t>
  </si>
  <si>
    <t>SH24110119</t>
  </si>
  <si>
    <t>Sampai whs 29/11/2024</t>
  </si>
  <si>
    <t>Sampai whs 24/02/2025</t>
  </si>
  <si>
    <t>Done 10/03/2025</t>
  </si>
  <si>
    <t>SNZ24013973</t>
  </si>
  <si>
    <t>Sampai whs 25/11/2024</t>
  </si>
  <si>
    <t>06/12/2024</t>
  </si>
  <si>
    <t>16/12/2024</t>
  </si>
  <si>
    <t>Sampai whs 20/12/2024</t>
  </si>
  <si>
    <t xml:space="preserve">GD JG </t>
  </si>
  <si>
    <t>SNZ24014924</t>
  </si>
  <si>
    <t>23 Koli</t>
  </si>
  <si>
    <t>Dongguan Reomax</t>
  </si>
  <si>
    <t>Sampai whs 14/12/2024</t>
  </si>
  <si>
    <t>6L1-290-P</t>
  </si>
  <si>
    <t>6L1-717</t>
  </si>
  <si>
    <t>GIS 7893</t>
  </si>
  <si>
    <t>5L17-332
 5L17-207WG</t>
  </si>
  <si>
    <t>1
 10</t>
  </si>
  <si>
    <t>Sampai whs 07/12/2024</t>
  </si>
  <si>
    <t>GIS-7887</t>
  </si>
  <si>
    <t>5L17-236WG
 11L-HSWG60/20</t>
  </si>
  <si>
    <t>30
 20</t>
  </si>
  <si>
    <t>Sampai whs 28/12/2024</t>
  </si>
  <si>
    <t>SREE</t>
  </si>
  <si>
    <t>618-39303994</t>
  </si>
  <si>
    <t>42 Koli</t>
  </si>
  <si>
    <t>Sampai whs 31/12/2024</t>
  </si>
  <si>
    <t>TAHUN 2025</t>
  </si>
  <si>
    <t>Sampai whs 16/01/2025</t>
  </si>
  <si>
    <t>DONE 24/01/2025</t>
  </si>
  <si>
    <t>GIS-7903</t>
  </si>
  <si>
    <t>Dikirim sama Vendor by Vedex</t>
  </si>
  <si>
    <t>1 Pallets</t>
  </si>
  <si>
    <t>Sampai whs 17/01/2025</t>
  </si>
  <si>
    <t>GIS-7914</t>
  </si>
  <si>
    <t>5L17-95-5</t>
  </si>
  <si>
    <t>5L17-96-5</t>
  </si>
  <si>
    <t>GIS-7988</t>
  </si>
  <si>
    <t>11L-4184
11L-4181</t>
  </si>
  <si>
    <t>10
19</t>
  </si>
  <si>
    <t>Sampai whs 15/01/2025</t>
  </si>
  <si>
    <t>SNZ25000857</t>
  </si>
  <si>
    <t>Sampai whs 21/01/2025</t>
  </si>
  <si>
    <t>GIS-7788</t>
  </si>
  <si>
    <t>FSSHA2500011</t>
  </si>
  <si>
    <t>Sampai whs 23/01/2025</t>
  </si>
  <si>
    <t>Foshan Yongwei Lighting</t>
  </si>
  <si>
    <t>2L3-2S
2L3-2F</t>
  </si>
  <si>
    <t>100
100</t>
  </si>
  <si>
    <t>Sampai whs 24/01/2025</t>
  </si>
  <si>
    <t>999-31838811</t>
  </si>
  <si>
    <t>Sampai whs 01/02/2025</t>
  </si>
  <si>
    <t>GIS-7723</t>
  </si>
  <si>
    <t>Sampai whs 11/02/2025</t>
  </si>
  <si>
    <t>EURFLZ2520323JKTA</t>
  </si>
  <si>
    <t>LCL</t>
  </si>
  <si>
    <t>Sampai whs 05/03/2025</t>
  </si>
  <si>
    <t>Foshan Yongwei</t>
  </si>
  <si>
    <t>GIS-7889</t>
  </si>
  <si>
    <t>Sampai whs 31/01/2025</t>
  </si>
  <si>
    <t>DONE 07/02/2025</t>
  </si>
  <si>
    <t>Sampai whs 30/01/2025</t>
  </si>
  <si>
    <t>DONE 06/02/2025</t>
  </si>
  <si>
    <t>VEISE Electronic</t>
  </si>
  <si>
    <t>SUZHOU ARENLAND</t>
  </si>
  <si>
    <t>GIS-7999</t>
  </si>
  <si>
    <t>6L1-703</t>
  </si>
  <si>
    <t>Sampai whs 28/02/2025</t>
  </si>
  <si>
    <t>2L3-49F</t>
  </si>
  <si>
    <t>RAIHANINDO (BORONGAN)</t>
  </si>
  <si>
    <t>Sampai whs 14/03/2025</t>
  </si>
  <si>
    <t>2L3-49-29F</t>
  </si>
  <si>
    <t>2L3-50F</t>
  </si>
  <si>
    <t>2L3-51F</t>
  </si>
  <si>
    <t>2L3-52F</t>
  </si>
  <si>
    <t>FSSZA2500014</t>
  </si>
  <si>
    <t>Sampai whs 13/02/2025</t>
  </si>
  <si>
    <t>GIS-8019</t>
  </si>
  <si>
    <t>9L749</t>
  </si>
  <si>
    <t>S00004491</t>
  </si>
  <si>
    <t>Sampai whs 08/03/2025</t>
  </si>
  <si>
    <t>PR-GMI-4122</t>
  </si>
  <si>
    <t>6L1-365-1
6L1-369-1
6L1-302
6L1-303
6L1-298
6L1-299
6L1-297</t>
  </si>
  <si>
    <t>25000
30000
1000
1000
500
500
5000</t>
  </si>
  <si>
    <t>Sampai whs 19/02/2025</t>
  </si>
  <si>
    <t>Sampai whs 07/03/2025</t>
  </si>
  <si>
    <t>GIS-7995</t>
  </si>
  <si>
    <t>GIS-8046</t>
  </si>
  <si>
    <t>11L-E56-1100</t>
  </si>
  <si>
    <t>Sampai whs 04/03/2025</t>
  </si>
  <si>
    <t>GIS-8024</t>
  </si>
  <si>
    <t>Xiamen</t>
  </si>
  <si>
    <t>FSGZS2501207</t>
  </si>
  <si>
    <t>Sampai whs 15/04/2025</t>
  </si>
  <si>
    <t>GIS-8052</t>
  </si>
  <si>
    <t>6L1-709</t>
  </si>
  <si>
    <t>Sampai whs 11/03/2025</t>
  </si>
  <si>
    <t>6L1-710</t>
  </si>
  <si>
    <t>6L1-711</t>
  </si>
  <si>
    <t>6L1-712</t>
  </si>
  <si>
    <t>NINGBO MINERAL</t>
  </si>
  <si>
    <t>9L753</t>
  </si>
  <si>
    <t>Sampai whs 12/03/2025</t>
  </si>
  <si>
    <t>GIS-8066</t>
  </si>
  <si>
    <t>VALENS COMPANY</t>
  </si>
  <si>
    <t>Sampai whs 13/03/2025</t>
  </si>
  <si>
    <t>Sampai whs 21/03/2025</t>
  </si>
  <si>
    <t>4LT02-2</t>
  </si>
  <si>
    <t>Sampai whs 25/03/2025</t>
  </si>
  <si>
    <t>7L32-9</t>
  </si>
  <si>
    <t>Sampai whs 26/05/2025</t>
  </si>
  <si>
    <t>SHANGHAI WEKNOWN</t>
  </si>
  <si>
    <t>GIS-8049</t>
  </si>
  <si>
    <t>YUEQING AIBEIKEN</t>
  </si>
  <si>
    <t>RND-RS12VRD</t>
  </si>
  <si>
    <t>Sampai whs 27/03/2025</t>
  </si>
  <si>
    <t>11L-1059</t>
  </si>
  <si>
    <t>Sampai whs 16/04/2025</t>
  </si>
  <si>
    <t>GIS-8043</t>
  </si>
  <si>
    <t>Sampai whs 14/04/2025</t>
  </si>
  <si>
    <t>160-92187550</t>
  </si>
  <si>
    <t>Dongguan Beisuos</t>
  </si>
  <si>
    <t>9L8B-1-R</t>
  </si>
  <si>
    <t>Sampai whs 11/04/2025</t>
  </si>
  <si>
    <t>PEI-GENESIS</t>
  </si>
  <si>
    <t>FEDEX dikirim sama vendor</t>
  </si>
  <si>
    <t>Sampai whs 21/04/2025</t>
  </si>
  <si>
    <t>Sampai whs 20/05/2025</t>
  </si>
  <si>
    <t>GIS-8107,8108</t>
  </si>
  <si>
    <t>6L1-338-1-GR</t>
  </si>
  <si>
    <t>6L1-789</t>
  </si>
  <si>
    <t>6L1-790</t>
  </si>
  <si>
    <t>6L1-0038</t>
  </si>
  <si>
    <t>6L1-800</t>
  </si>
  <si>
    <t xml:space="preserve">999-32127863  </t>
  </si>
  <si>
    <t>Sampai whs 30/04/2025</t>
  </si>
  <si>
    <t>Sampai whs 02/06/2025</t>
  </si>
  <si>
    <t>Shanghai JIng Rui</t>
  </si>
  <si>
    <t>YOSSAVA</t>
  </si>
  <si>
    <t>SHJKT25008241</t>
  </si>
  <si>
    <t>7 Pallet</t>
  </si>
  <si>
    <t>Sampai whs 21/05/2025</t>
  </si>
  <si>
    <t>FSGZS2501827</t>
  </si>
  <si>
    <t>GIS-8108</t>
  </si>
  <si>
    <t>6L1-794</t>
  </si>
  <si>
    <t>Sampai whs 06/05/2025</t>
  </si>
  <si>
    <t>Done 17/05/2025</t>
  </si>
  <si>
    <t>FSSZA2500036</t>
  </si>
  <si>
    <t>Sampai whs 17/05/2025</t>
  </si>
  <si>
    <t>GIS-7947</t>
  </si>
  <si>
    <t>Done 26/05/2025</t>
  </si>
  <si>
    <t>GIS-8143</t>
  </si>
  <si>
    <t>Sampai whs 22/05/2025</t>
  </si>
  <si>
    <t>Done 23/05/2025</t>
  </si>
  <si>
    <t>S00025805</t>
  </si>
  <si>
    <t>Sampai whs 16/07/2025</t>
  </si>
  <si>
    <t>FSSHA2500057</t>
  </si>
  <si>
    <t>Sampai whs 04/06/2025</t>
  </si>
  <si>
    <t>Sampai whs 30/05/2025</t>
  </si>
  <si>
    <t>Sampai whs 10/06/2025</t>
  </si>
  <si>
    <t>7L32-9-LV</t>
  </si>
  <si>
    <t>Sampai whs 28/05/2025</t>
  </si>
  <si>
    <t>Done 05/06/2025</t>
  </si>
  <si>
    <t>ETD 29/8/2025</t>
  </si>
  <si>
    <t>GIS-8279</t>
  </si>
  <si>
    <t>11L-0738-2</t>
  </si>
  <si>
    <t>Sampai whs 11/06/2025</t>
  </si>
  <si>
    <t>GIS-8290</t>
  </si>
  <si>
    <t>5L17-228WG</t>
  </si>
  <si>
    <t>Sampai whs 25/06/2025</t>
  </si>
  <si>
    <t>NPP (Pelaporan SPT)</t>
  </si>
  <si>
    <t>GIS-8300</t>
  </si>
  <si>
    <t>5L17-223WG-1</t>
  </si>
  <si>
    <t>5L17-229WG</t>
  </si>
  <si>
    <t>Xingtai Guangji</t>
  </si>
  <si>
    <t>11L-5160-R</t>
  </si>
  <si>
    <t>Sampai whs 01/07/2025</t>
  </si>
  <si>
    <t>GIS-8267</t>
  </si>
  <si>
    <t>Ningbo Mineral</t>
  </si>
  <si>
    <t>9L363</t>
  </si>
  <si>
    <t>Sampai whs 12/07/2025</t>
  </si>
  <si>
    <t>Done 17/07/2025</t>
  </si>
  <si>
    <t>9L364</t>
  </si>
  <si>
    <t>9L365</t>
  </si>
  <si>
    <t>IK 35105</t>
  </si>
  <si>
    <t>Done 03/07/2025</t>
  </si>
  <si>
    <t>Sampai whs 08/07/2025</t>
  </si>
  <si>
    <t>GIS-8026</t>
  </si>
  <si>
    <t>AUTO ELECTRICAL</t>
  </si>
  <si>
    <t>S00240035</t>
  </si>
  <si>
    <t>Sampai whs 12/08/2025</t>
  </si>
  <si>
    <t>GIS-8071</t>
  </si>
  <si>
    <t>FOSHAN YONGWEI</t>
  </si>
  <si>
    <t>XMNE2507031</t>
  </si>
  <si>
    <t>Sampai whs 24/07/2025</t>
  </si>
  <si>
    <t>Done 31/07/2025</t>
  </si>
  <si>
    <t>EURFLZ2572295JKT</t>
  </si>
  <si>
    <t>48 Koli</t>
  </si>
  <si>
    <t>Sampai whs 05/08/2025</t>
  </si>
  <si>
    <t>Topbright</t>
  </si>
  <si>
    <t>Mid September</t>
  </si>
  <si>
    <t>Zhejiang Haidie</t>
  </si>
  <si>
    <t>Sampai whs 23/07/2025</t>
  </si>
  <si>
    <t>ETD 20/10/2025</t>
  </si>
  <si>
    <t>SNZ25008532</t>
  </si>
  <si>
    <t>Sampai whs 30/07/2025</t>
  </si>
  <si>
    <t>Done 07/08/2025</t>
  </si>
  <si>
    <t>EURFLZ2581167JKT</t>
  </si>
  <si>
    <t>ETD 30/07/2025</t>
  </si>
  <si>
    <t>GIS-8298</t>
  </si>
  <si>
    <t>Dp30%, ETD 10/08/2025</t>
  </si>
  <si>
    <t>999-35403970</t>
  </si>
  <si>
    <t>Sampai whs 01/08/2025</t>
  </si>
  <si>
    <t>9L630-2</t>
  </si>
  <si>
    <t>Sampai whs 25/07/2025</t>
  </si>
  <si>
    <t>11L-0161</t>
  </si>
  <si>
    <t>Sampai whs 04/08/2025</t>
  </si>
  <si>
    <t>11L-0015-3</t>
  </si>
  <si>
    <t>Sampai whs 11/08/2025</t>
  </si>
  <si>
    <t>GIS-8351</t>
  </si>
  <si>
    <t>10L184</t>
  </si>
  <si>
    <t>10L145</t>
  </si>
  <si>
    <t>GIS-8353</t>
  </si>
  <si>
    <t>ETD 13/08/2025</t>
  </si>
  <si>
    <t>Dongguan Tianrui</t>
  </si>
  <si>
    <t>ZHEJIANG HAIDIE</t>
  </si>
  <si>
    <t>Sampai whs 06/08/2025</t>
  </si>
  <si>
    <t>Dp30%, ETD 25/08/2025</t>
  </si>
  <si>
    <t>ETD 23/08/2025</t>
  </si>
  <si>
    <t>Sampai whs 08/08/2025</t>
  </si>
  <si>
    <t>ETD 18/08/2025</t>
  </si>
  <si>
    <t>Dp30%, ETD 08/09/2025</t>
  </si>
  <si>
    <t>Produksi</t>
  </si>
  <si>
    <t>34037, 35064</t>
  </si>
  <si>
    <t>PR-GMI-4067</t>
  </si>
  <si>
    <t>(KSM)</t>
  </si>
  <si>
    <t>SINI</t>
  </si>
  <si>
    <t>IK 35130</t>
  </si>
  <si>
    <t>PR-GMI-4044, PR-GMI-4242</t>
  </si>
  <si>
    <t>324, 47</t>
  </si>
  <si>
    <t>26317 &amp; 26344</t>
  </si>
  <si>
    <t>Barang memakai 7L23-21</t>
  </si>
  <si>
    <t>Belum terima PR - Memakai AVSS</t>
  </si>
  <si>
    <t>Menunggu PR</t>
  </si>
  <si>
    <t>IK 35117</t>
  </si>
  <si>
    <t>PR-GMI-4134</t>
  </si>
  <si>
    <t>GMI-HO</t>
  </si>
  <si>
    <t>Proses nego trial 30A</t>
  </si>
  <si>
    <t>IK 35103</t>
  </si>
  <si>
    <t>Tidak ada PR</t>
  </si>
  <si>
    <t>PR-GMI-4067 &gt; PR-GMI-4177</t>
  </si>
  <si>
    <t>PR-GMI-4073 &gt; PR-GMI-4177</t>
  </si>
  <si>
    <t>IK 35186</t>
  </si>
  <si>
    <t>PR-GMI-4088</t>
  </si>
  <si>
    <t>PR-GMI-4181</t>
  </si>
  <si>
    <t>IK 35125</t>
  </si>
  <si>
    <t>34160, 34879</t>
  </si>
  <si>
    <t>PR-GMI-4227</t>
  </si>
  <si>
    <t>PR-GMI-4122 &gt; PR-GMI-4177</t>
  </si>
  <si>
    <t>PR-GMI-4088 &gt; PR-GMI-4177</t>
  </si>
  <si>
    <t>IMPORT MOQ 20</t>
  </si>
  <si>
    <t>IK 35162</t>
  </si>
  <si>
    <t>PR-GMI-4215</t>
  </si>
  <si>
    <t>PR-GMI-4128</t>
  </si>
  <si>
    <t>34703, 34968</t>
  </si>
  <si>
    <t>PR-GMI-4220</t>
  </si>
  <si>
    <t>IK 35170</t>
  </si>
  <si>
    <t>34727, 34977</t>
  </si>
  <si>
    <t>PR-GMI-4121</t>
  </si>
  <si>
    <t>ITEM CANCEL INFORMASI BY EMAIL 15/09/2026</t>
  </si>
  <si>
    <t>34579, 34246</t>
  </si>
  <si>
    <t>IK 34999</t>
  </si>
  <si>
    <t>Menunggu  PR</t>
  </si>
  <si>
    <t>PR-GMI-4183</t>
  </si>
  <si>
    <t>Masih Cek barang betul atau tidak</t>
  </si>
  <si>
    <t>IK 35115</t>
  </si>
  <si>
    <t>PR-GMI-4229</t>
  </si>
  <si>
    <t>IK 35129</t>
  </si>
  <si>
    <t>PR-GMI-4145</t>
  </si>
  <si>
    <t>IK 35248</t>
  </si>
  <si>
    <t>IK 34247</t>
  </si>
  <si>
    <t>Menunggu konfirmasi vendor</t>
  </si>
  <si>
    <t>IK 34245</t>
  </si>
  <si>
    <t>IK 35183</t>
  </si>
  <si>
    <t>IK 35106</t>
  </si>
  <si>
    <t>PR-GMI-4175</t>
  </si>
  <si>
    <t>IK 35124</t>
  </si>
  <si>
    <t>IK 35249</t>
  </si>
  <si>
    <t>IK 35116</t>
  </si>
  <si>
    <t>34605, 34654</t>
  </si>
  <si>
    <t>IK 35099</t>
  </si>
  <si>
    <t>PR-GMI-4183, PR-GMI-4234</t>
  </si>
  <si>
    <t>MOQ 30ea</t>
  </si>
  <si>
    <t>IK 34866</t>
  </si>
  <si>
    <t>IK 35072</t>
  </si>
  <si>
    <t>IK 35002</t>
  </si>
  <si>
    <t>PR-GMI-4207</t>
  </si>
  <si>
    <t>Konfrimasi apakah barang sudah oke atau belum</t>
  </si>
  <si>
    <t>IK 35096</t>
  </si>
  <si>
    <t>IK 35112</t>
  </si>
  <si>
    <t>IK 35098</t>
  </si>
  <si>
    <t>35098,  35225</t>
  </si>
  <si>
    <t>PR-GMI-4230</t>
  </si>
  <si>
    <t>34884, 35100</t>
  </si>
  <si>
    <t>IK 35114</t>
  </si>
  <si>
    <t>IK 35075</t>
  </si>
  <si>
    <t>IK 35073</t>
  </si>
  <si>
    <t>34794, 35131</t>
  </si>
  <si>
    <t>PR-GMI-4225</t>
  </si>
  <si>
    <t>IK 35227</t>
  </si>
  <si>
    <t>IK 35122</t>
  </si>
  <si>
    <t>IK 35252</t>
  </si>
  <si>
    <t>IK 35126</t>
  </si>
  <si>
    <t>PR-GMI-4177</t>
  </si>
  <si>
    <t>Masih Produksi</t>
  </si>
  <si>
    <t>IK 35109</t>
  </si>
  <si>
    <t>PR-GMI-4225 &gt; PR-GMI-4177</t>
  </si>
  <si>
    <t>IK 35110</t>
  </si>
  <si>
    <t>IK 35091</t>
  </si>
  <si>
    <t>IK 35184</t>
  </si>
  <si>
    <t>PR-GMI-4242</t>
  </si>
  <si>
    <t>PR-GMI-4175, PR-GMI-4181</t>
  </si>
  <si>
    <t>IK 35102</t>
  </si>
  <si>
    <t>34933, 34747</t>
  </si>
  <si>
    <t>IK 35092</t>
  </si>
  <si>
    <t>IK 35173</t>
  </si>
  <si>
    <t>IK 35182</t>
  </si>
  <si>
    <t>IK 35244</t>
  </si>
  <si>
    <t>IK 35097</t>
  </si>
  <si>
    <t>IK 35222</t>
  </si>
  <si>
    <t>IK 35127</t>
  </si>
  <si>
    <t>IK 35101</t>
  </si>
  <si>
    <t>IK 34726</t>
  </si>
  <si>
    <t>IK 35077</t>
  </si>
  <si>
    <t>IK 35223</t>
  </si>
  <si>
    <t>IK 35093</t>
  </si>
  <si>
    <t>IK 35090</t>
  </si>
  <si>
    <t>IK 35095</t>
  </si>
  <si>
    <t>IK 35128</t>
  </si>
  <si>
    <t>IK 35224</t>
  </si>
  <si>
    <t>IK 35174</t>
  </si>
  <si>
    <t>IK 35251</t>
  </si>
  <si>
    <t>IK 35226</t>
  </si>
  <si>
    <t>IK 35176</t>
  </si>
  <si>
    <t>IK 35175</t>
  </si>
  <si>
    <t>IK 35177</t>
  </si>
  <si>
    <t>IK 35250</t>
  </si>
  <si>
    <t>IK 35178</t>
  </si>
  <si>
    <t>IK 35179</t>
  </si>
  <si>
    <t>26715, 26640</t>
  </si>
  <si>
    <t>IK 35253</t>
  </si>
  <si>
    <t>26532, 26767</t>
  </si>
  <si>
    <t>Hanya Lensa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</si>
</sst>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dd&quot;-&quot;mmm&quot;-&quot;yyyy"/>
    <numFmt numFmtId="165" formatCode="0* &quot;Hari&quot;"/>
    <numFmt numFmtId="166" formatCode="d\ mmmm\ yyyy"/>
    <numFmt numFmtId="167" formatCode="dd\-mm\-yyyy"/>
    <numFmt numFmtId="169" formatCode="d/m/yyyy"/>
    <numFmt numFmtId="170" formatCode="d\-mmmm\-yyyy"/>
    <numFmt numFmtId="171" formatCode="dd\ mmm\ yyyy"/>
    <numFmt numFmtId="172" formatCode="d\ mmm\ yyyy"/>
    <numFmt numFmtId="173" formatCode="dd&quot; &quot;mmm&quot; &quot;yy"/>
    <numFmt numFmtId="174" formatCode="d\-m\-yyyy"/>
    <numFmt numFmtId="175" formatCode="d\-mmm\-yyyy"/>
    <numFmt numFmtId="179" formatCode="dd\-mmm\-yyyy"/>
    <numFmt numFmtId="180" formatCode="dd/mm"/>
    <numFmt numFmtId="184" formatCode="dd\-mmmm\-yyyy"/>
    <numFmt numFmtId="186" formatCode="d&quot; &quot;mmmm&quot; &quot;yyyy"/>
  </numFmts>
  <fonts count="39">
    <font>
      <sz val="11"/>
      <color theme="1"/>
      <name val="Arial"/>
      <scheme val="minor"/>
    </font>
    <font>
      <sz val="11"/>
      <color theme="1"/>
      <name val="Calibri"/>
    </font>
    <font>
      <sz val="11"/>
      <name val="Arial"/>
    </font>
    <font>
      <sz val="11"/>
      <color theme="1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Arial"/>
    </font>
    <font>
      <b/>
      <sz val="10"/>
      <color theme="1"/>
      <name val="Times New Roman"/>
    </font>
    <font>
      <sz val="10"/>
      <color theme="1"/>
      <name val="Times New Roman"/>
    </font>
    <font>
      <b/>
      <sz val="12"/>
      <color theme="1"/>
      <name val="Times New Roman"/>
    </font>
    <font>
      <b/>
      <sz val="10"/>
      <color rgb="FF000000"/>
      <name val="Times New Roman"/>
    </font>
    <font>
      <sz val="10"/>
      <color rgb="FF11734B"/>
      <name val="Times New Roman"/>
    </font>
    <font>
      <sz val="10"/>
      <color rgb="FF000000"/>
      <name val="Times New Roman"/>
    </font>
    <font>
      <b/>
      <sz val="11"/>
      <color theme="1"/>
      <name val="Calibri"/>
    </font>
    <font>
      <sz val="10"/>
      <color rgb="FF262626"/>
      <name val="Times New Roman"/>
    </font>
    <font>
      <sz val="11"/>
      <color theme="1"/>
      <name val="Times New Roman"/>
    </font>
    <font>
      <sz val="10"/>
      <color theme="1"/>
      <name val="Arial"/>
      <scheme val="minor"/>
    </font>
    <font>
      <sz val="11"/>
      <color rgb="FF1F1F1F"/>
      <name val="Calibri"/>
    </font>
    <font>
      <sz val="12"/>
      <color theme="1"/>
      <name val="Times New Roman"/>
    </font>
    <font>
      <b/>
      <sz val="14"/>
      <color theme="1"/>
      <name val="Calibri"/>
    </font>
    <font>
      <b/>
      <sz val="11"/>
      <color rgb="FFFFFFFF"/>
      <name val="Calibri"/>
    </font>
    <font>
      <b/>
      <sz val="11"/>
      <color theme="1"/>
      <name val="Arial"/>
    </font>
    <font>
      <b/>
      <sz val="11"/>
      <color rgb="FFFFFFFF"/>
      <name val="Arial"/>
    </font>
    <font>
      <sz val="9"/>
      <color rgb="FF000000"/>
      <name val="Arial"/>
    </font>
    <font>
      <sz val="11"/>
      <color rgb="FF000000"/>
      <name val="Arial"/>
    </font>
    <font>
      <sz val="9"/>
      <color rgb="FF1F1F1F"/>
      <name val="Google Sans"/>
    </font>
    <font>
      <sz val="11"/>
      <color rgb="FF1F1F1F"/>
      <name val="Calibri"/>
    </font>
    <font>
      <sz val="11"/>
      <color theme="1"/>
      <name val="Arial"/>
    </font>
    <font>
      <sz val="11"/>
      <color theme="1"/>
      <name val="Calibri Light"/>
    </font>
    <font>
      <b/>
      <sz val="12"/>
      <color rgb="FF262626"/>
      <name val="&quot;Times New Roman&quot;"/>
    </font>
    <font>
      <sz val="10"/>
      <color theme="1"/>
      <name val="Roboto"/>
    </font>
    <font>
      <sz val="11"/>
      <color theme="1"/>
      <name val="Times New Roman"/>
    </font>
    <font>
      <b/>
      <sz val="10"/>
      <color theme="1"/>
      <name val="Times New Roman"/>
      <family val="1"/>
    </font>
    <font>
      <sz val="10"/>
      <color theme="1"/>
      <name val="Arial"/>
      <family val="2"/>
      <scheme val="minor"/>
    </font>
    <font>
      <sz val="10"/>
      <color theme="1"/>
      <name val="Times New Roman"/>
      <family val="1"/>
    </font>
    <font>
      <sz val="10"/>
      <color rgb="FF11734B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  <fill>
      <patternFill patternType="solid">
        <fgColor rgb="FFF7C7AC"/>
        <bgColor rgb="FFF7C7A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D9E1F2"/>
        <bgColor rgb="FFD9E1F2"/>
      </patternFill>
    </fill>
    <fill>
      <patternFill patternType="solid">
        <fgColor rgb="FFFF9933"/>
        <bgColor rgb="FFFF9933"/>
      </patternFill>
    </fill>
    <fill>
      <patternFill patternType="solid">
        <fgColor rgb="FFFABF8F"/>
        <bgColor rgb="FFFABF8F"/>
      </patternFill>
    </fill>
    <fill>
      <patternFill patternType="solid">
        <fgColor rgb="FFEBF1DE"/>
        <bgColor rgb="FFEBF1DE"/>
      </patternFill>
    </fill>
    <fill>
      <patternFill patternType="solid">
        <fgColor rgb="FFFCD5B4"/>
        <bgColor rgb="FFFCD5B4"/>
      </patternFill>
    </fill>
    <fill>
      <patternFill patternType="solid">
        <fgColor rgb="FF4F81BD"/>
        <bgColor rgb="FF4F81BD"/>
      </patternFill>
    </fill>
    <fill>
      <patternFill patternType="solid">
        <fgColor rgb="FF0000FF"/>
        <bgColor rgb="FF0000FF"/>
      </patternFill>
    </fill>
    <fill>
      <patternFill patternType="solid">
        <fgColor rgb="FFEA9999"/>
        <bgColor rgb="FFEA9999"/>
      </patternFill>
    </fill>
    <fill>
      <patternFill patternType="solid">
        <fgColor rgb="FFF2F2F2"/>
        <bgColor rgb="FFF2F2F2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374">
    <xf numFmtId="0" fontId="0" fillId="0" borderId="0" xfId="0" applyFont="1" applyAlignment="1"/>
    <xf numFmtId="164" fontId="7" fillId="3" borderId="0" xfId="0" applyNumberFormat="1" applyFont="1" applyFill="1" applyAlignment="1">
      <alignment horizontal="left" vertical="center"/>
    </xf>
    <xf numFmtId="173" fontId="7" fillId="3" borderId="0" xfId="0" applyNumberFormat="1" applyFont="1" applyFill="1" applyAlignment="1">
      <alignment horizontal="left" vertical="center"/>
    </xf>
    <xf numFmtId="165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173" fontId="7" fillId="3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/>
    <xf numFmtId="164" fontId="7" fillId="3" borderId="0" xfId="0" applyNumberFormat="1" applyFont="1" applyFill="1" applyAlignment="1">
      <alignment horizontal="center" vertical="center"/>
    </xf>
    <xf numFmtId="164" fontId="7" fillId="6" borderId="0" xfId="0" applyNumberFormat="1" applyFont="1" applyFill="1" applyAlignment="1">
      <alignment horizontal="left" vertical="center"/>
    </xf>
    <xf numFmtId="173" fontId="7" fillId="6" borderId="0" xfId="0" applyNumberFormat="1" applyFont="1" applyFill="1" applyAlignment="1">
      <alignment horizontal="left" vertical="center"/>
    </xf>
    <xf numFmtId="173" fontId="7" fillId="6" borderId="0" xfId="0" applyNumberFormat="1" applyFont="1" applyFill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173" fontId="7" fillId="7" borderId="0" xfId="0" applyNumberFormat="1" applyFont="1" applyFill="1" applyAlignment="1">
      <alignment horizontal="center" vertical="center"/>
    </xf>
    <xf numFmtId="164" fontId="7" fillId="7" borderId="0" xfId="0" applyNumberFormat="1" applyFont="1" applyFill="1" applyAlignment="1">
      <alignment horizontal="center" vertical="center"/>
    </xf>
    <xf numFmtId="0" fontId="7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 vertical="center"/>
    </xf>
    <xf numFmtId="165" fontId="7" fillId="6" borderId="14" xfId="0" applyNumberFormat="1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164" fontId="8" fillId="0" borderId="1" xfId="0" applyNumberFormat="1" applyFont="1" applyBorder="1" applyAlignment="1">
      <alignment horizontal="left" vertical="center"/>
    </xf>
    <xf numFmtId="165" fontId="8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6" fontId="8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73" fontId="8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left" vertical="center"/>
    </xf>
    <xf numFmtId="167" fontId="12" fillId="0" borderId="1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172" fontId="12" fillId="0" borderId="1" xfId="0" applyNumberFormat="1" applyFont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left" vertical="center"/>
    </xf>
    <xf numFmtId="175" fontId="8" fillId="0" borderId="1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4" fontId="18" fillId="0" borderId="4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170" fontId="8" fillId="0" borderId="1" xfId="0" applyNumberFormat="1" applyFont="1" applyBorder="1" applyAlignment="1">
      <alignment horizontal="left" vertical="center"/>
    </xf>
    <xf numFmtId="164" fontId="15" fillId="0" borderId="4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21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22" fillId="18" borderId="1" xfId="0" applyFont="1" applyFill="1" applyBorder="1" applyAlignment="1">
      <alignment horizontal="center"/>
    </xf>
    <xf numFmtId="0" fontId="22" fillId="18" borderId="7" xfId="0" applyFont="1" applyFill="1" applyBorder="1" applyAlignment="1">
      <alignment horizontal="center"/>
    </xf>
    <xf numFmtId="0" fontId="22" fillId="18" borderId="9" xfId="0" applyFont="1" applyFill="1" applyBorder="1" applyAlignment="1">
      <alignment horizontal="center"/>
    </xf>
    <xf numFmtId="0" fontId="20" fillId="18" borderId="1" xfId="0" applyFont="1" applyFill="1" applyBorder="1" applyAlignment="1">
      <alignment horizontal="center"/>
    </xf>
    <xf numFmtId="0" fontId="20" fillId="18" borderId="9" xfId="0" applyFont="1" applyFill="1" applyBorder="1" applyAlignment="1">
      <alignment horizontal="center"/>
    </xf>
    <xf numFmtId="0" fontId="4" fillId="19" borderId="9" xfId="0" applyFont="1" applyFill="1" applyBorder="1" applyAlignment="1">
      <alignment horizontal="center"/>
    </xf>
    <xf numFmtId="0" fontId="6" fillId="0" borderId="2" xfId="0" applyFont="1" applyBorder="1" applyAlignment="1"/>
    <xf numFmtId="0" fontId="6" fillId="0" borderId="9" xfId="0" applyFont="1" applyBorder="1" applyAlignment="1"/>
    <xf numFmtId="0" fontId="5" fillId="0" borderId="9" xfId="0" applyFont="1" applyBorder="1" applyAlignment="1">
      <alignment horizontal="center"/>
    </xf>
    <xf numFmtId="0" fontId="5" fillId="19" borderId="2" xfId="0" applyFont="1" applyFill="1" applyBorder="1" applyAlignment="1">
      <alignment horizontal="center"/>
    </xf>
    <xf numFmtId="0" fontId="6" fillId="21" borderId="2" xfId="0" applyFont="1" applyFill="1" applyBorder="1" applyAlignment="1"/>
    <xf numFmtId="0" fontId="5" fillId="21" borderId="10" xfId="0" applyFont="1" applyFill="1" applyBorder="1" applyAlignment="1">
      <alignment horizontal="center"/>
    </xf>
    <xf numFmtId="0" fontId="5" fillId="21" borderId="2" xfId="0" applyFont="1" applyFill="1" applyBorder="1" applyAlignment="1">
      <alignment horizontal="center"/>
    </xf>
    <xf numFmtId="0" fontId="23" fillId="20" borderId="11" xfId="0" applyFont="1" applyFill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3" fillId="20" borderId="4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2" xfId="0" applyFont="1" applyBorder="1" applyAlignment="1"/>
    <xf numFmtId="0" fontId="5" fillId="21" borderId="2" xfId="0" applyFont="1" applyFill="1" applyBorder="1" applyAlignment="1"/>
    <xf numFmtId="0" fontId="5" fillId="21" borderId="0" xfId="0" applyFont="1" applyFill="1" applyAlignment="1">
      <alignment horizontal="center"/>
    </xf>
    <xf numFmtId="0" fontId="23" fillId="0" borderId="19" xfId="0" applyFont="1" applyBorder="1" applyAlignment="1">
      <alignment horizontal="left"/>
    </xf>
    <xf numFmtId="0" fontId="23" fillId="0" borderId="4" xfId="0" applyFont="1" applyBorder="1" applyAlignment="1">
      <alignment horizontal="left"/>
    </xf>
    <xf numFmtId="0" fontId="24" fillId="0" borderId="2" xfId="0" applyFont="1" applyBorder="1" applyAlignment="1"/>
    <xf numFmtId="0" fontId="24" fillId="21" borderId="2" xfId="0" applyFont="1" applyFill="1" applyBorder="1" applyAlignment="1"/>
    <xf numFmtId="0" fontId="23" fillId="0" borderId="11" xfId="0" applyFont="1" applyBorder="1" applyAlignment="1">
      <alignment horizontal="left"/>
    </xf>
    <xf numFmtId="0" fontId="5" fillId="0" borderId="0" xfId="0" applyFont="1" applyAlignment="1"/>
    <xf numFmtId="0" fontId="4" fillId="19" borderId="10" xfId="0" applyFont="1" applyFill="1" applyBorder="1" applyAlignment="1">
      <alignment horizontal="center"/>
    </xf>
    <xf numFmtId="0" fontId="5" fillId="19" borderId="1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0" fillId="2" borderId="0" xfId="0" applyFont="1" applyFill="1" applyAlignment="1">
      <alignment horizontal="center" wrapText="1"/>
    </xf>
    <xf numFmtId="0" fontId="1" fillId="10" borderId="1" xfId="0" applyFont="1" applyFill="1" applyBorder="1"/>
    <xf numFmtId="0" fontId="13" fillId="2" borderId="0" xfId="0" applyFont="1" applyFill="1" applyAlignment="1">
      <alignment horizontal="center" wrapText="1"/>
    </xf>
    <xf numFmtId="0" fontId="1" fillId="2" borderId="0" xfId="0" applyFont="1" applyFill="1"/>
    <xf numFmtId="0" fontId="1" fillId="6" borderId="1" xfId="0" applyFont="1" applyFill="1" applyBorder="1"/>
    <xf numFmtId="0" fontId="1" fillId="7" borderId="1" xfId="0" applyFont="1" applyFill="1" applyBorder="1"/>
    <xf numFmtId="0" fontId="20" fillId="22" borderId="8" xfId="0" applyFont="1" applyFill="1" applyBorder="1" applyAlignment="1">
      <alignment horizontal="center" wrapText="1"/>
    </xf>
    <xf numFmtId="0" fontId="20" fillId="22" borderId="7" xfId="0" applyFont="1" applyFill="1" applyBorder="1" applyAlignment="1">
      <alignment horizontal="center" wrapText="1"/>
    </xf>
    <xf numFmtId="0" fontId="20" fillId="9" borderId="8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13" fillId="6" borderId="8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right" wrapText="1"/>
    </xf>
    <xf numFmtId="14" fontId="1" fillId="6" borderId="1" xfId="0" applyNumberFormat="1" applyFont="1" applyFill="1" applyBorder="1" applyAlignment="1">
      <alignment horizontal="right" wrapText="1"/>
    </xf>
    <xf numFmtId="0" fontId="1" fillId="6" borderId="8" xfId="0" applyFont="1" applyFill="1" applyBorder="1" applyAlignment="1">
      <alignment wrapText="1"/>
    </xf>
    <xf numFmtId="0" fontId="1" fillId="6" borderId="0" xfId="0" applyFont="1" applyFill="1"/>
    <xf numFmtId="0" fontId="25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wrapText="1"/>
    </xf>
    <xf numFmtId="0" fontId="1" fillId="6" borderId="10" xfId="0" applyFont="1" applyFill="1" applyBorder="1" applyAlignment="1">
      <alignment horizontal="center" wrapText="1"/>
    </xf>
    <xf numFmtId="0" fontId="1" fillId="6" borderId="10" xfId="0" applyFont="1" applyFill="1" applyBorder="1"/>
    <xf numFmtId="0" fontId="1" fillId="6" borderId="10" xfId="0" applyFont="1" applyFill="1" applyBorder="1" applyAlignment="1">
      <alignment horizontal="right"/>
    </xf>
    <xf numFmtId="14" fontId="1" fillId="6" borderId="10" xfId="0" applyNumberFormat="1" applyFont="1" applyFill="1" applyBorder="1" applyAlignment="1">
      <alignment horizontal="right" wrapText="1"/>
    </xf>
    <xf numFmtId="0" fontId="1" fillId="6" borderId="10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horizontal="right"/>
    </xf>
    <xf numFmtId="0" fontId="26" fillId="6" borderId="1" xfId="0" applyFont="1" applyFill="1" applyBorder="1" applyAlignment="1"/>
    <xf numFmtId="0" fontId="1" fillId="6" borderId="1" xfId="0" applyFont="1" applyFill="1" applyBorder="1" applyAlignment="1">
      <alignment horizontal="right"/>
    </xf>
    <xf numFmtId="3" fontId="1" fillId="6" borderId="9" xfId="0" applyNumberFormat="1" applyFont="1" applyFill="1" applyBorder="1" applyAlignment="1">
      <alignment horizontal="right"/>
    </xf>
    <xf numFmtId="0" fontId="1" fillId="6" borderId="10" xfId="0" applyFont="1" applyFill="1" applyBorder="1" applyAlignment="1"/>
    <xf numFmtId="3" fontId="1" fillId="6" borderId="2" xfId="0" applyNumberFormat="1" applyFont="1" applyFill="1" applyBorder="1" applyAlignment="1">
      <alignment horizontal="right"/>
    </xf>
    <xf numFmtId="0" fontId="1" fillId="6" borderId="9" xfId="0" applyFont="1" applyFill="1" applyBorder="1" applyAlignment="1">
      <alignment horizontal="right"/>
    </xf>
    <xf numFmtId="0" fontId="17" fillId="6" borderId="0" xfId="0" applyFont="1" applyFill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right"/>
    </xf>
    <xf numFmtId="0" fontId="1" fillId="6" borderId="9" xfId="0" applyFont="1" applyFill="1" applyBorder="1" applyAlignment="1"/>
    <xf numFmtId="0" fontId="1" fillId="6" borderId="8" xfId="0" applyFont="1" applyFill="1" applyBorder="1" applyAlignment="1"/>
    <xf numFmtId="0" fontId="1" fillId="6" borderId="2" xfId="0" applyFont="1" applyFill="1" applyBorder="1" applyAlignment="1"/>
    <xf numFmtId="0" fontId="1" fillId="6" borderId="8" xfId="0" applyFont="1" applyFill="1" applyBorder="1"/>
    <xf numFmtId="0" fontId="1" fillId="6" borderId="8" xfId="0" applyFont="1" applyFill="1" applyBorder="1" applyAlignment="1">
      <alignment horizontal="center" wrapText="1"/>
    </xf>
    <xf numFmtId="169" fontId="1" fillId="6" borderId="1" xfId="0" applyNumberFormat="1" applyFont="1" applyFill="1" applyBorder="1" applyAlignment="1">
      <alignment horizontal="right" wrapText="1"/>
    </xf>
    <xf numFmtId="3" fontId="1" fillId="6" borderId="1" xfId="0" applyNumberFormat="1" applyFont="1" applyFill="1" applyBorder="1" applyAlignment="1">
      <alignment horizontal="right"/>
    </xf>
    <xf numFmtId="0" fontId="1" fillId="6" borderId="10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wrapText="1"/>
    </xf>
    <xf numFmtId="0" fontId="1" fillId="6" borderId="9" xfId="0" applyFont="1" applyFill="1" applyBorder="1" applyAlignment="1">
      <alignment horizontal="right"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 applyAlignment="1">
      <alignment horizontal="right" wrapText="1"/>
    </xf>
    <xf numFmtId="167" fontId="1" fillId="6" borderId="1" xfId="0" applyNumberFormat="1" applyFont="1" applyFill="1" applyBorder="1" applyAlignment="1">
      <alignment horizontal="right" wrapText="1"/>
    </xf>
    <xf numFmtId="0" fontId="1" fillId="6" borderId="10" xfId="0" applyFont="1" applyFill="1" applyBorder="1" applyAlignment="1">
      <alignment horizontal="right"/>
    </xf>
    <xf numFmtId="0" fontId="1" fillId="23" borderId="1" xfId="0" applyFont="1" applyFill="1" applyBorder="1"/>
    <xf numFmtId="0" fontId="1" fillId="23" borderId="8" xfId="0" applyFont="1" applyFill="1" applyBorder="1"/>
    <xf numFmtId="0" fontId="1" fillId="23" borderId="9" xfId="0" applyFont="1" applyFill="1" applyBorder="1"/>
    <xf numFmtId="14" fontId="1" fillId="23" borderId="1" xfId="0" applyNumberFormat="1" applyFont="1" applyFill="1" applyBorder="1"/>
    <xf numFmtId="0" fontId="1" fillId="23" borderId="0" xfId="0" applyFont="1" applyFill="1"/>
    <xf numFmtId="3" fontId="1" fillId="6" borderId="1" xfId="0" applyNumberFormat="1" applyFont="1" applyFill="1" applyBorder="1" applyAlignment="1">
      <alignment wrapText="1"/>
    </xf>
    <xf numFmtId="174" fontId="1" fillId="6" borderId="1" xfId="0" applyNumberFormat="1" applyFont="1" applyFill="1" applyBorder="1" applyAlignment="1">
      <alignment horizontal="right" wrapText="1"/>
    </xf>
    <xf numFmtId="0" fontId="1" fillId="6" borderId="1" xfId="0" quotePrefix="1" applyFont="1" applyFill="1" applyBorder="1" applyAlignment="1">
      <alignment horizontal="right" wrapText="1"/>
    </xf>
    <xf numFmtId="0" fontId="1" fillId="6" borderId="2" xfId="0" applyFont="1" applyFill="1" applyBorder="1" applyAlignment="1">
      <alignment horizontal="right"/>
    </xf>
    <xf numFmtId="179" fontId="8" fillId="0" borderId="1" xfId="0" applyNumberFormat="1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/>
    </xf>
    <xf numFmtId="0" fontId="1" fillId="6" borderId="7" xfId="0" applyFont="1" applyFill="1" applyBorder="1" applyAlignment="1"/>
    <xf numFmtId="0" fontId="1" fillId="6" borderId="2" xfId="0" applyFont="1" applyFill="1" applyBorder="1" applyAlignment="1">
      <alignment horizontal="center"/>
    </xf>
    <xf numFmtId="0" fontId="27" fillId="6" borderId="2" xfId="0" applyFont="1" applyFill="1" applyBorder="1" applyAlignment="1"/>
    <xf numFmtId="0" fontId="28" fillId="6" borderId="2" xfId="0" applyFont="1" applyFill="1" applyBorder="1" applyAlignment="1">
      <alignment horizontal="right"/>
    </xf>
    <xf numFmtId="0" fontId="27" fillId="6" borderId="2" xfId="0" applyFont="1" applyFill="1" applyBorder="1" applyAlignment="1">
      <alignment horizontal="right"/>
    </xf>
    <xf numFmtId="0" fontId="1" fillId="6" borderId="0" xfId="0" applyFont="1" applyFill="1" applyAlignment="1">
      <alignment horizontal="right"/>
    </xf>
    <xf numFmtId="0" fontId="1" fillId="6" borderId="0" xfId="0" applyFont="1" applyFill="1" applyAlignment="1">
      <alignment horizontal="center"/>
    </xf>
    <xf numFmtId="0" fontId="1" fillId="6" borderId="9" xfId="0" applyFont="1" applyFill="1" applyBorder="1"/>
    <xf numFmtId="0" fontId="1" fillId="6" borderId="9" xfId="0" applyFont="1" applyFill="1" applyBorder="1" applyAlignment="1">
      <alignment horizontal="right"/>
    </xf>
    <xf numFmtId="0" fontId="1" fillId="6" borderId="2" xfId="0" applyFont="1" applyFill="1" applyBorder="1"/>
    <xf numFmtId="0" fontId="1" fillId="6" borderId="0" xfId="0" applyFont="1" applyFill="1" applyAlignment="1">
      <alignment wrapText="1"/>
    </xf>
    <xf numFmtId="0" fontId="1" fillId="6" borderId="9" xfId="0" applyFont="1" applyFill="1" applyBorder="1" applyAlignment="1">
      <alignment horizontal="center"/>
    </xf>
    <xf numFmtId="14" fontId="1" fillId="6" borderId="9" xfId="0" applyNumberFormat="1" applyFont="1" applyFill="1" applyBorder="1" applyAlignment="1">
      <alignment horizontal="right"/>
    </xf>
    <xf numFmtId="0" fontId="1" fillId="6" borderId="9" xfId="0" applyFont="1" applyFill="1" applyBorder="1" applyAlignment="1">
      <alignment wrapText="1"/>
    </xf>
    <xf numFmtId="0" fontId="1" fillId="6" borderId="9" xfId="0" applyFont="1" applyFill="1" applyBorder="1" applyAlignment="1">
      <alignment horizontal="right" wrapText="1"/>
    </xf>
    <xf numFmtId="0" fontId="1" fillId="6" borderId="13" xfId="0" applyFont="1" applyFill="1" applyBorder="1" applyAlignment="1"/>
    <xf numFmtId="0" fontId="1" fillId="6" borderId="13" xfId="0" applyFont="1" applyFill="1" applyBorder="1" applyAlignment="1">
      <alignment horizontal="right"/>
    </xf>
    <xf numFmtId="0" fontId="28" fillId="6" borderId="1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3" fillId="24" borderId="1" xfId="0" applyFont="1" applyFill="1" applyBorder="1" applyAlignment="1">
      <alignment horizontal="center" wrapText="1"/>
    </xf>
    <xf numFmtId="0" fontId="1" fillId="24" borderId="1" xfId="0" applyFont="1" applyFill="1" applyBorder="1"/>
    <xf numFmtId="0" fontId="1" fillId="24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1" fillId="24" borderId="1" xfId="0" applyFont="1" applyFill="1" applyBorder="1" applyAlignment="1">
      <alignment wrapText="1"/>
    </xf>
    <xf numFmtId="0" fontId="1" fillId="24" borderId="1" xfId="0" applyFont="1" applyFill="1" applyBorder="1" applyAlignment="1">
      <alignment horizontal="right" wrapText="1"/>
    </xf>
    <xf numFmtId="14" fontId="1" fillId="6" borderId="1" xfId="0" applyNumberFormat="1" applyFont="1" applyFill="1" applyBorder="1"/>
    <xf numFmtId="0" fontId="1" fillId="24" borderId="8" xfId="0" applyFont="1" applyFill="1" applyBorder="1" applyAlignment="1">
      <alignment wrapText="1"/>
    </xf>
    <xf numFmtId="169" fontId="1" fillId="24" borderId="1" xfId="0" applyNumberFormat="1" applyFont="1" applyFill="1" applyBorder="1" applyAlignment="1">
      <alignment horizontal="right" wrapText="1"/>
    </xf>
    <xf numFmtId="0" fontId="1" fillId="6" borderId="1" xfId="0" quotePrefix="1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171" fontId="12" fillId="0" borderId="1" xfId="0" applyNumberFormat="1" applyFont="1" applyBorder="1" applyAlignment="1">
      <alignment horizontal="center" vertical="center"/>
    </xf>
    <xf numFmtId="167" fontId="8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wrapText="1"/>
    </xf>
    <xf numFmtId="14" fontId="1" fillId="6" borderId="1" xfId="0" applyNumberFormat="1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5" fillId="0" borderId="1" xfId="0" applyFont="1" applyBorder="1" applyAlignment="1">
      <alignment horizontal="center" vertical="center"/>
    </xf>
    <xf numFmtId="0" fontId="1" fillId="24" borderId="1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right" wrapText="1"/>
    </xf>
    <xf numFmtId="0" fontId="1" fillId="10" borderId="8" xfId="0" applyFont="1" applyFill="1" applyBorder="1" applyAlignment="1">
      <alignment horizontal="center"/>
    </xf>
    <xf numFmtId="0" fontId="1" fillId="10" borderId="8" xfId="0" applyFont="1" applyFill="1" applyBorder="1"/>
    <xf numFmtId="0" fontId="1" fillId="10" borderId="1" xfId="0" applyFont="1" applyFill="1" applyBorder="1" applyAlignment="1">
      <alignment horizontal="right"/>
    </xf>
    <xf numFmtId="14" fontId="1" fillId="10" borderId="1" xfId="0" applyNumberFormat="1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0" fontId="1" fillId="24" borderId="1" xfId="0" applyFont="1" applyFill="1" applyBorder="1" applyAlignment="1">
      <alignment horizontal="center"/>
    </xf>
    <xf numFmtId="0" fontId="1" fillId="24" borderId="1" xfId="0" applyFont="1" applyFill="1" applyBorder="1" applyAlignment="1"/>
    <xf numFmtId="0" fontId="1" fillId="24" borderId="1" xfId="0" applyFont="1" applyFill="1" applyBorder="1" applyAlignment="1">
      <alignment horizontal="right"/>
    </xf>
    <xf numFmtId="0" fontId="13" fillId="24" borderId="10" xfId="0" applyFont="1" applyFill="1" applyBorder="1" applyAlignment="1">
      <alignment horizontal="center" wrapText="1"/>
    </xf>
    <xf numFmtId="0" fontId="1" fillId="24" borderId="10" xfId="0" applyFont="1" applyFill="1" applyBorder="1" applyAlignment="1">
      <alignment wrapText="1"/>
    </xf>
    <xf numFmtId="0" fontId="1" fillId="0" borderId="1" xfId="0" applyFont="1" applyBorder="1"/>
    <xf numFmtId="180" fontId="8" fillId="6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167" fontId="12" fillId="2" borderId="1" xfId="0" applyNumberFormat="1" applyFont="1" applyFill="1" applyBorder="1" applyAlignment="1">
      <alignment horizontal="left" vertical="center"/>
    </xf>
    <xf numFmtId="172" fontId="8" fillId="0" borderId="1" xfId="0" applyNumberFormat="1" applyFont="1" applyBorder="1" applyAlignment="1">
      <alignment horizontal="left" vertical="center"/>
    </xf>
    <xf numFmtId="167" fontId="8" fillId="0" borderId="1" xfId="0" applyNumberFormat="1" applyFont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14" fontId="1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1" fontId="8" fillId="0" borderId="1" xfId="0" applyNumberFormat="1" applyFont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73" fontId="8" fillId="4" borderId="1" xfId="0" applyNumberFormat="1" applyFont="1" applyFill="1" applyBorder="1" applyAlignment="1">
      <alignment horizontal="center" vertical="center"/>
    </xf>
    <xf numFmtId="164" fontId="8" fillId="4" borderId="4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170" fontId="8" fillId="4" borderId="1" xfId="0" applyNumberFormat="1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29" fillId="0" borderId="20" xfId="0" applyFont="1" applyBorder="1" applyAlignment="1">
      <alignment horizontal="left"/>
    </xf>
    <xf numFmtId="0" fontId="8" fillId="6" borderId="1" xfId="0" applyFont="1" applyFill="1" applyBorder="1" applyAlignment="1">
      <alignment horizontal="left" vertical="center"/>
    </xf>
    <xf numFmtId="184" fontId="8" fillId="0" borderId="1" xfId="0" applyNumberFormat="1" applyFont="1" applyBorder="1" applyAlignment="1">
      <alignment horizontal="left" vertical="center"/>
    </xf>
    <xf numFmtId="0" fontId="18" fillId="0" borderId="9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8" fillId="0" borderId="1" xfId="0" applyFont="1" applyBorder="1" applyAlignment="1"/>
    <xf numFmtId="0" fontId="29" fillId="25" borderId="20" xfId="0" applyFont="1" applyFill="1" applyBorder="1" applyAlignment="1">
      <alignment horizontal="left"/>
    </xf>
    <xf numFmtId="14" fontId="8" fillId="6" borderId="1" xfId="0" applyNumberFormat="1" applyFont="1" applyFill="1" applyBorder="1" applyAlignment="1">
      <alignment horizontal="left" vertical="center"/>
    </xf>
    <xf numFmtId="1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left" vertical="center"/>
    </xf>
    <xf numFmtId="186" fontId="8" fillId="0" borderId="1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169" fontId="8" fillId="0" borderId="1" xfId="0" applyNumberFormat="1" applyFont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30" fillId="0" borderId="10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/>
    <xf numFmtId="0" fontId="30" fillId="0" borderId="1" xfId="0" applyFont="1" applyBorder="1" applyAlignment="1">
      <alignment horizontal="center" vertical="center"/>
    </xf>
    <xf numFmtId="0" fontId="15" fillId="0" borderId="1" xfId="0" applyFont="1" applyBorder="1" applyAlignme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center" vertical="center"/>
    </xf>
    <xf numFmtId="173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5" xfId="0" applyFont="1" applyBorder="1"/>
    <xf numFmtId="0" fontId="2" fillId="0" borderId="10" xfId="0" applyFont="1" applyBorder="1"/>
    <xf numFmtId="0" fontId="0" fillId="0" borderId="0" xfId="0" applyFont="1" applyAlignment="1"/>
    <xf numFmtId="0" fontId="2" fillId="0" borderId="9" xfId="0" applyFont="1" applyBorder="1"/>
    <xf numFmtId="0" fontId="2" fillId="0" borderId="12" xfId="0" applyFont="1" applyBorder="1"/>
    <xf numFmtId="0" fontId="2" fillId="0" borderId="2" xfId="0" applyFont="1" applyBorder="1"/>
    <xf numFmtId="0" fontId="2" fillId="0" borderId="13" xfId="0" applyFont="1" applyBorder="1"/>
    <xf numFmtId="0" fontId="7" fillId="3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11" borderId="16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23" fillId="0" borderId="12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23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21" fillId="3" borderId="0" xfId="0" applyFont="1" applyFill="1" applyAlignment="1">
      <alignment horizontal="center"/>
    </xf>
    <xf numFmtId="0" fontId="23" fillId="20" borderId="8" xfId="0" applyFont="1" applyFill="1" applyBorder="1" applyAlignment="1">
      <alignment horizontal="left"/>
    </xf>
    <xf numFmtId="0" fontId="23" fillId="20" borderId="12" xfId="0" applyFont="1" applyFill="1" applyBorder="1" applyAlignment="1">
      <alignment horizontal="left"/>
    </xf>
    <xf numFmtId="0" fontId="13" fillId="6" borderId="8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1" fillId="6" borderId="8" xfId="0" applyFont="1" applyFill="1" applyBorder="1"/>
    <xf numFmtId="0" fontId="1" fillId="6" borderId="8" xfId="0" applyFont="1" applyFill="1" applyBorder="1" applyAlignment="1">
      <alignment wrapText="1"/>
    </xf>
    <xf numFmtId="0" fontId="1" fillId="6" borderId="8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2" xfId="0" applyFont="1" applyFill="1" applyBorder="1" applyAlignment="1"/>
    <xf numFmtId="0" fontId="1" fillId="6" borderId="7" xfId="0" applyFont="1" applyFill="1" applyBorder="1" applyAlignment="1">
      <alignment horizontal="center"/>
    </xf>
    <xf numFmtId="0" fontId="1" fillId="6" borderId="7" xfId="0" applyFont="1" applyFill="1" applyBorder="1"/>
    <xf numFmtId="0" fontId="1" fillId="10" borderId="8" xfId="0" applyFont="1" applyFill="1" applyBorder="1" applyAlignment="1">
      <alignment wrapText="1"/>
    </xf>
    <xf numFmtId="0" fontId="1" fillId="24" borderId="8" xfId="0" applyFont="1" applyFill="1" applyBorder="1" applyAlignment="1">
      <alignment wrapText="1"/>
    </xf>
    <xf numFmtId="0" fontId="13" fillId="6" borderId="12" xfId="0" applyFont="1" applyFill="1" applyBorder="1" applyAlignment="1">
      <alignment horizontal="center" wrapText="1"/>
    </xf>
    <xf numFmtId="0" fontId="1" fillId="6" borderId="12" xfId="0" applyFont="1" applyFill="1" applyBorder="1" applyAlignment="1">
      <alignment wrapText="1"/>
    </xf>
    <xf numFmtId="0" fontId="1" fillId="6" borderId="4" xfId="0" applyFont="1" applyFill="1" applyBorder="1" applyAlignment="1">
      <alignment horizontal="center" wrapText="1"/>
    </xf>
    <xf numFmtId="0" fontId="13" fillId="6" borderId="0" xfId="0" applyFont="1" applyFill="1" applyAlignment="1">
      <alignment wrapText="1"/>
    </xf>
    <xf numFmtId="0" fontId="1" fillId="6" borderId="8" xfId="0" applyFont="1" applyFill="1" applyBorder="1" applyAlignment="1"/>
    <xf numFmtId="0" fontId="1" fillId="6" borderId="0" xfId="0" applyFont="1" applyFill="1" applyAlignment="1">
      <alignment wrapText="1"/>
    </xf>
    <xf numFmtId="0" fontId="1" fillId="6" borderId="12" xfId="0" applyFont="1" applyFill="1" applyBorder="1"/>
    <xf numFmtId="0" fontId="1" fillId="6" borderId="13" xfId="0" applyFont="1" applyFill="1" applyBorder="1"/>
    <xf numFmtId="0" fontId="13" fillId="24" borderId="8" xfId="0" applyFont="1" applyFill="1" applyBorder="1" applyAlignment="1">
      <alignment horizontal="center" wrapText="1"/>
    </xf>
    <xf numFmtId="0" fontId="1" fillId="24" borderId="8" xfId="0" applyFont="1" applyFill="1" applyBorder="1" applyAlignment="1">
      <alignment horizontal="center" wrapText="1"/>
    </xf>
    <xf numFmtId="0" fontId="19" fillId="23" borderId="4" xfId="0" applyFont="1" applyFill="1" applyBorder="1" applyAlignment="1">
      <alignment horizontal="center" wrapText="1"/>
    </xf>
    <xf numFmtId="0" fontId="13" fillId="10" borderId="8" xfId="0" applyFont="1" applyFill="1" applyBorder="1" applyAlignment="1">
      <alignment horizontal="center" wrapText="1"/>
    </xf>
    <xf numFmtId="0" fontId="1" fillId="10" borderId="8" xfId="0" applyFont="1" applyFill="1" applyBorder="1" applyAlignment="1">
      <alignment horizontal="center"/>
    </xf>
    <xf numFmtId="0" fontId="1" fillId="10" borderId="8" xfId="0" applyFont="1" applyFill="1" applyBorder="1"/>
    <xf numFmtId="0" fontId="1" fillId="24" borderId="8" xfId="0" applyFont="1" applyFill="1" applyBorder="1" applyAlignment="1">
      <alignment horizontal="center"/>
    </xf>
    <xf numFmtId="0" fontId="1" fillId="24" borderId="8" xfId="0" applyFont="1" applyFill="1" applyBorder="1"/>
    <xf numFmtId="0" fontId="1" fillId="6" borderId="0" xfId="0" applyFont="1" applyFill="1" applyAlignment="1">
      <alignment horizontal="center"/>
    </xf>
    <xf numFmtId="0" fontId="2" fillId="0" borderId="15" xfId="0" applyFont="1" applyBorder="1" applyAlignment="1"/>
    <xf numFmtId="0" fontId="2" fillId="0" borderId="16" xfId="0" applyFont="1" applyBorder="1" applyAlignment="1"/>
    <xf numFmtId="0" fontId="2" fillId="0" borderId="18" xfId="0" applyFont="1" applyBorder="1" applyAlignment="1"/>
    <xf numFmtId="0" fontId="2" fillId="0" borderId="5" xfId="0" applyFont="1" applyBorder="1" applyAlignment="1"/>
    <xf numFmtId="0" fontId="2" fillId="0" borderId="9" xfId="0" applyFont="1" applyBorder="1" applyAlignment="1"/>
    <xf numFmtId="0" fontId="7" fillId="6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left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left"/>
    </xf>
    <xf numFmtId="0" fontId="14" fillId="0" borderId="20" xfId="0" applyFont="1" applyBorder="1" applyAlignment="1">
      <alignment horizontal="center"/>
    </xf>
    <xf numFmtId="0" fontId="0" fillId="0" borderId="0" xfId="0" applyFont="1" applyAlignment="1">
      <alignment horizontal="left"/>
    </xf>
    <xf numFmtId="164" fontId="7" fillId="6" borderId="6" xfId="0" applyNumberFormat="1" applyFont="1" applyFill="1" applyBorder="1" applyAlignment="1">
      <alignment horizontal="left" vertical="center"/>
    </xf>
    <xf numFmtId="164" fontId="31" fillId="0" borderId="1" xfId="0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164" fontId="32" fillId="3" borderId="0" xfId="0" applyNumberFormat="1" applyFont="1" applyFill="1" applyAlignment="1">
      <alignment horizontal="left" vertical="center"/>
    </xf>
    <xf numFmtId="0" fontId="33" fillId="0" borderId="0" xfId="0" applyFont="1" applyAlignment="1">
      <alignment horizontal="left"/>
    </xf>
    <xf numFmtId="164" fontId="32" fillId="6" borderId="0" xfId="0" applyNumberFormat="1" applyFont="1" applyFill="1" applyAlignment="1">
      <alignment horizontal="left" vertical="center"/>
    </xf>
    <xf numFmtId="164" fontId="32" fillId="6" borderId="6" xfId="0" applyNumberFormat="1" applyFont="1" applyFill="1" applyBorder="1" applyAlignment="1">
      <alignment horizontal="left" vertical="center"/>
    </xf>
    <xf numFmtId="164" fontId="34" fillId="0" borderId="1" xfId="0" applyNumberFormat="1" applyFont="1" applyBorder="1" applyAlignment="1">
      <alignment horizontal="left" vertical="center"/>
    </xf>
    <xf numFmtId="164" fontId="34" fillId="4" borderId="1" xfId="0" applyNumberFormat="1" applyFont="1" applyFill="1" applyBorder="1" applyAlignment="1">
      <alignment horizontal="left" vertical="center"/>
    </xf>
    <xf numFmtId="164" fontId="34" fillId="0" borderId="1" xfId="0" applyNumberFormat="1" applyFont="1" applyBorder="1" applyAlignment="1">
      <alignment horizontal="left"/>
    </xf>
    <xf numFmtId="164" fontId="34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left"/>
    </xf>
    <xf numFmtId="0" fontId="34" fillId="0" borderId="1" xfId="0" applyFont="1" applyBorder="1" applyAlignment="1"/>
    <xf numFmtId="0" fontId="34" fillId="0" borderId="1" xfId="0" applyFont="1" applyBorder="1" applyAlignment="1">
      <alignment horizontal="left" vertical="center"/>
    </xf>
    <xf numFmtId="0" fontId="34" fillId="0" borderId="1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165" fontId="34" fillId="0" borderId="1" xfId="0" applyNumberFormat="1" applyFont="1" applyBorder="1" applyAlignment="1">
      <alignment horizontal="center" vertical="center"/>
    </xf>
    <xf numFmtId="173" fontId="34" fillId="0" borderId="1" xfId="0" applyNumberFormat="1" applyFont="1" applyBorder="1" applyAlignment="1">
      <alignment horizontal="center" vertical="center"/>
    </xf>
    <xf numFmtId="164" fontId="34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69" fontId="34" fillId="0" borderId="1" xfId="0" applyNumberFormat="1" applyFont="1" applyBorder="1" applyAlignment="1">
      <alignment horizontal="left" vertical="center"/>
    </xf>
    <xf numFmtId="0" fontId="33" fillId="0" borderId="0" xfId="0" applyFont="1" applyAlignment="1"/>
    <xf numFmtId="0" fontId="36" fillId="3" borderId="0" xfId="0" applyFont="1" applyFill="1" applyAlignment="1">
      <alignment horizontal="left" vertical="center"/>
    </xf>
    <xf numFmtId="0" fontId="37" fillId="3" borderId="0" xfId="0" applyFont="1" applyFill="1" applyAlignment="1">
      <alignment horizontal="left" vertical="center"/>
    </xf>
    <xf numFmtId="0" fontId="37" fillId="6" borderId="0" xfId="0" applyFont="1" applyFill="1" applyAlignment="1">
      <alignment horizontal="left" vertical="center"/>
    </xf>
    <xf numFmtId="0" fontId="37" fillId="6" borderId="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0" fontId="38" fillId="4" borderId="1" xfId="0" applyFont="1" applyFill="1" applyBorder="1" applyAlignment="1">
      <alignment horizontal="left" vertical="center"/>
    </xf>
    <xf numFmtId="0" fontId="38" fillId="0" borderId="1" xfId="0" applyFont="1" applyBorder="1" applyAlignment="1"/>
    <xf numFmtId="0" fontId="38" fillId="0" borderId="0" xfId="0" applyFont="1" applyAlignment="1">
      <alignment horizontal="left" vertical="center"/>
    </xf>
    <xf numFmtId="0" fontId="38" fillId="0" borderId="0" xfId="0" applyFont="1" applyAlignment="1"/>
    <xf numFmtId="0" fontId="31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/>
    </xf>
    <xf numFmtId="164" fontId="32" fillId="0" borderId="1" xfId="0" applyNumberFormat="1" applyFont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top"/>
    </xf>
    <xf numFmtId="0" fontId="31" fillId="0" borderId="1" xfId="0" applyFont="1" applyBorder="1" applyAlignment="1">
      <alignment horizontal="left"/>
    </xf>
    <xf numFmtId="0" fontId="34" fillId="0" borderId="1" xfId="0" applyFont="1" applyBorder="1" applyAlignment="1">
      <alignment horizontal="left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Pn Petrosea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OH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theme" Target="theme/theme1.xml"/><Relationship Id="rId23" Type="http://customschemas.google.com/relationships/workbookmetadata" Target="metadata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outlinePr summaryBelow="0" summaryRight="0"/>
    <pageSetUpPr fitToPage="1"/>
  </sheetPr>
  <dimension ref="A1:AZ3001"/>
  <sheetViews>
    <sheetView tabSelected="1" workbookViewId="0">
      <pane ySplit="6" topLeftCell="A1119" activePane="bottomLeft" state="frozen"/>
      <selection pane="bottomLeft" activeCell="A182" sqref="A7:XFD182"/>
    </sheetView>
  </sheetViews>
  <sheetFormatPr defaultColWidth="12.6640625" defaultRowHeight="15.5" customHeight="1"/>
  <cols>
    <col min="1" max="1" width="13.5" style="364" customWidth="1"/>
    <col min="2" max="2" width="10.5" style="344" customWidth="1"/>
    <col min="3" max="3" width="12.58203125" style="367" customWidth="1"/>
    <col min="4" max="4" width="12.9140625" style="335" customWidth="1"/>
    <col min="5" max="6" width="13.25" style="335" customWidth="1"/>
    <col min="7" max="7" width="12.1640625" style="335" customWidth="1"/>
    <col min="8" max="8" width="22.75" customWidth="1"/>
    <col min="9" max="9" width="12" customWidth="1"/>
    <col min="10" max="10" width="24.5" customWidth="1"/>
    <col min="11" max="11" width="27.9140625" customWidth="1"/>
    <col min="12" max="12" width="5" customWidth="1"/>
    <col min="13" max="13" width="10.4140625" customWidth="1"/>
    <col min="14" max="14" width="22.9140625" customWidth="1"/>
    <col min="15" max="15" width="9.9140625" hidden="1" customWidth="1"/>
    <col min="16" max="16" width="19.5" hidden="1" customWidth="1"/>
    <col min="17" max="21" width="0" hidden="1" customWidth="1"/>
    <col min="22" max="22" width="41.6640625" hidden="1" customWidth="1"/>
    <col min="23" max="23" width="16" hidden="1" customWidth="1"/>
    <col min="24" max="24" width="8.9140625" hidden="1" customWidth="1"/>
    <col min="25" max="26" width="0" hidden="1" customWidth="1"/>
    <col min="27" max="27" width="20.1640625" hidden="1" customWidth="1"/>
    <col min="28" max="30" width="0" hidden="1" customWidth="1"/>
    <col min="31" max="31" width="16.6640625" hidden="1" customWidth="1"/>
    <col min="32" max="32" width="14.75" hidden="1" customWidth="1"/>
    <col min="33" max="33" width="19.25" hidden="1" customWidth="1"/>
    <col min="34" max="34" width="0" hidden="1" customWidth="1"/>
    <col min="35" max="35" width="15.1640625" hidden="1" customWidth="1"/>
    <col min="36" max="38" width="0" hidden="1" customWidth="1"/>
    <col min="39" max="39" width="8.6640625" hidden="1" customWidth="1"/>
    <col min="40" max="40" width="17.6640625" hidden="1" customWidth="1"/>
    <col min="41" max="41" width="14.6640625" hidden="1" customWidth="1"/>
    <col min="42" max="42" width="14.9140625" hidden="1" customWidth="1"/>
    <col min="43" max="43" width="14.75" hidden="1" customWidth="1"/>
    <col min="44" max="51" width="0" hidden="1" customWidth="1"/>
    <col min="52" max="52" width="12.6640625" hidden="1" customWidth="1"/>
  </cols>
  <sheetData>
    <row r="1" spans="1:52" ht="15.5" customHeight="1">
      <c r="A1" s="355"/>
      <c r="B1" s="336" t="s">
        <v>329</v>
      </c>
      <c r="C1" s="5" t="s">
        <v>330</v>
      </c>
      <c r="D1" s="1"/>
      <c r="E1" s="1"/>
      <c r="G1" s="370" t="s">
        <v>331</v>
      </c>
      <c r="H1" s="37" t="str">
        <f>IFERROR(IF(G1&gt;0,VLOOKUP(I1,#REF!,2,0),""),"")</f>
        <v/>
      </c>
      <c r="I1" s="2"/>
      <c r="K1" s="2"/>
      <c r="L1" s="267" t="s">
        <v>332</v>
      </c>
      <c r="M1" s="4"/>
      <c r="N1" s="2"/>
      <c r="O1" s="3"/>
      <c r="P1" s="4"/>
      <c r="Q1" s="5"/>
      <c r="R1" s="5"/>
      <c r="S1" s="5"/>
      <c r="T1" s="5"/>
      <c r="U1" s="5"/>
      <c r="V1" s="4"/>
      <c r="W1" s="5"/>
      <c r="X1" s="6"/>
      <c r="Y1" s="6"/>
      <c r="Z1" s="6"/>
      <c r="AA1" s="6"/>
      <c r="AB1" s="10"/>
      <c r="AC1" s="7"/>
      <c r="AD1" s="5"/>
      <c r="AE1" s="5"/>
      <c r="AF1" s="4"/>
      <c r="AG1" s="5"/>
      <c r="AH1" s="4"/>
      <c r="AI1" s="4"/>
      <c r="AJ1" s="5"/>
      <c r="AK1" s="4"/>
      <c r="AL1" s="4"/>
      <c r="AM1" s="5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15.5" customHeight="1">
      <c r="A2" s="356"/>
      <c r="B2" s="337"/>
      <c r="C2" s="5" t="s">
        <v>333</v>
      </c>
      <c r="D2" s="2"/>
      <c r="E2" s="1"/>
      <c r="F2" s="368"/>
      <c r="G2" s="332"/>
      <c r="H2" s="4" t="s">
        <v>334</v>
      </c>
      <c r="I2" s="2"/>
      <c r="J2" s="9"/>
      <c r="K2" s="2"/>
      <c r="L2" s="262"/>
      <c r="M2" s="4" t="s">
        <v>335</v>
      </c>
      <c r="N2" s="2"/>
      <c r="O2" s="3"/>
      <c r="P2" s="4"/>
      <c r="Q2" s="5"/>
      <c r="R2" s="5"/>
      <c r="S2" s="5"/>
      <c r="T2" s="5"/>
      <c r="U2" s="5"/>
      <c r="V2" s="4"/>
      <c r="W2" s="5"/>
      <c r="X2" s="6"/>
      <c r="Y2" s="6"/>
      <c r="Z2" s="6"/>
      <c r="AA2" s="6"/>
      <c r="AB2" s="10"/>
      <c r="AC2" s="7"/>
      <c r="AD2" s="5"/>
      <c r="AE2" s="5"/>
      <c r="AF2" s="4"/>
      <c r="AG2" s="5"/>
      <c r="AH2" s="4"/>
      <c r="AI2" s="4"/>
      <c r="AJ2" s="5"/>
      <c r="AK2" s="4"/>
      <c r="AL2" s="4"/>
      <c r="AM2" s="5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15.5" customHeight="1">
      <c r="A3" s="356"/>
      <c r="B3" s="337"/>
      <c r="C3" s="5" t="s">
        <v>336</v>
      </c>
      <c r="D3" s="4" t="s">
        <v>337</v>
      </c>
      <c r="E3" s="1"/>
      <c r="F3" s="1"/>
      <c r="G3" s="332"/>
      <c r="H3" s="4"/>
      <c r="I3" s="2"/>
      <c r="J3" s="2"/>
      <c r="K3" s="9"/>
      <c r="L3" s="262"/>
      <c r="M3" s="4" t="s">
        <v>336</v>
      </c>
      <c r="N3" s="2"/>
      <c r="O3" s="3"/>
      <c r="P3" s="4"/>
      <c r="Q3" s="5"/>
      <c r="R3" s="5"/>
      <c r="S3" s="5"/>
      <c r="T3" s="5"/>
      <c r="U3" s="5"/>
      <c r="V3" s="4"/>
      <c r="W3" s="5"/>
      <c r="X3" s="6"/>
      <c r="Y3" s="6"/>
      <c r="Z3" s="6"/>
      <c r="AA3" s="6"/>
      <c r="AB3" s="10" t="s">
        <v>338</v>
      </c>
      <c r="AC3" s="7"/>
      <c r="AD3" s="5"/>
      <c r="AE3" s="5"/>
      <c r="AF3" s="4"/>
      <c r="AG3" s="5"/>
      <c r="AH3" s="4"/>
      <c r="AI3" s="4"/>
      <c r="AJ3" s="5"/>
      <c r="AK3" s="4"/>
      <c r="AL3" s="4"/>
      <c r="AM3" s="5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15.5" customHeight="1">
      <c r="A4" s="357" t="s">
        <v>339</v>
      </c>
      <c r="B4" s="338" t="s">
        <v>340</v>
      </c>
      <c r="C4" s="13"/>
      <c r="D4" s="11"/>
      <c r="E4" s="11"/>
      <c r="F4" s="11"/>
      <c r="G4" s="12"/>
      <c r="H4" s="12"/>
      <c r="I4" s="12"/>
      <c r="J4" s="12"/>
      <c r="K4" s="12"/>
      <c r="L4" s="13"/>
      <c r="M4" s="13"/>
      <c r="N4" s="12"/>
      <c r="O4" s="14"/>
      <c r="P4" s="15"/>
      <c r="Q4" s="16"/>
      <c r="R4" s="16"/>
      <c r="S4" s="16"/>
      <c r="T4" s="16"/>
      <c r="U4" s="16"/>
      <c r="V4" s="15"/>
      <c r="W4" s="16"/>
      <c r="X4" s="17"/>
      <c r="Y4" s="17"/>
      <c r="Z4" s="17"/>
      <c r="AA4" s="17"/>
      <c r="AB4" s="18"/>
      <c r="AC4" s="7"/>
      <c r="AD4" s="16"/>
      <c r="AE4" s="16"/>
      <c r="AF4" s="15"/>
      <c r="AG4" s="16"/>
      <c r="AH4" s="19"/>
      <c r="AI4" s="19"/>
      <c r="AJ4" s="20"/>
      <c r="AK4" s="21"/>
      <c r="AL4" s="21"/>
      <c r="AM4" s="22"/>
      <c r="AN4" s="21"/>
      <c r="AO4" s="21"/>
      <c r="AP4" s="23"/>
      <c r="AQ4" s="23"/>
      <c r="AR4" s="23"/>
      <c r="AS4" s="23"/>
      <c r="AT4" s="23"/>
      <c r="AU4" s="23"/>
      <c r="AV4" s="23"/>
      <c r="AW4" s="24"/>
      <c r="AX4" s="24"/>
      <c r="AY4" s="24"/>
      <c r="AZ4" s="24"/>
    </row>
    <row r="5" spans="1:52" ht="15.5" customHeight="1">
      <c r="A5" s="358" t="s">
        <v>341</v>
      </c>
      <c r="B5" s="339"/>
      <c r="C5" s="25"/>
      <c r="D5" s="333"/>
      <c r="E5" s="333"/>
      <c r="F5" s="333"/>
      <c r="G5" s="26"/>
      <c r="H5" s="25"/>
      <c r="I5" s="26"/>
      <c r="J5" s="25"/>
      <c r="K5" s="25"/>
      <c r="L5" s="25"/>
      <c r="M5" s="25"/>
      <c r="N5" s="25"/>
      <c r="O5" s="27"/>
      <c r="P5" s="28"/>
      <c r="Q5" s="268" t="s">
        <v>342</v>
      </c>
      <c r="R5" s="262"/>
      <c r="S5" s="262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308"/>
      <c r="AH5" s="269" t="s">
        <v>343</v>
      </c>
      <c r="AI5" s="309"/>
      <c r="AJ5" s="309"/>
      <c r="AK5" s="270" t="s">
        <v>344</v>
      </c>
      <c r="AL5" s="309"/>
      <c r="AM5" s="309"/>
      <c r="AN5" s="309"/>
      <c r="AO5" s="310"/>
      <c r="AP5" s="271" t="s">
        <v>345</v>
      </c>
      <c r="AQ5" s="311"/>
      <c r="AR5" s="311"/>
      <c r="AS5" s="311"/>
      <c r="AT5" s="311"/>
      <c r="AU5" s="311"/>
      <c r="AV5" s="312"/>
      <c r="AW5" s="272" t="s">
        <v>346</v>
      </c>
      <c r="AX5" s="262"/>
      <c r="AY5" s="262"/>
      <c r="AZ5" s="29"/>
    </row>
    <row r="6" spans="1:52" s="367" customFormat="1" ht="15.5" customHeight="1">
      <c r="A6" s="359" t="s">
        <v>347</v>
      </c>
      <c r="B6" s="369" t="s">
        <v>348</v>
      </c>
      <c r="C6" s="8" t="s">
        <v>349</v>
      </c>
      <c r="D6" s="314" t="s">
        <v>350</v>
      </c>
      <c r="E6" s="314" t="s">
        <v>351</v>
      </c>
      <c r="F6" s="314" t="s">
        <v>352</v>
      </c>
      <c r="G6" s="8" t="s">
        <v>180</v>
      </c>
      <c r="H6" s="313" t="s">
        <v>353</v>
      </c>
      <c r="I6" s="313" t="s">
        <v>354</v>
      </c>
      <c r="J6" s="8" t="s">
        <v>65</v>
      </c>
      <c r="K6" s="8" t="s">
        <v>66</v>
      </c>
      <c r="L6" s="8" t="s">
        <v>355</v>
      </c>
      <c r="M6" s="8" t="s">
        <v>338</v>
      </c>
      <c r="N6" s="313" t="s">
        <v>338</v>
      </c>
      <c r="O6" s="315" t="s">
        <v>338</v>
      </c>
      <c r="P6" s="316" t="s">
        <v>338</v>
      </c>
      <c r="Q6" s="316" t="s">
        <v>338</v>
      </c>
      <c r="R6" s="316" t="s">
        <v>338</v>
      </c>
      <c r="S6" s="8" t="s">
        <v>338</v>
      </c>
      <c r="T6" s="8" t="s">
        <v>338</v>
      </c>
      <c r="U6" s="8" t="s">
        <v>338</v>
      </c>
      <c r="V6" s="316" t="s">
        <v>338</v>
      </c>
      <c r="W6" s="316" t="s">
        <v>338</v>
      </c>
      <c r="X6" s="317" t="s">
        <v>338</v>
      </c>
      <c r="Y6" s="317" t="s">
        <v>338</v>
      </c>
      <c r="Z6" s="317" t="s">
        <v>338</v>
      </c>
      <c r="AA6" s="317" t="s">
        <v>338</v>
      </c>
      <c r="AB6" s="318" t="s">
        <v>356</v>
      </c>
      <c r="AC6" s="319" t="s">
        <v>357</v>
      </c>
      <c r="AD6" s="8" t="s">
        <v>358</v>
      </c>
      <c r="AE6" s="8" t="s">
        <v>338</v>
      </c>
      <c r="AF6" s="8" t="s">
        <v>338</v>
      </c>
      <c r="AG6" s="316" t="s">
        <v>338</v>
      </c>
      <c r="AH6" s="320" t="s">
        <v>338</v>
      </c>
      <c r="AI6" s="320" t="s">
        <v>338</v>
      </c>
      <c r="AJ6" s="320" t="s">
        <v>338</v>
      </c>
      <c r="AK6" s="321" t="s">
        <v>113</v>
      </c>
      <c r="AL6" s="321" t="s">
        <v>359</v>
      </c>
      <c r="AM6" s="322" t="s">
        <v>111</v>
      </c>
      <c r="AN6" s="321" t="s">
        <v>360</v>
      </c>
      <c r="AO6" s="321" t="s">
        <v>361</v>
      </c>
      <c r="AP6" s="323" t="s">
        <v>362</v>
      </c>
      <c r="AQ6" s="8" t="s">
        <v>363</v>
      </c>
      <c r="AR6" s="8" t="s">
        <v>64</v>
      </c>
      <c r="AS6" s="181" t="s">
        <v>364</v>
      </c>
      <c r="AT6" s="324" t="s">
        <v>365</v>
      </c>
      <c r="AU6" s="181" t="s">
        <v>366</v>
      </c>
      <c r="AV6" s="324" t="s">
        <v>367</v>
      </c>
      <c r="AW6" s="8" t="s">
        <v>368</v>
      </c>
      <c r="AX6" s="8" t="s">
        <v>369</v>
      </c>
      <c r="AY6" s="8" t="s">
        <v>370</v>
      </c>
      <c r="AZ6" s="8" t="s">
        <v>371</v>
      </c>
    </row>
    <row r="7" spans="1:52" ht="15.5" hidden="1" customHeight="1">
      <c r="A7" s="360" t="s">
        <v>372</v>
      </c>
      <c r="B7" s="340">
        <v>46206</v>
      </c>
      <c r="C7" s="181">
        <v>47604</v>
      </c>
      <c r="D7" s="30">
        <v>46206</v>
      </c>
      <c r="E7" s="30">
        <v>46204</v>
      </c>
      <c r="F7" s="30">
        <v>46210</v>
      </c>
      <c r="G7" s="37">
        <v>4420228615</v>
      </c>
      <c r="H7" s="37" t="s">
        <v>373</v>
      </c>
      <c r="I7" s="37">
        <v>9040052369</v>
      </c>
      <c r="J7" s="37" t="s">
        <v>199</v>
      </c>
      <c r="K7" s="325" t="s">
        <v>200</v>
      </c>
      <c r="L7" s="181">
        <v>5</v>
      </c>
      <c r="M7" s="181" t="s">
        <v>375</v>
      </c>
      <c r="N7" s="37" t="s">
        <v>376</v>
      </c>
      <c r="O7" s="31">
        <f>IF(F7&gt;0,F7-AB7,"")</f>
        <v>-1</v>
      </c>
      <c r="P7" s="37" t="str">
        <f>IF(F7&gt;0,IF(AB7="","PLANNING SUPPLY",IF(AB7&lt;=F7,"ONTIME DELIVERY","DELAY")),"")</f>
        <v>DELAY</v>
      </c>
      <c r="Q7" s="181" t="str">
        <f>IFERROR(IF(J7&gt;0,VLOOKUP(J7,#REF!,MATCH($Q$6,#REF!,0),0),""),"")</f>
        <v/>
      </c>
      <c r="R7" s="181" t="str">
        <f>IFERROR(IF(J7&gt;0,VLOOKUP(J7,#REF!,MATCH($R$6,#REF!,0),0),""),"")</f>
        <v/>
      </c>
      <c r="S7" s="181" t="e">
        <f>IF(I7&gt;0,Q7+R7,"")</f>
        <v>#VALUE!</v>
      </c>
      <c r="T7" s="181" t="s">
        <v>378</v>
      </c>
      <c r="U7" s="181" t="e">
        <f>R7-L7</f>
        <v>#VALUE!</v>
      </c>
      <c r="V7" s="37"/>
      <c r="W7" s="181" t="e">
        <f>IF(I7&gt;0,IF(S7&gt;L7,"READY STOCK",IF(S7=0,"OUT OF STOCK",IF(S7&lt;L7,"LOW STOCK",""))),"")</f>
        <v>#VALUE!</v>
      </c>
      <c r="X7" s="38"/>
      <c r="Y7" s="38"/>
      <c r="Z7" s="38"/>
      <c r="AA7" s="38"/>
      <c r="AB7" s="50">
        <v>46211</v>
      </c>
      <c r="AC7" s="181">
        <v>32807</v>
      </c>
      <c r="AD7" s="51">
        <v>5</v>
      </c>
      <c r="AE7" s="37" t="s">
        <v>2</v>
      </c>
      <c r="AF7" s="37" t="s">
        <v>381</v>
      </c>
      <c r="AG7" s="33" t="str">
        <f>IF(G7&gt;0,IF(AD7&gt;0,IF(AD7=0,"Waiting",IF(AD7&lt;L7,"Partial",IF(AD7=L7,"Full Supply",IF(AD7&gt;L7,"Over Shared")))),"Waiting"),"")</f>
        <v>Full Supply</v>
      </c>
      <c r="AH7" s="37"/>
      <c r="AI7" s="37"/>
      <c r="AJ7" s="181"/>
      <c r="AK7" s="40"/>
      <c r="AL7" s="40"/>
      <c r="AM7" s="40"/>
      <c r="AN7" s="37"/>
      <c r="AO7" s="34"/>
      <c r="AP7" s="35">
        <v>46239</v>
      </c>
      <c r="AQ7" s="37"/>
      <c r="AR7" s="37"/>
      <c r="AS7" s="37">
        <v>5</v>
      </c>
      <c r="AT7" s="37">
        <f>AS7-AD7</f>
        <v>0</v>
      </c>
      <c r="AU7" s="36" t="str">
        <f>IF(AR7=0,"Waiting",IF(AR7&lt;AH7,"Kurang",IF(AR7=AH7,"Sesuai",IF(AR7&gt;AH7,"Over Shared"))))</f>
        <v>Waiting</v>
      </c>
      <c r="AV7" s="37"/>
      <c r="AW7" s="37" t="str">
        <f>IFERROR(DATEDIF(AH7,AK7,"d"),"0")&amp;"-DAY"</f>
        <v>0-DAY</v>
      </c>
      <c r="AX7" s="37" t="str">
        <f>IFERROR(DATEDIF(B7,AB7,"d"),"0")&amp;"-DAY"</f>
        <v>5-DAY</v>
      </c>
      <c r="AY7" s="37"/>
      <c r="AZ7" s="181">
        <f>L7-AD7</f>
        <v>0</v>
      </c>
    </row>
    <row r="8" spans="1:52" ht="15.5" hidden="1" customHeight="1">
      <c r="A8" s="360" t="s">
        <v>372</v>
      </c>
      <c r="B8" s="340">
        <v>46206</v>
      </c>
      <c r="C8" s="181">
        <v>47604</v>
      </c>
      <c r="D8" s="30">
        <v>46206</v>
      </c>
      <c r="E8" s="30">
        <v>46204</v>
      </c>
      <c r="F8" s="30">
        <v>46210</v>
      </c>
      <c r="G8" s="37">
        <v>4420228615</v>
      </c>
      <c r="H8" s="37" t="s">
        <v>373</v>
      </c>
      <c r="I8" s="37">
        <v>9040052401</v>
      </c>
      <c r="J8" s="37" t="s">
        <v>252</v>
      </c>
      <c r="K8" s="325" t="s">
        <v>253</v>
      </c>
      <c r="L8" s="181">
        <v>7</v>
      </c>
      <c r="M8" s="181" t="s">
        <v>375</v>
      </c>
      <c r="N8" s="37" t="s">
        <v>376</v>
      </c>
      <c r="O8" s="31">
        <f>IF(F8&gt;0,F8-AB8,"")</f>
        <v>-1</v>
      </c>
      <c r="P8" s="37" t="str">
        <f>IF(F8&gt;0,IF(AB8="","PLANNING SUPPLY",IF(AB8&lt;=F8,"ONTIME DELIVERY","DELAY")),"")</f>
        <v>DELAY</v>
      </c>
      <c r="Q8" s="181" t="str">
        <f>IFERROR(IF(J8&gt;0,VLOOKUP(J8,#REF!,MATCH($Q$6,#REF!,0),0),""),"")</f>
        <v/>
      </c>
      <c r="R8" s="181" t="str">
        <f>IFERROR(IF(J8&gt;0,VLOOKUP(J8,#REF!,MATCH($R$6,#REF!,0),0),""),"")</f>
        <v/>
      </c>
      <c r="S8" s="181" t="e">
        <f>IF(I8&gt;0,Q8+R8,"")</f>
        <v>#VALUE!</v>
      </c>
      <c r="T8" s="181" t="e">
        <f>Q8-L8</f>
        <v>#VALUE!</v>
      </c>
      <c r="U8" s="181" t="e">
        <f>R8-L8</f>
        <v>#VALUE!</v>
      </c>
      <c r="V8" s="37"/>
      <c r="W8" s="181" t="e">
        <f>IF(I8&gt;0,IF(S8&gt;L8,"READY STOCK",IF(S8=0,"OUT OF STOCK",IF(S8&lt;L8,"LOW STOCK",""))),"")</f>
        <v>#VALUE!</v>
      </c>
      <c r="X8" s="38"/>
      <c r="Y8" s="38"/>
      <c r="Z8" s="38"/>
      <c r="AA8" s="38"/>
      <c r="AB8" s="50">
        <v>46211</v>
      </c>
      <c r="AC8" s="181">
        <v>32807</v>
      </c>
      <c r="AD8" s="51">
        <v>7</v>
      </c>
      <c r="AE8" s="37" t="s">
        <v>2</v>
      </c>
      <c r="AF8" s="37" t="s">
        <v>381</v>
      </c>
      <c r="AG8" s="33" t="str">
        <f>IF(G8&gt;0,IF(AD8&gt;0,IF(AD8=0,"Waiting",IF(AD8&lt;L8,"Partial",IF(AD8=L8,"Full Supply",IF(AD8&gt;L8,"Over Shared")))),"Waiting"),"")</f>
        <v>Full Supply</v>
      </c>
      <c r="AH8" s="37"/>
      <c r="AI8" s="37"/>
      <c r="AJ8" s="181"/>
      <c r="AK8" s="40"/>
      <c r="AL8" s="40"/>
      <c r="AM8" s="40"/>
      <c r="AN8" s="37"/>
      <c r="AO8" s="34"/>
      <c r="AP8" s="37"/>
      <c r="AQ8" s="37"/>
      <c r="AR8" s="37"/>
      <c r="AS8" s="37"/>
      <c r="AT8" s="37">
        <f>AS8-AD8</f>
        <v>-7</v>
      </c>
      <c r="AU8" s="36" t="str">
        <f>IF(AR8=0,"Waiting",IF(AR8&lt;AH8,"Kurang",IF(AR8=AH8,"Sesuai",IF(AR8&gt;AH8,"Over Shared"))))</f>
        <v>Waiting</v>
      </c>
      <c r="AV8" s="37"/>
      <c r="AW8" s="37" t="str">
        <f>IFERROR(DATEDIF(AH8,AK8,"d"),"0")&amp;"-DAY"</f>
        <v>0-DAY</v>
      </c>
      <c r="AX8" s="37" t="str">
        <f>IFERROR(DATEDIF(B8,AB8,"d"),"0")&amp;"-DAY"</f>
        <v>5-DAY</v>
      </c>
      <c r="AY8" s="37"/>
      <c r="AZ8" s="181">
        <f>L8-AD8</f>
        <v>0</v>
      </c>
    </row>
    <row r="9" spans="1:52" ht="15.5" hidden="1" customHeight="1">
      <c r="A9" s="360" t="s">
        <v>372</v>
      </c>
      <c r="B9" s="340">
        <v>46209</v>
      </c>
      <c r="C9" s="181">
        <v>47726</v>
      </c>
      <c r="D9" s="30">
        <v>46209</v>
      </c>
      <c r="E9" s="30">
        <v>46206</v>
      </c>
      <c r="F9" s="30">
        <v>46233</v>
      </c>
      <c r="G9" s="37">
        <v>4420228755</v>
      </c>
      <c r="H9" s="37" t="s">
        <v>373</v>
      </c>
      <c r="I9" s="37">
        <v>9040015386</v>
      </c>
      <c r="J9" s="37" t="s">
        <v>122</v>
      </c>
      <c r="K9" s="325" t="s">
        <v>319</v>
      </c>
      <c r="L9" s="181">
        <v>4</v>
      </c>
      <c r="M9" s="181" t="s">
        <v>375</v>
      </c>
      <c r="N9" s="37" t="s">
        <v>382</v>
      </c>
      <c r="O9" s="31">
        <f>IF(F9&gt;0,F9-AB9,"")</f>
        <v>21</v>
      </c>
      <c r="P9" s="37" t="str">
        <f>IF(F9&gt;0,IF(AB9="","PLANNING SUPPLY",IF(AB9&lt;=F9,"ONTIME DELIVERY","DELAY")),"")</f>
        <v>ONTIME DELIVERY</v>
      </c>
      <c r="Q9" s="181" t="str">
        <f>IFERROR(IF(J9&gt;0,VLOOKUP(J9,#REF!,MATCH($Q$6,#REF!,0),0),""),"")</f>
        <v/>
      </c>
      <c r="R9" s="181" t="str">
        <f>IFERROR(IF(J9&gt;0,VLOOKUP(J9,#REF!,MATCH($R$6,#REF!,0),0),""),"")</f>
        <v/>
      </c>
      <c r="S9" s="181" t="e">
        <f>IF(I9&gt;0,Q9+R9,"")</f>
        <v>#VALUE!</v>
      </c>
      <c r="T9" s="181" t="e">
        <f>Q9-L9</f>
        <v>#VALUE!</v>
      </c>
      <c r="U9" s="181" t="e">
        <f>R9-L9</f>
        <v>#VALUE!</v>
      </c>
      <c r="V9" s="37"/>
      <c r="W9" s="181" t="e">
        <f>IF(I9&gt;0,IF(S9&gt;L9,"READY STOCK",IF(S9=0,"OUT OF STOCK",IF(S9&lt;L9,"LOW STOCK",""))),"")</f>
        <v>#VALUE!</v>
      </c>
      <c r="X9" s="38"/>
      <c r="Y9" s="38"/>
      <c r="Z9" s="38"/>
      <c r="AA9" s="38"/>
      <c r="AB9" s="50">
        <v>46212</v>
      </c>
      <c r="AC9" s="181">
        <v>32884</v>
      </c>
      <c r="AD9" s="51">
        <v>4</v>
      </c>
      <c r="AE9" s="37" t="s">
        <v>383</v>
      </c>
      <c r="AF9" s="37" t="s">
        <v>381</v>
      </c>
      <c r="AG9" s="33" t="str">
        <f>IF(G9&gt;0,IF(AD9&gt;0,IF(AD9=0,"Waiting",IF(AD9&lt;L9,"Partial",IF(AD9=L9,"Full Supply",IF(AD9&gt;L9,"Over Shared")))),"Waiting"),"")</f>
        <v>Full Supply</v>
      </c>
      <c r="AH9" s="37"/>
      <c r="AI9" s="37"/>
      <c r="AJ9" s="181"/>
      <c r="AK9" s="40"/>
      <c r="AL9" s="40"/>
      <c r="AM9" s="40"/>
      <c r="AN9" s="37"/>
      <c r="AO9" s="34"/>
      <c r="AP9" s="37"/>
      <c r="AQ9" s="37"/>
      <c r="AR9" s="37"/>
      <c r="AS9" s="37"/>
      <c r="AT9" s="37">
        <f>AS9-AD9</f>
        <v>-4</v>
      </c>
      <c r="AU9" s="36" t="str">
        <f>IF(AR9=0,"Waiting",IF(AR9&lt;AH9,"Kurang",IF(AR9=AH9,"Sesuai",IF(AR9&gt;AH9,"Over Shared"))))</f>
        <v>Waiting</v>
      </c>
      <c r="AV9" s="37">
        <v>54573</v>
      </c>
      <c r="AW9" s="37" t="str">
        <f>IFERROR(DATEDIF(AH9,AK9,"d"),"0")&amp;"-DAY"</f>
        <v>0-DAY</v>
      </c>
      <c r="AX9" s="37" t="str">
        <f>IFERROR(DATEDIF(B9,AB9,"d"),"0")&amp;"-DAY"</f>
        <v>3-DAY</v>
      </c>
      <c r="AY9" s="37"/>
      <c r="AZ9" s="181">
        <f>L9-AD9</f>
        <v>0</v>
      </c>
    </row>
    <row r="10" spans="1:52" ht="15.5" hidden="1" customHeight="1">
      <c r="A10" s="360" t="s">
        <v>372</v>
      </c>
      <c r="B10" s="340">
        <v>46209</v>
      </c>
      <c r="C10" s="181">
        <v>47726</v>
      </c>
      <c r="D10" s="30">
        <v>46209</v>
      </c>
      <c r="E10" s="30">
        <v>46206</v>
      </c>
      <c r="F10" s="30">
        <v>46233</v>
      </c>
      <c r="G10" s="37">
        <v>4420228755</v>
      </c>
      <c r="H10" s="37" t="s">
        <v>373</v>
      </c>
      <c r="I10" s="37">
        <v>9040040850</v>
      </c>
      <c r="J10" s="37" t="s">
        <v>317</v>
      </c>
      <c r="K10" s="325" t="s">
        <v>318</v>
      </c>
      <c r="L10" s="181">
        <v>7</v>
      </c>
      <c r="M10" s="181" t="s">
        <v>375</v>
      </c>
      <c r="N10" s="37" t="s">
        <v>382</v>
      </c>
      <c r="O10" s="31">
        <f>IF(F10&gt;0,F10-AB10,"")</f>
        <v>21</v>
      </c>
      <c r="P10" s="37" t="str">
        <f>IF(F10&gt;0,IF(AB10="","PLANNING SUPPLY",IF(AB10&lt;=F10,"ONTIME DELIVERY","DELAY")),"")</f>
        <v>ONTIME DELIVERY</v>
      </c>
      <c r="Q10" s="181" t="str">
        <f>IFERROR(IF(J10&gt;0,VLOOKUP(J10,#REF!,MATCH($Q$6,#REF!,0),0),""),"")</f>
        <v/>
      </c>
      <c r="R10" s="181" t="str">
        <f>IFERROR(IF(J10&gt;0,VLOOKUP(J10,#REF!,MATCH($R$6,#REF!,0),0),""),"")</f>
        <v/>
      </c>
      <c r="S10" s="181" t="e">
        <f>IF(I10&gt;0,Q10+R10,"")</f>
        <v>#VALUE!</v>
      </c>
      <c r="T10" s="181" t="e">
        <f>Q10-L10</f>
        <v>#VALUE!</v>
      </c>
      <c r="U10" s="181" t="e">
        <f>R10-L10</f>
        <v>#VALUE!</v>
      </c>
      <c r="V10" s="37"/>
      <c r="W10" s="181" t="e">
        <f>IF(I10&gt;0,IF(S10&gt;L10,"READY STOCK",IF(S10=0,"OUT OF STOCK",IF(S10&lt;L10,"LOW STOCK",""))),"")</f>
        <v>#VALUE!</v>
      </c>
      <c r="X10" s="38"/>
      <c r="Y10" s="38"/>
      <c r="Z10" s="38"/>
      <c r="AA10" s="38"/>
      <c r="AB10" s="50">
        <v>46212</v>
      </c>
      <c r="AC10" s="181">
        <v>32884</v>
      </c>
      <c r="AD10" s="51">
        <v>7</v>
      </c>
      <c r="AE10" s="37" t="s">
        <v>383</v>
      </c>
      <c r="AF10" s="37" t="s">
        <v>381</v>
      </c>
      <c r="AG10" s="33" t="str">
        <f>IF(G10&gt;0,IF(AD10&gt;0,IF(AD10=0,"Waiting",IF(AD10&lt;L10,"Partial",IF(AD10=L10,"Full Supply",IF(AD10&gt;L10,"Over Shared")))),"Waiting"),"")</f>
        <v>Full Supply</v>
      </c>
      <c r="AH10" s="37"/>
      <c r="AI10" s="37"/>
      <c r="AJ10" s="181"/>
      <c r="AK10" s="40"/>
      <c r="AL10" s="40"/>
      <c r="AM10" s="40"/>
      <c r="AN10" s="37"/>
      <c r="AO10" s="34"/>
      <c r="AP10" s="37"/>
      <c r="AQ10" s="37"/>
      <c r="AR10" s="37"/>
      <c r="AS10" s="37"/>
      <c r="AT10" s="37">
        <f>AS10-AD10</f>
        <v>-7</v>
      </c>
      <c r="AU10" s="36" t="str">
        <f>IF(AR10=0,"Waiting",IF(AR10&lt;AH10,"Kurang",IF(AR10=AH10,"Sesuai",IF(AR10&gt;AH10,"Over Shared"))))</f>
        <v>Waiting</v>
      </c>
      <c r="AV10" s="37">
        <v>54573</v>
      </c>
      <c r="AW10" s="37" t="str">
        <f>IFERROR(DATEDIF(AH10,AK10,"d"),"0")&amp;"-DAY"</f>
        <v>0-DAY</v>
      </c>
      <c r="AX10" s="37" t="str">
        <f>IFERROR(DATEDIF(B10,AB10,"d"),"0")&amp;"-DAY"</f>
        <v>3-DAY</v>
      </c>
      <c r="AY10" s="37"/>
      <c r="AZ10" s="181">
        <f>L10-AD10</f>
        <v>0</v>
      </c>
    </row>
    <row r="11" spans="1:52" ht="15.5" hidden="1" customHeight="1">
      <c r="A11" s="360" t="s">
        <v>372</v>
      </c>
      <c r="B11" s="340">
        <v>46209</v>
      </c>
      <c r="C11" s="181">
        <v>47726</v>
      </c>
      <c r="D11" s="30">
        <v>46209</v>
      </c>
      <c r="E11" s="30">
        <v>46206</v>
      </c>
      <c r="F11" s="30">
        <v>46233</v>
      </c>
      <c r="G11" s="37">
        <v>4420228755</v>
      </c>
      <c r="H11" s="37" t="s">
        <v>373</v>
      </c>
      <c r="I11" s="37">
        <v>9040024721</v>
      </c>
      <c r="J11" s="37" t="s">
        <v>242</v>
      </c>
      <c r="K11" s="325" t="s">
        <v>240</v>
      </c>
      <c r="L11" s="181">
        <v>2</v>
      </c>
      <c r="M11" s="181" t="s">
        <v>375</v>
      </c>
      <c r="N11" s="37" t="s">
        <v>382</v>
      </c>
      <c r="O11" s="31">
        <f>IF(F11&gt;0,F11-AB11,"")</f>
        <v>-13</v>
      </c>
      <c r="P11" s="37" t="str">
        <f>IF(F11&gt;0,IF(AB11="","PLANNING SUPPLY",IF(AB11&lt;=F11,"ONTIME DELIVERY","DELAY")),"")</f>
        <v>DELAY</v>
      </c>
      <c r="Q11" s="181" t="str">
        <f>IFERROR(IF(J11&gt;0,VLOOKUP(J11,#REF!,MATCH($Q$6,#REF!,0),0),""),"")</f>
        <v/>
      </c>
      <c r="R11" s="181" t="str">
        <f>IFERROR(IF(J11&gt;0,VLOOKUP(J11,#REF!,MATCH($R$6,#REF!,0),0),""),"")</f>
        <v/>
      </c>
      <c r="S11" s="181" t="e">
        <f>IF(I11&gt;0,Q11+R11,"")</f>
        <v>#VALUE!</v>
      </c>
      <c r="T11" s="181" t="e">
        <f>Q11-L11</f>
        <v>#VALUE!</v>
      </c>
      <c r="U11" s="181" t="e">
        <f>R11-L11</f>
        <v>#VALUE!</v>
      </c>
      <c r="V11" s="37"/>
      <c r="W11" s="181" t="e">
        <f>IF(I11&gt;0,IF(S11&gt;L11,"READY STOCK",IF(S11=0,"OUT OF STOCK",IF(S11&lt;L11,"LOW STOCK",""))),"")</f>
        <v>#VALUE!</v>
      </c>
      <c r="X11" s="38"/>
      <c r="Y11" s="38"/>
      <c r="Z11" s="38"/>
      <c r="AA11" s="38"/>
      <c r="AB11" s="50">
        <v>46246</v>
      </c>
      <c r="AC11" s="181">
        <v>33580</v>
      </c>
      <c r="AD11" s="51">
        <v>2</v>
      </c>
      <c r="AE11" s="37" t="s">
        <v>387</v>
      </c>
      <c r="AF11" s="37" t="s">
        <v>381</v>
      </c>
      <c r="AG11" s="33" t="str">
        <f>IF(G11&gt;0,IF(AD11&gt;0,IF(AD11=0,"Waiting",IF(AD11&lt;L11,"Partial",IF(AD11=L11,"Full Supply",IF(AD11&gt;L11,"Over Shared")))),"Waiting"),"")</f>
        <v>Full Supply</v>
      </c>
      <c r="AH11" s="326">
        <v>46212</v>
      </c>
      <c r="AI11" s="327" t="s">
        <v>391</v>
      </c>
      <c r="AJ11" s="328">
        <v>10</v>
      </c>
      <c r="AK11" s="40">
        <v>25683</v>
      </c>
      <c r="AL11" s="42">
        <v>46220</v>
      </c>
      <c r="AM11" s="40">
        <v>2</v>
      </c>
      <c r="AN11" s="37"/>
      <c r="AO11" s="41">
        <v>46226</v>
      </c>
      <c r="AP11" s="37"/>
      <c r="AQ11" s="37"/>
      <c r="AR11" s="37"/>
      <c r="AS11" s="37"/>
      <c r="AT11" s="37">
        <f>AS11-AD11</f>
        <v>-2</v>
      </c>
      <c r="AU11" s="36" t="str">
        <f>IF(AR11=0,"Waiting",IF(AR11&lt;AH11,"Kurang",IF(AR11=AH11,"Sesuai",IF(AR11&gt;AH11,"Over Shared"))))</f>
        <v>Waiting</v>
      </c>
      <c r="AV11" s="37">
        <v>54573</v>
      </c>
      <c r="AW11" s="37" t="str">
        <f>IFERROR(DATEDIF(AH11,AK11,"d"),"0")&amp;"-DAY"</f>
        <v>0-DAY</v>
      </c>
      <c r="AX11" s="37" t="str">
        <f>IFERROR(DATEDIF(B11,AB11,"d"),"0")&amp;"-DAY"</f>
        <v>37-DAY</v>
      </c>
      <c r="AY11" s="37"/>
      <c r="AZ11" s="181">
        <f>L11-AD11</f>
        <v>0</v>
      </c>
    </row>
    <row r="12" spans="1:52" ht="15.5" hidden="1" customHeight="1">
      <c r="A12" s="360" t="s">
        <v>372</v>
      </c>
      <c r="B12" s="340">
        <v>46209</v>
      </c>
      <c r="C12" s="181">
        <v>47727</v>
      </c>
      <c r="D12" s="30">
        <v>46209</v>
      </c>
      <c r="E12" s="30">
        <v>46206</v>
      </c>
      <c r="F12" s="30">
        <v>46215</v>
      </c>
      <c r="G12" s="37">
        <v>4420228759</v>
      </c>
      <c r="H12" s="37" t="s">
        <v>373</v>
      </c>
      <c r="I12" s="37">
        <v>9040021297</v>
      </c>
      <c r="J12" s="37" t="s">
        <v>108</v>
      </c>
      <c r="K12" s="325" t="s">
        <v>109</v>
      </c>
      <c r="L12" s="181">
        <v>11</v>
      </c>
      <c r="M12" s="181" t="s">
        <v>375</v>
      </c>
      <c r="N12" s="37" t="s">
        <v>400</v>
      </c>
      <c r="O12" s="31">
        <f>IF(F12&gt;0,F12-AB12,"")</f>
        <v>-99</v>
      </c>
      <c r="P12" s="37" t="str">
        <f>IF(F12&gt;0,IF(AB12="","PLANNING SUPPLY",IF(AB12&lt;=F12,"ONTIME DELIVERY","DELAY")),"")</f>
        <v>DELAY</v>
      </c>
      <c r="Q12" s="181" t="str">
        <f>IFERROR(IF(J12&gt;0,VLOOKUP(J12,#REF!,MATCH($Q$6,#REF!,0),0),""),"")</f>
        <v/>
      </c>
      <c r="R12" s="181" t="str">
        <f>IFERROR(IF(J12&gt;0,VLOOKUP(J12,#REF!,MATCH($R$6,#REF!,0),0),""),"")</f>
        <v/>
      </c>
      <c r="S12" s="181" t="e">
        <f>IF(I12&gt;0,Q12+R12,"")</f>
        <v>#VALUE!</v>
      </c>
      <c r="T12" s="181" t="e">
        <f>Q12-L12</f>
        <v>#VALUE!</v>
      </c>
      <c r="U12" s="181" t="e">
        <f>R12-L12</f>
        <v>#VALUE!</v>
      </c>
      <c r="V12" s="37"/>
      <c r="W12" s="181" t="e">
        <f>IF(I12&gt;0,IF(S12&gt;L12,"READY STOCK",IF(S12=0,"OUT OF STOCK",IF(S12&lt;L12,"LOW STOCK",""))),"")</f>
        <v>#VALUE!</v>
      </c>
      <c r="X12" s="38"/>
      <c r="Y12" s="38"/>
      <c r="Z12" s="38"/>
      <c r="AA12" s="38"/>
      <c r="AB12" s="50">
        <v>46314</v>
      </c>
      <c r="AC12" s="44" t="s">
        <v>401</v>
      </c>
      <c r="AD12" s="51">
        <v>11</v>
      </c>
      <c r="AE12" s="37" t="s">
        <v>387</v>
      </c>
      <c r="AF12" s="37" t="s">
        <v>381</v>
      </c>
      <c r="AG12" s="33" t="str">
        <f>IF(G12&gt;0,IF(AD12&gt;0,IF(AD12=0,"Waiting",IF(AD12&lt;L12,"Partial",IF(AD12=L12,"Full Supply",IF(AD12&gt;L12,"Over Shared")))),"Waiting"),"")</f>
        <v>Full Supply</v>
      </c>
      <c r="AH12" s="326">
        <v>46212</v>
      </c>
      <c r="AI12" s="327" t="s">
        <v>391</v>
      </c>
      <c r="AJ12" s="328">
        <v>15</v>
      </c>
      <c r="AK12" s="40">
        <v>26492</v>
      </c>
      <c r="AL12" s="45">
        <v>46295</v>
      </c>
      <c r="AM12" s="40">
        <v>15</v>
      </c>
      <c r="AN12" s="39" t="s">
        <v>402</v>
      </c>
      <c r="AO12" s="46">
        <v>46300</v>
      </c>
      <c r="AP12" s="37"/>
      <c r="AQ12" s="37"/>
      <c r="AR12" s="37"/>
      <c r="AS12" s="37"/>
      <c r="AT12" s="37">
        <f>AS12-AD12</f>
        <v>-11</v>
      </c>
      <c r="AU12" s="36" t="str">
        <f>IF(AR12=0,"Waiting",IF(AR12&lt;AH12,"Kurang",IF(AR12=AH12,"Sesuai",IF(AR12&gt;AH12,"Over Shared"))))</f>
        <v>Waiting</v>
      </c>
      <c r="AV12" s="37"/>
      <c r="AW12" s="37" t="str">
        <f>IFERROR(DATEDIF(AH12,AK12,"d"),"0")&amp;"-DAY"</f>
        <v>0-DAY</v>
      </c>
      <c r="AX12" s="37" t="str">
        <f>IFERROR(DATEDIF(B12,AB12,"d"),"0")&amp;"-DAY"</f>
        <v>105-DAY</v>
      </c>
      <c r="AY12" s="37"/>
      <c r="AZ12" s="181">
        <f>L12-AD12</f>
        <v>0</v>
      </c>
    </row>
    <row r="13" spans="1:52" ht="15.5" hidden="1" customHeight="1">
      <c r="A13" s="360" t="s">
        <v>372</v>
      </c>
      <c r="B13" s="340">
        <v>46209</v>
      </c>
      <c r="C13" s="181">
        <v>47727</v>
      </c>
      <c r="D13" s="30">
        <v>46209</v>
      </c>
      <c r="E13" s="30">
        <v>46206</v>
      </c>
      <c r="F13" s="30">
        <v>46215</v>
      </c>
      <c r="G13" s="37">
        <v>4420228759</v>
      </c>
      <c r="H13" s="37" t="s">
        <v>373</v>
      </c>
      <c r="I13" s="37">
        <v>9040040636</v>
      </c>
      <c r="J13" s="37" t="s">
        <v>167</v>
      </c>
      <c r="K13" s="325" t="s">
        <v>168</v>
      </c>
      <c r="L13" s="181">
        <v>2</v>
      </c>
      <c r="M13" s="181" t="s">
        <v>375</v>
      </c>
      <c r="N13" s="58" t="s">
        <v>400</v>
      </c>
      <c r="O13" s="31">
        <f>IF(F13&gt;0,F13-AB13,"")</f>
        <v>3</v>
      </c>
      <c r="P13" s="37" t="str">
        <f>IF(F13&gt;0,IF(AB13="","PLANNING SUPPLY",IF(AB13&lt;=F13,"ONTIME DELIVERY","DELAY")),"")</f>
        <v>ONTIME DELIVERY</v>
      </c>
      <c r="Q13" s="181" t="str">
        <f>IFERROR(IF(J13&gt;0,VLOOKUP(J13,#REF!,MATCH($Q$6,#REF!,0),0),""),"")</f>
        <v/>
      </c>
      <c r="R13" s="181" t="str">
        <f>IFERROR(IF(J13&gt;0,VLOOKUP(J13,#REF!,MATCH($R$6,#REF!,0),0),""),"")</f>
        <v/>
      </c>
      <c r="S13" s="181" t="e">
        <f>IF(I13&gt;0,Q13+R13,"")</f>
        <v>#VALUE!</v>
      </c>
      <c r="T13" s="181" t="e">
        <f>Q13-L13</f>
        <v>#VALUE!</v>
      </c>
      <c r="U13" s="181" t="e">
        <f>R13-L13</f>
        <v>#VALUE!</v>
      </c>
      <c r="V13" s="37"/>
      <c r="W13" s="181" t="e">
        <f>IF(I13&gt;0,IF(S13&gt;L13,"READY STOCK",IF(S13=0,"OUT OF STOCK",IF(S13&lt;L13,"LOW STOCK",""))),"")</f>
        <v>#VALUE!</v>
      </c>
      <c r="X13" s="38"/>
      <c r="Y13" s="38"/>
      <c r="Z13" s="38"/>
      <c r="AA13" s="38"/>
      <c r="AB13" s="50">
        <v>46212</v>
      </c>
      <c r="AC13" s="181">
        <v>32888</v>
      </c>
      <c r="AD13" s="51">
        <v>2</v>
      </c>
      <c r="AE13" s="37" t="s">
        <v>383</v>
      </c>
      <c r="AF13" s="37" t="s">
        <v>381</v>
      </c>
      <c r="AG13" s="33" t="str">
        <f>IF(G13&gt;0,IF(AD13&gt;0,IF(AD13=0,"Waiting",IF(AD13&lt;L13,"Partial",IF(AD13=L13,"Full Supply",IF(AD13&gt;L13,"Over Shared")))),"Waiting"),"")</f>
        <v>Full Supply</v>
      </c>
      <c r="AH13" s="37"/>
      <c r="AI13" s="37"/>
      <c r="AJ13" s="181"/>
      <c r="AK13" s="40"/>
      <c r="AL13" s="40"/>
      <c r="AM13" s="40"/>
      <c r="AN13" s="37"/>
      <c r="AO13" s="34"/>
      <c r="AP13" s="37"/>
      <c r="AQ13" s="37"/>
      <c r="AR13" s="37"/>
      <c r="AS13" s="37"/>
      <c r="AT13" s="37">
        <f>AS13-AD13</f>
        <v>-2</v>
      </c>
      <c r="AU13" s="36" t="str">
        <f>IF(AR13=0,"Waiting",IF(AR13&lt;AH13,"Kurang",IF(AR13=AH13,"Sesuai",IF(AR13&gt;AH13,"Over Shared"))))</f>
        <v>Waiting</v>
      </c>
      <c r="AV13" s="37">
        <v>54583</v>
      </c>
      <c r="AW13" s="37" t="str">
        <f>IFERROR(DATEDIF(AH13,AK13,"d"),"0")&amp;"-DAY"</f>
        <v>0-DAY</v>
      </c>
      <c r="AX13" s="37" t="str">
        <f>IFERROR(DATEDIF(B13,AB13,"d"),"0")&amp;"-DAY"</f>
        <v>3-DAY</v>
      </c>
      <c r="AY13" s="37"/>
      <c r="AZ13" s="181">
        <f>L13-AD13</f>
        <v>0</v>
      </c>
    </row>
    <row r="14" spans="1:52" ht="15.5" hidden="1" customHeight="1">
      <c r="A14" s="360" t="s">
        <v>372</v>
      </c>
      <c r="B14" s="340">
        <v>46209</v>
      </c>
      <c r="C14" s="181">
        <v>47727</v>
      </c>
      <c r="D14" s="30">
        <v>46209</v>
      </c>
      <c r="E14" s="30">
        <v>46206</v>
      </c>
      <c r="F14" s="30">
        <v>46215</v>
      </c>
      <c r="G14" s="37">
        <v>4420228759</v>
      </c>
      <c r="H14" s="37" t="s">
        <v>373</v>
      </c>
      <c r="I14" s="37">
        <v>9040016343</v>
      </c>
      <c r="J14" s="37" t="s">
        <v>211</v>
      </c>
      <c r="K14" s="325" t="s">
        <v>212</v>
      </c>
      <c r="L14" s="181">
        <v>20</v>
      </c>
      <c r="M14" s="181" t="s">
        <v>375</v>
      </c>
      <c r="N14" s="37" t="s">
        <v>400</v>
      </c>
      <c r="O14" s="31">
        <f>IF(F14&gt;0,F14-AB14,"")</f>
        <v>-24</v>
      </c>
      <c r="P14" s="37" t="str">
        <f>IF(F14&gt;0,IF(AB14="","PLANNING SUPPLY",IF(AB14&lt;=F14,"ONTIME DELIVERY","DELAY")),"")</f>
        <v>DELAY</v>
      </c>
      <c r="Q14" s="181" t="str">
        <f>IFERROR(IF(J14&gt;0,VLOOKUP(J14,#REF!,MATCH($Q$6,#REF!,0),0),""),"")</f>
        <v/>
      </c>
      <c r="R14" s="181" t="str">
        <f>IFERROR(IF(J14&gt;0,VLOOKUP(J14,#REF!,MATCH($R$6,#REF!,0),0),""),"")</f>
        <v/>
      </c>
      <c r="S14" s="181" t="e">
        <f>IF(I14&gt;0,Q14+R14,"")</f>
        <v>#VALUE!</v>
      </c>
      <c r="T14" s="181" t="e">
        <f>Q14-L14</f>
        <v>#VALUE!</v>
      </c>
      <c r="U14" s="181" t="e">
        <f>R14-L14</f>
        <v>#VALUE!</v>
      </c>
      <c r="V14" s="37"/>
      <c r="W14" s="181" t="e">
        <f>IF(I14&gt;0,IF(S14&gt;L14,"READY STOCK",IF(S14=0,"OUT OF STOCK",IF(S14&lt;L14,"LOW STOCK",""))),"")</f>
        <v>#VALUE!</v>
      </c>
      <c r="X14" s="38"/>
      <c r="Y14" s="38"/>
      <c r="Z14" s="38"/>
      <c r="AA14" s="38"/>
      <c r="AB14" s="50">
        <v>46239</v>
      </c>
      <c r="AC14" s="181">
        <v>33393</v>
      </c>
      <c r="AD14" s="51">
        <v>20</v>
      </c>
      <c r="AE14" s="37" t="s">
        <v>383</v>
      </c>
      <c r="AF14" s="37" t="s">
        <v>381</v>
      </c>
      <c r="AG14" s="33" t="str">
        <f>IF(G14&gt;0,IF(AD14&gt;0,IF(AD14=0,"Waiting",IF(AD14&lt;L14,"Partial",IF(AD14=L14,"Full Supply",IF(AD14&gt;L14,"Over Shared")))),"Waiting"),"")</f>
        <v>Full Supply</v>
      </c>
      <c r="AH14" s="326">
        <v>46212</v>
      </c>
      <c r="AI14" s="327" t="s">
        <v>391</v>
      </c>
      <c r="AJ14" s="328">
        <v>50</v>
      </c>
      <c r="AK14" s="40">
        <v>25592</v>
      </c>
      <c r="AL14" s="42">
        <v>46213</v>
      </c>
      <c r="AM14" s="40">
        <v>20</v>
      </c>
      <c r="AN14" s="37"/>
      <c r="AO14" s="43">
        <v>46217</v>
      </c>
      <c r="AP14" s="37"/>
      <c r="AQ14" s="37"/>
      <c r="AR14" s="37"/>
      <c r="AS14" s="37"/>
      <c r="AT14" s="37">
        <f>AS14-AD14</f>
        <v>-20</v>
      </c>
      <c r="AU14" s="36" t="str">
        <f>IF(AR14=0,"Waiting",IF(AR14&lt;AH14,"Kurang",IF(AR14=AH14,"Sesuai",IF(AR14&gt;AH14,"Over Shared"))))</f>
        <v>Waiting</v>
      </c>
      <c r="AV14" s="37">
        <v>54583</v>
      </c>
      <c r="AW14" s="37" t="str">
        <f>IFERROR(DATEDIF(AH14,AK14,"d"),"0")&amp;"-DAY"</f>
        <v>0-DAY</v>
      </c>
      <c r="AX14" s="37" t="str">
        <f>IFERROR(DATEDIF(B14,AB14,"d"),"0")&amp;"-DAY"</f>
        <v>30-DAY</v>
      </c>
      <c r="AY14" s="37"/>
      <c r="AZ14" s="181">
        <f>L14-AD14</f>
        <v>0</v>
      </c>
    </row>
    <row r="15" spans="1:52" ht="15.5" hidden="1" customHeight="1">
      <c r="A15" s="360" t="s">
        <v>372</v>
      </c>
      <c r="B15" s="340">
        <v>46209</v>
      </c>
      <c r="C15" s="181">
        <v>47727</v>
      </c>
      <c r="D15" s="30">
        <v>46209</v>
      </c>
      <c r="E15" s="30">
        <v>46206</v>
      </c>
      <c r="F15" s="30">
        <v>46215</v>
      </c>
      <c r="G15" s="37">
        <v>4420228759</v>
      </c>
      <c r="H15" s="37" t="s">
        <v>373</v>
      </c>
      <c r="I15" s="37">
        <v>9040040445</v>
      </c>
      <c r="J15" s="37" t="s">
        <v>193</v>
      </c>
      <c r="K15" s="325" t="s">
        <v>194</v>
      </c>
      <c r="L15" s="181">
        <v>6</v>
      </c>
      <c r="M15" s="181" t="s">
        <v>375</v>
      </c>
      <c r="N15" s="37" t="s">
        <v>400</v>
      </c>
      <c r="O15" s="31">
        <f>IF(F15&gt;0,F15-AB15,"")</f>
        <v>3</v>
      </c>
      <c r="P15" s="37" t="str">
        <f>IF(F15&gt;0,IF(AB15="","PLANNING SUPPLY",IF(AB15&lt;=F15,"ONTIME DELIVERY","DELAY")),"")</f>
        <v>ONTIME DELIVERY</v>
      </c>
      <c r="Q15" s="181" t="str">
        <f>IFERROR(IF(J15&gt;0,VLOOKUP(J15,#REF!,MATCH($Q$6,#REF!,0),0),""),"")</f>
        <v/>
      </c>
      <c r="R15" s="181" t="str">
        <f>IFERROR(IF(J15&gt;0,VLOOKUP(J15,#REF!,MATCH($R$6,#REF!,0),0),""),"")</f>
        <v/>
      </c>
      <c r="S15" s="181" t="e">
        <f>IF(I15&gt;0,Q15+R15,"")</f>
        <v>#VALUE!</v>
      </c>
      <c r="T15" s="181" t="e">
        <f>Q15-L15</f>
        <v>#VALUE!</v>
      </c>
      <c r="U15" s="181" t="e">
        <f>R15-L15</f>
        <v>#VALUE!</v>
      </c>
      <c r="V15" s="37"/>
      <c r="W15" s="181" t="e">
        <f>IF(I15&gt;0,IF(S15&gt;L15,"READY STOCK",IF(S15=0,"OUT OF STOCK",IF(S15&lt;L15,"LOW STOCK",""))),"")</f>
        <v>#VALUE!</v>
      </c>
      <c r="X15" s="38"/>
      <c r="Y15" s="38"/>
      <c r="Z15" s="38"/>
      <c r="AA15" s="38"/>
      <c r="AB15" s="50">
        <v>46212</v>
      </c>
      <c r="AC15" s="181">
        <v>32888</v>
      </c>
      <c r="AD15" s="51">
        <v>6</v>
      </c>
      <c r="AE15" s="37" t="s">
        <v>383</v>
      </c>
      <c r="AF15" s="37" t="s">
        <v>381</v>
      </c>
      <c r="AG15" s="33" t="str">
        <f>IF(G15&gt;0,IF(AD15&gt;0,IF(AD15=0,"Waiting",IF(AD15&lt;L15,"Partial",IF(AD15=L15,"Full Supply",IF(AD15&gt;L15,"Over Shared")))),"Waiting"),"")</f>
        <v>Full Supply</v>
      </c>
      <c r="AH15" s="37"/>
      <c r="AI15" s="37"/>
      <c r="AJ15" s="181"/>
      <c r="AK15" s="40"/>
      <c r="AL15" s="40"/>
      <c r="AM15" s="40"/>
      <c r="AN15" s="37"/>
      <c r="AO15" s="34"/>
      <c r="AP15" s="37"/>
      <c r="AQ15" s="37"/>
      <c r="AR15" s="37"/>
      <c r="AS15" s="37"/>
      <c r="AT15" s="37">
        <f>AS15-AD15</f>
        <v>-6</v>
      </c>
      <c r="AU15" s="36" t="str">
        <f>IF(AR15=0,"Waiting",IF(AR15&lt;AH15,"Kurang",IF(AR15=AH15,"Sesuai",IF(AR15&gt;AH15,"Over Shared"))))</f>
        <v>Waiting</v>
      </c>
      <c r="AV15" s="37"/>
      <c r="AW15" s="37" t="str">
        <f>IFERROR(DATEDIF(AH15,AK15,"d"),"0")&amp;"-DAY"</f>
        <v>0-DAY</v>
      </c>
      <c r="AX15" s="37" t="str">
        <f>IFERROR(DATEDIF(B15,AB15,"d"),"0")&amp;"-DAY"</f>
        <v>3-DAY</v>
      </c>
      <c r="AY15" s="37"/>
      <c r="AZ15" s="181">
        <f>L15-AD15</f>
        <v>0</v>
      </c>
    </row>
    <row r="16" spans="1:52" ht="15.5" hidden="1" customHeight="1">
      <c r="A16" s="360" t="s">
        <v>372</v>
      </c>
      <c r="B16" s="340">
        <v>46209</v>
      </c>
      <c r="C16" s="181">
        <v>47727</v>
      </c>
      <c r="D16" s="30">
        <v>46209</v>
      </c>
      <c r="E16" s="30">
        <v>46206</v>
      </c>
      <c r="F16" s="30">
        <v>46215</v>
      </c>
      <c r="G16" s="37">
        <v>4420228759</v>
      </c>
      <c r="H16" s="37" t="s">
        <v>373</v>
      </c>
      <c r="I16" s="37">
        <v>9040040446</v>
      </c>
      <c r="J16" s="37" t="s">
        <v>189</v>
      </c>
      <c r="K16" s="325" t="s">
        <v>190</v>
      </c>
      <c r="L16" s="181">
        <v>6</v>
      </c>
      <c r="M16" s="181" t="s">
        <v>375</v>
      </c>
      <c r="N16" s="37" t="s">
        <v>400</v>
      </c>
      <c r="O16" s="31">
        <f>IF(F16&gt;0,F16-AB16,"")</f>
        <v>3</v>
      </c>
      <c r="P16" s="37" t="str">
        <f>IF(F16&gt;0,IF(AB16="","PLANNING SUPPLY",IF(AB16&lt;=F16,"ONTIME DELIVERY","DELAY")),"")</f>
        <v>ONTIME DELIVERY</v>
      </c>
      <c r="Q16" s="181" t="str">
        <f>IFERROR(IF(J16&gt;0,VLOOKUP(J16,#REF!,MATCH($Q$6,#REF!,0),0),""),"")</f>
        <v/>
      </c>
      <c r="R16" s="181" t="str">
        <f>IFERROR(IF(J16&gt;0,VLOOKUP(J16,#REF!,MATCH($R$6,#REF!,0),0),""),"")</f>
        <v/>
      </c>
      <c r="S16" s="181" t="e">
        <f>IF(I16&gt;0,Q16+R16,"")</f>
        <v>#VALUE!</v>
      </c>
      <c r="T16" s="181" t="e">
        <f>Q16-L16</f>
        <v>#VALUE!</v>
      </c>
      <c r="U16" s="181" t="e">
        <f>R16-L16</f>
        <v>#VALUE!</v>
      </c>
      <c r="V16" s="37"/>
      <c r="W16" s="181" t="e">
        <f>IF(I16&gt;0,IF(S16&gt;L16,"READY STOCK",IF(S16=0,"OUT OF STOCK",IF(S16&lt;L16,"LOW STOCK",""))),"")</f>
        <v>#VALUE!</v>
      </c>
      <c r="X16" s="38"/>
      <c r="Y16" s="38"/>
      <c r="Z16" s="38"/>
      <c r="AA16" s="38"/>
      <c r="AB16" s="50">
        <v>46212</v>
      </c>
      <c r="AC16" s="181">
        <v>32888</v>
      </c>
      <c r="AD16" s="51">
        <v>6</v>
      </c>
      <c r="AE16" s="37" t="s">
        <v>383</v>
      </c>
      <c r="AF16" s="37" t="s">
        <v>381</v>
      </c>
      <c r="AG16" s="33" t="str">
        <f>IF(G16&gt;0,IF(AD16&gt;0,IF(AD16=0,"Waiting",IF(AD16&lt;L16,"Partial",IF(AD16=L16,"Full Supply",IF(AD16&gt;L16,"Over Shared")))),"Waiting"),"")</f>
        <v>Full Supply</v>
      </c>
      <c r="AH16" s="37"/>
      <c r="AI16" s="37"/>
      <c r="AJ16" s="181"/>
      <c r="AK16" s="40"/>
      <c r="AL16" s="40"/>
      <c r="AM16" s="40"/>
      <c r="AN16" s="37"/>
      <c r="AO16" s="34"/>
      <c r="AP16" s="37"/>
      <c r="AQ16" s="37"/>
      <c r="AR16" s="37"/>
      <c r="AS16" s="37"/>
      <c r="AT16" s="37">
        <f>AS16-AD16</f>
        <v>-6</v>
      </c>
      <c r="AU16" s="36" t="str">
        <f>IF(AR16=0,"Waiting",IF(AR16&lt;AH16,"Kurang",IF(AR16=AH16,"Sesuai",IF(AR16&gt;AH16,"Over Shared"))))</f>
        <v>Waiting</v>
      </c>
      <c r="AV16" s="37">
        <v>54583</v>
      </c>
      <c r="AW16" s="37" t="str">
        <f>IFERROR(DATEDIF(AH16,AK16,"d"),"0")&amp;"-DAY"</f>
        <v>0-DAY</v>
      </c>
      <c r="AX16" s="37" t="str">
        <f>IFERROR(DATEDIF(B16,AB16,"d"),"0")&amp;"-DAY"</f>
        <v>3-DAY</v>
      </c>
      <c r="AY16" s="37"/>
      <c r="AZ16" s="181">
        <f>L16-AD16</f>
        <v>0</v>
      </c>
    </row>
    <row r="17" spans="1:52" ht="15.5" hidden="1" customHeight="1">
      <c r="A17" s="360" t="s">
        <v>372</v>
      </c>
      <c r="B17" s="340">
        <v>46209</v>
      </c>
      <c r="C17" s="181">
        <v>47727</v>
      </c>
      <c r="D17" s="30">
        <v>46209</v>
      </c>
      <c r="E17" s="30">
        <v>46206</v>
      </c>
      <c r="F17" s="30">
        <v>46215</v>
      </c>
      <c r="G17" s="37">
        <v>4420228759</v>
      </c>
      <c r="H17" s="37" t="s">
        <v>373</v>
      </c>
      <c r="I17" s="37">
        <v>9040042224</v>
      </c>
      <c r="J17" s="37" t="s">
        <v>195</v>
      </c>
      <c r="K17" s="325" t="s">
        <v>196</v>
      </c>
      <c r="L17" s="181">
        <v>19</v>
      </c>
      <c r="M17" s="181" t="s">
        <v>375</v>
      </c>
      <c r="N17" s="37" t="s">
        <v>400</v>
      </c>
      <c r="O17" s="31">
        <f>IF(F17&gt;0,F17-AB17,"")</f>
        <v>-53</v>
      </c>
      <c r="P17" s="37" t="str">
        <f>IF(F17&gt;0,IF(AB17="","PLANNING SUPPLY",IF(AB17&lt;=F17,"ONTIME DELIVERY","DELAY")),"")</f>
        <v>DELAY</v>
      </c>
      <c r="Q17" s="181" t="str">
        <f>IFERROR(IF(J17&gt;0,VLOOKUP(J17,#REF!,MATCH($Q$6,#REF!,0),0),""),"")</f>
        <v/>
      </c>
      <c r="R17" s="181" t="str">
        <f>IFERROR(IF(J17&gt;0,VLOOKUP(J17,#REF!,MATCH($R$6,#REF!,0),0),""),"")</f>
        <v/>
      </c>
      <c r="S17" s="181" t="e">
        <f>IF(I17&gt;0,Q17+R17,"")</f>
        <v>#VALUE!</v>
      </c>
      <c r="T17" s="181" t="e">
        <f>Q17-L17</f>
        <v>#VALUE!</v>
      </c>
      <c r="U17" s="181" t="e">
        <f>R17-L17</f>
        <v>#VALUE!</v>
      </c>
      <c r="V17" s="37"/>
      <c r="W17" s="181" t="e">
        <f>IF(I17&gt;0,IF(S17&gt;L17,"READY STOCK",IF(S17=0,"OUT OF STOCK",IF(S17&lt;L17,"LOW STOCK",""))),"")</f>
        <v>#VALUE!</v>
      </c>
      <c r="X17" s="181">
        <v>33121</v>
      </c>
      <c r="Y17" s="38">
        <v>46224</v>
      </c>
      <c r="Z17" s="181" t="s">
        <v>407</v>
      </c>
      <c r="AA17" s="181" t="s">
        <v>397</v>
      </c>
      <c r="AB17" s="50">
        <v>46268</v>
      </c>
      <c r="AC17" s="181">
        <v>34023</v>
      </c>
      <c r="AD17" s="51">
        <v>19</v>
      </c>
      <c r="AE17" s="37" t="s">
        <v>383</v>
      </c>
      <c r="AF17" s="37" t="s">
        <v>381</v>
      </c>
      <c r="AG17" s="33" t="str">
        <f>IF(G17&gt;0,IF(AD17&gt;0,IF(AD17=0,"Waiting",IF(AD17&lt;L17,"Partial",IF(AD17=L17,"Full Supply",IF(AD17&gt;L17,"Over Shared")))),"Waiting"),"")</f>
        <v>Full Supply</v>
      </c>
      <c r="AH17" s="326">
        <v>46212</v>
      </c>
      <c r="AI17" s="327" t="s">
        <v>391</v>
      </c>
      <c r="AJ17" s="328">
        <v>25</v>
      </c>
      <c r="AK17" s="40">
        <v>25593</v>
      </c>
      <c r="AL17" s="42">
        <v>46213</v>
      </c>
      <c r="AM17" s="40">
        <v>25</v>
      </c>
      <c r="AN17" s="37"/>
      <c r="AO17" s="41">
        <v>46220</v>
      </c>
      <c r="AP17" s="37"/>
      <c r="AQ17" s="37"/>
      <c r="AR17" s="37"/>
      <c r="AS17" s="37"/>
      <c r="AT17" s="37">
        <f>AS17-AD17</f>
        <v>-19</v>
      </c>
      <c r="AU17" s="36" t="str">
        <f>IF(AR17=0,"Waiting",IF(AR17&lt;AH17,"Kurang",IF(AR17=AH17,"Sesuai",IF(AR17&gt;AH17,"Over Shared"))))</f>
        <v>Waiting</v>
      </c>
      <c r="AV17" s="37">
        <v>54583</v>
      </c>
      <c r="AW17" s="37" t="str">
        <f>IFERROR(DATEDIF(AH17,AK17,"d"),"0")&amp;"-DAY"</f>
        <v>0-DAY</v>
      </c>
      <c r="AX17" s="37" t="str">
        <f>IFERROR(DATEDIF(B17,AB17,"d"),"0")&amp;"-DAY"</f>
        <v>59-DAY</v>
      </c>
      <c r="AY17" s="37"/>
      <c r="AZ17" s="181">
        <f>L17-AD17</f>
        <v>0</v>
      </c>
    </row>
    <row r="18" spans="1:52" ht="15.5" hidden="1" customHeight="1">
      <c r="A18" s="360" t="s">
        <v>372</v>
      </c>
      <c r="B18" s="340">
        <v>46209</v>
      </c>
      <c r="C18" s="181">
        <v>47727</v>
      </c>
      <c r="D18" s="30">
        <v>46209</v>
      </c>
      <c r="E18" s="30">
        <v>46206</v>
      </c>
      <c r="F18" s="30">
        <v>46215</v>
      </c>
      <c r="G18" s="37">
        <v>4420228759</v>
      </c>
      <c r="H18" s="37" t="s">
        <v>373</v>
      </c>
      <c r="I18" s="37">
        <v>9040040390</v>
      </c>
      <c r="J18" s="37" t="s">
        <v>209</v>
      </c>
      <c r="K18" s="325" t="s">
        <v>210</v>
      </c>
      <c r="L18" s="181">
        <v>2</v>
      </c>
      <c r="M18" s="181" t="s">
        <v>375</v>
      </c>
      <c r="N18" s="37" t="s">
        <v>400</v>
      </c>
      <c r="O18" s="31">
        <f>IF(F18&gt;0,F18-AB18,"")</f>
        <v>-16</v>
      </c>
      <c r="P18" s="37" t="str">
        <f>IF(F18&gt;0,IF(AB18="","PLANNING SUPPLY",IF(AB18&lt;=F18,"ONTIME DELIVERY","DELAY")),"")</f>
        <v>DELAY</v>
      </c>
      <c r="Q18" s="181" t="str">
        <f>IFERROR(IF(J18&gt;0,VLOOKUP(J18,#REF!,MATCH($Q$6,#REF!,0),0),""),"")</f>
        <v/>
      </c>
      <c r="R18" s="181" t="str">
        <f>IFERROR(IF(J18&gt;0,VLOOKUP(J18,#REF!,MATCH($R$6,#REF!,0),0),""),"")</f>
        <v/>
      </c>
      <c r="S18" s="181" t="e">
        <f>IF(I18&gt;0,Q18+R18,"")</f>
        <v>#VALUE!</v>
      </c>
      <c r="T18" s="181" t="e">
        <f>Q18-L18</f>
        <v>#VALUE!</v>
      </c>
      <c r="U18" s="181" t="e">
        <f>R18-L18</f>
        <v>#VALUE!</v>
      </c>
      <c r="V18" s="37"/>
      <c r="W18" s="181" t="e">
        <f>IF(I18&gt;0,IF(S18&gt;L18,"READY STOCK",IF(S18=0,"OUT OF STOCK",IF(S18&lt;L18,"LOW STOCK",""))),"")</f>
        <v>#VALUE!</v>
      </c>
      <c r="X18" s="181">
        <v>33121</v>
      </c>
      <c r="Y18" s="38">
        <v>46224</v>
      </c>
      <c r="Z18" s="181" t="s">
        <v>396</v>
      </c>
      <c r="AA18" s="181" t="s">
        <v>397</v>
      </c>
      <c r="AB18" s="50">
        <v>46231</v>
      </c>
      <c r="AC18" s="181">
        <v>33210</v>
      </c>
      <c r="AD18" s="51">
        <v>2</v>
      </c>
      <c r="AE18" s="37" t="s">
        <v>383</v>
      </c>
      <c r="AF18" s="37" t="s">
        <v>381</v>
      </c>
      <c r="AG18" s="33" t="str">
        <f>IF(G18&gt;0,IF(AD18&gt;0,IF(AD18=0,"Waiting",IF(AD18&lt;L18,"Partial",IF(AD18=L18,"Full Supply",IF(AD18&gt;L18,"Over Shared")))),"Waiting"),"")</f>
        <v>Full Supply</v>
      </c>
      <c r="AH18" s="326">
        <v>46212</v>
      </c>
      <c r="AI18" s="327" t="s">
        <v>391</v>
      </c>
      <c r="AJ18" s="181">
        <v>10</v>
      </c>
      <c r="AK18" s="40">
        <v>25593</v>
      </c>
      <c r="AL18" s="42">
        <v>46213</v>
      </c>
      <c r="AM18" s="40">
        <v>10</v>
      </c>
      <c r="AN18" s="37"/>
      <c r="AO18" s="41">
        <v>46220</v>
      </c>
      <c r="AP18" s="37"/>
      <c r="AQ18" s="37"/>
      <c r="AR18" s="37"/>
      <c r="AS18" s="37"/>
      <c r="AT18" s="37">
        <f>AS18-AD18</f>
        <v>-2</v>
      </c>
      <c r="AU18" s="36" t="str">
        <f>IF(AR18=0,"Waiting",IF(AR18&lt;AH18,"Kurang",IF(AR18=AH18,"Sesuai",IF(AR18&gt;AH18,"Over Shared"))))</f>
        <v>Waiting</v>
      </c>
      <c r="AV18" s="37"/>
      <c r="AW18" s="37" t="str">
        <f>IFERROR(DATEDIF(AH18,AK18,"d"),"0")&amp;"-DAY"</f>
        <v>0-DAY</v>
      </c>
      <c r="AX18" s="37" t="str">
        <f>IFERROR(DATEDIF(B18,AB18,"d"),"0")&amp;"-DAY"</f>
        <v>22-DAY</v>
      </c>
      <c r="AY18" s="37"/>
      <c r="AZ18" s="181">
        <f>L18-AD18</f>
        <v>0</v>
      </c>
    </row>
    <row r="19" spans="1:52" ht="15.5" hidden="1" customHeight="1">
      <c r="A19" s="360" t="s">
        <v>372</v>
      </c>
      <c r="B19" s="340">
        <v>46209</v>
      </c>
      <c r="C19" s="181">
        <v>47729</v>
      </c>
      <c r="D19" s="30">
        <v>46209</v>
      </c>
      <c r="E19" s="30">
        <v>46206</v>
      </c>
      <c r="F19" s="30">
        <v>46220</v>
      </c>
      <c r="G19" s="37">
        <v>4420228820</v>
      </c>
      <c r="H19" s="37" t="s">
        <v>373</v>
      </c>
      <c r="I19" s="37">
        <v>9040042451</v>
      </c>
      <c r="J19" s="37" t="s">
        <v>295</v>
      </c>
      <c r="K19" s="325" t="s">
        <v>296</v>
      </c>
      <c r="L19" s="181">
        <v>14</v>
      </c>
      <c r="M19" s="181" t="s">
        <v>375</v>
      </c>
      <c r="N19" s="37" t="s">
        <v>384</v>
      </c>
      <c r="O19" s="31">
        <f>IF(F19&gt;0,F19-AB19,"")</f>
        <v>-26</v>
      </c>
      <c r="P19" s="37" t="str">
        <f>IF(F19&gt;0,IF(AB19="","PLANNING SUPPLY",IF(AB19&lt;=F19,"ONTIME DELIVERY","DELAY")),"")</f>
        <v>DELAY</v>
      </c>
      <c r="Q19" s="181" t="str">
        <f>IFERROR(IF(J19&gt;0,VLOOKUP(J19,#REF!,MATCH($Q$6,#REF!,0),0),""),"")</f>
        <v/>
      </c>
      <c r="R19" s="181" t="str">
        <f>IFERROR(IF(J19&gt;0,VLOOKUP(J19,#REF!,MATCH($R$6,#REF!,0),0),""),"")</f>
        <v/>
      </c>
      <c r="S19" s="181" t="e">
        <f>IF(I19&gt;0,Q19+R19,"")</f>
        <v>#VALUE!</v>
      </c>
      <c r="T19" s="181" t="e">
        <f>Q19-L19</f>
        <v>#VALUE!</v>
      </c>
      <c r="U19" s="181" t="e">
        <f>R19-L19</f>
        <v>#VALUE!</v>
      </c>
      <c r="V19" s="232" t="s">
        <v>386</v>
      </c>
      <c r="W19" s="181" t="e">
        <f>IF(I19&gt;0,IF(S19&gt;L19,"READY STOCK",IF(S19=0,"OUT OF STOCK",IF(S19&lt;L19,"LOW STOCK",""))),"")</f>
        <v>#VALUE!</v>
      </c>
      <c r="X19" s="38"/>
      <c r="Y19" s="38"/>
      <c r="Z19" s="38"/>
      <c r="AA19" s="38"/>
      <c r="AB19" s="50">
        <v>46246</v>
      </c>
      <c r="AC19" s="181">
        <v>33586</v>
      </c>
      <c r="AD19" s="51">
        <v>14</v>
      </c>
      <c r="AE19" s="37" t="s">
        <v>387</v>
      </c>
      <c r="AF19" s="37" t="s">
        <v>381</v>
      </c>
      <c r="AG19" s="33" t="str">
        <f>IF(G19&gt;0,IF(AD19&gt;0,IF(AD19=0,"Waiting",IF(AD19&lt;L19,"Partial",IF(AD19=L19,"Full Supply",IF(AD19&gt;L19,"Over Shared")))),"Waiting"),"")</f>
        <v>Full Supply</v>
      </c>
      <c r="AH19" s="326"/>
      <c r="AI19" s="327"/>
      <c r="AJ19" s="181"/>
      <c r="AK19" s="40"/>
      <c r="AL19" s="40"/>
      <c r="AM19" s="40"/>
      <c r="AN19" s="39" t="s">
        <v>388</v>
      </c>
      <c r="AO19" s="34"/>
      <c r="AP19" s="37"/>
      <c r="AQ19" s="37"/>
      <c r="AR19" s="37"/>
      <c r="AS19" s="37"/>
      <c r="AT19" s="37">
        <f>AS19-AD19</f>
        <v>-14</v>
      </c>
      <c r="AU19" s="36" t="str">
        <f>IF(AR19=0,"Waiting",IF(AR19&lt;AH19,"Kurang",IF(AR19=AH19,"Sesuai",IF(AR19&gt;AH19,"Over Shared"))))</f>
        <v>Waiting</v>
      </c>
      <c r="AV19" s="37"/>
      <c r="AW19" s="37" t="str">
        <f>IFERROR(DATEDIF(AH19,AK19,"d"),"0")&amp;"-DAY"</f>
        <v>0-DAY</v>
      </c>
      <c r="AX19" s="37" t="str">
        <f>IFERROR(DATEDIF(B19,AB19,"d"),"0")&amp;"-DAY"</f>
        <v>37-DAY</v>
      </c>
      <c r="AY19" s="37"/>
      <c r="AZ19" s="181">
        <f>L19-AD19</f>
        <v>0</v>
      </c>
    </row>
    <row r="20" spans="1:52" ht="15.5" hidden="1" customHeight="1">
      <c r="A20" s="360" t="s">
        <v>372</v>
      </c>
      <c r="B20" s="340">
        <v>46209</v>
      </c>
      <c r="C20" s="181">
        <v>47729</v>
      </c>
      <c r="D20" s="30">
        <v>46209</v>
      </c>
      <c r="E20" s="30">
        <v>46206</v>
      </c>
      <c r="F20" s="30">
        <v>46220</v>
      </c>
      <c r="G20" s="37">
        <v>4420228820</v>
      </c>
      <c r="H20" s="37" t="s">
        <v>373</v>
      </c>
      <c r="I20" s="37">
        <v>9040014656</v>
      </c>
      <c r="J20" s="37" t="s">
        <v>205</v>
      </c>
      <c r="K20" s="325" t="s">
        <v>206</v>
      </c>
      <c r="L20" s="181">
        <v>3</v>
      </c>
      <c r="M20" s="181" t="s">
        <v>389</v>
      </c>
      <c r="N20" s="37" t="s">
        <v>384</v>
      </c>
      <c r="O20" s="31">
        <f>IF(F20&gt;0,F20-AB20,"")</f>
        <v>2</v>
      </c>
      <c r="P20" s="37" t="str">
        <f>IF(F20&gt;0,IF(AB20="","PLANNING SUPPLY",IF(AB20&lt;=F20,"ONTIME DELIVERY","DELAY")),"")</f>
        <v>ONTIME DELIVERY</v>
      </c>
      <c r="Q20" s="181" t="str">
        <f>IFERROR(IF(J20&gt;0,VLOOKUP(J20,#REF!,MATCH($Q$6,#REF!,0),0),""),"")</f>
        <v/>
      </c>
      <c r="R20" s="181" t="str">
        <f>IFERROR(IF(J20&gt;0,VLOOKUP(J20,#REF!,MATCH($R$6,#REF!,0),0),""),"")</f>
        <v/>
      </c>
      <c r="S20" s="181" t="e">
        <f>IF(I20&gt;0,Q20+R20,"")</f>
        <v>#VALUE!</v>
      </c>
      <c r="T20" s="181" t="e">
        <f>Q20-L20</f>
        <v>#VALUE!</v>
      </c>
      <c r="U20" s="181" t="e">
        <f>R20-L20</f>
        <v>#VALUE!</v>
      </c>
      <c r="V20" s="37" t="s">
        <v>390</v>
      </c>
      <c r="W20" s="181" t="e">
        <f>IF(I20&gt;0,IF(S20&gt;L20,"READY STOCK",IF(S20=0,"OUT OF STOCK",IF(S20&lt;L20,"LOW STOCK",""))),"")</f>
        <v>#VALUE!</v>
      </c>
      <c r="X20" s="38"/>
      <c r="Y20" s="38"/>
      <c r="Z20" s="38"/>
      <c r="AA20" s="38"/>
      <c r="AB20" s="50">
        <v>46218</v>
      </c>
      <c r="AC20" s="181">
        <v>33024</v>
      </c>
      <c r="AD20" s="51">
        <v>3</v>
      </c>
      <c r="AE20" s="37" t="s">
        <v>383</v>
      </c>
      <c r="AF20" s="37" t="s">
        <v>381</v>
      </c>
      <c r="AG20" s="33" t="str">
        <f>IF(G20&gt;0,IF(AD20&gt;0,IF(AD20=0,"Waiting",IF(AD20&lt;L20,"Partial",IF(AD20=L20,"Full Supply",IF(AD20&gt;L20,"Over Shared")))),"Waiting"),"")</f>
        <v>Full Supply</v>
      </c>
      <c r="AH20" s="326">
        <v>46212</v>
      </c>
      <c r="AI20" s="327" t="s">
        <v>391</v>
      </c>
      <c r="AJ20" s="328">
        <v>15</v>
      </c>
      <c r="AK20" s="40">
        <v>25630</v>
      </c>
      <c r="AL20" s="218">
        <v>46218</v>
      </c>
      <c r="AM20" s="40">
        <v>4</v>
      </c>
      <c r="AN20" s="39"/>
      <c r="AO20" s="41">
        <v>46190</v>
      </c>
      <c r="AP20" s="35">
        <v>46239</v>
      </c>
      <c r="AQ20" s="37"/>
      <c r="AR20" s="37"/>
      <c r="AS20" s="37">
        <v>1</v>
      </c>
      <c r="AT20" s="37">
        <f>AS20-AD20</f>
        <v>-2</v>
      </c>
      <c r="AU20" s="36" t="str">
        <f>IF(AR20=0,"Waiting",IF(AR20&lt;AH20,"Kurang",IF(AR20=AH20,"Sesuai",IF(AR20&gt;AH20,"Over Shared"))))</f>
        <v>Waiting</v>
      </c>
      <c r="AV20" s="37"/>
      <c r="AW20" s="37" t="str">
        <f>IFERROR(DATEDIF(AH20,AK20,"d"),"0")&amp;"-DAY"</f>
        <v>0-DAY</v>
      </c>
      <c r="AX20" s="37" t="str">
        <f>IFERROR(DATEDIF(B20,AB20,"d"),"0")&amp;"-DAY"</f>
        <v>9-DAY</v>
      </c>
      <c r="AY20" s="37"/>
      <c r="AZ20" s="181">
        <f>L20-AD20</f>
        <v>0</v>
      </c>
    </row>
    <row r="21" spans="1:52" ht="15.5" hidden="1" customHeight="1">
      <c r="A21" s="360" t="s">
        <v>372</v>
      </c>
      <c r="B21" s="340">
        <v>46209</v>
      </c>
      <c r="C21" s="181">
        <v>47729</v>
      </c>
      <c r="D21" s="30">
        <v>46209</v>
      </c>
      <c r="E21" s="30">
        <v>46206</v>
      </c>
      <c r="F21" s="30">
        <v>46220</v>
      </c>
      <c r="G21" s="37">
        <v>4420228820</v>
      </c>
      <c r="H21" s="37" t="s">
        <v>373</v>
      </c>
      <c r="I21" s="37">
        <v>9040040733</v>
      </c>
      <c r="J21" s="37" t="s">
        <v>272</v>
      </c>
      <c r="K21" s="325" t="s">
        <v>273</v>
      </c>
      <c r="L21" s="181">
        <v>7</v>
      </c>
      <c r="M21" s="181" t="s">
        <v>375</v>
      </c>
      <c r="N21" s="37" t="s">
        <v>384</v>
      </c>
      <c r="O21" s="31">
        <f>IF(F21&gt;0,F21-AB21,"")</f>
        <v>0</v>
      </c>
      <c r="P21" s="37" t="str">
        <f>IF(F21&gt;0,IF(AB21="","PLANNING SUPPLY",IF(AB21&lt;=F21,"ONTIME DELIVERY","DELAY")),"")</f>
        <v>ONTIME DELIVERY</v>
      </c>
      <c r="Q21" s="181" t="str">
        <f>IFERROR(IF(J21&gt;0,VLOOKUP(J21,#REF!,MATCH($Q$6,#REF!,0),0),""),"")</f>
        <v/>
      </c>
      <c r="R21" s="181" t="str">
        <f>IFERROR(IF(J21&gt;0,VLOOKUP(J21,#REF!,MATCH($R$6,#REF!,0),0),""),"")</f>
        <v/>
      </c>
      <c r="S21" s="181" t="e">
        <f>IF(I21&gt;0,Q21+R21,"")</f>
        <v>#VALUE!</v>
      </c>
      <c r="T21" s="181" t="e">
        <f>Q21-L21</f>
        <v>#VALUE!</v>
      </c>
      <c r="U21" s="181" t="e">
        <f>R21-L21</f>
        <v>#VALUE!</v>
      </c>
      <c r="V21" s="37" t="s">
        <v>392</v>
      </c>
      <c r="W21" s="181" t="e">
        <f>IF(I21&gt;0,IF(S21&gt;L21,"READY STOCK",IF(S21=0,"OUT OF STOCK",IF(S21&lt;L21,"LOW STOCK",""))),"")</f>
        <v>#VALUE!</v>
      </c>
      <c r="X21" s="38"/>
      <c r="Y21" s="38"/>
      <c r="Z21" s="38"/>
      <c r="AA21" s="38"/>
      <c r="AB21" s="50">
        <v>46220</v>
      </c>
      <c r="AC21" s="181">
        <v>33024</v>
      </c>
      <c r="AD21" s="51">
        <v>7</v>
      </c>
      <c r="AE21" s="37" t="s">
        <v>383</v>
      </c>
      <c r="AF21" s="37" t="s">
        <v>381</v>
      </c>
      <c r="AG21" s="33" t="str">
        <f>IF(G21&gt;0,IF(AD21&gt;0,IF(AD21=0,"Waiting",IF(AD21&lt;L21,"Partial",IF(AD21=L21,"Full Supply",IF(AD21&gt;L21,"Over Shared")))),"Waiting"),"")</f>
        <v>Full Supply</v>
      </c>
      <c r="AH21" s="37"/>
      <c r="AI21" s="37"/>
      <c r="AJ21" s="181"/>
      <c r="AK21" s="40"/>
      <c r="AL21" s="40"/>
      <c r="AM21" s="40"/>
      <c r="AN21" s="37"/>
      <c r="AO21" s="34"/>
      <c r="AP21" s="37"/>
      <c r="AQ21" s="37"/>
      <c r="AR21" s="37"/>
      <c r="AS21" s="37"/>
      <c r="AT21" s="37">
        <f>AS21-AD21</f>
        <v>-7</v>
      </c>
      <c r="AU21" s="36" t="str">
        <f>IF(AR21=0,"Waiting",IF(AR21&lt;AH21,"Kurang",IF(AR21=AH21,"Sesuai",IF(AR21&gt;AH21,"Over Shared"))))</f>
        <v>Waiting</v>
      </c>
      <c r="AV21" s="37"/>
      <c r="AW21" s="37" t="str">
        <f>IFERROR(DATEDIF(AH21,AK21,"d"),"0")&amp;"-DAY"</f>
        <v>0-DAY</v>
      </c>
      <c r="AX21" s="37" t="str">
        <f>IFERROR(DATEDIF(B21,AB21,"d"),"0")&amp;"-DAY"</f>
        <v>11-DAY</v>
      </c>
      <c r="AY21" s="37"/>
      <c r="AZ21" s="181">
        <f>L21-AD21</f>
        <v>0</v>
      </c>
    </row>
    <row r="22" spans="1:52" ht="15.5" hidden="1" customHeight="1">
      <c r="A22" s="360" t="s">
        <v>372</v>
      </c>
      <c r="B22" s="340">
        <v>46209</v>
      </c>
      <c r="C22" s="181">
        <v>47729</v>
      </c>
      <c r="D22" s="30">
        <v>46209</v>
      </c>
      <c r="E22" s="30">
        <v>46206</v>
      </c>
      <c r="F22" s="30">
        <v>46220</v>
      </c>
      <c r="G22" s="37">
        <v>4420228820</v>
      </c>
      <c r="H22" s="37" t="s">
        <v>373</v>
      </c>
      <c r="I22" s="37">
        <v>9040040933</v>
      </c>
      <c r="J22" s="37" t="s">
        <v>295</v>
      </c>
      <c r="K22" s="325" t="s">
        <v>296</v>
      </c>
      <c r="L22" s="181">
        <v>22</v>
      </c>
      <c r="M22" s="181" t="s">
        <v>375</v>
      </c>
      <c r="N22" s="37" t="s">
        <v>384</v>
      </c>
      <c r="O22" s="31">
        <f>IF(F22&gt;0,F22-AB22,"")</f>
        <v>1</v>
      </c>
      <c r="P22" s="37" t="str">
        <f>IF(F22&gt;0,IF(AB22="","PLANNING SUPPLY",IF(AB22&lt;=F22,"ONTIME DELIVERY","DELAY")),"")</f>
        <v>ONTIME DELIVERY</v>
      </c>
      <c r="Q22" s="181" t="str">
        <f>IFERROR(IF(J22&gt;0,VLOOKUP(J22,#REF!,MATCH($Q$6,#REF!,0),0),""),"")</f>
        <v/>
      </c>
      <c r="R22" s="181" t="str">
        <f>IFERROR(IF(J22&gt;0,VLOOKUP(J22,#REF!,MATCH($R$6,#REF!,0),0),""),"")</f>
        <v/>
      </c>
      <c r="S22" s="181" t="e">
        <f>IF(I22&gt;0,Q22+R22,"")</f>
        <v>#VALUE!</v>
      </c>
      <c r="T22" s="181" t="e">
        <f>Q22-L22</f>
        <v>#VALUE!</v>
      </c>
      <c r="U22" s="181" t="e">
        <f>R22-L22</f>
        <v>#VALUE!</v>
      </c>
      <c r="V22" s="232" t="s">
        <v>394</v>
      </c>
      <c r="W22" s="181" t="e">
        <f>IF(I22&gt;0,IF(S22&gt;L22,"READY STOCK",IF(S22=0,"OUT OF STOCK",IF(S22&lt;L22,"LOW STOCK",""))),"")</f>
        <v>#VALUE!</v>
      </c>
      <c r="X22" s="38"/>
      <c r="Y22" s="38"/>
      <c r="Z22" s="38"/>
      <c r="AA22" s="38"/>
      <c r="AB22" s="50">
        <v>46219</v>
      </c>
      <c r="AC22" s="181">
        <v>33024.336360000001</v>
      </c>
      <c r="AD22" s="51">
        <f>21+1</f>
        <v>22</v>
      </c>
      <c r="AE22" s="37" t="s">
        <v>383</v>
      </c>
      <c r="AF22" s="37" t="s">
        <v>381</v>
      </c>
      <c r="AG22" s="33" t="str">
        <f>IF(G22&gt;0,IF(AD22&gt;0,IF(AD22=0,"Waiting",IF(AD22&lt;L22,"Partial",IF(AD22=L22,"Full Supply",IF(AD22&gt;L22,"Over Shared")))),"Waiting"),"")</f>
        <v>Full Supply</v>
      </c>
      <c r="AH22" s="326"/>
      <c r="AI22" s="327"/>
      <c r="AJ22" s="181"/>
      <c r="AK22" s="40"/>
      <c r="AL22" s="40"/>
      <c r="AM22" s="40"/>
      <c r="AN22" s="39" t="s">
        <v>388</v>
      </c>
      <c r="AO22" s="34"/>
      <c r="AP22" s="35">
        <v>46239</v>
      </c>
      <c r="AQ22" s="37"/>
      <c r="AR22" s="37"/>
      <c r="AS22" s="37">
        <v>2</v>
      </c>
      <c r="AT22" s="37">
        <f>AS22-AD22</f>
        <v>-20</v>
      </c>
      <c r="AU22" s="36" t="str">
        <f>IF(AR22=0,"Waiting",IF(AR22&lt;AH22,"Kurang",IF(AR22=AH22,"Sesuai",IF(AR22&gt;AH22,"Over Shared"))))</f>
        <v>Waiting</v>
      </c>
      <c r="AV22" s="37"/>
      <c r="AW22" s="37" t="str">
        <f>IFERROR(DATEDIF(AH22,AK22,"d"),"0")&amp;"-DAY"</f>
        <v>0-DAY</v>
      </c>
      <c r="AX22" s="37" t="str">
        <f>IFERROR(DATEDIF(B22,AB22,"d"),"0")&amp;"-DAY"</f>
        <v>10-DAY</v>
      </c>
      <c r="AY22" s="37"/>
      <c r="AZ22" s="181">
        <f>L22-AD22</f>
        <v>0</v>
      </c>
    </row>
    <row r="23" spans="1:52" ht="15.5" hidden="1" customHeight="1">
      <c r="A23" s="360" t="s">
        <v>372</v>
      </c>
      <c r="B23" s="340">
        <v>46209</v>
      </c>
      <c r="C23" s="181">
        <v>47729</v>
      </c>
      <c r="D23" s="30">
        <v>46209</v>
      </c>
      <c r="E23" s="30">
        <v>46206</v>
      </c>
      <c r="F23" s="30">
        <v>46220</v>
      </c>
      <c r="G23" s="37">
        <v>4420228820</v>
      </c>
      <c r="H23" s="37" t="s">
        <v>373</v>
      </c>
      <c r="I23" s="37">
        <v>9040044154</v>
      </c>
      <c r="J23" s="37" t="s">
        <v>301</v>
      </c>
      <c r="K23" s="325" t="s">
        <v>302</v>
      </c>
      <c r="L23" s="181">
        <v>21</v>
      </c>
      <c r="M23" s="181" t="s">
        <v>375</v>
      </c>
      <c r="N23" s="37" t="s">
        <v>384</v>
      </c>
      <c r="O23" s="31">
        <f>IF(F23&gt;0,F23-AB23,"")</f>
        <v>-19</v>
      </c>
      <c r="P23" s="37" t="str">
        <f>IF(F23&gt;0,IF(AB23="","PLANNING SUPPLY",IF(AB23&lt;=F23,"ONTIME DELIVERY","DELAY")),"")</f>
        <v>DELAY</v>
      </c>
      <c r="Q23" s="181" t="str">
        <f>IFERROR(IF(J23&gt;0,VLOOKUP(J23,#REF!,MATCH($Q$6,#REF!,0),0),""),"")</f>
        <v/>
      </c>
      <c r="R23" s="181" t="str">
        <f>IFERROR(IF(J23&gt;0,VLOOKUP(J23,#REF!,MATCH($R$6,#REF!,0),0),""),"")</f>
        <v/>
      </c>
      <c r="S23" s="181" t="e">
        <f>IF(I23&gt;0,Q23+R23,"")</f>
        <v>#VALUE!</v>
      </c>
      <c r="T23" s="181" t="e">
        <f>Q23-L23</f>
        <v>#VALUE!</v>
      </c>
      <c r="U23" s="181" t="e">
        <f>R23-L23</f>
        <v>#VALUE!</v>
      </c>
      <c r="V23" s="37"/>
      <c r="W23" s="181" t="e">
        <f>IF(I23&gt;0,IF(S23&gt;L23,"READY STOCK",IF(S23=0,"OUT OF STOCK",IF(S23&lt;L23,"LOW STOCK",""))),"")</f>
        <v>#VALUE!</v>
      </c>
      <c r="X23" s="181">
        <v>33121</v>
      </c>
      <c r="Y23" s="38">
        <v>46224</v>
      </c>
      <c r="Z23" s="181" t="s">
        <v>396</v>
      </c>
      <c r="AA23" s="181" t="s">
        <v>397</v>
      </c>
      <c r="AB23" s="50">
        <v>46239</v>
      </c>
      <c r="AC23" s="181">
        <v>33402</v>
      </c>
      <c r="AD23" s="51">
        <v>21</v>
      </c>
      <c r="AE23" s="37" t="s">
        <v>383</v>
      </c>
      <c r="AF23" s="37" t="s">
        <v>381</v>
      </c>
      <c r="AG23" s="33" t="str">
        <f>IF(G23&gt;0,IF(AD23&gt;0,IF(AD23=0,"Waiting",IF(AD23&lt;L23,"Partial",IF(AD23=L23,"Full Supply",IF(AD23&gt;L23,"Over Shared")))),"Waiting"),"")</f>
        <v>Full Supply</v>
      </c>
      <c r="AH23" s="326">
        <v>46212</v>
      </c>
      <c r="AI23" s="327" t="s">
        <v>391</v>
      </c>
      <c r="AJ23" s="181">
        <v>21</v>
      </c>
      <c r="AK23" s="40">
        <v>25674</v>
      </c>
      <c r="AL23" s="42">
        <v>46219</v>
      </c>
      <c r="AM23" s="40">
        <v>50</v>
      </c>
      <c r="AN23" s="37"/>
      <c r="AO23" s="41">
        <v>46193</v>
      </c>
      <c r="AP23" s="37"/>
      <c r="AQ23" s="37"/>
      <c r="AR23" s="37"/>
      <c r="AS23" s="37"/>
      <c r="AT23" s="37">
        <f>AS23-AD23</f>
        <v>-21</v>
      </c>
      <c r="AU23" s="36" t="str">
        <f>IF(AR23=0,"Waiting",IF(AR23&lt;AH23,"Kurang",IF(AR23=AH23,"Sesuai",IF(AR23&gt;AH23,"Over Shared"))))</f>
        <v>Waiting</v>
      </c>
      <c r="AV23" s="37"/>
      <c r="AW23" s="37" t="str">
        <f>IFERROR(DATEDIF(AH23,AK23,"d"),"0")&amp;"-DAY"</f>
        <v>0-DAY</v>
      </c>
      <c r="AX23" s="37" t="str">
        <f>IFERROR(DATEDIF(B23,AB23,"d"),"0")&amp;"-DAY"</f>
        <v>30-DAY</v>
      </c>
      <c r="AY23" s="37"/>
      <c r="AZ23" s="181">
        <f>L23-AD23</f>
        <v>0</v>
      </c>
    </row>
    <row r="24" spans="1:52" ht="15.5" hidden="1" customHeight="1">
      <c r="A24" s="360" t="s">
        <v>372</v>
      </c>
      <c r="B24" s="340">
        <v>46209</v>
      </c>
      <c r="C24" s="181">
        <v>47729</v>
      </c>
      <c r="D24" s="30">
        <v>46209</v>
      </c>
      <c r="E24" s="30">
        <v>46206</v>
      </c>
      <c r="F24" s="30">
        <v>46220</v>
      </c>
      <c r="G24" s="37">
        <v>4420228820</v>
      </c>
      <c r="H24" s="37" t="s">
        <v>373</v>
      </c>
      <c r="I24" s="37">
        <v>9040081695</v>
      </c>
      <c r="J24" s="37" t="s">
        <v>106</v>
      </c>
      <c r="K24" s="325" t="s">
        <v>107</v>
      </c>
      <c r="L24" s="181">
        <v>2</v>
      </c>
      <c r="M24" s="181" t="s">
        <v>375</v>
      </c>
      <c r="N24" s="37" t="s">
        <v>384</v>
      </c>
      <c r="O24" s="31">
        <f>IF(F24&gt;0,F24-AB24,"")</f>
        <v>-11</v>
      </c>
      <c r="P24" s="37" t="str">
        <f>IF(F24&gt;0,IF(AB24="","PLANNING SUPPLY",IF(AB24&lt;=F24,"ONTIME DELIVERY","DELAY")),"")</f>
        <v>DELAY</v>
      </c>
      <c r="Q24" s="181" t="str">
        <f>IFERROR(IF(J24&gt;0,VLOOKUP(J24,#REF!,MATCH($Q$6,#REF!,0),0),""),"")</f>
        <v/>
      </c>
      <c r="R24" s="181" t="str">
        <f>IFERROR(IF(J24&gt;0,VLOOKUP(J24,#REF!,MATCH($R$6,#REF!,0),0),""),"")</f>
        <v/>
      </c>
      <c r="S24" s="181" t="e">
        <f>IF(I24&gt;0,Q24+R24,"")</f>
        <v>#VALUE!</v>
      </c>
      <c r="T24" s="181" t="e">
        <f>Q24-L24</f>
        <v>#VALUE!</v>
      </c>
      <c r="U24" s="181" t="e">
        <f>R24-L24</f>
        <v>#VALUE!</v>
      </c>
      <c r="V24" s="37"/>
      <c r="W24" s="181" t="e">
        <f>IF(I24&gt;0,IF(S24&gt;L24,"READY STOCK",IF(S24=0,"OUT OF STOCK",IF(S24&lt;L24,"LOW STOCK",""))),"")</f>
        <v>#VALUE!</v>
      </c>
      <c r="X24" s="181">
        <v>33121</v>
      </c>
      <c r="Y24" s="38">
        <v>46224</v>
      </c>
      <c r="Z24" s="181" t="s">
        <v>396</v>
      </c>
      <c r="AA24" s="181" t="s">
        <v>397</v>
      </c>
      <c r="AB24" s="50">
        <v>46231</v>
      </c>
      <c r="AC24" s="181">
        <v>33207</v>
      </c>
      <c r="AD24" s="51">
        <v>2</v>
      </c>
      <c r="AE24" s="37" t="s">
        <v>383</v>
      </c>
      <c r="AF24" s="37" t="s">
        <v>381</v>
      </c>
      <c r="AG24" s="33" t="str">
        <f>IF(G24&gt;0,IF(AD24&gt;0,IF(AD24=0,"Waiting",IF(AD24&lt;L24,"Partial",IF(AD24=L24,"Full Supply",IF(AD24&gt;L24,"Over Shared")))),"Waiting"),"")</f>
        <v>Full Supply</v>
      </c>
      <c r="AH24" s="326">
        <v>46212</v>
      </c>
      <c r="AI24" s="327" t="s">
        <v>391</v>
      </c>
      <c r="AJ24" s="328">
        <v>10</v>
      </c>
      <c r="AK24" s="40">
        <v>25594</v>
      </c>
      <c r="AL24" s="42">
        <v>46213</v>
      </c>
      <c r="AM24" s="40">
        <v>5</v>
      </c>
      <c r="AN24" s="37"/>
      <c r="AO24" s="43">
        <v>46219</v>
      </c>
      <c r="AP24" s="37"/>
      <c r="AQ24" s="37"/>
      <c r="AR24" s="37"/>
      <c r="AS24" s="37"/>
      <c r="AT24" s="37">
        <f>AS24-AD24</f>
        <v>-2</v>
      </c>
      <c r="AU24" s="36" t="str">
        <f>IF(AR24=0,"Waiting",IF(AR24&lt;AH24,"Kurang",IF(AR24=AH24,"Sesuai",IF(AR24&gt;AH24,"Over Shared"))))</f>
        <v>Waiting</v>
      </c>
      <c r="AV24" s="37"/>
      <c r="AW24" s="37" t="str">
        <f>IFERROR(DATEDIF(AH24,AK24,"d"),"0")&amp;"-DAY"</f>
        <v>0-DAY</v>
      </c>
      <c r="AX24" s="37" t="str">
        <f>IFERROR(DATEDIF(B24,AB24,"d"),"0")&amp;"-DAY"</f>
        <v>22-DAY</v>
      </c>
      <c r="AY24" s="37"/>
      <c r="AZ24" s="181">
        <f>L24-AD24</f>
        <v>0</v>
      </c>
    </row>
    <row r="25" spans="1:52" ht="15.5" hidden="1" customHeight="1">
      <c r="A25" s="360" t="s">
        <v>372</v>
      </c>
      <c r="B25" s="340">
        <v>46209</v>
      </c>
      <c r="C25" s="181">
        <v>47730</v>
      </c>
      <c r="D25" s="30">
        <v>46209</v>
      </c>
      <c r="E25" s="30">
        <v>46206</v>
      </c>
      <c r="F25" s="30">
        <v>46234</v>
      </c>
      <c r="G25" s="37">
        <v>4420228727</v>
      </c>
      <c r="H25" s="37" t="s">
        <v>373</v>
      </c>
      <c r="I25" s="37">
        <v>9040009393</v>
      </c>
      <c r="J25" s="37" t="s">
        <v>161</v>
      </c>
      <c r="K25" s="325" t="s">
        <v>162</v>
      </c>
      <c r="L25" s="181">
        <v>1</v>
      </c>
      <c r="M25" s="181" t="s">
        <v>375</v>
      </c>
      <c r="N25" s="37" t="s">
        <v>399</v>
      </c>
      <c r="O25" s="31">
        <f>IF(F25&gt;0,F25-AB25,"")</f>
        <v>21</v>
      </c>
      <c r="P25" s="37" t="str">
        <f>IF(F25&gt;0,IF(AB25="","PLANNING SUPPLY",IF(AB25&lt;=F25,"ONTIME DELIVERY","DELAY")),"")</f>
        <v>ONTIME DELIVERY</v>
      </c>
      <c r="Q25" s="181" t="str">
        <f>IFERROR(IF(J25&gt;0,VLOOKUP(J25,#REF!,MATCH($Q$6,#REF!,0),0),""),"")</f>
        <v/>
      </c>
      <c r="R25" s="181" t="str">
        <f>IFERROR(IF(J25&gt;0,VLOOKUP(J25,#REF!,MATCH($R$6,#REF!,0),0),""),"")</f>
        <v/>
      </c>
      <c r="S25" s="181" t="e">
        <f>IF(I25&gt;0,Q25+R25,"")</f>
        <v>#VALUE!</v>
      </c>
      <c r="T25" s="181" t="e">
        <f>Q25-L25</f>
        <v>#VALUE!</v>
      </c>
      <c r="U25" s="181" t="e">
        <f>R25-L25</f>
        <v>#VALUE!</v>
      </c>
      <c r="V25" s="37"/>
      <c r="W25" s="181" t="e">
        <f>IF(I25&gt;0,IF(S25&gt;L25,"READY STOCK",IF(S25=0,"OUT OF STOCK",IF(S25&lt;L25,"LOW STOCK",""))),"")</f>
        <v>#VALUE!</v>
      </c>
      <c r="X25" s="38"/>
      <c r="Y25" s="38"/>
      <c r="Z25" s="38"/>
      <c r="AA25" s="38"/>
      <c r="AB25" s="50">
        <v>46213</v>
      </c>
      <c r="AC25" s="181">
        <v>32916</v>
      </c>
      <c r="AD25" s="51">
        <v>1</v>
      </c>
      <c r="AE25" s="37" t="s">
        <v>383</v>
      </c>
      <c r="AF25" s="37" t="s">
        <v>381</v>
      </c>
      <c r="AG25" s="33" t="str">
        <f>IF(G25&gt;0,IF(AD25&gt;0,IF(AD25=0,"Waiting",IF(AD25&lt;L25,"Partial",IF(AD25=L25,"Full Supply",IF(AD25&gt;L25,"Over Shared")))),"Waiting"),"")</f>
        <v>Full Supply</v>
      </c>
      <c r="AH25" s="37"/>
      <c r="AI25" s="37"/>
      <c r="AJ25" s="181"/>
      <c r="AK25" s="40"/>
      <c r="AL25" s="40"/>
      <c r="AM25" s="40"/>
      <c r="AN25" s="37"/>
      <c r="AO25" s="34"/>
      <c r="AP25" s="37"/>
      <c r="AQ25" s="37"/>
      <c r="AR25" s="37"/>
      <c r="AS25" s="37"/>
      <c r="AT25" s="37">
        <f>AS25-AD25</f>
        <v>-1</v>
      </c>
      <c r="AU25" s="36" t="str">
        <f>IF(AR25=0,"Waiting",IF(AR25&lt;AH25,"Kurang",IF(AR25=AH25,"Sesuai",IF(AR25&gt;AH25,"Over Shared"))))</f>
        <v>Waiting</v>
      </c>
      <c r="AV25" s="37"/>
      <c r="AW25" s="37" t="str">
        <f>IFERROR(DATEDIF(AH25,AK25,"d"),"0")&amp;"-DAY"</f>
        <v>0-DAY</v>
      </c>
      <c r="AX25" s="37" t="str">
        <f>IFERROR(DATEDIF(B25,AB25,"d"),"0")&amp;"-DAY"</f>
        <v>4-DAY</v>
      </c>
      <c r="AY25" s="37"/>
      <c r="AZ25" s="181">
        <f>L25-AD25</f>
        <v>0</v>
      </c>
    </row>
    <row r="26" spans="1:52" ht="15.5" hidden="1" customHeight="1">
      <c r="A26" s="360" t="s">
        <v>372</v>
      </c>
      <c r="B26" s="340">
        <v>46209</v>
      </c>
      <c r="C26" s="181">
        <v>47730</v>
      </c>
      <c r="D26" s="30">
        <v>46209</v>
      </c>
      <c r="E26" s="30">
        <v>46206</v>
      </c>
      <c r="F26" s="30">
        <v>46234</v>
      </c>
      <c r="G26" s="37">
        <v>4420228727</v>
      </c>
      <c r="H26" s="37" t="s">
        <v>373</v>
      </c>
      <c r="I26" s="37">
        <v>9040044285</v>
      </c>
      <c r="J26" s="37" t="s">
        <v>100</v>
      </c>
      <c r="K26" s="325" t="s">
        <v>101</v>
      </c>
      <c r="L26" s="181">
        <v>1</v>
      </c>
      <c r="M26" s="181" t="s">
        <v>375</v>
      </c>
      <c r="N26" s="37" t="s">
        <v>399</v>
      </c>
      <c r="O26" s="31">
        <f>IF(F26&gt;0,F26-AB26,"")</f>
        <v>-3</v>
      </c>
      <c r="P26" s="37" t="str">
        <f>IF(F26&gt;0,IF(AB26="","PLANNING SUPPLY",IF(AB26&lt;=F26,"ONTIME DELIVERY","DELAY")),"")</f>
        <v>DELAY</v>
      </c>
      <c r="Q26" s="181" t="str">
        <f>IFERROR(IF(J26&gt;0,VLOOKUP(J26,#REF!,MATCH($Q$6,#REF!,0),0),""),"")</f>
        <v/>
      </c>
      <c r="R26" s="181" t="str">
        <f>IFERROR(IF(J26&gt;0,VLOOKUP(J26,#REF!,MATCH($R$6,#REF!,0),0),""),"")</f>
        <v/>
      </c>
      <c r="S26" s="181" t="e">
        <f>IF(I26&gt;0,Q26+R26,"")</f>
        <v>#VALUE!</v>
      </c>
      <c r="T26" s="181" t="e">
        <f>Q26-L26</f>
        <v>#VALUE!</v>
      </c>
      <c r="U26" s="181" t="e">
        <f>R26-L26</f>
        <v>#VALUE!</v>
      </c>
      <c r="V26" s="37"/>
      <c r="W26" s="181" t="e">
        <f>IF(I26&gt;0,IF(S26&gt;L26,"READY STOCK",IF(S26=0,"OUT OF STOCK",IF(S26&lt;L26,"LOW STOCK",""))),"")</f>
        <v>#VALUE!</v>
      </c>
      <c r="X26" s="38"/>
      <c r="Y26" s="38"/>
      <c r="Z26" s="38"/>
      <c r="AA26" s="38"/>
      <c r="AB26" s="50">
        <v>46237</v>
      </c>
      <c r="AC26" s="181">
        <v>33334</v>
      </c>
      <c r="AD26" s="51">
        <v>1</v>
      </c>
      <c r="AE26" s="37" t="s">
        <v>383</v>
      </c>
      <c r="AF26" s="37" t="s">
        <v>381</v>
      </c>
      <c r="AG26" s="33" t="str">
        <f>IF(G26&gt;0,IF(AD26&gt;0,IF(AD26=0,"Waiting",IF(AD26&lt;L26,"Partial",IF(AD26=L26,"Full Supply",IF(AD26&gt;L26,"Over Shared")))),"Waiting"),"")</f>
        <v>Full Supply</v>
      </c>
      <c r="AH26" s="326">
        <v>46212</v>
      </c>
      <c r="AI26" s="327" t="s">
        <v>391</v>
      </c>
      <c r="AJ26" s="181">
        <v>5</v>
      </c>
      <c r="AK26" s="40">
        <v>25601</v>
      </c>
      <c r="AL26" s="42">
        <v>46216</v>
      </c>
      <c r="AM26" s="40">
        <v>5</v>
      </c>
      <c r="AN26" s="37"/>
      <c r="AO26" s="43">
        <v>46226</v>
      </c>
      <c r="AP26" s="37"/>
      <c r="AQ26" s="37"/>
      <c r="AR26" s="37"/>
      <c r="AS26" s="37"/>
      <c r="AT26" s="37">
        <f>AS26-AD26</f>
        <v>-1</v>
      </c>
      <c r="AU26" s="36" t="str">
        <f>IF(AR26=0,"Waiting",IF(AR26&lt;AH26,"Kurang",IF(AR26=AH26,"Sesuai",IF(AR26&gt;AH26,"Over Shared"))))</f>
        <v>Waiting</v>
      </c>
      <c r="AV26" s="37"/>
      <c r="AW26" s="37" t="str">
        <f>IFERROR(DATEDIF(AH26,AK26,"d"),"0")&amp;"-DAY"</f>
        <v>0-DAY</v>
      </c>
      <c r="AX26" s="37" t="str">
        <f>IFERROR(DATEDIF(B26,AB26,"d"),"0")&amp;"-DAY"</f>
        <v>28-DAY</v>
      </c>
      <c r="AY26" s="37"/>
      <c r="AZ26" s="181">
        <f>L26-AD26</f>
        <v>0</v>
      </c>
    </row>
    <row r="27" spans="1:52" ht="15.5" hidden="1" customHeight="1">
      <c r="A27" s="360" t="s">
        <v>372</v>
      </c>
      <c r="B27" s="340">
        <v>46210</v>
      </c>
      <c r="C27" s="181">
        <v>47759</v>
      </c>
      <c r="D27" s="30">
        <v>46210</v>
      </c>
      <c r="E27" s="30">
        <v>46206</v>
      </c>
      <c r="F27" s="30">
        <v>46237</v>
      </c>
      <c r="G27" s="37">
        <v>4420228789</v>
      </c>
      <c r="H27" s="37" t="s">
        <v>373</v>
      </c>
      <c r="I27" s="37">
        <v>9040019465</v>
      </c>
      <c r="J27" s="37" t="s">
        <v>27</v>
      </c>
      <c r="K27" s="325" t="s">
        <v>28</v>
      </c>
      <c r="L27" s="181">
        <v>7</v>
      </c>
      <c r="M27" s="181" t="s">
        <v>375</v>
      </c>
      <c r="N27" s="37" t="s">
        <v>408</v>
      </c>
      <c r="O27" s="31">
        <f>IF(F27&gt;0,F27-AB27,"")</f>
        <v>24</v>
      </c>
      <c r="P27" s="37" t="str">
        <f>IF(F27&gt;0,IF(AB27="","PLANNING SUPPLY",IF(AB27&lt;=F27,"ONTIME DELIVERY","DELAY")),"")</f>
        <v>ONTIME DELIVERY</v>
      </c>
      <c r="Q27" s="181" t="str">
        <f>IFERROR(IF(J27&gt;0,VLOOKUP(J27,#REF!,MATCH($Q$6,#REF!,0),0),""),"")</f>
        <v/>
      </c>
      <c r="R27" s="181" t="str">
        <f>IFERROR(IF(J27&gt;0,VLOOKUP(J27,#REF!,MATCH($R$6,#REF!,0),0),""),"")</f>
        <v/>
      </c>
      <c r="S27" s="181" t="e">
        <f>IF(I27&gt;0,Q27+R27,"")</f>
        <v>#VALUE!</v>
      </c>
      <c r="T27" s="181" t="e">
        <f>Q27-L27</f>
        <v>#VALUE!</v>
      </c>
      <c r="U27" s="181" t="e">
        <f>R27-L27</f>
        <v>#VALUE!</v>
      </c>
      <c r="V27" s="37"/>
      <c r="W27" s="181" t="e">
        <f>IF(I27&gt;0,IF(S27&gt;L27,"READY STOCK",IF(S27=0,"OUT OF STOCK",IF(S27&lt;L27,"LOW STOCK",""))),"")</f>
        <v>#VALUE!</v>
      </c>
      <c r="X27" s="38"/>
      <c r="Y27" s="38"/>
      <c r="Z27" s="38"/>
      <c r="AA27" s="38"/>
      <c r="AB27" s="50">
        <v>46213</v>
      </c>
      <c r="AC27" s="181">
        <v>32915</v>
      </c>
      <c r="AD27" s="51">
        <v>7</v>
      </c>
      <c r="AE27" s="37" t="s">
        <v>383</v>
      </c>
      <c r="AF27" s="37" t="s">
        <v>381</v>
      </c>
      <c r="AG27" s="33" t="str">
        <f>IF(G27&gt;0,IF(AD27&gt;0,IF(AD27=0,"Waiting",IF(AD27&lt;L27,"Partial",IF(AD27=L27,"Full Supply",IF(AD27&gt;L27,"Over Shared")))),"Waiting"),"")</f>
        <v>Full Supply</v>
      </c>
      <c r="AH27" s="37"/>
      <c r="AI27" s="37"/>
      <c r="AJ27" s="181"/>
      <c r="AK27" s="40"/>
      <c r="AL27" s="40"/>
      <c r="AM27" s="40"/>
      <c r="AN27" s="37"/>
      <c r="AO27" s="34"/>
      <c r="AP27" s="37"/>
      <c r="AQ27" s="37"/>
      <c r="AR27" s="37"/>
      <c r="AS27" s="37"/>
      <c r="AT27" s="37">
        <f>AS27-AD27</f>
        <v>-7</v>
      </c>
      <c r="AU27" s="36" t="str">
        <f>IF(AR27=0,"Waiting",IF(AR27&lt;AH27,"Kurang",IF(AR27=AH27,"Sesuai",IF(AR27&gt;AH27,"Over Shared"))))</f>
        <v>Waiting</v>
      </c>
      <c r="AV27" s="37"/>
      <c r="AW27" s="37" t="str">
        <f>IFERROR(DATEDIF(AH27,AK27,"d"),"0")&amp;"-DAY"</f>
        <v>0-DAY</v>
      </c>
      <c r="AX27" s="37" t="str">
        <f>IFERROR(DATEDIF(B27,AB27,"d"),"0")&amp;"-DAY"</f>
        <v>3-DAY</v>
      </c>
      <c r="AY27" s="37"/>
      <c r="AZ27" s="181">
        <f>L27-AD27</f>
        <v>0</v>
      </c>
    </row>
    <row r="28" spans="1:52" ht="15.5" hidden="1" customHeight="1">
      <c r="A28" s="360" t="s">
        <v>372</v>
      </c>
      <c r="B28" s="340">
        <v>46210</v>
      </c>
      <c r="C28" s="181">
        <v>47759</v>
      </c>
      <c r="D28" s="30">
        <v>46210</v>
      </c>
      <c r="E28" s="30">
        <v>46206</v>
      </c>
      <c r="F28" s="30">
        <v>46237</v>
      </c>
      <c r="G28" s="37">
        <v>4420228789</v>
      </c>
      <c r="H28" s="37" t="s">
        <v>373</v>
      </c>
      <c r="I28" s="37">
        <v>9040020554</v>
      </c>
      <c r="J28" s="37" t="s">
        <v>297</v>
      </c>
      <c r="K28" s="325" t="s">
        <v>298</v>
      </c>
      <c r="L28" s="181">
        <v>3</v>
      </c>
      <c r="M28" s="181" t="s">
        <v>375</v>
      </c>
      <c r="N28" s="37" t="s">
        <v>408</v>
      </c>
      <c r="O28" s="31">
        <f>IF(F28&gt;0,F28-AB28,"")</f>
        <v>25</v>
      </c>
      <c r="P28" s="37" t="str">
        <f>IF(F28&gt;0,IF(AB28="","PLANNING SUPPLY",IF(AB28&lt;=F28,"ONTIME DELIVERY","DELAY")),"")</f>
        <v>ONTIME DELIVERY</v>
      </c>
      <c r="Q28" s="181" t="str">
        <f>IFERROR(IF(J28&gt;0,VLOOKUP(J28,#REF!,MATCH($Q$6,#REF!,0),0),""),"")</f>
        <v/>
      </c>
      <c r="R28" s="181" t="str">
        <f>IFERROR(IF(J28&gt;0,VLOOKUP(J28,#REF!,MATCH($R$6,#REF!,0),0),""),"")</f>
        <v/>
      </c>
      <c r="S28" s="181" t="e">
        <f>IF(I28&gt;0,Q28+R28,"")</f>
        <v>#VALUE!</v>
      </c>
      <c r="T28" s="181" t="e">
        <f>Q28-L28</f>
        <v>#VALUE!</v>
      </c>
      <c r="U28" s="181" t="e">
        <f>R28-L28</f>
        <v>#VALUE!</v>
      </c>
      <c r="V28" s="37"/>
      <c r="W28" s="181" t="e">
        <f>IF(I28&gt;0,IF(S28&gt;L28,"READY STOCK",IF(S28=0,"OUT OF STOCK",IF(S28&lt;L28,"LOW STOCK",""))),"")</f>
        <v>#VALUE!</v>
      </c>
      <c r="X28" s="38"/>
      <c r="Y28" s="38"/>
      <c r="Z28" s="38"/>
      <c r="AA28" s="38"/>
      <c r="AB28" s="50">
        <v>46212</v>
      </c>
      <c r="AC28" s="181">
        <v>32889</v>
      </c>
      <c r="AD28" s="51">
        <v>3</v>
      </c>
      <c r="AE28" s="37" t="s">
        <v>383</v>
      </c>
      <c r="AF28" s="37" t="s">
        <v>381</v>
      </c>
      <c r="AG28" s="33" t="str">
        <f>IF(G28&gt;0,IF(AD28&gt;0,IF(AD28=0,"Waiting",IF(AD28&lt;L28,"Partial",IF(AD28=L28,"Full Supply",IF(AD28&gt;L28,"Over Shared")))),"Waiting"),"")</f>
        <v>Full Supply</v>
      </c>
      <c r="AH28" s="37"/>
      <c r="AI28" s="37"/>
      <c r="AJ28" s="181"/>
      <c r="AK28" s="40"/>
      <c r="AL28" s="40"/>
      <c r="AM28" s="40"/>
      <c r="AN28" s="37" t="str">
        <f ca="1">IFERROR(__xludf.DUMMYFUNCTION("AI(""Fill an appropriate value for this cell based on the table context"")"),"")</f>
        <v/>
      </c>
      <c r="AO28" s="34"/>
      <c r="AP28" s="35">
        <v>46239</v>
      </c>
      <c r="AQ28" s="37"/>
      <c r="AR28" s="37"/>
      <c r="AS28" s="37">
        <v>3</v>
      </c>
      <c r="AT28" s="37">
        <f>AS28-AD28</f>
        <v>0</v>
      </c>
      <c r="AU28" s="36" t="str">
        <f>IF(AR28=0,"Waiting",IF(AR28&lt;AH28,"Kurang",IF(AR28=AH28,"Sesuai",IF(AR28&gt;AH28,"Over Shared"))))</f>
        <v>Waiting</v>
      </c>
      <c r="AV28" s="37"/>
      <c r="AW28" s="37" t="str">
        <f>IFERROR(DATEDIF(AH28,AK28,"d"),"0")&amp;"-DAY"</f>
        <v>0-DAY</v>
      </c>
      <c r="AX28" s="37" t="str">
        <f>IFERROR(DATEDIF(B28,AB28,"d"),"0")&amp;"-DAY"</f>
        <v>2-DAY</v>
      </c>
      <c r="AY28" s="37"/>
      <c r="AZ28" s="181">
        <f>L28-AD28</f>
        <v>0</v>
      </c>
    </row>
    <row r="29" spans="1:52" ht="15.5" hidden="1" customHeight="1">
      <c r="A29" s="360" t="s">
        <v>372</v>
      </c>
      <c r="B29" s="340">
        <v>46212</v>
      </c>
      <c r="C29" s="181">
        <v>47854</v>
      </c>
      <c r="D29" s="30">
        <v>46212</v>
      </c>
      <c r="E29" s="30">
        <v>46209</v>
      </c>
      <c r="F29" s="30">
        <v>46223</v>
      </c>
      <c r="G29" s="37">
        <v>4420228899</v>
      </c>
      <c r="H29" s="37" t="s">
        <v>373</v>
      </c>
      <c r="I29" s="37">
        <v>9040016582</v>
      </c>
      <c r="J29" s="37" t="s">
        <v>183</v>
      </c>
      <c r="K29" s="325" t="s">
        <v>184</v>
      </c>
      <c r="L29" s="181">
        <v>1</v>
      </c>
      <c r="M29" s="181" t="s">
        <v>375</v>
      </c>
      <c r="N29" s="37" t="s">
        <v>410</v>
      </c>
      <c r="O29" s="31">
        <f>IF(F29&gt;0,F29-AB29,"")</f>
        <v>6</v>
      </c>
      <c r="P29" s="37" t="str">
        <f>IF(F29&gt;0,IF(AB29="","PLANNING SUPPLY",IF(AB29&lt;=F29,"ONTIME DELIVERY","DELAY")),"")</f>
        <v>ONTIME DELIVERY</v>
      </c>
      <c r="Q29" s="181" t="str">
        <f>IFERROR(IF(J29&gt;0,VLOOKUP(J29,#REF!,MATCH($Q$6,#REF!,0),0),""),"")</f>
        <v/>
      </c>
      <c r="R29" s="181" t="str">
        <f>IFERROR(IF(J29&gt;0,VLOOKUP(J29,#REF!,MATCH($R$6,#REF!,0),0),""),"")</f>
        <v/>
      </c>
      <c r="S29" s="181" t="e">
        <f>IF(I29&gt;0,Q29+R29,"")</f>
        <v>#VALUE!</v>
      </c>
      <c r="T29" s="181" t="e">
        <f>Q29-L29</f>
        <v>#VALUE!</v>
      </c>
      <c r="U29" s="181" t="e">
        <f>R29-L29</f>
        <v>#VALUE!</v>
      </c>
      <c r="V29" s="37" t="s">
        <v>411</v>
      </c>
      <c r="W29" s="181" t="e">
        <f>IF(I29&gt;0,IF(S29&gt;L29,"READY STOCK",IF(S29=0,"OUT OF STOCK",IF(S29&lt;L29,"LOW STOCK",""))),"")</f>
        <v>#VALUE!</v>
      </c>
      <c r="X29" s="38"/>
      <c r="Y29" s="38"/>
      <c r="Z29" s="38"/>
      <c r="AA29" s="38"/>
      <c r="AB29" s="50">
        <v>46217</v>
      </c>
      <c r="AC29" s="181">
        <v>32994</v>
      </c>
      <c r="AD29" s="51">
        <v>1</v>
      </c>
      <c r="AE29" s="37" t="s">
        <v>383</v>
      </c>
      <c r="AF29" s="37" t="s">
        <v>381</v>
      </c>
      <c r="AG29" s="33" t="str">
        <f>IF(G29&gt;0,IF(AD29&gt;0,IF(AD29=0,"Waiting",IF(AD29&lt;L29,"Partial",IF(AD29=L29,"Full Supply",IF(AD29&gt;L29,"Over Shared")))),"Waiting"),"")</f>
        <v>Full Supply</v>
      </c>
      <c r="AH29" s="181" t="s">
        <v>411</v>
      </c>
      <c r="AI29" s="181"/>
      <c r="AJ29" s="181"/>
      <c r="AK29" s="40"/>
      <c r="AL29" s="40"/>
      <c r="AM29" s="40"/>
      <c r="AN29" s="37"/>
      <c r="AO29" s="34"/>
      <c r="AP29" s="35">
        <v>46239</v>
      </c>
      <c r="AQ29" s="37"/>
      <c r="AR29" s="37"/>
      <c r="AS29" s="37">
        <v>1</v>
      </c>
      <c r="AT29" s="37">
        <f>AS29-AD29</f>
        <v>0</v>
      </c>
      <c r="AU29" s="36" t="str">
        <f>IF(AR29=0,"Waiting",IF(AR29&lt;AH29,"Kurang",IF(AR29=AH29,"Sesuai",IF(AR29&gt;AH29,"Over Shared"))))</f>
        <v>Waiting</v>
      </c>
      <c r="AV29" s="181">
        <v>53162</v>
      </c>
      <c r="AW29" s="37" t="str">
        <f>IFERROR(DATEDIF(AH29,AK29,"d"),"0")&amp;"-DAY"</f>
        <v>0-DAY</v>
      </c>
      <c r="AX29" s="37" t="str">
        <f>IFERROR(DATEDIF(B29,AB29,"d"),"0")&amp;"-DAY"</f>
        <v>5-DAY</v>
      </c>
      <c r="AY29" s="37"/>
      <c r="AZ29" s="181">
        <f>L29-AD29</f>
        <v>0</v>
      </c>
    </row>
    <row r="30" spans="1:52" ht="15.5" hidden="1" customHeight="1">
      <c r="A30" s="360" t="s">
        <v>372</v>
      </c>
      <c r="B30" s="340">
        <v>46212</v>
      </c>
      <c r="C30" s="181">
        <v>47854</v>
      </c>
      <c r="D30" s="30">
        <v>46212</v>
      </c>
      <c r="E30" s="30">
        <v>46209</v>
      </c>
      <c r="F30" s="30">
        <v>46223</v>
      </c>
      <c r="G30" s="37">
        <v>4420228899</v>
      </c>
      <c r="H30" s="37" t="s">
        <v>373</v>
      </c>
      <c r="I30" s="37">
        <v>9040016581</v>
      </c>
      <c r="J30" s="37" t="s">
        <v>185</v>
      </c>
      <c r="K30" s="325" t="s">
        <v>186</v>
      </c>
      <c r="L30" s="181">
        <v>1</v>
      </c>
      <c r="M30" s="181" t="s">
        <v>375</v>
      </c>
      <c r="N30" s="37" t="s">
        <v>410</v>
      </c>
      <c r="O30" s="31">
        <f>IF(F30&gt;0,F30-AB30,"")</f>
        <v>6</v>
      </c>
      <c r="P30" s="37" t="str">
        <f>IF(F30&gt;0,IF(AB30="","PLANNING SUPPLY",IF(AB30&lt;=F30,"ONTIME DELIVERY","DELAY")),"")</f>
        <v>ONTIME DELIVERY</v>
      </c>
      <c r="Q30" s="181" t="str">
        <f>IFERROR(IF(J30&gt;0,VLOOKUP(J30,#REF!,MATCH($Q$6,#REF!,0),0),""),"")</f>
        <v/>
      </c>
      <c r="R30" s="181" t="str">
        <f>IFERROR(IF(J30&gt;0,VLOOKUP(J30,#REF!,MATCH($R$6,#REF!,0),0),""),"")</f>
        <v/>
      </c>
      <c r="S30" s="181" t="e">
        <f>IF(I30&gt;0,Q30+R30,"")</f>
        <v>#VALUE!</v>
      </c>
      <c r="T30" s="181" t="e">
        <f>Q30-L30</f>
        <v>#VALUE!</v>
      </c>
      <c r="U30" s="181" t="e">
        <f>R30-L30</f>
        <v>#VALUE!</v>
      </c>
      <c r="V30" s="37" t="s">
        <v>411</v>
      </c>
      <c r="W30" s="181" t="e">
        <f>IF(I30&gt;0,IF(S30&gt;L30,"READY STOCK",IF(S30=0,"OUT OF STOCK",IF(S30&lt;L30,"LOW STOCK",""))),"")</f>
        <v>#VALUE!</v>
      </c>
      <c r="X30" s="38"/>
      <c r="Y30" s="38"/>
      <c r="Z30" s="38"/>
      <c r="AA30" s="38"/>
      <c r="AB30" s="50">
        <v>46217</v>
      </c>
      <c r="AC30" s="181">
        <v>32994</v>
      </c>
      <c r="AD30" s="51">
        <v>1</v>
      </c>
      <c r="AE30" s="37" t="s">
        <v>383</v>
      </c>
      <c r="AF30" s="37" t="s">
        <v>381</v>
      </c>
      <c r="AG30" s="33" t="str">
        <f>IF(G30&gt;0,IF(AD30&gt;0,IF(AD30=0,"Waiting",IF(AD30&lt;L30,"Partial",IF(AD30=L30,"Full Supply",IF(AD30&gt;L30,"Over Shared")))),"Waiting"),"")</f>
        <v>Full Supply</v>
      </c>
      <c r="AH30" s="181" t="s">
        <v>411</v>
      </c>
      <c r="AI30" s="181"/>
      <c r="AJ30" s="181"/>
      <c r="AK30" s="40"/>
      <c r="AL30" s="40"/>
      <c r="AM30" s="40"/>
      <c r="AN30" s="37"/>
      <c r="AO30" s="34"/>
      <c r="AP30" s="35">
        <v>46239</v>
      </c>
      <c r="AQ30" s="37"/>
      <c r="AR30" s="37"/>
      <c r="AS30" s="37">
        <v>1</v>
      </c>
      <c r="AT30" s="37">
        <f>AS30-AD30</f>
        <v>0</v>
      </c>
      <c r="AU30" s="36" t="str">
        <f>IF(AR30=0,"Waiting",IF(AR30&lt;AH30,"Kurang",IF(AR30=AH30,"Sesuai",IF(AR30&gt;AH30,"Over Shared"))))</f>
        <v>Waiting</v>
      </c>
      <c r="AV30" s="181">
        <v>53162</v>
      </c>
      <c r="AW30" s="37" t="str">
        <f>IFERROR(DATEDIF(AH30,AK30,"d"),"0")&amp;"-DAY"</f>
        <v>0-DAY</v>
      </c>
      <c r="AX30" s="37" t="str">
        <f>IFERROR(DATEDIF(B30,AB30,"d"),"0")&amp;"-DAY"</f>
        <v>5-DAY</v>
      </c>
      <c r="AY30" s="37"/>
      <c r="AZ30" s="181">
        <f>L30-AD30</f>
        <v>0</v>
      </c>
    </row>
    <row r="31" spans="1:52" ht="15.5" hidden="1" customHeight="1">
      <c r="A31" s="360" t="s">
        <v>372</v>
      </c>
      <c r="B31" s="340">
        <v>46212</v>
      </c>
      <c r="C31" s="181">
        <v>47857</v>
      </c>
      <c r="D31" s="30">
        <v>46212</v>
      </c>
      <c r="E31" s="30">
        <v>46211</v>
      </c>
      <c r="F31" s="30">
        <v>46233</v>
      </c>
      <c r="G31" s="37">
        <v>4420229126</v>
      </c>
      <c r="H31" s="37" t="s">
        <v>373</v>
      </c>
      <c r="I31" s="37">
        <v>9040067000</v>
      </c>
      <c r="J31" s="37" t="s">
        <v>157</v>
      </c>
      <c r="K31" s="325" t="s">
        <v>158</v>
      </c>
      <c r="L31" s="181">
        <v>34</v>
      </c>
      <c r="M31" s="181" t="s">
        <v>375</v>
      </c>
      <c r="N31" s="37" t="s">
        <v>400</v>
      </c>
      <c r="O31" s="31">
        <f>IF(F31&gt;0,F31-AB31,"")</f>
        <v>20</v>
      </c>
      <c r="P31" s="37" t="str">
        <f>IF(F31&gt;0,IF(AB31="","PLANNING SUPPLY",IF(AB31&lt;=F31,"ONTIME DELIVERY","DELAY")),"")</f>
        <v>ONTIME DELIVERY</v>
      </c>
      <c r="Q31" s="181" t="str">
        <f>IFERROR(IF(J31&gt;0,VLOOKUP(J31,#REF!,MATCH($Q$6,#REF!,0),0),""),"")</f>
        <v/>
      </c>
      <c r="R31" s="181" t="str">
        <f>IFERROR(IF(J31&gt;0,VLOOKUP(J31,#REF!,MATCH($R$6,#REF!,0),0),""),"")</f>
        <v/>
      </c>
      <c r="S31" s="181" t="e">
        <f>IF(I31&gt;0,Q31+R31,"")</f>
        <v>#VALUE!</v>
      </c>
      <c r="T31" s="181" t="e">
        <f>Q31-L31</f>
        <v>#VALUE!</v>
      </c>
      <c r="U31" s="181" t="e">
        <f>R31-L31</f>
        <v>#VALUE!</v>
      </c>
      <c r="V31" s="37"/>
      <c r="W31" s="181" t="e">
        <f>IF(I31&gt;0,IF(S31&gt;L31,"READY STOCK",IF(S31=0,"OUT OF STOCK",IF(S31&lt;L31,"LOW STOCK",""))),"")</f>
        <v>#VALUE!</v>
      </c>
      <c r="X31" s="38"/>
      <c r="Y31" s="38"/>
      <c r="Z31" s="38"/>
      <c r="AA31" s="38"/>
      <c r="AB31" s="50">
        <v>46213</v>
      </c>
      <c r="AC31" s="181">
        <v>32917</v>
      </c>
      <c r="AD31" s="51">
        <v>34</v>
      </c>
      <c r="AE31" s="37" t="s">
        <v>383</v>
      </c>
      <c r="AF31" s="37" t="s">
        <v>381</v>
      </c>
      <c r="AG31" s="33" t="str">
        <f>IF(G31&gt;0,IF(AD31&gt;0,IF(AD31=0,"Waiting",IF(AD31&lt;L31,"Partial",IF(AD31=L31,"Full Supply",IF(AD31&gt;L31,"Over Shared")))),"Waiting"),"")</f>
        <v>Full Supply</v>
      </c>
      <c r="AH31" s="37"/>
      <c r="AI31" s="37"/>
      <c r="AJ31" s="181"/>
      <c r="AK31" s="40"/>
      <c r="AL31" s="40"/>
      <c r="AM31" s="40"/>
      <c r="AN31" s="37"/>
      <c r="AO31" s="34"/>
      <c r="AP31" s="37"/>
      <c r="AQ31" s="37"/>
      <c r="AR31" s="37"/>
      <c r="AS31" s="37"/>
      <c r="AT31" s="37">
        <f>AS31-AD31</f>
        <v>-34</v>
      </c>
      <c r="AU31" s="36" t="str">
        <f>IF(AR31=0,"Waiting",IF(AR31&lt;AH31,"Kurang",IF(AR31=AH31,"Sesuai",IF(AR31&gt;AH31,"Over Shared"))))</f>
        <v>Waiting</v>
      </c>
      <c r="AV31" s="37"/>
      <c r="AW31" s="37" t="str">
        <f>IFERROR(DATEDIF(AH31,AK31,"d"),"0")&amp;"-DAY"</f>
        <v>0-DAY</v>
      </c>
      <c r="AX31" s="37" t="str">
        <f>IFERROR(DATEDIF(B31,AB31,"d"),"0")&amp;"-DAY"</f>
        <v>1-DAY</v>
      </c>
      <c r="AY31" s="37"/>
      <c r="AZ31" s="181">
        <f>L31-AD31</f>
        <v>0</v>
      </c>
    </row>
    <row r="32" spans="1:52" ht="15.5" hidden="1" customHeight="1">
      <c r="A32" s="360" t="s">
        <v>372</v>
      </c>
      <c r="B32" s="340">
        <v>46212</v>
      </c>
      <c r="C32" s="181">
        <v>47857</v>
      </c>
      <c r="D32" s="30">
        <v>46212</v>
      </c>
      <c r="E32" s="30">
        <v>46211</v>
      </c>
      <c r="F32" s="30">
        <v>46233</v>
      </c>
      <c r="G32" s="37">
        <v>4420229126</v>
      </c>
      <c r="H32" s="37" t="s">
        <v>373</v>
      </c>
      <c r="I32" s="37">
        <v>9040016343</v>
      </c>
      <c r="J32" s="37" t="s">
        <v>211</v>
      </c>
      <c r="K32" s="325" t="s">
        <v>212</v>
      </c>
      <c r="L32" s="181">
        <v>1</v>
      </c>
      <c r="M32" s="181" t="s">
        <v>421</v>
      </c>
      <c r="N32" s="37" t="s">
        <v>400</v>
      </c>
      <c r="O32" s="31">
        <f>IF(F32&gt;0,F32-AB32,"")</f>
        <v>-6</v>
      </c>
      <c r="P32" s="37" t="str">
        <f>IF(F32&gt;0,IF(AB32="","PLANNING SUPPLY",IF(AB32&lt;=F32,"ONTIME DELIVERY","DELAY")),"")</f>
        <v>DELAY</v>
      </c>
      <c r="Q32" s="181" t="str">
        <f>IFERROR(IF(J32&gt;0,VLOOKUP(J32,#REF!,MATCH($Q$6,#REF!,0),0),""),"")</f>
        <v/>
      </c>
      <c r="R32" s="181" t="str">
        <f>IFERROR(IF(J32&gt;0,VLOOKUP(J32,#REF!,MATCH($R$6,#REF!,0),0),""),"")</f>
        <v/>
      </c>
      <c r="S32" s="181" t="e">
        <f>IF(I32&gt;0,Q32+R32,"")</f>
        <v>#VALUE!</v>
      </c>
      <c r="T32" s="181" t="e">
        <f>Q32-L32</f>
        <v>#VALUE!</v>
      </c>
      <c r="U32" s="181" t="e">
        <f>R32-L32</f>
        <v>#VALUE!</v>
      </c>
      <c r="V32" s="37"/>
      <c r="W32" s="181" t="e">
        <f>IF(I32&gt;0,IF(S32&gt;L32,"READY STOCK",IF(S32=0,"OUT OF STOCK",IF(S32&lt;L32,"LOW STOCK",""))),"")</f>
        <v>#VALUE!</v>
      </c>
      <c r="X32" s="38"/>
      <c r="Y32" s="38"/>
      <c r="Z32" s="38"/>
      <c r="AA32" s="38"/>
      <c r="AB32" s="50">
        <v>46239</v>
      </c>
      <c r="AC32" s="181">
        <v>33394</v>
      </c>
      <c r="AD32" s="51">
        <v>1</v>
      </c>
      <c r="AE32" s="37" t="s">
        <v>383</v>
      </c>
      <c r="AF32" s="37" t="s">
        <v>381</v>
      </c>
      <c r="AG32" s="33" t="str">
        <f>IF(G32&gt;0,IF(AD32&gt;0,IF(AD32=0,"Waiting",IF(AD32&lt;L32,"Partial",IF(AD32=L32,"Full Supply",IF(AD32&gt;L32,"Over Shared")))),"Waiting"),"")</f>
        <v>Full Supply</v>
      </c>
      <c r="AH32" s="326">
        <v>46212</v>
      </c>
      <c r="AI32" s="327" t="s">
        <v>391</v>
      </c>
      <c r="AJ32" s="328">
        <v>50</v>
      </c>
      <c r="AK32" s="40">
        <v>25592</v>
      </c>
      <c r="AL32" s="42">
        <v>46213</v>
      </c>
      <c r="AM32" s="40">
        <v>20</v>
      </c>
      <c r="AN32" s="37"/>
      <c r="AO32" s="43">
        <v>46217</v>
      </c>
      <c r="AP32" s="37"/>
      <c r="AQ32" s="37"/>
      <c r="AR32" s="37"/>
      <c r="AS32" s="37"/>
      <c r="AT32" s="37">
        <f>AS32-AD32</f>
        <v>-1</v>
      </c>
      <c r="AU32" s="36" t="str">
        <f>IF(AR32=0,"Waiting",IF(AR32&lt;AH32,"Kurang",IF(AR32=AH32,"Sesuai",IF(AR32&gt;AH32,"Over Shared"))))</f>
        <v>Waiting</v>
      </c>
      <c r="AV32" s="37"/>
      <c r="AW32" s="37" t="str">
        <f>IFERROR(DATEDIF(AH32,AK32,"d"),"0")&amp;"-DAY"</f>
        <v>0-DAY</v>
      </c>
      <c r="AX32" s="37" t="str">
        <f>IFERROR(DATEDIF(B32,AB32,"d"),"0")&amp;"-DAY"</f>
        <v>27-DAY</v>
      </c>
      <c r="AY32" s="37"/>
      <c r="AZ32" s="181">
        <f>L32-AD32</f>
        <v>0</v>
      </c>
    </row>
    <row r="33" spans="1:52" ht="15.5" hidden="1" customHeight="1">
      <c r="A33" s="360" t="s">
        <v>372</v>
      </c>
      <c r="B33" s="340">
        <v>46212</v>
      </c>
      <c r="C33" s="181">
        <v>47857</v>
      </c>
      <c r="D33" s="30">
        <v>46212</v>
      </c>
      <c r="E33" s="30">
        <v>46211</v>
      </c>
      <c r="F33" s="30">
        <v>46233</v>
      </c>
      <c r="G33" s="37">
        <v>4420229126</v>
      </c>
      <c r="H33" s="37" t="s">
        <v>373</v>
      </c>
      <c r="I33" s="37">
        <v>9040042224</v>
      </c>
      <c r="J33" s="37" t="s">
        <v>195</v>
      </c>
      <c r="K33" s="325" t="s">
        <v>196</v>
      </c>
      <c r="L33" s="181">
        <v>1</v>
      </c>
      <c r="M33" s="181" t="s">
        <v>421</v>
      </c>
      <c r="N33" s="37" t="s">
        <v>400</v>
      </c>
      <c r="O33" s="31">
        <f>IF(F33&gt;0,F33-AB33,"")</f>
        <v>2</v>
      </c>
      <c r="P33" s="37" t="str">
        <f>IF(F33&gt;0,IF(AB33="","PLANNING SUPPLY",IF(AB33&lt;=F33,"ONTIME DELIVERY","DELAY")),"")</f>
        <v>ONTIME DELIVERY</v>
      </c>
      <c r="Q33" s="181" t="str">
        <f>IFERROR(IF(J33&gt;0,VLOOKUP(J33,#REF!,MATCH($Q$6,#REF!,0),0),""),"")</f>
        <v/>
      </c>
      <c r="R33" s="181" t="str">
        <f>IFERROR(IF(J33&gt;0,VLOOKUP(J33,#REF!,MATCH($R$6,#REF!,0),0),""),"")</f>
        <v/>
      </c>
      <c r="S33" s="181" t="e">
        <f>IF(I33&gt;0,Q33+R33,"")</f>
        <v>#VALUE!</v>
      </c>
      <c r="T33" s="181" t="e">
        <f>Q33-L33</f>
        <v>#VALUE!</v>
      </c>
      <c r="U33" s="181" t="e">
        <f>R33-L33</f>
        <v>#VALUE!</v>
      </c>
      <c r="V33" s="37"/>
      <c r="W33" s="181" t="e">
        <f>IF(I33&gt;0,IF(S33&gt;L33,"READY STOCK",IF(S33=0,"OUT OF STOCK",IF(S33&lt;L33,"LOW STOCK",""))),"")</f>
        <v>#VALUE!</v>
      </c>
      <c r="X33" s="181">
        <v>33121</v>
      </c>
      <c r="Y33" s="38">
        <v>46224</v>
      </c>
      <c r="Z33" s="181" t="s">
        <v>407</v>
      </c>
      <c r="AA33" s="181" t="s">
        <v>397</v>
      </c>
      <c r="AB33" s="50">
        <v>46231</v>
      </c>
      <c r="AC33" s="181">
        <v>33218</v>
      </c>
      <c r="AD33" s="51">
        <v>1</v>
      </c>
      <c r="AE33" s="37" t="s">
        <v>383</v>
      </c>
      <c r="AF33" s="37" t="s">
        <v>381</v>
      </c>
      <c r="AG33" s="33" t="str">
        <f>IF(G33&gt;0,IF(AD33&gt;0,IF(AD33=0,"Waiting",IF(AD33&lt;L33,"Partial",IF(AD33=L33,"Full Supply",IF(AD33&gt;L33,"Over Shared")))),"Waiting"),"")</f>
        <v>Full Supply</v>
      </c>
      <c r="AH33" s="326">
        <v>46212</v>
      </c>
      <c r="AI33" s="327" t="s">
        <v>391</v>
      </c>
      <c r="AJ33" s="328">
        <v>25</v>
      </c>
      <c r="AK33" s="40">
        <v>25593</v>
      </c>
      <c r="AL33" s="42">
        <v>46213</v>
      </c>
      <c r="AM33" s="40">
        <v>25</v>
      </c>
      <c r="AN33" s="37"/>
      <c r="AO33" s="41">
        <v>46220</v>
      </c>
      <c r="AP33" s="37"/>
      <c r="AQ33" s="37"/>
      <c r="AR33" s="37"/>
      <c r="AS33" s="37"/>
      <c r="AT33" s="37">
        <f>AS33-AD33</f>
        <v>-1</v>
      </c>
      <c r="AU33" s="36" t="str">
        <f>IF(AR33=0,"Waiting",IF(AR33&lt;AH33,"Kurang",IF(AR33=AH33,"Sesuai",IF(AR33&gt;AH33,"Over Shared"))))</f>
        <v>Waiting</v>
      </c>
      <c r="AV33" s="37"/>
      <c r="AW33" s="37" t="str">
        <f>IFERROR(DATEDIF(AH33,AK33,"d"),"0")&amp;"-DAY"</f>
        <v>0-DAY</v>
      </c>
      <c r="AX33" s="37" t="str">
        <f>IFERROR(DATEDIF(B33,AB33,"d"),"0")&amp;"-DAY"</f>
        <v>19-DAY</v>
      </c>
      <c r="AY33" s="37"/>
      <c r="AZ33" s="181">
        <f>L33-AD33</f>
        <v>0</v>
      </c>
    </row>
    <row r="34" spans="1:52" ht="15.5" hidden="1" customHeight="1">
      <c r="A34" s="360" t="s">
        <v>372</v>
      </c>
      <c r="B34" s="340">
        <v>46212</v>
      </c>
      <c r="C34" s="181">
        <v>47858</v>
      </c>
      <c r="D34" s="30">
        <v>46212</v>
      </c>
      <c r="E34" s="30">
        <v>46211</v>
      </c>
      <c r="F34" s="30">
        <v>46233</v>
      </c>
      <c r="G34" s="37">
        <v>4420229059</v>
      </c>
      <c r="H34" s="37" t="s">
        <v>373</v>
      </c>
      <c r="I34" s="37">
        <v>9040009391</v>
      </c>
      <c r="J34" s="37" t="s">
        <v>293</v>
      </c>
      <c r="K34" s="325" t="s">
        <v>294</v>
      </c>
      <c r="L34" s="181">
        <v>10</v>
      </c>
      <c r="M34" s="181" t="s">
        <v>425</v>
      </c>
      <c r="N34" s="37" t="s">
        <v>408</v>
      </c>
      <c r="O34" s="31">
        <f>IF(F34&gt;0,F34-AB34,"")</f>
        <v>7</v>
      </c>
      <c r="P34" s="37" t="str">
        <f>IF(F34&gt;0,IF(AB34="","PLANNING SUPPLY",IF(AB34&lt;=F34,"ONTIME DELIVERY","DELAY")),"")</f>
        <v>ONTIME DELIVERY</v>
      </c>
      <c r="Q34" s="181" t="str">
        <f>IFERROR(IF(J34&gt;0,VLOOKUP(J34,#REF!,MATCH($Q$6,#REF!,0),0),""),"")</f>
        <v/>
      </c>
      <c r="R34" s="181" t="str">
        <f>IFERROR(IF(J34&gt;0,VLOOKUP(J34,#REF!,MATCH($R$6,#REF!,0),0),""),"")</f>
        <v/>
      </c>
      <c r="S34" s="181" t="e">
        <f>IF(I34&gt;0,Q34+R34,"")</f>
        <v>#VALUE!</v>
      </c>
      <c r="T34" s="181" t="e">
        <f>Q34-L34</f>
        <v>#VALUE!</v>
      </c>
      <c r="U34" s="181" t="e">
        <f>R34-L34</f>
        <v>#VALUE!</v>
      </c>
      <c r="V34" s="37" t="s">
        <v>426</v>
      </c>
      <c r="W34" s="181" t="e">
        <f>IF(I34&gt;0,IF(S34&gt;L34,"READY STOCK",IF(S34=0,"OUT OF STOCK",IF(S34&lt;L34,"LOW STOCK",""))),"")</f>
        <v>#VALUE!</v>
      </c>
      <c r="X34" s="38"/>
      <c r="Y34" s="38"/>
      <c r="Z34" s="38"/>
      <c r="AA34" s="38"/>
      <c r="AB34" s="50">
        <v>46226</v>
      </c>
      <c r="AC34" s="181">
        <v>32977.331389999999</v>
      </c>
      <c r="AD34" s="51">
        <f>7+3</f>
        <v>10</v>
      </c>
      <c r="AE34" s="37" t="s">
        <v>383</v>
      </c>
      <c r="AF34" s="37" t="s">
        <v>381</v>
      </c>
      <c r="AG34" s="33" t="str">
        <f>IF(G34&gt;0,IF(AD34&gt;0,IF(AD34=0,"Waiting",IF(AD34&lt;L34,"Partial",IF(AD34=L34,"Full Supply",IF(AD34&gt;L34,"Over Shared")))),"Waiting"),"")</f>
        <v>Full Supply</v>
      </c>
      <c r="AH34" s="37"/>
      <c r="AI34" s="37"/>
      <c r="AJ34" s="181"/>
      <c r="AK34" s="40"/>
      <c r="AL34" s="40"/>
      <c r="AM34" s="40"/>
      <c r="AN34" s="37"/>
      <c r="AO34" s="34"/>
      <c r="AP34" s="35">
        <v>46239</v>
      </c>
      <c r="AQ34" s="37"/>
      <c r="AR34" s="37"/>
      <c r="AS34" s="37">
        <v>3</v>
      </c>
      <c r="AT34" s="37">
        <f>AS34-AD34</f>
        <v>-7</v>
      </c>
      <c r="AU34" s="36" t="str">
        <f>IF(AR34=0,"Waiting",IF(AR34&lt;AH34,"Kurang",IF(AR34=AH34,"Sesuai",IF(AR34&gt;AH34,"Over Shared"))))</f>
        <v>Waiting</v>
      </c>
      <c r="AV34" s="37">
        <v>53159</v>
      </c>
      <c r="AW34" s="37" t="str">
        <f>IFERROR(DATEDIF(AH34,AK34,"d"),"0")&amp;"-DAY"</f>
        <v>0-DAY</v>
      </c>
      <c r="AX34" s="37" t="str">
        <f>IFERROR(DATEDIF(B34,AB34,"d"),"0")&amp;"-DAY"</f>
        <v>14-DAY</v>
      </c>
      <c r="AY34" s="37"/>
      <c r="AZ34" s="181">
        <f>L34-AD34</f>
        <v>0</v>
      </c>
    </row>
    <row r="35" spans="1:52" ht="15.5" hidden="1" customHeight="1">
      <c r="A35" s="360" t="s">
        <v>372</v>
      </c>
      <c r="B35" s="340">
        <v>46212</v>
      </c>
      <c r="C35" s="181">
        <v>47858</v>
      </c>
      <c r="D35" s="30">
        <v>46212</v>
      </c>
      <c r="E35" s="30">
        <v>46211</v>
      </c>
      <c r="F35" s="30">
        <v>46233</v>
      </c>
      <c r="G35" s="37">
        <v>4420229059</v>
      </c>
      <c r="H35" s="37" t="s">
        <v>373</v>
      </c>
      <c r="I35" s="37">
        <v>9040040609</v>
      </c>
      <c r="J35" s="37" t="s">
        <v>266</v>
      </c>
      <c r="K35" s="325" t="s">
        <v>267</v>
      </c>
      <c r="L35" s="181">
        <v>5</v>
      </c>
      <c r="M35" s="181" t="s">
        <v>425</v>
      </c>
      <c r="N35" s="37" t="s">
        <v>408</v>
      </c>
      <c r="O35" s="31">
        <f>IF(F35&gt;0,F35-AB35,"")</f>
        <v>13</v>
      </c>
      <c r="P35" s="37" t="str">
        <f>IF(F35&gt;0,IF(AB35="","PLANNING SUPPLY",IF(AB35&lt;=F35,"ONTIME DELIVERY","DELAY")),"")</f>
        <v>ONTIME DELIVERY</v>
      </c>
      <c r="Q35" s="181" t="str">
        <f>IFERROR(IF(J35&gt;0,VLOOKUP(J35,#REF!,MATCH($Q$6,#REF!,0),0),""),"")</f>
        <v/>
      </c>
      <c r="R35" s="181" t="str">
        <f>IFERROR(IF(J35&gt;0,VLOOKUP(J35,#REF!,MATCH($R$6,#REF!,0),0),""),"")</f>
        <v/>
      </c>
      <c r="S35" s="181" t="e">
        <f>IF(I35&gt;0,Q35+R35,"")</f>
        <v>#VALUE!</v>
      </c>
      <c r="T35" s="181" t="e">
        <f>Q35-L35</f>
        <v>#VALUE!</v>
      </c>
      <c r="U35" s="181" t="e">
        <f>R35-L35</f>
        <v>#VALUE!</v>
      </c>
      <c r="V35" s="37" t="s">
        <v>392</v>
      </c>
      <c r="W35" s="181" t="e">
        <f>IF(I35&gt;0,IF(S35&gt;L35,"READY STOCK",IF(S35=0,"OUT OF STOCK",IF(S35&lt;L35,"LOW STOCK",""))),"")</f>
        <v>#VALUE!</v>
      </c>
      <c r="X35" s="38"/>
      <c r="Y35" s="38"/>
      <c r="Z35" s="38"/>
      <c r="AA35" s="38"/>
      <c r="AB35" s="50">
        <v>46220</v>
      </c>
      <c r="AC35" s="181">
        <v>33040</v>
      </c>
      <c r="AD35" s="51">
        <v>5</v>
      </c>
      <c r="AE35" s="37" t="s">
        <v>383</v>
      </c>
      <c r="AF35" s="37" t="s">
        <v>381</v>
      </c>
      <c r="AG35" s="33" t="str">
        <f>IF(G35&gt;0,IF(AD35&gt;0,IF(AD35=0,"Waiting",IF(AD35&lt;L35,"Partial",IF(AD35=L35,"Full Supply",IF(AD35&gt;L35,"Over Shared")))),"Waiting"),"")</f>
        <v>Full Supply</v>
      </c>
      <c r="AH35" s="37"/>
      <c r="AI35" s="37"/>
      <c r="AJ35" s="181"/>
      <c r="AK35" s="40"/>
      <c r="AL35" s="40"/>
      <c r="AM35" s="40"/>
      <c r="AN35" s="37"/>
      <c r="AO35" s="34"/>
      <c r="AP35" s="37"/>
      <c r="AQ35" s="37"/>
      <c r="AR35" s="37"/>
      <c r="AS35" s="37"/>
      <c r="AT35" s="37">
        <f>AS35-AD35</f>
        <v>-5</v>
      </c>
      <c r="AU35" s="36" t="str">
        <f>IF(AR35=0,"Waiting",IF(AR35&lt;AH35,"Kurang",IF(AR35=AH35,"Sesuai",IF(AR35&gt;AH35,"Over Shared"))))</f>
        <v>Waiting</v>
      </c>
      <c r="AV35" s="37"/>
      <c r="AW35" s="37" t="str">
        <f>IFERROR(DATEDIF(AH35,AK35,"d"),"0")&amp;"-DAY"</f>
        <v>0-DAY</v>
      </c>
      <c r="AX35" s="37" t="str">
        <f>IFERROR(DATEDIF(B35,AB35,"d"),"0")&amp;"-DAY"</f>
        <v>8-DAY</v>
      </c>
      <c r="AY35" s="37"/>
      <c r="AZ35" s="181">
        <f>L35-AD35</f>
        <v>0</v>
      </c>
    </row>
    <row r="36" spans="1:52" ht="15.5" hidden="1" customHeight="1">
      <c r="A36" s="360" t="s">
        <v>372</v>
      </c>
      <c r="B36" s="340">
        <v>46212</v>
      </c>
      <c r="C36" s="181">
        <v>47858</v>
      </c>
      <c r="D36" s="30">
        <v>46212</v>
      </c>
      <c r="E36" s="30">
        <v>46211</v>
      </c>
      <c r="F36" s="30">
        <v>46233</v>
      </c>
      <c r="G36" s="37">
        <v>4420229059</v>
      </c>
      <c r="H36" s="37" t="s">
        <v>373</v>
      </c>
      <c r="I36" s="37">
        <v>9040054960</v>
      </c>
      <c r="J36" s="37" t="s">
        <v>306</v>
      </c>
      <c r="K36" s="325" t="s">
        <v>307</v>
      </c>
      <c r="L36" s="181">
        <v>1</v>
      </c>
      <c r="M36" s="181" t="s">
        <v>429</v>
      </c>
      <c r="N36" s="37" t="s">
        <v>408</v>
      </c>
      <c r="O36" s="31">
        <f>IF(F36&gt;0,F36-AB36,"")</f>
        <v>6</v>
      </c>
      <c r="P36" s="37" t="str">
        <f>IF(F36&gt;0,IF(AB36="","PLANNING SUPPLY",IF(AB36&lt;=F36,"ONTIME DELIVERY","DELAY")),"")</f>
        <v>ONTIME DELIVERY</v>
      </c>
      <c r="Q36" s="181" t="str">
        <f>IFERROR(IF(J36&gt;0,VLOOKUP(J36,#REF!,MATCH($Q$6,#REF!,0),0),""),"")</f>
        <v/>
      </c>
      <c r="R36" s="181" t="str">
        <f>IFERROR(IF(J36&gt;0,VLOOKUP(J36,#REF!,MATCH($R$6,#REF!,0),0),""),"")</f>
        <v/>
      </c>
      <c r="S36" s="181" t="e">
        <f>IF(I36&gt;0,Q36+R36,"")</f>
        <v>#VALUE!</v>
      </c>
      <c r="T36" s="181" t="e">
        <f>Q36-L36</f>
        <v>#VALUE!</v>
      </c>
      <c r="U36" s="181" t="e">
        <f>R36-L36</f>
        <v>#VALUE!</v>
      </c>
      <c r="V36" s="37"/>
      <c r="W36" s="181" t="e">
        <f>IF(I36&gt;0,IF(S36&gt;L36,"READY STOCK",IF(S36=0,"OUT OF STOCK",IF(S36&lt;L36,"LOW STOCK",""))),"")</f>
        <v>#VALUE!</v>
      </c>
      <c r="X36" s="38"/>
      <c r="Y36" s="38"/>
      <c r="Z36" s="38"/>
      <c r="AA36" s="38"/>
      <c r="AB36" s="50">
        <v>46227</v>
      </c>
      <c r="AC36" s="181">
        <v>33139</v>
      </c>
      <c r="AD36" s="51">
        <v>1</v>
      </c>
      <c r="AE36" s="37" t="s">
        <v>383</v>
      </c>
      <c r="AF36" s="37" t="s">
        <v>381</v>
      </c>
      <c r="AG36" s="33" t="str">
        <f>IF(G36&gt;0,IF(AD36&gt;0,IF(AD36=0,"Waiting",IF(AD36&lt;L36,"Partial",IF(AD36=L36,"Full Supply",IF(AD36&gt;L36,"Over Shared")))),"Waiting"),"")</f>
        <v>Full Supply</v>
      </c>
      <c r="AH36" s="47" t="s">
        <v>430</v>
      </c>
      <c r="AI36" s="181"/>
      <c r="AJ36" s="181"/>
      <c r="AK36" s="40"/>
      <c r="AL36" s="40"/>
      <c r="AM36" s="40"/>
      <c r="AN36" s="37"/>
      <c r="AO36" s="34"/>
      <c r="AP36" s="37"/>
      <c r="AQ36" s="37"/>
      <c r="AR36" s="37"/>
      <c r="AS36" s="37"/>
      <c r="AT36" s="37">
        <f>AS36-AD36</f>
        <v>-1</v>
      </c>
      <c r="AU36" s="36" t="str">
        <f>IF(AR36=0,"Waiting",IF(AR36&lt;AH36,"Kurang",IF(AR36=AH36,"Sesuai",IF(AR36&gt;AH36,"Over Shared"))))</f>
        <v>Waiting</v>
      </c>
      <c r="AV36" s="37"/>
      <c r="AW36" s="37" t="str">
        <f>IFERROR(DATEDIF(AH36,AK36,"d"),"0")&amp;"-DAY"</f>
        <v>0-DAY</v>
      </c>
      <c r="AX36" s="37" t="str">
        <f>IFERROR(DATEDIF(B36,AB36,"d"),"0")&amp;"-DAY"</f>
        <v>15-DAY</v>
      </c>
      <c r="AY36" s="37"/>
      <c r="AZ36" s="181">
        <f>L36-AD36</f>
        <v>0</v>
      </c>
    </row>
    <row r="37" spans="1:52" ht="15.5" hidden="1" customHeight="1">
      <c r="A37" s="360" t="s">
        <v>372</v>
      </c>
      <c r="B37" s="340">
        <v>46212</v>
      </c>
      <c r="C37" s="181">
        <v>47858</v>
      </c>
      <c r="D37" s="30">
        <v>46212</v>
      </c>
      <c r="E37" s="30">
        <v>46211</v>
      </c>
      <c r="F37" s="30">
        <v>46233</v>
      </c>
      <c r="G37" s="37">
        <v>4420229059</v>
      </c>
      <c r="H37" s="37" t="s">
        <v>373</v>
      </c>
      <c r="I37" s="37">
        <v>9040008107</v>
      </c>
      <c r="J37" s="37" t="s">
        <v>227</v>
      </c>
      <c r="K37" s="325" t="s">
        <v>228</v>
      </c>
      <c r="L37" s="181">
        <v>2</v>
      </c>
      <c r="M37" s="181" t="s">
        <v>446</v>
      </c>
      <c r="N37" s="37" t="s">
        <v>408</v>
      </c>
      <c r="O37" s="31">
        <f>IF(F37&gt;0,F37-AB37,"")</f>
        <v>-55</v>
      </c>
      <c r="P37" s="37" t="str">
        <f>IF(F37&gt;0,IF(AB37="","PLANNING SUPPLY",IF(AB37&lt;=F37,"ONTIME DELIVERY","DELAY")),"")</f>
        <v>DELAY</v>
      </c>
      <c r="Q37" s="181" t="str">
        <f>IFERROR(IF(J37&gt;0,VLOOKUP(J37,#REF!,MATCH($Q$6,#REF!,0),0),""),"")</f>
        <v/>
      </c>
      <c r="R37" s="181" t="str">
        <f>IFERROR(IF(J37&gt;0,VLOOKUP(J37,#REF!,MATCH($R$6,#REF!,0),0),""),"")</f>
        <v/>
      </c>
      <c r="S37" s="181" t="e">
        <f>IF(I37&gt;0,Q37+R37,"")</f>
        <v>#VALUE!</v>
      </c>
      <c r="T37" s="181" t="e">
        <f>Q37-L37</f>
        <v>#VALUE!</v>
      </c>
      <c r="U37" s="181" t="e">
        <f>R37-L37</f>
        <v>#VALUE!</v>
      </c>
      <c r="V37" s="37"/>
      <c r="W37" s="181" t="e">
        <f>IF(I37&gt;0,IF(S37&gt;L37,"READY STOCK",IF(S37=0,"OUT OF STOCK",IF(S37&lt;L37,"LOW STOCK",""))),"")</f>
        <v>#VALUE!</v>
      </c>
      <c r="X37" s="38"/>
      <c r="Y37" s="38"/>
      <c r="Z37" s="38"/>
      <c r="AA37" s="38"/>
      <c r="AB37" s="50">
        <v>46288</v>
      </c>
      <c r="AC37" s="181">
        <v>34485</v>
      </c>
      <c r="AD37" s="51">
        <v>2</v>
      </c>
      <c r="AE37" s="37" t="s">
        <v>383</v>
      </c>
      <c r="AF37" s="37" t="s">
        <v>381</v>
      </c>
      <c r="AG37" s="33" t="str">
        <f>IF(G37&gt;0,IF(AD37&gt;0,IF(AD37=0,"Waiting",IF(AD37&lt;L37,"Partial",IF(AD37=L37,"Full Supply",IF(AD37&gt;L37,"Over Shared")))),"Waiting"),"")</f>
        <v>Full Supply</v>
      </c>
      <c r="AH37" s="326"/>
      <c r="AI37" s="327"/>
      <c r="AJ37" s="328"/>
      <c r="AK37" s="40"/>
      <c r="AL37" s="40"/>
      <c r="AM37" s="40"/>
      <c r="AN37" s="212" t="s">
        <v>448</v>
      </c>
      <c r="AO37" s="34"/>
      <c r="AP37" s="37"/>
      <c r="AQ37" s="37"/>
      <c r="AR37" s="37"/>
      <c r="AS37" s="37"/>
      <c r="AT37" s="37">
        <f>AS37-AD37</f>
        <v>-2</v>
      </c>
      <c r="AU37" s="36" t="str">
        <f>IF(AR37=0,"Waiting",IF(AR37&lt;AH37,"Kurang",IF(AR37=AH37,"Sesuai",IF(AR37&gt;AH37,"Over Shared"))))</f>
        <v>Waiting</v>
      </c>
      <c r="AV37" s="37"/>
      <c r="AW37" s="37" t="str">
        <f>IFERROR(DATEDIF(AH37,AK37,"d"),"0")&amp;"-DAY"</f>
        <v>0-DAY</v>
      </c>
      <c r="AX37" s="37" t="str">
        <f>IFERROR(DATEDIF(B37,AB37,"d"),"0")&amp;"-DAY"</f>
        <v>76-DAY</v>
      </c>
      <c r="AY37" s="37"/>
      <c r="AZ37" s="181">
        <f>L37-AD37</f>
        <v>0</v>
      </c>
    </row>
    <row r="38" spans="1:52" ht="15.5" hidden="1" customHeight="1">
      <c r="A38" s="360" t="s">
        <v>372</v>
      </c>
      <c r="B38" s="340">
        <v>46213</v>
      </c>
      <c r="C38" s="181">
        <v>47869</v>
      </c>
      <c r="D38" s="30">
        <v>46213</v>
      </c>
      <c r="E38" s="30">
        <v>46210</v>
      </c>
      <c r="F38" s="30">
        <v>46221</v>
      </c>
      <c r="G38" s="37">
        <v>4420228992</v>
      </c>
      <c r="H38" s="37" t="s">
        <v>373</v>
      </c>
      <c r="I38" s="37">
        <v>9040009391</v>
      </c>
      <c r="J38" s="37" t="s">
        <v>293</v>
      </c>
      <c r="K38" s="325" t="s">
        <v>294</v>
      </c>
      <c r="L38" s="181">
        <v>19</v>
      </c>
      <c r="M38" s="181" t="s">
        <v>425</v>
      </c>
      <c r="N38" s="37" t="s">
        <v>432</v>
      </c>
      <c r="O38" s="31">
        <f>IF(F38&gt;0,F38-AB38,"")</f>
        <v>-5</v>
      </c>
      <c r="P38" s="37" t="str">
        <f>IF(F38&gt;0,IF(AB38="","PLANNING SUPPLY",IF(AB38&lt;=F38,"ONTIME DELIVERY","DELAY")),"")</f>
        <v>DELAY</v>
      </c>
      <c r="Q38" s="181" t="str">
        <f>IFERROR(IF(J38&gt;0,VLOOKUP(J38,#REF!,MATCH($Q$6,#REF!,0),0),""),"")</f>
        <v/>
      </c>
      <c r="R38" s="181" t="str">
        <f>IFERROR(IF(J38&gt;0,VLOOKUP(J38,#REF!,MATCH($R$6,#REF!,0),0),""),"")</f>
        <v/>
      </c>
      <c r="S38" s="181" t="e">
        <f>IF(I38&gt;0,Q38+R38,"")</f>
        <v>#VALUE!</v>
      </c>
      <c r="T38" s="181" t="e">
        <f>Q38-L38</f>
        <v>#VALUE!</v>
      </c>
      <c r="U38" s="181" t="e">
        <f>R38-L38</f>
        <v>#VALUE!</v>
      </c>
      <c r="V38" s="37"/>
      <c r="W38" s="181" t="e">
        <f>IF(I38&gt;0,IF(S38&gt;L38,"READY STOCK",IF(S38=0,"OUT OF STOCK",IF(S38&lt;L38,"LOW STOCK",""))),"")</f>
        <v>#VALUE!</v>
      </c>
      <c r="X38" s="38"/>
      <c r="Y38" s="38"/>
      <c r="Z38" s="38"/>
      <c r="AA38" s="38"/>
      <c r="AB38" s="50">
        <v>46226</v>
      </c>
      <c r="AC38" s="181">
        <v>33137</v>
      </c>
      <c r="AD38" s="51">
        <v>19</v>
      </c>
      <c r="AE38" s="37" t="s">
        <v>383</v>
      </c>
      <c r="AF38" s="37" t="s">
        <v>381</v>
      </c>
      <c r="AG38" s="33" t="str">
        <f>IF(G38&gt;0,IF(AD38&gt;0,IF(AD38=0,"Waiting",IF(AD38&lt;L38,"Partial",IF(AD38=L38,"Full Supply",IF(AD38&gt;L38,"Over Shared")))),"Waiting"),"")</f>
        <v>Full Supply</v>
      </c>
      <c r="AH38" s="37"/>
      <c r="AI38" s="37"/>
      <c r="AJ38" s="181"/>
      <c r="AK38" s="40"/>
      <c r="AL38" s="40"/>
      <c r="AM38" s="40"/>
      <c r="AN38" s="37"/>
      <c r="AO38" s="34"/>
      <c r="AP38" s="37"/>
      <c r="AQ38" s="37"/>
      <c r="AR38" s="37"/>
      <c r="AS38" s="37"/>
      <c r="AT38" s="37">
        <f>AS38-AD38</f>
        <v>-19</v>
      </c>
      <c r="AU38" s="36" t="str">
        <f>IF(AR38=0,"Waiting",IF(AR38&lt;AH38,"Kurang",IF(AR38=AH38,"Sesuai",IF(AR38&gt;AH38,"Over Shared"))))</f>
        <v>Waiting</v>
      </c>
      <c r="AV38" s="37"/>
      <c r="AW38" s="37" t="str">
        <f>IFERROR(DATEDIF(AH38,AK38,"d"),"0")&amp;"-DAY"</f>
        <v>0-DAY</v>
      </c>
      <c r="AX38" s="37" t="str">
        <f>IFERROR(DATEDIF(B38,AB38,"d"),"0")&amp;"-DAY"</f>
        <v>13-DAY</v>
      </c>
      <c r="AY38" s="37"/>
      <c r="AZ38" s="181">
        <f>L38-AD38</f>
        <v>0</v>
      </c>
    </row>
    <row r="39" spans="1:52" ht="15.5" hidden="1" customHeight="1">
      <c r="A39" s="360" t="s">
        <v>372</v>
      </c>
      <c r="B39" s="340">
        <v>46213</v>
      </c>
      <c r="C39" s="181">
        <v>47869</v>
      </c>
      <c r="D39" s="30">
        <v>46213</v>
      </c>
      <c r="E39" s="30">
        <v>46210</v>
      </c>
      <c r="F39" s="30">
        <v>46221</v>
      </c>
      <c r="G39" s="37">
        <v>4420228992</v>
      </c>
      <c r="H39" s="37" t="s">
        <v>373</v>
      </c>
      <c r="I39" s="37">
        <v>9040019249</v>
      </c>
      <c r="J39" s="37" t="s">
        <v>285</v>
      </c>
      <c r="K39" s="325" t="s">
        <v>286</v>
      </c>
      <c r="L39" s="181">
        <v>6</v>
      </c>
      <c r="M39" s="181" t="s">
        <v>421</v>
      </c>
      <c r="N39" s="37" t="s">
        <v>432</v>
      </c>
      <c r="O39" s="31">
        <f>IF(F39&gt;0,F39-AB39,"")</f>
        <v>-10</v>
      </c>
      <c r="P39" s="37" t="str">
        <f>IF(F39&gt;0,IF(AB39="","PLANNING SUPPLY",IF(AB39&lt;=F39,"ONTIME DELIVERY","DELAY")),"")</f>
        <v>DELAY</v>
      </c>
      <c r="Q39" s="181" t="str">
        <f>IFERROR(IF(J39&gt;0,VLOOKUP(J39,#REF!,MATCH($Q$6,#REF!,0),0),""),"")</f>
        <v/>
      </c>
      <c r="R39" s="181" t="str">
        <f>IFERROR(IF(J39&gt;0,VLOOKUP(J39,#REF!,MATCH($R$6,#REF!,0),0),""),"")</f>
        <v/>
      </c>
      <c r="S39" s="181" t="e">
        <f>IF(I39&gt;0,Q39+R39,"")</f>
        <v>#VALUE!</v>
      </c>
      <c r="T39" s="181" t="e">
        <f>Q39-L39</f>
        <v>#VALUE!</v>
      </c>
      <c r="U39" s="181" t="e">
        <f>R39-L39</f>
        <v>#VALUE!</v>
      </c>
      <c r="V39" s="37"/>
      <c r="W39" s="181" t="e">
        <f>IF(I39&gt;0,IF(S39&gt;L39,"READY STOCK",IF(S39=0,"OUT OF STOCK",IF(S39&lt;L39,"LOW STOCK",""))),"")</f>
        <v>#VALUE!</v>
      </c>
      <c r="X39" s="38"/>
      <c r="Y39" s="38"/>
      <c r="Z39" s="38"/>
      <c r="AA39" s="38"/>
      <c r="AB39" s="50">
        <v>46231</v>
      </c>
      <c r="AC39" s="181">
        <v>33258</v>
      </c>
      <c r="AD39" s="51">
        <v>6</v>
      </c>
      <c r="AE39" s="37" t="s">
        <v>383</v>
      </c>
      <c r="AF39" s="37" t="s">
        <v>381</v>
      </c>
      <c r="AG39" s="33" t="str">
        <f>IF(G39&gt;0,IF(AD39&gt;0,IF(AD39=0,"Waiting",IF(AD39&lt;L39,"Partial",IF(AD39=L39,"Full Supply",IF(AD39&gt;L39,"Over Shared")))),"Waiting"),"")</f>
        <v>Full Supply</v>
      </c>
      <c r="AH39" s="326">
        <v>46216</v>
      </c>
      <c r="AI39" s="327" t="s">
        <v>433</v>
      </c>
      <c r="AJ39" s="181"/>
      <c r="AK39" s="40">
        <v>26075</v>
      </c>
      <c r="AL39" s="218">
        <v>46258</v>
      </c>
      <c r="AM39" s="40">
        <v>2</v>
      </c>
      <c r="AN39" s="37"/>
      <c r="AO39" s="241">
        <v>46298</v>
      </c>
      <c r="AP39" s="37"/>
      <c r="AQ39" s="37"/>
      <c r="AR39" s="37"/>
      <c r="AS39" s="37"/>
      <c r="AT39" s="37">
        <f>AS39-AD39</f>
        <v>-6</v>
      </c>
      <c r="AU39" s="36" t="str">
        <f>IF(AR39=0,"Waiting",IF(AR39&lt;AH39,"Kurang",IF(AR39=AH39,"Sesuai",IF(AR39&gt;AH39,"Over Shared"))))</f>
        <v>Waiting</v>
      </c>
      <c r="AV39" s="37"/>
      <c r="AW39" s="37" t="str">
        <f>IFERROR(DATEDIF(AH39,AK39,"d"),"0")&amp;"-DAY"</f>
        <v>0-DAY</v>
      </c>
      <c r="AX39" s="37" t="str">
        <f>IFERROR(DATEDIF(B39,AB39,"d"),"0")&amp;"-DAY"</f>
        <v>18-DAY</v>
      </c>
      <c r="AY39" s="37"/>
      <c r="AZ39" s="181">
        <f>L39-AD39</f>
        <v>0</v>
      </c>
    </row>
    <row r="40" spans="1:52" ht="15.5" hidden="1" customHeight="1">
      <c r="A40" s="360" t="s">
        <v>372</v>
      </c>
      <c r="B40" s="340">
        <v>46213</v>
      </c>
      <c r="C40" s="181">
        <v>47869</v>
      </c>
      <c r="D40" s="30">
        <v>46213</v>
      </c>
      <c r="E40" s="30">
        <v>46210</v>
      </c>
      <c r="F40" s="30">
        <v>46221</v>
      </c>
      <c r="G40" s="37">
        <v>4420228992</v>
      </c>
      <c r="H40" s="37" t="s">
        <v>373</v>
      </c>
      <c r="I40" s="37">
        <v>9040052401</v>
      </c>
      <c r="J40" s="37" t="s">
        <v>252</v>
      </c>
      <c r="K40" s="325" t="s">
        <v>253</v>
      </c>
      <c r="L40" s="181">
        <v>2</v>
      </c>
      <c r="M40" s="181" t="s">
        <v>425</v>
      </c>
      <c r="N40" s="37" t="s">
        <v>432</v>
      </c>
      <c r="O40" s="31">
        <f>IF(F40&gt;0,F40-AB40,"")</f>
        <v>3</v>
      </c>
      <c r="P40" s="37" t="str">
        <f>IF(F40&gt;0,IF(AB40="","PLANNING SUPPLY",IF(AB40&lt;=F40,"ONTIME DELIVERY","DELAY")),"")</f>
        <v>ONTIME DELIVERY</v>
      </c>
      <c r="Q40" s="181" t="str">
        <f>IFERROR(IF(J40&gt;0,VLOOKUP(J40,#REF!,MATCH($Q$6,#REF!,0),0),""),"")</f>
        <v/>
      </c>
      <c r="R40" s="181" t="str">
        <f>IFERROR(IF(J40&gt;0,VLOOKUP(J40,#REF!,MATCH($R$6,#REF!,0),0),""),"")</f>
        <v/>
      </c>
      <c r="S40" s="181" t="e">
        <f>IF(I40&gt;0,Q40+R40,"")</f>
        <v>#VALUE!</v>
      </c>
      <c r="T40" s="181" t="e">
        <f>Q40-L40</f>
        <v>#VALUE!</v>
      </c>
      <c r="U40" s="181" t="e">
        <f>R40-L40</f>
        <v>#VALUE!</v>
      </c>
      <c r="V40" s="37"/>
      <c r="W40" s="181" t="e">
        <f>IF(I40&gt;0,IF(S40&gt;L40,"READY STOCK",IF(S40=0,"OUT OF STOCK",IF(S40&lt;L40,"LOW STOCK",""))),"")</f>
        <v>#VALUE!</v>
      </c>
      <c r="X40" s="38"/>
      <c r="Y40" s="38"/>
      <c r="Z40" s="38"/>
      <c r="AA40" s="38"/>
      <c r="AB40" s="50">
        <v>46218</v>
      </c>
      <c r="AC40" s="181">
        <v>32979</v>
      </c>
      <c r="AD40" s="51">
        <v>2</v>
      </c>
      <c r="AE40" s="37" t="s">
        <v>383</v>
      </c>
      <c r="AF40" s="37" t="s">
        <v>381</v>
      </c>
      <c r="AG40" s="33" t="str">
        <f>IF(G40&gt;0,IF(AD40&gt;0,IF(AD40=0,"Waiting",IF(AD40&lt;L40,"Partial",IF(AD40=L40,"Full Supply",IF(AD40&gt;L40,"Over Shared")))),"Waiting"),"")</f>
        <v>Full Supply</v>
      </c>
      <c r="AH40" s="37"/>
      <c r="AI40" s="37"/>
      <c r="AJ40" s="181"/>
      <c r="AK40" s="40"/>
      <c r="AL40" s="40"/>
      <c r="AM40" s="40"/>
      <c r="AN40" s="37"/>
      <c r="AO40" s="34"/>
      <c r="AP40" s="37"/>
      <c r="AQ40" s="37"/>
      <c r="AR40" s="37"/>
      <c r="AS40" s="37"/>
      <c r="AT40" s="37">
        <f>AS40-AD40</f>
        <v>-2</v>
      </c>
      <c r="AU40" s="36" t="str">
        <f>IF(AR40=0,"Waiting",IF(AR40&lt;AH40,"Kurang",IF(AR40=AH40,"Sesuai",IF(AR40&gt;AH40,"Over Shared"))))</f>
        <v>Waiting</v>
      </c>
      <c r="AV40" s="37"/>
      <c r="AW40" s="37" t="str">
        <f>IFERROR(DATEDIF(AH40,AK40,"d"),"0")&amp;"-DAY"</f>
        <v>0-DAY</v>
      </c>
      <c r="AX40" s="37" t="str">
        <f>IFERROR(DATEDIF(B40,AB40,"d"),"0")&amp;"-DAY"</f>
        <v>5-DAY</v>
      </c>
      <c r="AY40" s="37"/>
      <c r="AZ40" s="181">
        <f>L40-AD40</f>
        <v>0</v>
      </c>
    </row>
    <row r="41" spans="1:52" ht="15.5" hidden="1" customHeight="1">
      <c r="A41" s="360" t="s">
        <v>372</v>
      </c>
      <c r="B41" s="340">
        <v>46213</v>
      </c>
      <c r="C41" s="181">
        <v>47869</v>
      </c>
      <c r="D41" s="30">
        <v>46213</v>
      </c>
      <c r="E41" s="30">
        <v>46210</v>
      </c>
      <c r="F41" s="30">
        <v>46221</v>
      </c>
      <c r="G41" s="37">
        <v>4420228992</v>
      </c>
      <c r="H41" s="37" t="s">
        <v>373</v>
      </c>
      <c r="I41" s="37">
        <v>9040044191</v>
      </c>
      <c r="J41" s="37" t="s">
        <v>187</v>
      </c>
      <c r="K41" s="325" t="s">
        <v>188</v>
      </c>
      <c r="L41" s="181">
        <v>17</v>
      </c>
      <c r="M41" s="181" t="s">
        <v>425</v>
      </c>
      <c r="N41" s="37" t="s">
        <v>432</v>
      </c>
      <c r="O41" s="31">
        <f>IF(F41&gt;0,F41-AB41,"")</f>
        <v>3</v>
      </c>
      <c r="P41" s="37" t="str">
        <f>IF(F41&gt;0,IF(AB41="","PLANNING SUPPLY",IF(AB41&lt;=F41,"ONTIME DELIVERY","DELAY")),"")</f>
        <v>ONTIME DELIVERY</v>
      </c>
      <c r="Q41" s="181" t="str">
        <f>IFERROR(IF(J41&gt;0,VLOOKUP(J41,#REF!,MATCH($Q$6,#REF!,0),0),""),"")</f>
        <v/>
      </c>
      <c r="R41" s="181" t="str">
        <f>IFERROR(IF(J41&gt;0,VLOOKUP(J41,#REF!,MATCH($R$6,#REF!,0),0),""),"")</f>
        <v/>
      </c>
      <c r="S41" s="181" t="e">
        <f>IF(I41&gt;0,Q41+R41,"")</f>
        <v>#VALUE!</v>
      </c>
      <c r="T41" s="181" t="e">
        <f>Q41-L41</f>
        <v>#VALUE!</v>
      </c>
      <c r="U41" s="181" t="e">
        <f>R41-L41</f>
        <v>#VALUE!</v>
      </c>
      <c r="V41" s="37"/>
      <c r="W41" s="181" t="e">
        <f>IF(I41&gt;0,IF(S41&gt;L41,"READY STOCK",IF(S41=0,"OUT OF STOCK",IF(S41&lt;L41,"LOW STOCK",""))),"")</f>
        <v>#VALUE!</v>
      </c>
      <c r="X41" s="38"/>
      <c r="Y41" s="38"/>
      <c r="Z41" s="38"/>
      <c r="AA41" s="38"/>
      <c r="AB41" s="50">
        <v>46218</v>
      </c>
      <c r="AC41" s="181">
        <v>32979</v>
      </c>
      <c r="AD41" s="51">
        <v>17</v>
      </c>
      <c r="AE41" s="37" t="s">
        <v>383</v>
      </c>
      <c r="AF41" s="37" t="s">
        <v>381</v>
      </c>
      <c r="AG41" s="33" t="str">
        <f>IF(G41&gt;0,IF(AD41&gt;0,IF(AD41=0,"Waiting",IF(AD41&lt;L41,"Partial",IF(AD41=L41,"Full Supply",IF(AD41&gt;L41,"Over Shared")))),"Waiting"),"")</f>
        <v>Full Supply</v>
      </c>
      <c r="AH41" s="37"/>
      <c r="AI41" s="37"/>
      <c r="AJ41" s="181"/>
      <c r="AK41" s="40"/>
      <c r="AL41" s="40"/>
      <c r="AM41" s="40"/>
      <c r="AN41" s="37"/>
      <c r="AO41" s="34"/>
      <c r="AP41" s="37"/>
      <c r="AQ41" s="37"/>
      <c r="AR41" s="37"/>
      <c r="AS41" s="37"/>
      <c r="AT41" s="37">
        <f>AS41-AD41</f>
        <v>-17</v>
      </c>
      <c r="AU41" s="36" t="str">
        <f>IF(AR41=0,"Waiting",IF(AR41&lt;AH41,"Kurang",IF(AR41=AH41,"Sesuai",IF(AR41&gt;AH41,"Over Shared"))))</f>
        <v>Waiting</v>
      </c>
      <c r="AV41" s="37"/>
      <c r="AW41" s="37" t="str">
        <f>IFERROR(DATEDIF(AH41,AK41,"d"),"0")&amp;"-DAY"</f>
        <v>0-DAY</v>
      </c>
      <c r="AX41" s="37" t="str">
        <f>IFERROR(DATEDIF(B41,AB41,"d"),"0")&amp;"-DAY"</f>
        <v>5-DAY</v>
      </c>
      <c r="AY41" s="37"/>
      <c r="AZ41" s="181">
        <f>L41-AD41</f>
        <v>0</v>
      </c>
    </row>
    <row r="42" spans="1:52" ht="15.5" hidden="1" customHeight="1">
      <c r="A42" s="360" t="s">
        <v>372</v>
      </c>
      <c r="B42" s="340">
        <v>46213</v>
      </c>
      <c r="C42" s="181">
        <v>47869</v>
      </c>
      <c r="D42" s="30">
        <v>46213</v>
      </c>
      <c r="E42" s="30">
        <v>46210</v>
      </c>
      <c r="F42" s="30">
        <v>46221</v>
      </c>
      <c r="G42" s="37">
        <v>4420228992</v>
      </c>
      <c r="H42" s="37" t="s">
        <v>373</v>
      </c>
      <c r="I42" s="37">
        <v>9040054919</v>
      </c>
      <c r="J42" s="37" t="s">
        <v>311</v>
      </c>
      <c r="K42" s="325" t="s">
        <v>312</v>
      </c>
      <c r="L42" s="181">
        <v>2</v>
      </c>
      <c r="M42" s="181" t="s">
        <v>429</v>
      </c>
      <c r="N42" s="37" t="s">
        <v>432</v>
      </c>
      <c r="O42" s="31">
        <f>IF(F42&gt;0,F42-AB42,"")</f>
        <v>-5</v>
      </c>
      <c r="P42" s="37" t="str">
        <f>IF(F42&gt;0,IF(AB42="","PLANNING SUPPLY",IF(AB42&lt;=F42,"ONTIME DELIVERY","DELAY")),"")</f>
        <v>DELAY</v>
      </c>
      <c r="Q42" s="181" t="str">
        <f>IFERROR(IF(J42&gt;0,VLOOKUP(J42,#REF!,MATCH($Q$6,#REF!,0),0),""),"")</f>
        <v/>
      </c>
      <c r="R42" s="181" t="str">
        <f>IFERROR(IF(J42&gt;0,VLOOKUP(J42,#REF!,MATCH($R$6,#REF!,0),0),""),"")</f>
        <v/>
      </c>
      <c r="S42" s="181" t="e">
        <f>IF(I42&gt;0,Q42+R42,"")</f>
        <v>#VALUE!</v>
      </c>
      <c r="T42" s="181" t="e">
        <f>Q42-L42</f>
        <v>#VALUE!</v>
      </c>
      <c r="U42" s="181" t="e">
        <f>R42-L42</f>
        <v>#VALUE!</v>
      </c>
      <c r="V42" s="37"/>
      <c r="W42" s="181" t="e">
        <f>IF(I42&gt;0,IF(S42&gt;L42,"READY STOCK",IF(S42=0,"OUT OF STOCK",IF(S42&lt;L42,"LOW STOCK",""))),"")</f>
        <v>#VALUE!</v>
      </c>
      <c r="X42" s="38"/>
      <c r="Y42" s="38"/>
      <c r="Z42" s="38"/>
      <c r="AA42" s="38"/>
      <c r="AB42" s="50">
        <v>46226</v>
      </c>
      <c r="AC42" s="181">
        <v>33137</v>
      </c>
      <c r="AD42" s="51">
        <v>2</v>
      </c>
      <c r="AE42" s="37" t="s">
        <v>383</v>
      </c>
      <c r="AF42" s="37" t="s">
        <v>381</v>
      </c>
      <c r="AG42" s="33" t="str">
        <f>IF(G42&gt;0,IF(AD42&gt;0,IF(AD42=0,"Waiting",IF(AD42&lt;L42,"Partial",IF(AD42=L42,"Full Supply",IF(AD42&gt;L42,"Over Shared")))),"Waiting"),"")</f>
        <v>Full Supply</v>
      </c>
      <c r="AH42" s="326">
        <v>46216</v>
      </c>
      <c r="AI42" s="327" t="s">
        <v>433</v>
      </c>
      <c r="AJ42" s="181"/>
      <c r="AK42" s="40">
        <v>25935</v>
      </c>
      <c r="AL42" s="218">
        <v>46246</v>
      </c>
      <c r="AM42" s="40">
        <v>20</v>
      </c>
      <c r="AN42" s="37"/>
      <c r="AO42" s="239">
        <v>46300</v>
      </c>
      <c r="AP42" s="37"/>
      <c r="AQ42" s="37"/>
      <c r="AR42" s="37"/>
      <c r="AS42" s="37"/>
      <c r="AT42" s="37">
        <f>AS42-AD42</f>
        <v>-2</v>
      </c>
      <c r="AU42" s="36" t="str">
        <f>IF(AR42=0,"Waiting",IF(AR42&lt;AH42,"Kurang",IF(AR42=AH42,"Sesuai",IF(AR42&gt;AH42,"Over Shared"))))</f>
        <v>Waiting</v>
      </c>
      <c r="AV42" s="37"/>
      <c r="AW42" s="37" t="str">
        <f>IFERROR(DATEDIF(AH42,AK42,"d"),"0")&amp;"-DAY"</f>
        <v>0-DAY</v>
      </c>
      <c r="AX42" s="37" t="str">
        <f>IFERROR(DATEDIF(B42,AB42,"d"),"0")&amp;"-DAY"</f>
        <v>13-DAY</v>
      </c>
      <c r="AY42" s="37"/>
      <c r="AZ42" s="181">
        <f>L42-AD42</f>
        <v>0</v>
      </c>
    </row>
    <row r="43" spans="1:52" ht="15.5" hidden="1" customHeight="1">
      <c r="A43" s="360" t="s">
        <v>372</v>
      </c>
      <c r="B43" s="340">
        <v>46213</v>
      </c>
      <c r="C43" s="181">
        <v>47889</v>
      </c>
      <c r="D43" s="30">
        <v>46213</v>
      </c>
      <c r="E43" s="30">
        <v>46210</v>
      </c>
      <c r="F43" s="30">
        <v>46220</v>
      </c>
      <c r="G43" s="37">
        <v>4420228935</v>
      </c>
      <c r="H43" s="37" t="s">
        <v>373</v>
      </c>
      <c r="I43" s="37">
        <v>9040130311</v>
      </c>
      <c r="J43" s="37" t="s">
        <v>191</v>
      </c>
      <c r="K43" s="325" t="s">
        <v>192</v>
      </c>
      <c r="L43" s="181">
        <v>150</v>
      </c>
      <c r="M43" s="181" t="s">
        <v>425</v>
      </c>
      <c r="N43" s="37" t="s">
        <v>431</v>
      </c>
      <c r="O43" s="31">
        <f>IF(F43&gt;0,F43-AB43,"")</f>
        <v>-6</v>
      </c>
      <c r="P43" s="37" t="str">
        <f>IF(F43&gt;0,IF(AB43="","PLANNING SUPPLY",IF(AB43&lt;=F43,"ONTIME DELIVERY","DELAY")),"")</f>
        <v>DELAY</v>
      </c>
      <c r="Q43" s="181" t="str">
        <f>IFERROR(IF(J43&gt;0,VLOOKUP(J43,#REF!,MATCH($Q$6,#REF!,0),0),""),"")</f>
        <v/>
      </c>
      <c r="R43" s="181" t="str">
        <f>IFERROR(IF(J43&gt;0,VLOOKUP(J43,#REF!,MATCH($R$6,#REF!,0),0),""),"")</f>
        <v/>
      </c>
      <c r="S43" s="181" t="e">
        <f>IF(I43&gt;0,Q43+R43,"")</f>
        <v>#VALUE!</v>
      </c>
      <c r="T43" s="181" t="e">
        <f>Q43-L43</f>
        <v>#VALUE!</v>
      </c>
      <c r="U43" s="181" t="e">
        <f>R43-L43</f>
        <v>#VALUE!</v>
      </c>
      <c r="V43" s="37"/>
      <c r="W43" s="181" t="e">
        <f>IF(I43&gt;0,IF(S43&gt;L43,"READY STOCK",IF(S43=0,"OUT OF STOCK",IF(S43&lt;L43,"LOW STOCK",""))),"")</f>
        <v>#VALUE!</v>
      </c>
      <c r="X43" s="38"/>
      <c r="Y43" s="38"/>
      <c r="Z43" s="38"/>
      <c r="AA43" s="38"/>
      <c r="AB43" s="50">
        <v>46226</v>
      </c>
      <c r="AC43" s="181">
        <v>33110</v>
      </c>
      <c r="AD43" s="51">
        <v>150</v>
      </c>
      <c r="AE43" s="37" t="s">
        <v>383</v>
      </c>
      <c r="AF43" s="37" t="s">
        <v>381</v>
      </c>
      <c r="AG43" s="33" t="str">
        <f>IF(G43&gt;0,IF(AD43&gt;0,IF(AD43=0,"Waiting",IF(AD43&lt;L43,"Partial",IF(AD43=L43,"Full Supply",IF(AD43&gt;L43,"Over Shared")))),"Waiting"),"")</f>
        <v>Full Supply</v>
      </c>
      <c r="AH43" s="37"/>
      <c r="AI43" s="37"/>
      <c r="AJ43" s="181"/>
      <c r="AK43" s="40"/>
      <c r="AL43" s="40"/>
      <c r="AM43" s="40"/>
      <c r="AN43" s="37"/>
      <c r="AO43" s="34"/>
      <c r="AP43" s="35">
        <v>46239</v>
      </c>
      <c r="AQ43" s="37"/>
      <c r="AR43" s="37"/>
      <c r="AS43" s="37">
        <v>150</v>
      </c>
      <c r="AT43" s="37">
        <f>AS43-AD43</f>
        <v>0</v>
      </c>
      <c r="AU43" s="36" t="str">
        <f>IF(AR43=0,"Waiting",IF(AR43&lt;AH43,"Kurang",IF(AR43=AH43,"Sesuai",IF(AR43&gt;AH43,"Over Shared"))))</f>
        <v>Waiting</v>
      </c>
      <c r="AV43" s="37"/>
      <c r="AW43" s="37" t="str">
        <f>IFERROR(DATEDIF(AH43,AK43,"d"),"0")&amp;"-DAY"</f>
        <v>0-DAY</v>
      </c>
      <c r="AX43" s="37" t="str">
        <f>IFERROR(DATEDIF(B43,AB43,"d"),"0")&amp;"-DAY"</f>
        <v>13-DAY</v>
      </c>
      <c r="AY43" s="37"/>
      <c r="AZ43" s="181">
        <f>L43-AD43</f>
        <v>0</v>
      </c>
    </row>
    <row r="44" spans="1:52" ht="15.5" hidden="1" customHeight="1">
      <c r="A44" s="360" t="s">
        <v>372</v>
      </c>
      <c r="B44" s="340">
        <v>46213</v>
      </c>
      <c r="C44" s="181">
        <v>47917</v>
      </c>
      <c r="D44" s="30">
        <v>46213</v>
      </c>
      <c r="E44" s="30">
        <v>46211</v>
      </c>
      <c r="F44" s="30">
        <v>46225</v>
      </c>
      <c r="G44" s="37">
        <v>4420229077</v>
      </c>
      <c r="H44" s="37" t="s">
        <v>373</v>
      </c>
      <c r="I44" s="37">
        <v>9040052369</v>
      </c>
      <c r="J44" s="37" t="s">
        <v>199</v>
      </c>
      <c r="K44" s="325" t="s">
        <v>200</v>
      </c>
      <c r="L44" s="181">
        <v>100</v>
      </c>
      <c r="M44" s="181" t="s">
        <v>425</v>
      </c>
      <c r="N44" s="37" t="s">
        <v>384</v>
      </c>
      <c r="O44" s="31">
        <f>IF(F44&gt;0,F44-AB44,"")</f>
        <v>7</v>
      </c>
      <c r="P44" s="37" t="str">
        <f>IF(F44&gt;0,IF(AB44="","PLANNING SUPPLY",IF(AB44&lt;=F44,"ONTIME DELIVERY","DELAY")),"")</f>
        <v>ONTIME DELIVERY</v>
      </c>
      <c r="Q44" s="181" t="str">
        <f>IFERROR(IF(J44&gt;0,VLOOKUP(J44,#REF!,MATCH($Q$6,#REF!,0),0),""),"")</f>
        <v/>
      </c>
      <c r="R44" s="181" t="str">
        <f>IFERROR(IF(J44&gt;0,VLOOKUP(J44,#REF!,MATCH($R$6,#REF!,0),0),""),"")</f>
        <v/>
      </c>
      <c r="S44" s="181" t="e">
        <f>IF(I44&gt;0,Q44+R44,"")</f>
        <v>#VALUE!</v>
      </c>
      <c r="T44" s="181" t="e">
        <f>Q44-L44</f>
        <v>#VALUE!</v>
      </c>
      <c r="U44" s="181" t="e">
        <f>R44-L44</f>
        <v>#VALUE!</v>
      </c>
      <c r="V44" s="37"/>
      <c r="W44" s="181" t="e">
        <f>IF(I44&gt;0,IF(S44&gt;L44,"READY STOCK",IF(S44=0,"OUT OF STOCK",IF(S44&lt;L44,"LOW STOCK",""))),"")</f>
        <v>#VALUE!</v>
      </c>
      <c r="X44" s="38"/>
      <c r="Y44" s="38"/>
      <c r="Z44" s="38"/>
      <c r="AA44" s="38"/>
      <c r="AB44" s="50">
        <v>46218</v>
      </c>
      <c r="AC44" s="181">
        <v>32978</v>
      </c>
      <c r="AD44" s="51">
        <v>100</v>
      </c>
      <c r="AE44" s="37" t="s">
        <v>383</v>
      </c>
      <c r="AF44" s="37" t="s">
        <v>381</v>
      </c>
      <c r="AG44" s="33" t="str">
        <f>IF(G44&gt;0,IF(AD44&gt;0,IF(AD44=0,"Waiting",IF(AD44&lt;L44,"Partial",IF(AD44=L44,"Full Supply",IF(AD44&gt;L44,"Over Shared")))),"Waiting"),"")</f>
        <v>Full Supply</v>
      </c>
      <c r="AH44" s="37"/>
      <c r="AI44" s="37"/>
      <c r="AJ44" s="181"/>
      <c r="AK44" s="40"/>
      <c r="AL44" s="40"/>
      <c r="AM44" s="40"/>
      <c r="AN44" s="37"/>
      <c r="AO44" s="34"/>
      <c r="AP44" s="35">
        <v>46239</v>
      </c>
      <c r="AQ44" s="37"/>
      <c r="AR44" s="37"/>
      <c r="AS44" s="37">
        <v>66</v>
      </c>
      <c r="AT44" s="37">
        <f>AS44-AD44</f>
        <v>-34</v>
      </c>
      <c r="AU44" s="36" t="str">
        <f>IF(AR44=0,"Waiting",IF(AR44&lt;AH44,"Kurang",IF(AR44=AH44,"Sesuai",IF(AR44&gt;AH44,"Over Shared"))))</f>
        <v>Waiting</v>
      </c>
      <c r="AV44" s="37"/>
      <c r="AW44" s="37" t="str">
        <f>IFERROR(DATEDIF(AH44,AK44,"d"),"0")&amp;"-DAY"</f>
        <v>0-DAY</v>
      </c>
      <c r="AX44" s="37" t="str">
        <f>IFERROR(DATEDIF(B44,AB44,"d"),"0")&amp;"-DAY"</f>
        <v>5-DAY</v>
      </c>
      <c r="AY44" s="37"/>
      <c r="AZ44" s="181">
        <f>L44-AD44</f>
        <v>0</v>
      </c>
    </row>
    <row r="45" spans="1:52" ht="15.5" hidden="1" customHeight="1">
      <c r="A45" s="360" t="s">
        <v>372</v>
      </c>
      <c r="B45" s="340">
        <v>46213</v>
      </c>
      <c r="C45" s="181">
        <v>47917</v>
      </c>
      <c r="D45" s="30">
        <v>46213</v>
      </c>
      <c r="E45" s="30">
        <v>46211</v>
      </c>
      <c r="F45" s="30">
        <v>46225</v>
      </c>
      <c r="G45" s="37">
        <v>4420229077</v>
      </c>
      <c r="H45" s="37" t="s">
        <v>373</v>
      </c>
      <c r="I45" s="37">
        <v>9040040455</v>
      </c>
      <c r="J45" s="37" t="s">
        <v>95</v>
      </c>
      <c r="K45" s="325" t="s">
        <v>97</v>
      </c>
      <c r="L45" s="181">
        <v>6</v>
      </c>
      <c r="M45" s="181" t="s">
        <v>425</v>
      </c>
      <c r="N45" s="37" t="s">
        <v>384</v>
      </c>
      <c r="O45" s="31">
        <f>IF(F45&gt;0,F45-AB45,"")</f>
        <v>-42</v>
      </c>
      <c r="P45" s="37" t="str">
        <f>IF(F45&gt;0,IF(AB45="","PLANNING SUPPLY",IF(AB45&lt;=F45,"ONTIME DELIVERY","DELAY")),"")</f>
        <v>DELAY</v>
      </c>
      <c r="Q45" s="181" t="str">
        <f>IFERROR(IF(J45&gt;0,VLOOKUP(J45,#REF!,MATCH($Q$6,#REF!,0),0),""),"")</f>
        <v/>
      </c>
      <c r="R45" s="181" t="str">
        <f>IFERROR(IF(J45&gt;0,VLOOKUP(J45,#REF!,MATCH($R$6,#REF!,0),0),""),"")</f>
        <v/>
      </c>
      <c r="S45" s="181" t="e">
        <f>IF(I48&gt;0,Q45+R45,"")</f>
        <v>#VALUE!</v>
      </c>
      <c r="T45" s="181" t="e">
        <f>Q45-L45</f>
        <v>#VALUE!</v>
      </c>
      <c r="U45" s="181" t="e">
        <f>R45-L45</f>
        <v>#VALUE!</v>
      </c>
      <c r="V45" s="37"/>
      <c r="W45" s="181" t="e">
        <f>IF(I48&gt;0,IF(S45&gt;L45,"READY STOCK",IF(S45=0,"OUT OF STOCK",IF(S45&lt;L45,"LOW STOCK",""))),"")</f>
        <v>#VALUE!</v>
      </c>
      <c r="X45" s="38"/>
      <c r="Y45" s="38"/>
      <c r="Z45" s="38"/>
      <c r="AA45" s="38"/>
      <c r="AB45" s="50">
        <v>46267</v>
      </c>
      <c r="AC45" s="181">
        <v>33985</v>
      </c>
      <c r="AD45" s="51">
        <v>6</v>
      </c>
      <c r="AE45" s="37" t="s">
        <v>383</v>
      </c>
      <c r="AF45" s="37" t="s">
        <v>381</v>
      </c>
      <c r="AG45" s="33" t="str">
        <f>IF(G45&gt;0,IF(AD45&gt;0,IF(AD45=0,"Waiting",IF(AD45&lt;L45,"Partial",IF(AD45=L45,"Full Supply",IF(AD45&gt;L45,"Over Shared")))),"Waiting"),"")</f>
        <v>Full Supply</v>
      </c>
      <c r="AH45" s="326">
        <v>46218</v>
      </c>
      <c r="AI45" s="181"/>
      <c r="AJ45" s="181">
        <v>6</v>
      </c>
      <c r="AK45" s="40"/>
      <c r="AL45" s="40"/>
      <c r="AM45" s="40"/>
      <c r="AN45" s="37"/>
      <c r="AO45" s="34"/>
      <c r="AP45" s="37"/>
      <c r="AQ45" s="37"/>
      <c r="AR45" s="37"/>
      <c r="AS45" s="37"/>
      <c r="AT45" s="37">
        <f>AS45-AD45</f>
        <v>-6</v>
      </c>
      <c r="AU45" s="36" t="str">
        <f>IF(AR45=0,"Waiting",IF(AR45&lt;AH45,"Kurang",IF(AR45=AH45,"Sesuai",IF(AR45&gt;AH45,"Over Shared"))))</f>
        <v>Waiting</v>
      </c>
      <c r="AV45" s="37"/>
      <c r="AW45" s="37" t="str">
        <f>IFERROR(DATEDIF(AH45,AK45,"d"),"0")&amp;"-DAY"</f>
        <v>0-DAY</v>
      </c>
      <c r="AX45" s="37" t="str">
        <f>IFERROR(DATEDIF(B45,AB45,"d"),"0")&amp;"-DAY"</f>
        <v>54-DAY</v>
      </c>
      <c r="AY45" s="37"/>
      <c r="AZ45" s="181">
        <f>L45-AD45</f>
        <v>0</v>
      </c>
    </row>
    <row r="46" spans="1:52" ht="15.5" hidden="1" customHeight="1">
      <c r="A46" s="360" t="s">
        <v>372</v>
      </c>
      <c r="B46" s="340">
        <v>46216</v>
      </c>
      <c r="C46" s="181">
        <v>48015</v>
      </c>
      <c r="D46" s="30">
        <v>46216</v>
      </c>
      <c r="E46" s="30">
        <v>46212</v>
      </c>
      <c r="F46" s="30">
        <v>46232</v>
      </c>
      <c r="G46" s="37">
        <v>4420229165</v>
      </c>
      <c r="H46" s="37" t="s">
        <v>373</v>
      </c>
      <c r="I46" s="37">
        <v>9040040636</v>
      </c>
      <c r="J46" s="37" t="s">
        <v>167</v>
      </c>
      <c r="K46" s="325" t="s">
        <v>168</v>
      </c>
      <c r="L46" s="181">
        <v>24</v>
      </c>
      <c r="M46" s="181" t="s">
        <v>425</v>
      </c>
      <c r="N46" s="37" t="s">
        <v>384</v>
      </c>
      <c r="O46" s="31">
        <f>IF(F46&gt;0,F46-AB46,"")</f>
        <v>14</v>
      </c>
      <c r="P46" s="37" t="str">
        <f>IF(F46&gt;0,IF(AB46="","PLANNING SUPPLY",IF(AB46&lt;=F46,"ONTIME DELIVERY","DELAY")),"")</f>
        <v>ONTIME DELIVERY</v>
      </c>
      <c r="Q46" s="181" t="str">
        <f>IFERROR(IF(J46&gt;0,VLOOKUP(J46,#REF!,MATCH($Q$6,#REF!,0),0),""),"")</f>
        <v/>
      </c>
      <c r="R46" s="181" t="str">
        <f>IFERROR(IF(J46&gt;0,VLOOKUP(J46,#REF!,MATCH($R$6,#REF!,0),0),""),"")</f>
        <v/>
      </c>
      <c r="S46" s="181" t="e">
        <f>IF(I46&gt;0,Q46+R46,"")</f>
        <v>#VALUE!</v>
      </c>
      <c r="T46" s="181" t="e">
        <f>Q46-L46</f>
        <v>#VALUE!</v>
      </c>
      <c r="U46" s="181" t="e">
        <f>R46-L46</f>
        <v>#VALUE!</v>
      </c>
      <c r="V46" s="37"/>
      <c r="W46" s="181" t="e">
        <f>IF(I46&gt;0,IF(S46&gt;L46,"READY STOCK",IF(S46=0,"OUT OF STOCK",IF(S46&lt;L46,"LOW STOCK",""))),"")</f>
        <v>#VALUE!</v>
      </c>
      <c r="X46" s="38"/>
      <c r="Y46" s="38"/>
      <c r="Z46" s="38"/>
      <c r="AA46" s="38"/>
      <c r="AB46" s="50">
        <v>46218</v>
      </c>
      <c r="AC46" s="181">
        <v>33184</v>
      </c>
      <c r="AD46" s="51">
        <v>24</v>
      </c>
      <c r="AE46" s="37" t="s">
        <v>383</v>
      </c>
      <c r="AF46" s="37" t="s">
        <v>381</v>
      </c>
      <c r="AG46" s="33" t="str">
        <f>IF(G46&gt;0,IF(AD46&gt;0,IF(AD46=0,"Waiting",IF(AD46&lt;L46,"Partial",IF(AD46=L46,"Full Supply",IF(AD46&gt;L46,"Over Shared")))),"Waiting"),"")</f>
        <v>Full Supply</v>
      </c>
      <c r="AH46" s="37"/>
      <c r="AI46" s="37"/>
      <c r="AJ46" s="181"/>
      <c r="AK46" s="40"/>
      <c r="AL46" s="40"/>
      <c r="AM46" s="40"/>
      <c r="AN46" s="37"/>
      <c r="AO46" s="34"/>
      <c r="AP46" s="37"/>
      <c r="AQ46" s="37"/>
      <c r="AR46" s="37"/>
      <c r="AS46" s="37"/>
      <c r="AT46" s="37">
        <f>AS46-AD46</f>
        <v>-24</v>
      </c>
      <c r="AU46" s="36" t="str">
        <f>IF(AR46=0,"Waiting",IF(AR46&lt;AH46,"Kurang",IF(AR46=AH46,"Sesuai",IF(AR46&gt;AH46,"Over Shared"))))</f>
        <v>Waiting</v>
      </c>
      <c r="AV46" s="37"/>
      <c r="AW46" s="37" t="str">
        <f>IFERROR(DATEDIF(AH46,AK46,"d"),"0")&amp;"-DAY"</f>
        <v>0-DAY</v>
      </c>
      <c r="AX46" s="37" t="str">
        <f>IFERROR(DATEDIF(B46,AB46,"d"),"0")&amp;"-DAY"</f>
        <v>2-DAY</v>
      </c>
      <c r="AY46" s="37"/>
      <c r="AZ46" s="181">
        <f>L46-AD46</f>
        <v>0</v>
      </c>
    </row>
    <row r="47" spans="1:52" ht="15.5" hidden="1" customHeight="1">
      <c r="A47" s="360" t="s">
        <v>372</v>
      </c>
      <c r="B47" s="340">
        <v>46216</v>
      </c>
      <c r="C47" s="181">
        <v>48017</v>
      </c>
      <c r="D47" s="30">
        <v>46216</v>
      </c>
      <c r="E47" s="30">
        <v>46211</v>
      </c>
      <c r="F47" s="30">
        <v>46215</v>
      </c>
      <c r="G47" s="37">
        <v>4420229028</v>
      </c>
      <c r="H47" s="37" t="s">
        <v>373</v>
      </c>
      <c r="I47" s="37">
        <v>9040042224</v>
      </c>
      <c r="J47" s="37" t="s">
        <v>195</v>
      </c>
      <c r="K47" s="325" t="s">
        <v>196</v>
      </c>
      <c r="L47" s="181">
        <v>19</v>
      </c>
      <c r="M47" s="181" t="s">
        <v>421</v>
      </c>
      <c r="N47" s="37" t="s">
        <v>434</v>
      </c>
      <c r="O47" s="31">
        <f>IF(F47&gt;0,F47-AB47,"")</f>
        <v>-57</v>
      </c>
      <c r="P47" s="37" t="str">
        <f>IF(F47&gt;0,IF(AB47="","PLANNING SUPPLY",IF(AB47&lt;=F47,"ONTIME DELIVERY","DELAY")),"")</f>
        <v>DELAY</v>
      </c>
      <c r="Q47" s="181" t="str">
        <f>IFERROR(IF(J47&gt;0,VLOOKUP(J47,#REF!,MATCH($Q$6,#REF!,0),0),""),"")</f>
        <v/>
      </c>
      <c r="R47" s="181" t="str">
        <f>IFERROR(IF(J47&gt;0,VLOOKUP(J47,#REF!,MATCH($R$6,#REF!,0),0),""),"")</f>
        <v/>
      </c>
      <c r="S47" s="181" t="e">
        <f>IF(I47&gt;0,Q47+R47,"")</f>
        <v>#VALUE!</v>
      </c>
      <c r="T47" s="181" t="e">
        <f>Q47-L47</f>
        <v>#VALUE!</v>
      </c>
      <c r="U47" s="181" t="e">
        <f>R47-L47</f>
        <v>#VALUE!</v>
      </c>
      <c r="V47" s="37"/>
      <c r="W47" s="181" t="e">
        <f>IF(I47&gt;0,IF(S47&gt;L47,"READY STOCK",IF(S47=0,"OUT OF STOCK",IF(S47&lt;L47,"LOW STOCK",""))),"")</f>
        <v>#VALUE!</v>
      </c>
      <c r="X47" s="38"/>
      <c r="Y47" s="38"/>
      <c r="Z47" s="38"/>
      <c r="AA47" s="38"/>
      <c r="AB47" s="50">
        <v>46272</v>
      </c>
      <c r="AC47" s="181">
        <v>34026</v>
      </c>
      <c r="AD47" s="51">
        <v>19</v>
      </c>
      <c r="AE47" s="37" t="s">
        <v>383</v>
      </c>
      <c r="AF47" s="37" t="s">
        <v>381</v>
      </c>
      <c r="AG47" s="33" t="str">
        <f>IF(G47&gt;0,IF(AD47&gt;0,IF(AD47=0,"Waiting",IF(AD47&lt;L47,"Partial",IF(AD47=L47,"Full Supply",IF(AD47&gt;L47,"Over Shared")))),"Waiting"),"")</f>
        <v>Full Supply</v>
      </c>
      <c r="AH47" s="326">
        <v>46212</v>
      </c>
      <c r="AI47" s="327" t="s">
        <v>391</v>
      </c>
      <c r="AJ47" s="181">
        <v>25</v>
      </c>
      <c r="AK47" s="40">
        <v>25593</v>
      </c>
      <c r="AL47" s="42">
        <v>46213</v>
      </c>
      <c r="AM47" s="40">
        <v>25</v>
      </c>
      <c r="AN47" s="37"/>
      <c r="AO47" s="41">
        <v>46220</v>
      </c>
      <c r="AP47" s="37"/>
      <c r="AQ47" s="37"/>
      <c r="AR47" s="37"/>
      <c r="AS47" s="37"/>
      <c r="AT47" s="37">
        <f>AS47-AD47</f>
        <v>-19</v>
      </c>
      <c r="AU47" s="36" t="str">
        <f>IF(AR47=0,"Waiting",IF(AR47&lt;AH47,"Kurang",IF(AR47=AH47,"Sesuai",IF(AR47&gt;AH47,"Over Shared"))))</f>
        <v>Waiting</v>
      </c>
      <c r="AV47" s="37"/>
      <c r="AW47" s="37" t="str">
        <f>IFERROR(DATEDIF(AH47,AK47,"d"),"0")&amp;"-DAY"</f>
        <v>0-DAY</v>
      </c>
      <c r="AX47" s="37" t="str">
        <f>IFERROR(DATEDIF(B47,AB47,"d"),"0")&amp;"-DAY"</f>
        <v>56-DAY</v>
      </c>
      <c r="AY47" s="37"/>
      <c r="AZ47" s="181">
        <f>L47-AD47</f>
        <v>0</v>
      </c>
    </row>
    <row r="48" spans="1:52" ht="15.5" hidden="1" customHeight="1">
      <c r="A48" s="360" t="s">
        <v>372</v>
      </c>
      <c r="B48" s="340">
        <v>46216</v>
      </c>
      <c r="C48" s="181">
        <v>48017</v>
      </c>
      <c r="D48" s="30">
        <v>46216</v>
      </c>
      <c r="E48" s="30">
        <v>46211</v>
      </c>
      <c r="F48" s="30">
        <v>46215</v>
      </c>
      <c r="G48" s="37">
        <v>4420229028</v>
      </c>
      <c r="H48" s="37" t="s">
        <v>373</v>
      </c>
      <c r="I48" s="37">
        <v>9040040403</v>
      </c>
      <c r="J48" s="37" t="s">
        <v>299</v>
      </c>
      <c r="K48" s="325" t="s">
        <v>300</v>
      </c>
      <c r="L48" s="181">
        <v>5</v>
      </c>
      <c r="M48" s="181" t="s">
        <v>425</v>
      </c>
      <c r="N48" s="37" t="s">
        <v>434</v>
      </c>
      <c r="O48" s="31">
        <f>IF(F48&gt;0,F48-AB48,"")</f>
        <v>-85</v>
      </c>
      <c r="P48" s="37" t="str">
        <f>IF(F48&gt;0,IF(AB48="","PLANNING SUPPLY",IF(AB48&lt;=F48,"ONTIME DELIVERY","DELAY")),"")</f>
        <v>DELAY</v>
      </c>
      <c r="Q48" s="181" t="str">
        <f>IFERROR(IF(J48&gt;0,VLOOKUP(J48,#REF!,MATCH($Q$6,#REF!,0),0),""),"")</f>
        <v/>
      </c>
      <c r="R48" s="181" t="str">
        <f>IFERROR(IF(J48&gt;0,VLOOKUP(J48,#REF!,MATCH($R$6,#REF!,0),0),""),"")</f>
        <v/>
      </c>
      <c r="S48" s="181" t="e">
        <f>IF(I48&gt;0,Q48+R48,"")</f>
        <v>#VALUE!</v>
      </c>
      <c r="T48" s="181" t="e">
        <f>Q48-L48</f>
        <v>#VALUE!</v>
      </c>
      <c r="U48" s="181" t="e">
        <f>R48-L48</f>
        <v>#VALUE!</v>
      </c>
      <c r="V48" s="37"/>
      <c r="W48" s="181" t="e">
        <f>IF(I48&gt;0,IF(S48&gt;L48,"READY STOCK",IF(S48=0,"OUT OF STOCK",IF(S48&lt;L48,"LOW STOCK",""))),"")</f>
        <v>#VALUE!</v>
      </c>
      <c r="X48" s="38"/>
      <c r="Y48" s="38"/>
      <c r="Z48" s="38"/>
      <c r="AA48" s="38"/>
      <c r="AB48" s="50">
        <v>46300</v>
      </c>
      <c r="AC48" s="44">
        <v>34702</v>
      </c>
      <c r="AD48" s="51">
        <v>5</v>
      </c>
      <c r="AE48" s="37" t="s">
        <v>387</v>
      </c>
      <c r="AF48" s="37" t="s">
        <v>381</v>
      </c>
      <c r="AG48" s="33" t="str">
        <f>IF(G48&gt;0,IF(AD48&gt;0,IF(AD48=0,"Waiting",IF(AD48&lt;L48,"Partial",IF(AD48=L48,"Full Supply",IF(AD48&gt;L48,"Over Shared")))),"Waiting"),"")</f>
        <v>Full Supply</v>
      </c>
      <c r="AH48" s="326"/>
      <c r="AI48" s="327"/>
      <c r="AJ48" s="181"/>
      <c r="AK48" s="40"/>
      <c r="AL48" s="40"/>
      <c r="AM48" s="40"/>
      <c r="AN48" s="212" t="s">
        <v>435</v>
      </c>
      <c r="AO48" s="34"/>
      <c r="AP48" s="37"/>
      <c r="AQ48" s="37"/>
      <c r="AR48" s="37"/>
      <c r="AS48" s="37"/>
      <c r="AT48" s="37">
        <f>AS48-AD48</f>
        <v>-5</v>
      </c>
      <c r="AU48" s="36" t="str">
        <f>IF(AR48=0,"Waiting",IF(AR48&lt;AH48,"Kurang",IF(AR48=AH48,"Sesuai",IF(AR48&gt;AH48,"Over Shared"))))</f>
        <v>Waiting</v>
      </c>
      <c r="AV48" s="37"/>
      <c r="AW48" s="37" t="str">
        <f>IFERROR(DATEDIF(AH48,AK48,"d"),"0")&amp;"-DAY"</f>
        <v>0-DAY</v>
      </c>
      <c r="AX48" s="37" t="str">
        <f>IFERROR(DATEDIF(B48,AB48,"d"),"0")&amp;"-DAY"</f>
        <v>84-DAY</v>
      </c>
      <c r="AY48" s="37"/>
      <c r="AZ48" s="181">
        <f>L48-AD48</f>
        <v>0</v>
      </c>
    </row>
    <row r="49" spans="1:52" ht="15.5" hidden="1" customHeight="1">
      <c r="A49" s="360" t="s">
        <v>372</v>
      </c>
      <c r="B49" s="340">
        <v>46216</v>
      </c>
      <c r="C49" s="181">
        <v>48017</v>
      </c>
      <c r="D49" s="30">
        <v>46216</v>
      </c>
      <c r="E49" s="30">
        <v>46211</v>
      </c>
      <c r="F49" s="30">
        <v>46215</v>
      </c>
      <c r="G49" s="37">
        <v>4420229028</v>
      </c>
      <c r="H49" s="37" t="s">
        <v>373</v>
      </c>
      <c r="I49" s="37">
        <v>9040016343</v>
      </c>
      <c r="J49" s="37" t="s">
        <v>211</v>
      </c>
      <c r="K49" s="325" t="s">
        <v>212</v>
      </c>
      <c r="L49" s="181">
        <v>7</v>
      </c>
      <c r="M49" s="181" t="s">
        <v>421</v>
      </c>
      <c r="N49" s="37" t="s">
        <v>434</v>
      </c>
      <c r="O49" s="31">
        <f>IF(F49&gt;0,F49-AB49,"")</f>
        <v>-24</v>
      </c>
      <c r="P49" s="37" t="str">
        <f>IF(F49&gt;0,IF(AB49="","PLANNING SUPPLY",IF(AB49&lt;=F49,"ONTIME DELIVERY","DELAY")),"")</f>
        <v>DELAY</v>
      </c>
      <c r="Q49" s="181" t="str">
        <f>IFERROR(IF(J49&gt;0,VLOOKUP(J49,#REF!,MATCH($Q$6,#REF!,0),0),""),"")</f>
        <v/>
      </c>
      <c r="R49" s="181" t="str">
        <f>IFERROR(IF(J49&gt;0,VLOOKUP(J49,#REF!,MATCH($R$6,#REF!,0),0),""),"")</f>
        <v/>
      </c>
      <c r="S49" s="181" t="e">
        <f>IF(I49&gt;0,Q49+R49,"")</f>
        <v>#VALUE!</v>
      </c>
      <c r="T49" s="181" t="e">
        <f>Q49-L49</f>
        <v>#VALUE!</v>
      </c>
      <c r="U49" s="181" t="e">
        <f>R49-L49</f>
        <v>#VALUE!</v>
      </c>
      <c r="V49" s="37"/>
      <c r="W49" s="181" t="e">
        <f>IF(I49&gt;0,IF(S49&gt;L49,"READY STOCK",IF(S49=0,"OUT OF STOCK",IF(S49&lt;L49,"LOW STOCK",""))),"")</f>
        <v>#VALUE!</v>
      </c>
      <c r="X49" s="38"/>
      <c r="Y49" s="38"/>
      <c r="Z49" s="38"/>
      <c r="AA49" s="38"/>
      <c r="AB49" s="50">
        <v>46239</v>
      </c>
      <c r="AC49" s="181">
        <v>33395</v>
      </c>
      <c r="AD49" s="51">
        <v>7</v>
      </c>
      <c r="AE49" s="37" t="s">
        <v>383</v>
      </c>
      <c r="AF49" s="37" t="s">
        <v>381</v>
      </c>
      <c r="AG49" s="33" t="str">
        <f>IF(G49&gt;0,IF(AD49&gt;0,IF(AD49=0,"Waiting",IF(AD49&lt;L49,"Partial",IF(AD49=L49,"Full Supply",IF(AD49&gt;L49,"Over Shared")))),"Waiting"),"")</f>
        <v>Full Supply</v>
      </c>
      <c r="AH49" s="326">
        <v>46212</v>
      </c>
      <c r="AI49" s="327" t="s">
        <v>391</v>
      </c>
      <c r="AJ49" s="328">
        <v>50</v>
      </c>
      <c r="AK49" s="40">
        <v>25592</v>
      </c>
      <c r="AL49" s="42">
        <v>46213</v>
      </c>
      <c r="AM49" s="40">
        <v>20</v>
      </c>
      <c r="AN49" s="37"/>
      <c r="AO49" s="43">
        <v>46217</v>
      </c>
      <c r="AP49" s="37"/>
      <c r="AQ49" s="37"/>
      <c r="AR49" s="37"/>
      <c r="AS49" s="37"/>
      <c r="AT49" s="37">
        <f>AS49-AD49</f>
        <v>-7</v>
      </c>
      <c r="AU49" s="36" t="str">
        <f>IF(AR49=0,"Waiting",IF(AR49&lt;AH49,"Kurang",IF(AR49=AH49,"Sesuai",IF(AR49&gt;AH49,"Over Shared"))))</f>
        <v>Waiting</v>
      </c>
      <c r="AV49" s="37"/>
      <c r="AW49" s="37" t="str">
        <f>IFERROR(DATEDIF(AH49,AK49,"d"),"0")&amp;"-DAY"</f>
        <v>0-DAY</v>
      </c>
      <c r="AX49" s="37" t="str">
        <f>IFERROR(DATEDIF(B49,AB49,"d"),"0")&amp;"-DAY"</f>
        <v>23-DAY</v>
      </c>
      <c r="AY49" s="37"/>
      <c r="AZ49" s="181">
        <f>L49-AD49</f>
        <v>0</v>
      </c>
    </row>
    <row r="50" spans="1:52" ht="15.5" hidden="1" customHeight="1">
      <c r="A50" s="360" t="s">
        <v>372</v>
      </c>
      <c r="B50" s="340">
        <v>46216</v>
      </c>
      <c r="C50" s="181">
        <v>48017</v>
      </c>
      <c r="D50" s="30">
        <v>46216</v>
      </c>
      <c r="E50" s="30">
        <v>46211</v>
      </c>
      <c r="F50" s="30">
        <v>46215</v>
      </c>
      <c r="G50" s="37">
        <v>4420229028</v>
      </c>
      <c r="H50" s="37" t="s">
        <v>373</v>
      </c>
      <c r="I50" s="37">
        <v>9040040390</v>
      </c>
      <c r="J50" s="37" t="s">
        <v>209</v>
      </c>
      <c r="K50" s="325" t="s">
        <v>210</v>
      </c>
      <c r="L50" s="181">
        <v>7</v>
      </c>
      <c r="M50" s="181" t="s">
        <v>421</v>
      </c>
      <c r="N50" s="37" t="s">
        <v>434</v>
      </c>
      <c r="O50" s="31">
        <f>IF(F50&gt;0,F50-AB50,"")</f>
        <v>-16</v>
      </c>
      <c r="P50" s="37" t="str">
        <f>IF(F50&gt;0,IF(AB50="","PLANNING SUPPLY",IF(AB50&lt;=F50,"ONTIME DELIVERY","DELAY")),"")</f>
        <v>DELAY</v>
      </c>
      <c r="Q50" s="181" t="str">
        <f>IFERROR(IF(J50&gt;0,VLOOKUP(J50,#REF!,MATCH($Q$6,#REF!,0),0),""),"")</f>
        <v/>
      </c>
      <c r="R50" s="181" t="str">
        <f>IFERROR(IF(J50&gt;0,VLOOKUP(J50,#REF!,MATCH($R$6,#REF!,0),0),""),"")</f>
        <v/>
      </c>
      <c r="S50" s="181" t="e">
        <f>IF(I50&gt;0,Q50+R50,"")</f>
        <v>#VALUE!</v>
      </c>
      <c r="T50" s="181" t="e">
        <f>Q50-L50</f>
        <v>#VALUE!</v>
      </c>
      <c r="U50" s="181" t="e">
        <f>R50-L50</f>
        <v>#VALUE!</v>
      </c>
      <c r="V50" s="37"/>
      <c r="W50" s="181" t="e">
        <f>IF(I50&gt;0,IF(S50&gt;L50,"READY STOCK",IF(S50=0,"OUT OF STOCK",IF(S50&lt;L50,"LOW STOCK",""))),"")</f>
        <v>#VALUE!</v>
      </c>
      <c r="X50" s="181">
        <v>33121</v>
      </c>
      <c r="Y50" s="38">
        <v>46224</v>
      </c>
      <c r="Z50" s="181" t="s">
        <v>396</v>
      </c>
      <c r="AA50" s="181" t="s">
        <v>397</v>
      </c>
      <c r="AB50" s="50">
        <v>46231</v>
      </c>
      <c r="AC50" s="181">
        <v>33208</v>
      </c>
      <c r="AD50" s="51">
        <v>7</v>
      </c>
      <c r="AE50" s="37" t="s">
        <v>383</v>
      </c>
      <c r="AF50" s="37" t="s">
        <v>381</v>
      </c>
      <c r="AG50" s="33" t="str">
        <f>IF(G50&gt;0,IF(AD50&gt;0,IF(AD50=0,"Waiting",IF(AD50&lt;L50,"Partial",IF(AD50=L50,"Full Supply",IF(AD50&gt;L50,"Over Shared")))),"Waiting"),"")</f>
        <v>Full Supply</v>
      </c>
      <c r="AH50" s="326">
        <v>46218</v>
      </c>
      <c r="AI50" s="181" t="s">
        <v>440</v>
      </c>
      <c r="AJ50" s="181">
        <v>7</v>
      </c>
      <c r="AK50" s="40">
        <v>25758</v>
      </c>
      <c r="AL50" s="218">
        <v>46226</v>
      </c>
      <c r="AM50" s="40">
        <v>7</v>
      </c>
      <c r="AN50" s="37"/>
      <c r="AO50" s="41">
        <v>46227</v>
      </c>
      <c r="AP50" s="37"/>
      <c r="AQ50" s="37"/>
      <c r="AR50" s="37"/>
      <c r="AS50" s="37"/>
      <c r="AT50" s="37">
        <f>AS50-AD50</f>
        <v>-7</v>
      </c>
      <c r="AU50" s="36" t="str">
        <f>IF(AR50=0,"Waiting",IF(AR50&lt;AH50,"Kurang",IF(AR50=AH50,"Sesuai",IF(AR50&gt;AH50,"Over Shared"))))</f>
        <v>Waiting</v>
      </c>
      <c r="AV50" s="37"/>
      <c r="AW50" s="37" t="str">
        <f>IFERROR(DATEDIF(AH50,AK50,"d"),"0")&amp;"-DAY"</f>
        <v>0-DAY</v>
      </c>
      <c r="AX50" s="37" t="str">
        <f>IFERROR(DATEDIF(B50,AB50,"d"),"0")&amp;"-DAY"</f>
        <v>15-DAY</v>
      </c>
      <c r="AY50" s="37"/>
      <c r="AZ50" s="181">
        <f>L50-AD50</f>
        <v>0</v>
      </c>
    </row>
    <row r="51" spans="1:52" ht="15.5" hidden="1" customHeight="1">
      <c r="A51" s="360" t="s">
        <v>372</v>
      </c>
      <c r="B51" s="340">
        <v>46216</v>
      </c>
      <c r="C51" s="181">
        <v>48017</v>
      </c>
      <c r="D51" s="30">
        <v>46216</v>
      </c>
      <c r="E51" s="30">
        <v>46211</v>
      </c>
      <c r="F51" s="30">
        <v>46215</v>
      </c>
      <c r="G51" s="37">
        <v>4420229028</v>
      </c>
      <c r="H51" s="37" t="s">
        <v>373</v>
      </c>
      <c r="I51" s="37">
        <v>9040016581</v>
      </c>
      <c r="J51" s="37" t="s">
        <v>185</v>
      </c>
      <c r="K51" s="325" t="s">
        <v>186</v>
      </c>
      <c r="L51" s="181">
        <v>13</v>
      </c>
      <c r="M51" s="181" t="s">
        <v>425</v>
      </c>
      <c r="N51" s="37" t="s">
        <v>434</v>
      </c>
      <c r="O51" s="31">
        <f>IF(F51&gt;0,F51-AB51,"")</f>
        <v>-78</v>
      </c>
      <c r="P51" s="37" t="str">
        <f>IF(F51&gt;0,IF(AB51="","PLANNING SUPPLY",IF(AB51&lt;=F51,"ONTIME DELIVERY","DELAY")),"")</f>
        <v>DELAY</v>
      </c>
      <c r="Q51" s="181" t="str">
        <f>IFERROR(IF(J51&gt;0,VLOOKUP(J51,#REF!,MATCH($Q$6,#REF!,0),0),""),"")</f>
        <v/>
      </c>
      <c r="R51" s="181" t="str">
        <f>IFERROR(IF(J51&gt;0,VLOOKUP(J51,#REF!,MATCH($R$6,#REF!,0),0),""),"")</f>
        <v/>
      </c>
      <c r="S51" s="181" t="e">
        <f>IF(I51&gt;0,Q51+R51,"")</f>
        <v>#VALUE!</v>
      </c>
      <c r="T51" s="181" t="e">
        <f>Q51-L51</f>
        <v>#VALUE!</v>
      </c>
      <c r="U51" s="181" t="e">
        <f>R51-L51</f>
        <v>#VALUE!</v>
      </c>
      <c r="V51" s="37" t="s">
        <v>390</v>
      </c>
      <c r="W51" s="181" t="e">
        <f>IF(I51&gt;0,IF(S51&gt;L51,"READY STOCK",IF(S51=0,"OUT OF STOCK",IF(S51&lt;L51,"LOW STOCK",""))),"")</f>
        <v>#VALUE!</v>
      </c>
      <c r="X51" s="38"/>
      <c r="Y51" s="38"/>
      <c r="Z51" s="38"/>
      <c r="AA51" s="38"/>
      <c r="AB51" s="50">
        <v>46293</v>
      </c>
      <c r="AC51" s="181">
        <v>34593</v>
      </c>
      <c r="AD51" s="51">
        <v>13</v>
      </c>
      <c r="AE51" s="37" t="s">
        <v>383</v>
      </c>
      <c r="AF51" s="37" t="s">
        <v>381</v>
      </c>
      <c r="AG51" s="33" t="str">
        <f>IF(G51&gt;0,IF(AD51&gt;0,IF(AD51=0,"Waiting",IF(AD51&lt;L51,"Partial",IF(AD51=L51,"Full Supply",IF(AD51&gt;L51,"Over Shared")))),"Waiting"),"")</f>
        <v>Full Supply</v>
      </c>
      <c r="AH51" s="181"/>
      <c r="AI51" s="181"/>
      <c r="AJ51" s="181"/>
      <c r="AK51" s="40"/>
      <c r="AL51" s="40"/>
      <c r="AM51" s="40"/>
      <c r="AN51" s="37"/>
      <c r="AO51" s="34"/>
      <c r="AP51" s="37"/>
      <c r="AQ51" s="37"/>
      <c r="AR51" s="37"/>
      <c r="AS51" s="37"/>
      <c r="AT51" s="37">
        <f>AS51-AD51</f>
        <v>-13</v>
      </c>
      <c r="AU51" s="36" t="str">
        <f>IF(AR51=0,"Waiting",IF(AR51&lt;AH51,"Kurang",IF(AR51=AH51,"Sesuai",IF(AR51&gt;AH51,"Over Shared"))))</f>
        <v>Waiting</v>
      </c>
      <c r="AV51" s="37"/>
      <c r="AW51" s="37" t="str">
        <f>IFERROR(DATEDIF(AH51,AK51,"d"),"0")&amp;"-DAY"</f>
        <v>0-DAY</v>
      </c>
      <c r="AX51" s="37" t="str">
        <f>IFERROR(DATEDIF(B51,AB51,"d"),"0")&amp;"-DAY"</f>
        <v>77-DAY</v>
      </c>
      <c r="AY51" s="37"/>
      <c r="AZ51" s="181">
        <f>L51-AD51</f>
        <v>0</v>
      </c>
    </row>
    <row r="52" spans="1:52" ht="15.5" hidden="1" customHeight="1">
      <c r="A52" s="360" t="s">
        <v>372</v>
      </c>
      <c r="B52" s="340">
        <v>46216</v>
      </c>
      <c r="C52" s="181">
        <v>48017</v>
      </c>
      <c r="D52" s="30">
        <v>46216</v>
      </c>
      <c r="E52" s="30">
        <v>46211</v>
      </c>
      <c r="F52" s="30">
        <v>46215</v>
      </c>
      <c r="G52" s="37">
        <v>4420229028</v>
      </c>
      <c r="H52" s="37" t="s">
        <v>373</v>
      </c>
      <c r="I52" s="37">
        <v>9040016582</v>
      </c>
      <c r="J52" s="37" t="s">
        <v>183</v>
      </c>
      <c r="K52" s="325" t="s">
        <v>184</v>
      </c>
      <c r="L52" s="181">
        <v>15</v>
      </c>
      <c r="M52" s="181" t="s">
        <v>425</v>
      </c>
      <c r="N52" s="37" t="s">
        <v>434</v>
      </c>
      <c r="O52" s="31">
        <f>IF(F52&gt;0,F52-AB52,"")</f>
        <v>-11</v>
      </c>
      <c r="P52" s="37" t="str">
        <f>IF(F52&gt;0,IF(AB52="","PLANNING SUPPLY",IF(AB52&lt;=F52,"ONTIME DELIVERY","DELAY")),"")</f>
        <v>DELAY</v>
      </c>
      <c r="Q52" s="181" t="str">
        <f>IFERROR(IF(J52&gt;0,VLOOKUP(J52,#REF!,MATCH($Q$6,#REF!,0),0),""),"")</f>
        <v/>
      </c>
      <c r="R52" s="181" t="str">
        <f>IFERROR(IF(J52&gt;0,VLOOKUP(J52,#REF!,MATCH($R$6,#REF!,0),0),""),"")</f>
        <v/>
      </c>
      <c r="S52" s="181" t="e">
        <f>IF(I52&gt;0,Q52+R52,"")</f>
        <v>#VALUE!</v>
      </c>
      <c r="T52" s="181" t="e">
        <f>Q52-L52</f>
        <v>#VALUE!</v>
      </c>
      <c r="U52" s="181" t="e">
        <f>R52-L52</f>
        <v>#VALUE!</v>
      </c>
      <c r="V52" s="37" t="s">
        <v>390</v>
      </c>
      <c r="W52" s="181" t="e">
        <f>IF(I52&gt;0,IF(S52&gt;L52,"READY STOCK",IF(S52=0,"OUT OF STOCK",IF(S52&lt;L52,"LOW STOCK",""))),"")</f>
        <v>#VALUE!</v>
      </c>
      <c r="X52" s="38"/>
      <c r="Y52" s="38"/>
      <c r="Z52" s="38"/>
      <c r="AA52" s="38"/>
      <c r="AB52" s="50">
        <v>46226</v>
      </c>
      <c r="AC52" s="181">
        <v>33140</v>
      </c>
      <c r="AD52" s="51">
        <v>15</v>
      </c>
      <c r="AE52" s="37" t="s">
        <v>383</v>
      </c>
      <c r="AF52" s="37" t="s">
        <v>381</v>
      </c>
      <c r="AG52" s="33" t="str">
        <f>IF(G52&gt;0,IF(AD52&gt;0,IF(AD52=0,"Waiting",IF(AD52&lt;L52,"Partial",IF(AD52=L52,"Full Supply",IF(AD52&gt;L52,"Over Shared")))),"Waiting"),"")</f>
        <v>Full Supply</v>
      </c>
      <c r="AH52" s="181"/>
      <c r="AI52" s="181"/>
      <c r="AJ52" s="181"/>
      <c r="AK52" s="40"/>
      <c r="AL52" s="40"/>
      <c r="AM52" s="40"/>
      <c r="AN52" s="37"/>
      <c r="AO52" s="34"/>
      <c r="AP52" s="37"/>
      <c r="AQ52" s="37"/>
      <c r="AR52" s="37"/>
      <c r="AS52" s="37"/>
      <c r="AT52" s="37">
        <f>AS52-AD52</f>
        <v>-15</v>
      </c>
      <c r="AU52" s="36" t="str">
        <f>IF(AR52=0,"Waiting",IF(AR52&lt;AH52,"Kurang",IF(AR52=AH52,"Sesuai",IF(AR52&gt;AH52,"Over Shared"))))</f>
        <v>Waiting</v>
      </c>
      <c r="AV52" s="37"/>
      <c r="AW52" s="37" t="str">
        <f>IFERROR(DATEDIF(AH52,AK52,"d"),"0")&amp;"-DAY"</f>
        <v>0-DAY</v>
      </c>
      <c r="AX52" s="37" t="str">
        <f>IFERROR(DATEDIF(B52,AB52,"d"),"0")&amp;"-DAY"</f>
        <v>10-DAY</v>
      </c>
      <c r="AY52" s="37"/>
      <c r="AZ52" s="181">
        <f>L52-AD52</f>
        <v>0</v>
      </c>
    </row>
    <row r="53" spans="1:52" ht="15.5" hidden="1" customHeight="1">
      <c r="A53" s="360" t="s">
        <v>372</v>
      </c>
      <c r="B53" s="340">
        <v>46216</v>
      </c>
      <c r="C53" s="181">
        <v>48017</v>
      </c>
      <c r="D53" s="30">
        <v>46216</v>
      </c>
      <c r="E53" s="30">
        <v>46211</v>
      </c>
      <c r="F53" s="30">
        <v>46215</v>
      </c>
      <c r="G53" s="37">
        <v>4420229028</v>
      </c>
      <c r="H53" s="37" t="s">
        <v>373</v>
      </c>
      <c r="I53" s="37">
        <v>9040044219</v>
      </c>
      <c r="J53" s="37" t="s">
        <v>262</v>
      </c>
      <c r="K53" s="325" t="s">
        <v>263</v>
      </c>
      <c r="L53" s="181">
        <v>12</v>
      </c>
      <c r="M53" s="181" t="s">
        <v>425</v>
      </c>
      <c r="N53" s="37" t="s">
        <v>434</v>
      </c>
      <c r="O53" s="31">
        <f>IF(F53&gt;0,F53-AB53,"")</f>
        <v>-11</v>
      </c>
      <c r="P53" s="37" t="str">
        <f>IF(F53&gt;0,IF(AB53="","PLANNING SUPPLY",IF(AB53&lt;=F53,"ONTIME DELIVERY","DELAY")),"")</f>
        <v>DELAY</v>
      </c>
      <c r="Q53" s="181" t="str">
        <f>IFERROR(IF(J53&gt;0,VLOOKUP(J53,#REF!,MATCH($Q$6,#REF!,0),0),""),"")</f>
        <v/>
      </c>
      <c r="R53" s="181" t="str">
        <f>IFERROR(IF(J53&gt;0,VLOOKUP(J53,#REF!,MATCH($R$6,#REF!,0),0),""),"")</f>
        <v/>
      </c>
      <c r="S53" s="181" t="e">
        <f>IF(I53&gt;0,Q53+R53,"")</f>
        <v>#VALUE!</v>
      </c>
      <c r="T53" s="181" t="e">
        <f>Q53-L53</f>
        <v>#VALUE!</v>
      </c>
      <c r="U53" s="181" t="e">
        <f>R53-L53</f>
        <v>#VALUE!</v>
      </c>
      <c r="V53" s="37"/>
      <c r="W53" s="181" t="e">
        <f>IF(I53&gt;0,IF(S53&gt;L53,"READY STOCK",IF(S53=0,"OUT OF STOCK",IF(S53&lt;L53,"LOW STOCK",""))),"")</f>
        <v>#VALUE!</v>
      </c>
      <c r="X53" s="38"/>
      <c r="Y53" s="38"/>
      <c r="Z53" s="38"/>
      <c r="AA53" s="38"/>
      <c r="AB53" s="50">
        <v>46226</v>
      </c>
      <c r="AC53" s="181">
        <v>33140</v>
      </c>
      <c r="AD53" s="51">
        <v>12</v>
      </c>
      <c r="AE53" s="37" t="s">
        <v>383</v>
      </c>
      <c r="AF53" s="37" t="s">
        <v>381</v>
      </c>
      <c r="AG53" s="33" t="str">
        <f>IF(G53&gt;0,IF(AD53&gt;0,IF(AD53=0,"Waiting",IF(AD53&lt;L53,"Partial",IF(AD53=L53,"Full Supply",IF(AD53&gt;L53,"Over Shared")))),"Waiting"),"")</f>
        <v>Full Supply</v>
      </c>
      <c r="AH53" s="37"/>
      <c r="AI53" s="37"/>
      <c r="AJ53" s="181"/>
      <c r="AK53" s="40"/>
      <c r="AL53" s="40"/>
      <c r="AM53" s="40"/>
      <c r="AN53" s="37"/>
      <c r="AO53" s="34"/>
      <c r="AP53" s="37"/>
      <c r="AQ53" s="37"/>
      <c r="AR53" s="37"/>
      <c r="AS53" s="37"/>
      <c r="AT53" s="37">
        <f>AS53-AD53</f>
        <v>-12</v>
      </c>
      <c r="AU53" s="36" t="str">
        <f>IF(AR53=0,"Waiting",IF(AR53&lt;AH53,"Kurang",IF(AR53=AH53,"Sesuai",IF(AR53&gt;AH53,"Over Shared"))))</f>
        <v>Waiting</v>
      </c>
      <c r="AV53" s="37"/>
      <c r="AW53" s="37" t="str">
        <f>IFERROR(DATEDIF(AH53,AK53,"d"),"0")&amp;"-DAY"</f>
        <v>0-DAY</v>
      </c>
      <c r="AX53" s="37" t="str">
        <f>IFERROR(DATEDIF(B53,AB53,"d"),"0")&amp;"-DAY"</f>
        <v>10-DAY</v>
      </c>
      <c r="AY53" s="37"/>
      <c r="AZ53" s="181">
        <f>L53-AD53</f>
        <v>0</v>
      </c>
    </row>
    <row r="54" spans="1:52" ht="15.5" hidden="1" customHeight="1">
      <c r="A54" s="360" t="s">
        <v>372</v>
      </c>
      <c r="B54" s="340">
        <v>46216</v>
      </c>
      <c r="C54" s="181">
        <v>48017</v>
      </c>
      <c r="D54" s="30">
        <v>46216</v>
      </c>
      <c r="E54" s="30">
        <v>46211</v>
      </c>
      <c r="F54" s="30">
        <v>46215</v>
      </c>
      <c r="G54" s="37">
        <v>4420229028</v>
      </c>
      <c r="H54" s="37" t="s">
        <v>373</v>
      </c>
      <c r="I54" s="37">
        <v>9040044317</v>
      </c>
      <c r="J54" s="37" t="s">
        <v>143</v>
      </c>
      <c r="K54" s="325" t="s">
        <v>144</v>
      </c>
      <c r="L54" s="181">
        <v>1</v>
      </c>
      <c r="M54" s="181" t="s">
        <v>425</v>
      </c>
      <c r="N54" s="37" t="s">
        <v>434</v>
      </c>
      <c r="O54" s="31">
        <f>IF(F54&gt;0,F54-AB54,"")</f>
        <v>-57</v>
      </c>
      <c r="P54" s="37" t="str">
        <f>IF(F54&gt;0,IF(AB54="","PLANNING SUPPLY",IF(AB54&lt;=F54,"ONTIME DELIVERY","DELAY")),"")</f>
        <v>DELAY</v>
      </c>
      <c r="Q54" s="181" t="str">
        <f>IFERROR(IF(J54&gt;0,VLOOKUP(J54,#REF!,MATCH($Q$6,#REF!,0),0),""),"")</f>
        <v/>
      </c>
      <c r="R54" s="181" t="str">
        <f>IFERROR(IF(J54&gt;0,VLOOKUP(J54,#REF!,MATCH($R$6,#REF!,0),0),""),"")</f>
        <v/>
      </c>
      <c r="S54" s="181" t="e">
        <f>IF(I54&gt;0,Q54+R54,"")</f>
        <v>#VALUE!</v>
      </c>
      <c r="T54" s="181" t="e">
        <f>Q54-L54</f>
        <v>#VALUE!</v>
      </c>
      <c r="U54" s="181" t="e">
        <f>R54-L54</f>
        <v>#VALUE!</v>
      </c>
      <c r="V54" s="37"/>
      <c r="W54" s="181" t="e">
        <f>IF(I54&gt;0,IF(S54&gt;L54,"READY STOCK",IF(S54=0,"OUT OF STOCK",IF(S54&lt;L54,"LOW STOCK",""))),"")</f>
        <v>#VALUE!</v>
      </c>
      <c r="X54" s="38"/>
      <c r="Y54" s="38"/>
      <c r="Z54" s="38"/>
      <c r="AA54" s="38"/>
      <c r="AB54" s="50">
        <v>46272</v>
      </c>
      <c r="AC54" s="181">
        <v>34026</v>
      </c>
      <c r="AD54" s="51">
        <v>1</v>
      </c>
      <c r="AE54" s="37" t="s">
        <v>383</v>
      </c>
      <c r="AF54" s="37" t="s">
        <v>381</v>
      </c>
      <c r="AG54" s="33" t="str">
        <f>IF(G54&gt;0,IF(AD54&gt;0,IF(AD54=0,"Waiting",IF(AD54&lt;L54,"Partial",IF(AD54=L54,"Full Supply",IF(AD54&gt;L54,"Over Shared")))),"Waiting"),"")</f>
        <v>Full Supply</v>
      </c>
      <c r="AH54" s="326">
        <v>46218</v>
      </c>
      <c r="AI54" s="181" t="s">
        <v>440</v>
      </c>
      <c r="AJ54" s="181">
        <v>1</v>
      </c>
      <c r="AK54" s="40">
        <v>25942</v>
      </c>
      <c r="AL54" s="218">
        <v>46246</v>
      </c>
      <c r="AM54" s="40">
        <v>7</v>
      </c>
      <c r="AN54" s="37"/>
      <c r="AO54" s="48">
        <v>46268</v>
      </c>
      <c r="AP54" s="37"/>
      <c r="AQ54" s="37"/>
      <c r="AR54" s="37"/>
      <c r="AS54" s="37"/>
      <c r="AT54" s="37">
        <f>AS54-AD54</f>
        <v>-1</v>
      </c>
      <c r="AU54" s="36" t="str">
        <f>IF(AR54=0,"Waiting",IF(AR54&lt;AH54,"Kurang",IF(AR54=AH54,"Sesuai",IF(AR54&gt;AH54,"Over Shared"))))</f>
        <v>Waiting</v>
      </c>
      <c r="AV54" s="37"/>
      <c r="AW54" s="37" t="str">
        <f>IFERROR(DATEDIF(AH54,AK54,"d"),"0")&amp;"-DAY"</f>
        <v>0-DAY</v>
      </c>
      <c r="AX54" s="37" t="str">
        <f>IFERROR(DATEDIF(B54,AB54,"d"),"0")&amp;"-DAY"</f>
        <v>56-DAY</v>
      </c>
      <c r="AY54" s="37"/>
      <c r="AZ54" s="181">
        <f>L54-AD54</f>
        <v>0</v>
      </c>
    </row>
    <row r="55" spans="1:52" ht="15.5" hidden="1" customHeight="1">
      <c r="A55" s="360" t="s">
        <v>372</v>
      </c>
      <c r="B55" s="340">
        <v>46216</v>
      </c>
      <c r="C55" s="181">
        <v>48017</v>
      </c>
      <c r="D55" s="30">
        <v>46216</v>
      </c>
      <c r="E55" s="30">
        <v>46211</v>
      </c>
      <c r="F55" s="30">
        <v>46215</v>
      </c>
      <c r="G55" s="37">
        <v>4420229028</v>
      </c>
      <c r="H55" s="37" t="s">
        <v>373</v>
      </c>
      <c r="I55" s="37">
        <v>9040039404</v>
      </c>
      <c r="J55" s="37" t="s">
        <v>295</v>
      </c>
      <c r="K55" s="325" t="s">
        <v>296</v>
      </c>
      <c r="L55" s="181">
        <v>2</v>
      </c>
      <c r="M55" s="181" t="s">
        <v>425</v>
      </c>
      <c r="N55" s="37" t="s">
        <v>434</v>
      </c>
      <c r="O55" s="31">
        <f>IF(F55&gt;0,F55-AB55,"")</f>
        <v>-31</v>
      </c>
      <c r="P55" s="37" t="str">
        <f>IF(F55&gt;0,IF(AB55="","PLANNING SUPPLY",IF(AB55&lt;=F55,"ONTIME DELIVERY","DELAY")),"")</f>
        <v>DELAY</v>
      </c>
      <c r="Q55" s="181" t="str">
        <f>IFERROR(IF(J55&gt;0,VLOOKUP(J55,#REF!,MATCH($Q$6,#REF!,0),0),""),"")</f>
        <v/>
      </c>
      <c r="R55" s="181" t="str">
        <f>IFERROR(IF(J55&gt;0,VLOOKUP(J55,#REF!,MATCH($R$6,#REF!,0),0),""),"")</f>
        <v/>
      </c>
      <c r="S55" s="181" t="e">
        <f>IF(I55&gt;0,Q55+R55,"")</f>
        <v>#VALUE!</v>
      </c>
      <c r="T55" s="181" t="e">
        <f>Q55-L55</f>
        <v>#VALUE!</v>
      </c>
      <c r="U55" s="181" t="e">
        <f>R55-L55</f>
        <v>#VALUE!</v>
      </c>
      <c r="V55" s="37"/>
      <c r="W55" s="181" t="e">
        <f>IF(I55&gt;0,IF(S55&gt;L55,"READY STOCK",IF(S55=0,"OUT OF STOCK",IF(S55&lt;L55,"LOW STOCK",""))),"")</f>
        <v>#VALUE!</v>
      </c>
      <c r="X55" s="38"/>
      <c r="Y55" s="38"/>
      <c r="Z55" s="237"/>
      <c r="AA55" s="237"/>
      <c r="AB55" s="50">
        <v>46246</v>
      </c>
      <c r="AC55" s="181">
        <v>33589</v>
      </c>
      <c r="AD55" s="51">
        <v>2</v>
      </c>
      <c r="AE55" s="37" t="s">
        <v>442</v>
      </c>
      <c r="AF55" s="37" t="s">
        <v>381</v>
      </c>
      <c r="AG55" s="33" t="str">
        <f>IF(G55&gt;0,IF(AD55&gt;0,IF(AD55=0,"Waiting",IF(AD55&lt;L55,"Partial",IF(AD55=L55,"Full Supply",IF(AD55&gt;L55,"Over Shared")))),"Waiting"),"")</f>
        <v>Full Supply</v>
      </c>
      <c r="AH55" s="181"/>
      <c r="AI55" s="181"/>
      <c r="AJ55" s="181"/>
      <c r="AK55" s="40"/>
      <c r="AL55" s="40"/>
      <c r="AM55" s="40"/>
      <c r="AN55" s="37"/>
      <c r="AO55" s="34"/>
      <c r="AP55" s="37"/>
      <c r="AQ55" s="37"/>
      <c r="AR55" s="37"/>
      <c r="AS55" s="37"/>
      <c r="AT55" s="37">
        <f>AS55-AD55</f>
        <v>-2</v>
      </c>
      <c r="AU55" s="36" t="str">
        <f>IF(AR55=0,"Waiting",IF(AR55&lt;AH55,"Kurang",IF(AR55=AH55,"Sesuai",IF(AR55&gt;AH55,"Over Shared"))))</f>
        <v>Waiting</v>
      </c>
      <c r="AV55" s="37"/>
      <c r="AW55" s="37" t="str">
        <f>IFERROR(DATEDIF(AH55,AK55,"d"),"0")&amp;"-DAY"</f>
        <v>0-DAY</v>
      </c>
      <c r="AX55" s="37" t="str">
        <f>IFERROR(DATEDIF(B55,#REF!,"d"),"0")&amp;"-DAY"</f>
        <v>0-DAY</v>
      </c>
      <c r="AY55" s="37"/>
      <c r="AZ55" s="181">
        <f>L55-AD55</f>
        <v>0</v>
      </c>
    </row>
    <row r="56" spans="1:52" ht="15.5" hidden="1" customHeight="1">
      <c r="A56" s="360" t="s">
        <v>372</v>
      </c>
      <c r="B56" s="340">
        <v>46216</v>
      </c>
      <c r="C56" s="181">
        <v>48017</v>
      </c>
      <c r="D56" s="30">
        <v>46216</v>
      </c>
      <c r="E56" s="30">
        <v>46211</v>
      </c>
      <c r="F56" s="30">
        <v>46215</v>
      </c>
      <c r="G56" s="37">
        <v>4420229028</v>
      </c>
      <c r="H56" s="37" t="s">
        <v>373</v>
      </c>
      <c r="I56" s="37">
        <v>9040042451</v>
      </c>
      <c r="J56" s="37" t="s">
        <v>295</v>
      </c>
      <c r="K56" s="325" t="s">
        <v>296</v>
      </c>
      <c r="L56" s="181">
        <v>3</v>
      </c>
      <c r="M56" s="181" t="s">
        <v>425</v>
      </c>
      <c r="N56" s="37" t="s">
        <v>434</v>
      </c>
      <c r="O56" s="31">
        <f>IF(F56&gt;0,F56-AB56,"")</f>
        <v>-31</v>
      </c>
      <c r="P56" s="37" t="str">
        <f>IF(F56&gt;0,IF(AB56="","PLANNING SUPPLY",IF(AB56&lt;=F56,"ONTIME DELIVERY","DELAY")),"")</f>
        <v>DELAY</v>
      </c>
      <c r="Q56" s="181" t="str">
        <f>IFERROR(IF(J56&gt;0,VLOOKUP(J56,#REF!,MATCH($Q$6,#REF!,0),0),""),"")</f>
        <v/>
      </c>
      <c r="R56" s="181" t="str">
        <f>IFERROR(IF(J56&gt;0,VLOOKUP(J56,#REF!,MATCH($R$6,#REF!,0),0),""),"")</f>
        <v/>
      </c>
      <c r="S56" s="181" t="e">
        <f>IF(I56&gt;0,Q56+R56,"")</f>
        <v>#VALUE!</v>
      </c>
      <c r="T56" s="181" t="e">
        <f>Q56-L56</f>
        <v>#VALUE!</v>
      </c>
      <c r="U56" s="181" t="e">
        <f>R56-L56</f>
        <v>#VALUE!</v>
      </c>
      <c r="V56" s="37"/>
      <c r="W56" s="181" t="e">
        <f>IF(I56&gt;0,IF(S56&gt;L56,"READY STOCK",IF(S56=0,"OUT OF STOCK",IF(S56&lt;L56,"LOW STOCK",""))),"")</f>
        <v>#VALUE!</v>
      </c>
      <c r="X56" s="38"/>
      <c r="Y56" s="38"/>
      <c r="Z56" s="38"/>
      <c r="AA56" s="38"/>
      <c r="AB56" s="50">
        <v>46246</v>
      </c>
      <c r="AC56" s="181">
        <v>33589</v>
      </c>
      <c r="AD56" s="51">
        <v>3</v>
      </c>
      <c r="AE56" s="37" t="s">
        <v>387</v>
      </c>
      <c r="AF56" s="37" t="s">
        <v>381</v>
      </c>
      <c r="AG56" s="33" t="str">
        <f>IF(G56&gt;0,IF(AD56&gt;0,IF(AD56=0,"Waiting",IF(AD56&lt;L56,"Partial",IF(AD56=L56,"Full Supply",IF(AD56&gt;L56,"Over Shared")))),"Waiting"),"")</f>
        <v>Full Supply</v>
      </c>
      <c r="AH56" s="181"/>
      <c r="AI56" s="181"/>
      <c r="AJ56" s="181"/>
      <c r="AK56" s="40"/>
      <c r="AL56" s="40"/>
      <c r="AM56" s="40"/>
      <c r="AN56" s="37"/>
      <c r="AO56" s="34"/>
      <c r="AP56" s="37"/>
      <c r="AQ56" s="37"/>
      <c r="AR56" s="37"/>
      <c r="AS56" s="37"/>
      <c r="AT56" s="37">
        <f>AS56-AD56</f>
        <v>-3</v>
      </c>
      <c r="AU56" s="36" t="str">
        <f>IF(AR56=0,"Waiting",IF(AR56&lt;AH56,"Kurang",IF(AR56=AH56,"Sesuai",IF(AR56&gt;AH56,"Over Shared"))))</f>
        <v>Waiting</v>
      </c>
      <c r="AV56" s="37"/>
      <c r="AW56" s="37" t="str">
        <f>IFERROR(DATEDIF(AH56,AK56,"d"),"0")&amp;"-DAY"</f>
        <v>0-DAY</v>
      </c>
      <c r="AX56" s="37" t="str">
        <f>IFERROR(DATEDIF(B56,Z56,"d"),"0")&amp;"-DAY"</f>
        <v>0-DAY</v>
      </c>
      <c r="AY56" s="37"/>
      <c r="AZ56" s="181">
        <f>L56-AD56</f>
        <v>0</v>
      </c>
    </row>
    <row r="57" spans="1:52" ht="15.5" hidden="1" customHeight="1">
      <c r="A57" s="360" t="s">
        <v>372</v>
      </c>
      <c r="B57" s="340">
        <v>46216</v>
      </c>
      <c r="C57" s="181">
        <v>48017</v>
      </c>
      <c r="D57" s="30">
        <v>46216</v>
      </c>
      <c r="E57" s="30">
        <v>46211</v>
      </c>
      <c r="F57" s="30">
        <v>46215</v>
      </c>
      <c r="G57" s="37">
        <v>4420229028</v>
      </c>
      <c r="H57" s="37" t="s">
        <v>373</v>
      </c>
      <c r="I57" s="37">
        <v>9040040609</v>
      </c>
      <c r="J57" s="37" t="s">
        <v>266</v>
      </c>
      <c r="K57" s="325" t="s">
        <v>267</v>
      </c>
      <c r="L57" s="181">
        <v>2</v>
      </c>
      <c r="M57" s="181" t="s">
        <v>425</v>
      </c>
      <c r="N57" s="37" t="s">
        <v>434</v>
      </c>
      <c r="O57" s="31">
        <f>IF(F57&gt;0,F57-AB57,"")</f>
        <v>-11</v>
      </c>
      <c r="P57" s="37" t="str">
        <f>IF(F57&gt;0,IF(AB57="","PLANNING SUPPLY",IF(AB57&lt;=F57,"ONTIME DELIVERY","DELAY")),"")</f>
        <v>DELAY</v>
      </c>
      <c r="Q57" s="181" t="str">
        <f>IFERROR(IF(J57&gt;0,VLOOKUP(J57,#REF!,MATCH($Q$6,#REF!,0),0),""),"")</f>
        <v/>
      </c>
      <c r="R57" s="181" t="str">
        <f>IFERROR(IF(J57&gt;0,VLOOKUP(J57,#REF!,MATCH($R$6,#REF!,0),0),""),"")</f>
        <v/>
      </c>
      <c r="S57" s="181" t="e">
        <f>IF(I57&gt;0,Q57+R57,"")</f>
        <v>#VALUE!</v>
      </c>
      <c r="T57" s="181" t="e">
        <f>Q57-L57</f>
        <v>#VALUE!</v>
      </c>
      <c r="U57" s="181" t="e">
        <f>R57-L57</f>
        <v>#VALUE!</v>
      </c>
      <c r="V57" s="37"/>
      <c r="W57" s="181" t="e">
        <f>IF(I57&gt;0,IF(S57&gt;L57,"READY STOCK",IF(S57=0,"OUT OF STOCK",IF(S57&lt;L57,"LOW STOCK",""))),"")</f>
        <v>#VALUE!</v>
      </c>
      <c r="X57" s="38"/>
      <c r="Y57" s="38"/>
      <c r="Z57" s="38"/>
      <c r="AA57" s="38"/>
      <c r="AB57" s="50">
        <v>46226</v>
      </c>
      <c r="AC57" s="181">
        <v>33109</v>
      </c>
      <c r="AD57" s="51">
        <v>2</v>
      </c>
      <c r="AE57" s="37" t="s">
        <v>383</v>
      </c>
      <c r="AF57" s="37" t="s">
        <v>381</v>
      </c>
      <c r="AG57" s="33" t="str">
        <f>IF(G57&gt;0,IF(AD57&gt;0,IF(AD57=0,"Waiting",IF(AD57&lt;L57,"Partial",IF(AD57=L57,"Full Supply",IF(AD57&gt;L57,"Over Shared")))),"Waiting"),"")</f>
        <v>Full Supply</v>
      </c>
      <c r="AH57" s="37"/>
      <c r="AI57" s="37"/>
      <c r="AJ57" s="181"/>
      <c r="AK57" s="40"/>
      <c r="AL57" s="40"/>
      <c r="AM57" s="40"/>
      <c r="AN57" s="37"/>
      <c r="AO57" s="34"/>
      <c r="AP57" s="37"/>
      <c r="AQ57" s="37"/>
      <c r="AR57" s="37"/>
      <c r="AS57" s="37"/>
      <c r="AT57" s="37">
        <f>AS57-AD57</f>
        <v>-2</v>
      </c>
      <c r="AU57" s="36" t="str">
        <f>IF(AR57=0,"Waiting",IF(AR57&lt;AH57,"Kurang",IF(AR57=AH57,"Sesuai",IF(AR57&gt;AH57,"Over Shared"))))</f>
        <v>Waiting</v>
      </c>
      <c r="AV57" s="37"/>
      <c r="AW57" s="37" t="str">
        <f>IFERROR(DATEDIF(AH57,AK57,"d"),"0")&amp;"-DAY"</f>
        <v>0-DAY</v>
      </c>
      <c r="AX57" s="37" t="str">
        <f>IFERROR(DATEDIF(B57,AB57,"d"),"0")&amp;"-DAY"</f>
        <v>10-DAY</v>
      </c>
      <c r="AY57" s="37"/>
      <c r="AZ57" s="181">
        <f>L57-AD57</f>
        <v>0</v>
      </c>
    </row>
    <row r="58" spans="1:52" ht="15.5" hidden="1" customHeight="1">
      <c r="A58" s="360" t="s">
        <v>372</v>
      </c>
      <c r="B58" s="340">
        <v>46216</v>
      </c>
      <c r="C58" s="181">
        <v>48017</v>
      </c>
      <c r="D58" s="30">
        <v>46216</v>
      </c>
      <c r="E58" s="30">
        <v>46211</v>
      </c>
      <c r="F58" s="30">
        <v>46215</v>
      </c>
      <c r="G58" s="37">
        <v>4420229028</v>
      </c>
      <c r="H58" s="37" t="s">
        <v>373</v>
      </c>
      <c r="I58" s="37">
        <v>9040020554</v>
      </c>
      <c r="J58" s="37" t="s">
        <v>297</v>
      </c>
      <c r="K58" s="325" t="s">
        <v>298</v>
      </c>
      <c r="L58" s="181">
        <v>4</v>
      </c>
      <c r="M58" s="181" t="s">
        <v>425</v>
      </c>
      <c r="N58" s="37" t="s">
        <v>434</v>
      </c>
      <c r="O58" s="31">
        <f>IF(F58&gt;0,F58-AB58,"")</f>
        <v>-3</v>
      </c>
      <c r="P58" s="37" t="str">
        <f>IF(F58&gt;0,IF(AB58="","PLANNING SUPPLY",IF(AB58&lt;=F58,"ONTIME DELIVERY","DELAY")),"")</f>
        <v>DELAY</v>
      </c>
      <c r="Q58" s="181" t="str">
        <f>IFERROR(IF(J58&gt;0,VLOOKUP(J58,#REF!,MATCH($Q$6,#REF!,0),0),""),"")</f>
        <v/>
      </c>
      <c r="R58" s="181" t="str">
        <f>IFERROR(IF(J58&gt;0,VLOOKUP(J58,#REF!,MATCH($R$6,#REF!,0),0),""),"")</f>
        <v/>
      </c>
      <c r="S58" s="181" t="e">
        <f>IF(I58&gt;0,Q58+R58,"")</f>
        <v>#VALUE!</v>
      </c>
      <c r="T58" s="181" t="e">
        <f>Q58-L58</f>
        <v>#VALUE!</v>
      </c>
      <c r="U58" s="181" t="e">
        <f>R58-L58</f>
        <v>#VALUE!</v>
      </c>
      <c r="V58" s="37"/>
      <c r="W58" s="181" t="e">
        <f>IF(I58&gt;0,IF(S58&gt;L58,"READY STOCK",IF(S58=0,"OUT OF STOCK",IF(S58&lt;L58,"LOW STOCK",""))),"")</f>
        <v>#VALUE!</v>
      </c>
      <c r="X58" s="38"/>
      <c r="Y58" s="38"/>
      <c r="Z58" s="38"/>
      <c r="AA58" s="38"/>
      <c r="AB58" s="50">
        <v>46218</v>
      </c>
      <c r="AC58" s="181">
        <v>32981</v>
      </c>
      <c r="AD58" s="51">
        <v>4</v>
      </c>
      <c r="AE58" s="37" t="s">
        <v>383</v>
      </c>
      <c r="AF58" s="37" t="s">
        <v>381</v>
      </c>
      <c r="AG58" s="33" t="str">
        <f>IF(G58&gt;0,IF(AD58&gt;0,IF(AD58=0,"Waiting",IF(AD58&lt;L58,"Partial",IF(AD58=L58,"Full Supply",IF(AD58&gt;L58,"Over Shared")))),"Waiting"),"")</f>
        <v>Full Supply</v>
      </c>
      <c r="AH58" s="37"/>
      <c r="AI58" s="37"/>
      <c r="AJ58" s="181"/>
      <c r="AK58" s="40"/>
      <c r="AL58" s="40"/>
      <c r="AM58" s="40"/>
      <c r="AN58" s="37"/>
      <c r="AO58" s="34"/>
      <c r="AP58" s="37"/>
      <c r="AQ58" s="37"/>
      <c r="AR58" s="37"/>
      <c r="AS58" s="37"/>
      <c r="AT58" s="37">
        <f>AS58-AD58</f>
        <v>-4</v>
      </c>
      <c r="AU58" s="36" t="str">
        <f>IF(AR58=0,"Waiting",IF(AR58&lt;AH58,"Kurang",IF(AR58=AH58,"Sesuai",IF(AR58&gt;AH58,"Over Shared"))))</f>
        <v>Waiting</v>
      </c>
      <c r="AV58" s="37"/>
      <c r="AW58" s="37" t="str">
        <f>IFERROR(DATEDIF(AH58,AK58,"d"),"0")&amp;"-DAY"</f>
        <v>0-DAY</v>
      </c>
      <c r="AX58" s="37" t="str">
        <f>IFERROR(DATEDIF(B58,AB58,"d"),"0")&amp;"-DAY"</f>
        <v>2-DAY</v>
      </c>
      <c r="AY58" s="37"/>
      <c r="AZ58" s="181">
        <f>L58-AD58</f>
        <v>0</v>
      </c>
    </row>
    <row r="59" spans="1:52" ht="15.5" hidden="1" customHeight="1">
      <c r="A59" s="360" t="s">
        <v>372</v>
      </c>
      <c r="B59" s="340">
        <v>46216</v>
      </c>
      <c r="C59" s="181">
        <v>48017</v>
      </c>
      <c r="D59" s="30">
        <v>46216</v>
      </c>
      <c r="E59" s="30">
        <v>46211</v>
      </c>
      <c r="F59" s="30">
        <v>46215</v>
      </c>
      <c r="G59" s="37">
        <v>4420229028</v>
      </c>
      <c r="H59" s="37" t="s">
        <v>373</v>
      </c>
      <c r="I59" s="37">
        <v>9040040834</v>
      </c>
      <c r="J59" s="37" t="s">
        <v>207</v>
      </c>
      <c r="K59" s="325" t="s">
        <v>208</v>
      </c>
      <c r="L59" s="181">
        <v>1</v>
      </c>
      <c r="M59" s="181" t="s">
        <v>446</v>
      </c>
      <c r="N59" s="37" t="s">
        <v>434</v>
      </c>
      <c r="O59" s="31">
        <f>IF(F59&gt;0,F59-AB59,"")</f>
        <v>-3</v>
      </c>
      <c r="P59" s="37" t="str">
        <f>IF(F59&gt;0,IF(AB59="","PLANNING SUPPLY",IF(AB59&lt;=F59,"ONTIME DELIVERY","DELAY")),"")</f>
        <v>DELAY</v>
      </c>
      <c r="Q59" s="181" t="str">
        <f>IFERROR(IF(J59&gt;0,VLOOKUP(J59,#REF!,MATCH($Q$6,#REF!,0),0),""),"")</f>
        <v/>
      </c>
      <c r="R59" s="181" t="str">
        <f>IFERROR(IF(J59&gt;0,VLOOKUP(J59,#REF!,MATCH($R$6,#REF!,0),0),""),"")</f>
        <v/>
      </c>
      <c r="S59" s="181" t="e">
        <f>IF(I59&gt;0,Q59+R59,"")</f>
        <v>#VALUE!</v>
      </c>
      <c r="T59" s="181" t="e">
        <f>Q59-L59</f>
        <v>#VALUE!</v>
      </c>
      <c r="U59" s="181" t="e">
        <f>R59-L59</f>
        <v>#VALUE!</v>
      </c>
      <c r="V59" s="37"/>
      <c r="W59" s="181" t="e">
        <f>IF(I59&gt;0,IF(S59&gt;L59,"READY STOCK",IF(S59=0,"OUT OF STOCK",IF(S59&lt;L59,"LOW STOCK",""))),"")</f>
        <v>#VALUE!</v>
      </c>
      <c r="X59" s="38"/>
      <c r="Y59" s="38"/>
      <c r="Z59" s="38"/>
      <c r="AA59" s="38"/>
      <c r="AB59" s="50">
        <v>46218</v>
      </c>
      <c r="AC59" s="181">
        <v>32981</v>
      </c>
      <c r="AD59" s="51">
        <v>1</v>
      </c>
      <c r="AE59" s="37" t="s">
        <v>383</v>
      </c>
      <c r="AF59" s="37" t="s">
        <v>381</v>
      </c>
      <c r="AG59" s="33" t="str">
        <f>IF(G59&gt;0,IF(AD59&gt;0,IF(AD59=0,"Waiting",IF(AD59&lt;L59,"Partial",IF(AD59=L59,"Full Supply",IF(AD59&gt;L59,"Over Shared")))),"Waiting"),"")</f>
        <v>Full Supply</v>
      </c>
      <c r="AH59" s="37"/>
      <c r="AI59" s="37"/>
      <c r="AJ59" s="181"/>
      <c r="AK59" s="40"/>
      <c r="AL59" s="40"/>
      <c r="AM59" s="40"/>
      <c r="AN59" s="37"/>
      <c r="AO59" s="34"/>
      <c r="AP59" s="37"/>
      <c r="AQ59" s="37"/>
      <c r="AR59" s="37"/>
      <c r="AS59" s="37"/>
      <c r="AT59" s="37">
        <f>AS59-AD59</f>
        <v>-1</v>
      </c>
      <c r="AU59" s="36" t="str">
        <f>IF(AR59=0,"Waiting",IF(AR59&lt;AH59,"Kurang",IF(AR59=AH59,"Sesuai",IF(AR59&gt;AH59,"Over Shared"))))</f>
        <v>Waiting</v>
      </c>
      <c r="AV59" s="37"/>
      <c r="AW59" s="37" t="str">
        <f>IFERROR(DATEDIF(AH59,AK59,"d"),"0")&amp;"-DAY"</f>
        <v>0-DAY</v>
      </c>
      <c r="AX59" s="37" t="str">
        <f>IFERROR(DATEDIF(B59,AB59,"d"),"0")&amp;"-DAY"</f>
        <v>2-DAY</v>
      </c>
      <c r="AY59" s="37"/>
      <c r="AZ59" s="181">
        <f>L59-AD59</f>
        <v>0</v>
      </c>
    </row>
    <row r="60" spans="1:52" ht="15.5" hidden="1" customHeight="1">
      <c r="A60" s="360" t="s">
        <v>372</v>
      </c>
      <c r="B60" s="340">
        <v>46216</v>
      </c>
      <c r="C60" s="181">
        <v>48017</v>
      </c>
      <c r="D60" s="30">
        <v>46216</v>
      </c>
      <c r="E60" s="30">
        <v>46211</v>
      </c>
      <c r="F60" s="30">
        <v>46215</v>
      </c>
      <c r="G60" s="37">
        <v>4420229028</v>
      </c>
      <c r="H60" s="37" t="s">
        <v>373</v>
      </c>
      <c r="I60" s="37">
        <v>9040009393</v>
      </c>
      <c r="J60" s="37" t="s">
        <v>161</v>
      </c>
      <c r="K60" s="325" t="s">
        <v>162</v>
      </c>
      <c r="L60" s="181">
        <v>4</v>
      </c>
      <c r="M60" s="181" t="s">
        <v>425</v>
      </c>
      <c r="N60" s="37" t="s">
        <v>434</v>
      </c>
      <c r="O60" s="31">
        <f>IF(F60&gt;0,F60-AB60,"")</f>
        <v>-3</v>
      </c>
      <c r="P60" s="37" t="str">
        <f>IF(F60&gt;0,IF(AB60="","PLANNING SUPPLY",IF(AB60&lt;=F60,"ONTIME DELIVERY","DELAY")),"")</f>
        <v>DELAY</v>
      </c>
      <c r="Q60" s="181" t="str">
        <f>IFERROR(IF(J60&gt;0,VLOOKUP(J60,#REF!,MATCH($Q$6,#REF!,0),0),""),"")</f>
        <v/>
      </c>
      <c r="R60" s="181" t="str">
        <f>IFERROR(IF(J60&gt;0,VLOOKUP(J60,#REF!,MATCH($R$6,#REF!,0),0),""),"")</f>
        <v/>
      </c>
      <c r="S60" s="181" t="e">
        <f>IF(I60&gt;0,Q60+R60,"")</f>
        <v>#VALUE!</v>
      </c>
      <c r="T60" s="181" t="e">
        <f>Q60-L60</f>
        <v>#VALUE!</v>
      </c>
      <c r="U60" s="181" t="e">
        <f>R60-L60</f>
        <v>#VALUE!</v>
      </c>
      <c r="V60" s="37"/>
      <c r="W60" s="181" t="e">
        <f>IF(I60&gt;0,IF(S60&gt;L60,"READY STOCK",IF(S60=0,"OUT OF STOCK",IF(S60&lt;L60,"LOW STOCK",""))),"")</f>
        <v>#VALUE!</v>
      </c>
      <c r="X60" s="38"/>
      <c r="Y60" s="38"/>
      <c r="Z60" s="38"/>
      <c r="AA60" s="38"/>
      <c r="AB60" s="50">
        <v>46218</v>
      </c>
      <c r="AC60" s="181">
        <v>32981</v>
      </c>
      <c r="AD60" s="51">
        <v>4</v>
      </c>
      <c r="AE60" s="37" t="s">
        <v>383</v>
      </c>
      <c r="AF60" s="37" t="s">
        <v>381</v>
      </c>
      <c r="AG60" s="33" t="str">
        <f>IF(G60&gt;0,IF(AD60&gt;0,IF(AD60=0,"Waiting",IF(AD60&lt;L60,"Partial",IF(AD60=L60,"Full Supply",IF(AD60&gt;L60,"Over Shared")))),"Waiting"),"")</f>
        <v>Full Supply</v>
      </c>
      <c r="AH60" s="37"/>
      <c r="AI60" s="37"/>
      <c r="AJ60" s="181"/>
      <c r="AK60" s="40"/>
      <c r="AL60" s="40"/>
      <c r="AM60" s="40"/>
      <c r="AN60" s="37"/>
      <c r="AO60" s="34"/>
      <c r="AP60" s="37"/>
      <c r="AQ60" s="37"/>
      <c r="AR60" s="37"/>
      <c r="AS60" s="37"/>
      <c r="AT60" s="37">
        <f>AS60-AD60</f>
        <v>-4</v>
      </c>
      <c r="AU60" s="36" t="str">
        <f>IF(AR60=0,"Waiting",IF(AR60&lt;AH60,"Kurang",IF(AR60=AH60,"Sesuai",IF(AR60&gt;AH60,"Over Shared"))))</f>
        <v>Waiting</v>
      </c>
      <c r="AV60" s="37"/>
      <c r="AW60" s="37" t="str">
        <f>IFERROR(DATEDIF(AH60,AK60,"d"),"0")&amp;"-DAY"</f>
        <v>0-DAY</v>
      </c>
      <c r="AX60" s="37" t="str">
        <f>IFERROR(DATEDIF(B60,AB60,"d"),"0")&amp;"-DAY"</f>
        <v>2-DAY</v>
      </c>
      <c r="AY60" s="37"/>
      <c r="AZ60" s="181">
        <f>L60-AD60</f>
        <v>0</v>
      </c>
    </row>
    <row r="61" spans="1:52" ht="15.5" hidden="1" customHeight="1">
      <c r="A61" s="360" t="s">
        <v>372</v>
      </c>
      <c r="B61" s="340">
        <v>46216</v>
      </c>
      <c r="C61" s="181">
        <v>48017</v>
      </c>
      <c r="D61" s="30">
        <v>46216</v>
      </c>
      <c r="E61" s="30">
        <v>46211</v>
      </c>
      <c r="F61" s="30">
        <v>46215</v>
      </c>
      <c r="G61" s="37">
        <v>4420229028</v>
      </c>
      <c r="H61" s="37" t="s">
        <v>373</v>
      </c>
      <c r="I61" s="37">
        <v>9040015386</v>
      </c>
      <c r="J61" s="37" t="s">
        <v>122</v>
      </c>
      <c r="K61" s="325" t="s">
        <v>319</v>
      </c>
      <c r="L61" s="181">
        <v>2</v>
      </c>
      <c r="M61" s="181" t="s">
        <v>425</v>
      </c>
      <c r="N61" s="37" t="s">
        <v>434</v>
      </c>
      <c r="O61" s="31">
        <f>IF(F61&gt;0,F61-AB61,"")</f>
        <v>-3</v>
      </c>
      <c r="P61" s="37" t="str">
        <f>IF(F61&gt;0,IF(AB61="","PLANNING SUPPLY",IF(AB61&lt;=F61,"ONTIME DELIVERY","DELAY")),"")</f>
        <v>DELAY</v>
      </c>
      <c r="Q61" s="181" t="str">
        <f>IFERROR(IF(J61&gt;0,VLOOKUP(J61,#REF!,MATCH($Q$6,#REF!,0),0),""),"")</f>
        <v/>
      </c>
      <c r="R61" s="181" t="str">
        <f>IFERROR(IF(J61&gt;0,VLOOKUP(J61,#REF!,MATCH($R$6,#REF!,0),0),""),"")</f>
        <v/>
      </c>
      <c r="S61" s="181" t="e">
        <f>IF(I61&gt;0,Q61+R61,"")</f>
        <v>#VALUE!</v>
      </c>
      <c r="T61" s="181" t="e">
        <f>Q61-L61</f>
        <v>#VALUE!</v>
      </c>
      <c r="U61" s="181" t="e">
        <f>R61-L61</f>
        <v>#VALUE!</v>
      </c>
      <c r="V61" s="37"/>
      <c r="W61" s="181" t="e">
        <f>IF(I61&gt;0,IF(S61&gt;L61,"READY STOCK",IF(S61=0,"OUT OF STOCK",IF(S61&lt;L61,"LOW STOCK",""))),"")</f>
        <v>#VALUE!</v>
      </c>
      <c r="X61" s="38"/>
      <c r="Y61" s="38"/>
      <c r="Z61" s="38"/>
      <c r="AA61" s="38"/>
      <c r="AB61" s="50">
        <v>46218</v>
      </c>
      <c r="AC61" s="181">
        <v>32981</v>
      </c>
      <c r="AD61" s="51">
        <v>2</v>
      </c>
      <c r="AE61" s="37" t="s">
        <v>383</v>
      </c>
      <c r="AF61" s="37" t="s">
        <v>381</v>
      </c>
      <c r="AG61" s="33" t="str">
        <f>IF(G61&gt;0,IF(AD61&gt;0,IF(AD61=0,"Waiting",IF(AD61&lt;L61,"Partial",IF(AD61=L61,"Full Supply",IF(AD61&gt;L61,"Over Shared")))),"Waiting"),"")</f>
        <v>Full Supply</v>
      </c>
      <c r="AH61" s="37"/>
      <c r="AI61" s="37"/>
      <c r="AJ61" s="181"/>
      <c r="AK61" s="40"/>
      <c r="AL61" s="40"/>
      <c r="AM61" s="40"/>
      <c r="AN61" s="37"/>
      <c r="AO61" s="34"/>
      <c r="AP61" s="37"/>
      <c r="AQ61" s="37"/>
      <c r="AR61" s="37"/>
      <c r="AS61" s="37"/>
      <c r="AT61" s="37">
        <f>AS61-AD61</f>
        <v>-2</v>
      </c>
      <c r="AU61" s="36" t="str">
        <f>IF(AR61=0,"Waiting",IF(AR61&lt;AH61,"Kurang",IF(AR61=AH61,"Sesuai",IF(AR61&gt;AH61,"Over Shared"))))</f>
        <v>Waiting</v>
      </c>
      <c r="AV61" s="37"/>
      <c r="AW61" s="37" t="str">
        <f>IFERROR(DATEDIF(AH61,AK61,"d"),"0")&amp;"-DAY"</f>
        <v>0-DAY</v>
      </c>
      <c r="AX61" s="37" t="str">
        <f>IFERROR(DATEDIF(B61,AB61,"d"),"0")&amp;"-DAY"</f>
        <v>2-DAY</v>
      </c>
      <c r="AY61" s="37"/>
      <c r="AZ61" s="181">
        <f>L61-AD61</f>
        <v>0</v>
      </c>
    </row>
    <row r="62" spans="1:52" ht="15.5" hidden="1" customHeight="1">
      <c r="A62" s="360" t="s">
        <v>372</v>
      </c>
      <c r="B62" s="340">
        <v>46216</v>
      </c>
      <c r="C62" s="181">
        <v>48017</v>
      </c>
      <c r="D62" s="30">
        <v>46216</v>
      </c>
      <c r="E62" s="30">
        <v>46211</v>
      </c>
      <c r="F62" s="30">
        <v>46215</v>
      </c>
      <c r="G62" s="37">
        <v>4420229028</v>
      </c>
      <c r="H62" s="37" t="s">
        <v>373</v>
      </c>
      <c r="I62" s="37">
        <v>9040015632</v>
      </c>
      <c r="J62" s="37" t="s">
        <v>29</v>
      </c>
      <c r="K62" s="325" t="s">
        <v>30</v>
      </c>
      <c r="L62" s="181">
        <v>1</v>
      </c>
      <c r="M62" s="181" t="s">
        <v>425</v>
      </c>
      <c r="N62" s="37" t="s">
        <v>434</v>
      </c>
      <c r="O62" s="31">
        <f>IF(F62&gt;0,F62-AB62,"")</f>
        <v>-3</v>
      </c>
      <c r="P62" s="37" t="str">
        <f>IF(F62&gt;0,IF(AB62="","PLANNING SUPPLY",IF(AB62&lt;=F62,"ONTIME DELIVERY","DELAY")),"")</f>
        <v>DELAY</v>
      </c>
      <c r="Q62" s="181" t="str">
        <f>IFERROR(IF(J62&gt;0,VLOOKUP(J62,#REF!,MATCH($Q$6,#REF!,0),0),""),"")</f>
        <v/>
      </c>
      <c r="R62" s="181" t="str">
        <f>IFERROR(IF(J62&gt;0,VLOOKUP(J62,#REF!,MATCH($R$6,#REF!,0),0),""),"")</f>
        <v/>
      </c>
      <c r="S62" s="181" t="e">
        <f>IF(I62&gt;0,Q62+R62,"")</f>
        <v>#VALUE!</v>
      </c>
      <c r="T62" s="181" t="e">
        <f>Q62-L62</f>
        <v>#VALUE!</v>
      </c>
      <c r="U62" s="181" t="e">
        <f>R62-L62</f>
        <v>#VALUE!</v>
      </c>
      <c r="V62" s="37"/>
      <c r="W62" s="181" t="e">
        <f>IF(I62&gt;0,IF(S62&gt;L62,"READY STOCK",IF(S62=0,"OUT OF STOCK",IF(S62&lt;L62,"LOW STOCK",""))),"")</f>
        <v>#VALUE!</v>
      </c>
      <c r="X62" s="38"/>
      <c r="Y62" s="38"/>
      <c r="Z62" s="38"/>
      <c r="AA62" s="38"/>
      <c r="AB62" s="50">
        <v>46218</v>
      </c>
      <c r="AC62" s="181">
        <v>32981</v>
      </c>
      <c r="AD62" s="51">
        <v>1</v>
      </c>
      <c r="AE62" s="37" t="s">
        <v>383</v>
      </c>
      <c r="AF62" s="37" t="s">
        <v>381</v>
      </c>
      <c r="AG62" s="33" t="str">
        <f>IF(G62&gt;0,IF(AD62&gt;0,IF(AD62=0,"Waiting",IF(AD62&lt;L62,"Partial",IF(AD62=L62,"Full Supply",IF(AD62&gt;L62,"Over Shared")))),"Waiting"),"")</f>
        <v>Full Supply</v>
      </c>
      <c r="AH62" s="37"/>
      <c r="AI62" s="37"/>
      <c r="AJ62" s="181"/>
      <c r="AK62" s="40"/>
      <c r="AL62" s="40"/>
      <c r="AM62" s="40"/>
      <c r="AN62" s="37"/>
      <c r="AO62" s="34"/>
      <c r="AP62" s="37"/>
      <c r="AQ62" s="37"/>
      <c r="AR62" s="37"/>
      <c r="AS62" s="37"/>
      <c r="AT62" s="37">
        <f>AS62-AD62</f>
        <v>-1</v>
      </c>
      <c r="AU62" s="36" t="str">
        <f>IF(AR62=0,"Waiting",IF(AR62&lt;AH62,"Kurang",IF(AR62=AH62,"Sesuai",IF(AR62&gt;AH62,"Over Shared"))))</f>
        <v>Waiting</v>
      </c>
      <c r="AV62" s="37"/>
      <c r="AW62" s="37" t="str">
        <f>IFERROR(DATEDIF(AH62,AK62,"d"),"0")&amp;"-DAY"</f>
        <v>0-DAY</v>
      </c>
      <c r="AX62" s="37" t="str">
        <f>IFERROR(DATEDIF(B62,AB62,"d"),"0")&amp;"-DAY"</f>
        <v>2-DAY</v>
      </c>
      <c r="AY62" s="37"/>
      <c r="AZ62" s="181">
        <f>L62-AD62</f>
        <v>0</v>
      </c>
    </row>
    <row r="63" spans="1:52" ht="15.5" hidden="1" customHeight="1">
      <c r="A63" s="360" t="s">
        <v>372</v>
      </c>
      <c r="B63" s="340">
        <v>46216</v>
      </c>
      <c r="C63" s="181">
        <v>48017</v>
      </c>
      <c r="D63" s="30">
        <v>46216</v>
      </c>
      <c r="E63" s="30">
        <v>46211</v>
      </c>
      <c r="F63" s="30">
        <v>46215</v>
      </c>
      <c r="G63" s="37">
        <v>4420229028</v>
      </c>
      <c r="H63" s="37" t="s">
        <v>373</v>
      </c>
      <c r="I63" s="37">
        <v>9040017584</v>
      </c>
      <c r="J63" s="37" t="s">
        <v>37</v>
      </c>
      <c r="K63" s="325" t="s">
        <v>38</v>
      </c>
      <c r="L63" s="181">
        <v>1</v>
      </c>
      <c r="M63" s="181" t="s">
        <v>425</v>
      </c>
      <c r="N63" s="37" t="s">
        <v>434</v>
      </c>
      <c r="O63" s="31">
        <f>IF(F63&gt;0,F63-AB63,"")</f>
        <v>-3</v>
      </c>
      <c r="P63" s="37" t="str">
        <f>IF(F63&gt;0,IF(AB63="","PLANNING SUPPLY",IF(AB63&lt;=F63,"ONTIME DELIVERY","DELAY")),"")</f>
        <v>DELAY</v>
      </c>
      <c r="Q63" s="181" t="str">
        <f>IFERROR(IF(J63&gt;0,VLOOKUP(J63,#REF!,MATCH($Q$6,#REF!,0),0),""),"")</f>
        <v/>
      </c>
      <c r="R63" s="181" t="str">
        <f>IFERROR(IF(J63&gt;0,VLOOKUP(J63,#REF!,MATCH($R$6,#REF!,0),0),""),"")</f>
        <v/>
      </c>
      <c r="S63" s="181" t="e">
        <f>IF(I63&gt;0,Q63+R63,"")</f>
        <v>#VALUE!</v>
      </c>
      <c r="T63" s="181" t="e">
        <f>Q63-L63</f>
        <v>#VALUE!</v>
      </c>
      <c r="U63" s="181" t="e">
        <f>R63-L63</f>
        <v>#VALUE!</v>
      </c>
      <c r="V63" s="37"/>
      <c r="W63" s="181" t="e">
        <f>IF(I63&gt;0,IF(S63&gt;L63,"READY STOCK",IF(S63=0,"OUT OF STOCK",IF(S63&lt;L63,"LOW STOCK",""))),"")</f>
        <v>#VALUE!</v>
      </c>
      <c r="X63" s="38"/>
      <c r="Y63" s="38"/>
      <c r="Z63" s="38"/>
      <c r="AA63" s="38"/>
      <c r="AB63" s="50">
        <v>46218</v>
      </c>
      <c r="AC63" s="181">
        <v>32981</v>
      </c>
      <c r="AD63" s="51">
        <v>1</v>
      </c>
      <c r="AE63" s="37" t="s">
        <v>383</v>
      </c>
      <c r="AF63" s="37" t="s">
        <v>381</v>
      </c>
      <c r="AG63" s="33" t="str">
        <f>IF(G63&gt;0,IF(AD63&gt;0,IF(AD63=0,"Waiting",IF(AD63&lt;L63,"Partial",IF(AD63=L63,"Full Supply",IF(AD63&gt;L63,"Over Shared")))),"Waiting"),"")</f>
        <v>Full Supply</v>
      </c>
      <c r="AH63" s="37"/>
      <c r="AI63" s="37"/>
      <c r="AJ63" s="181"/>
      <c r="AK63" s="40"/>
      <c r="AL63" s="40"/>
      <c r="AM63" s="40"/>
      <c r="AN63" s="37"/>
      <c r="AO63" s="34"/>
      <c r="AP63" s="37"/>
      <c r="AQ63" s="37"/>
      <c r="AR63" s="37"/>
      <c r="AS63" s="37"/>
      <c r="AT63" s="37">
        <f>AS63-AD63</f>
        <v>-1</v>
      </c>
      <c r="AU63" s="36" t="str">
        <f>IF(AR63=0,"Waiting",IF(AR63&lt;AH63,"Kurang",IF(AR63=AH63,"Sesuai",IF(AR63&gt;AH63,"Over Shared"))))</f>
        <v>Waiting</v>
      </c>
      <c r="AV63" s="37"/>
      <c r="AW63" s="37" t="str">
        <f>IFERROR(DATEDIF(AH63,AK63,"d"),"0")&amp;"-DAY"</f>
        <v>0-DAY</v>
      </c>
      <c r="AX63" s="37" t="str">
        <f>IFERROR(DATEDIF(B63,AB63,"d"),"0")&amp;"-DAY"</f>
        <v>2-DAY</v>
      </c>
      <c r="AY63" s="37"/>
      <c r="AZ63" s="181">
        <f>L63-AD63</f>
        <v>0</v>
      </c>
    </row>
    <row r="64" spans="1:52" ht="15.5" hidden="1" customHeight="1">
      <c r="A64" s="360" t="s">
        <v>372</v>
      </c>
      <c r="B64" s="340">
        <v>46216</v>
      </c>
      <c r="C64" s="181">
        <v>48017</v>
      </c>
      <c r="D64" s="30">
        <v>46216</v>
      </c>
      <c r="E64" s="30">
        <v>46211</v>
      </c>
      <c r="F64" s="30">
        <v>46215</v>
      </c>
      <c r="G64" s="37">
        <v>4420229028</v>
      </c>
      <c r="H64" s="37" t="s">
        <v>373</v>
      </c>
      <c r="I64" s="37">
        <v>9040044211</v>
      </c>
      <c r="J64" s="37" t="s">
        <v>268</v>
      </c>
      <c r="K64" s="325" t="s">
        <v>269</v>
      </c>
      <c r="L64" s="181">
        <v>2</v>
      </c>
      <c r="M64" s="181" t="s">
        <v>425</v>
      </c>
      <c r="N64" s="37" t="s">
        <v>434</v>
      </c>
      <c r="O64" s="31">
        <f>IF(F64&gt;0,F64-AB64,"")</f>
        <v>-5</v>
      </c>
      <c r="P64" s="37" t="str">
        <f>IF(F64&gt;0,IF(AB64="","PLANNING SUPPLY",IF(AB64&lt;=F64,"ONTIME DELIVERY","DELAY")),"")</f>
        <v>DELAY</v>
      </c>
      <c r="Q64" s="181" t="str">
        <f>IFERROR(IF(J64&gt;0,VLOOKUP(J64,#REF!,MATCH($Q$6,#REF!,0),0),""),"")</f>
        <v/>
      </c>
      <c r="R64" s="181" t="str">
        <f>IFERROR(IF(J64&gt;0,VLOOKUP(J64,#REF!,MATCH($R$6,#REF!,0),0),""),"")</f>
        <v/>
      </c>
      <c r="S64" s="181" t="e">
        <f>IF(I64&gt;0,Q64+R64,"")</f>
        <v>#VALUE!</v>
      </c>
      <c r="T64" s="181" t="e">
        <f>Q64-L64</f>
        <v>#VALUE!</v>
      </c>
      <c r="U64" s="181" t="e">
        <f>R64-L64</f>
        <v>#VALUE!</v>
      </c>
      <c r="V64" s="37"/>
      <c r="W64" s="181" t="e">
        <f>IF(I64&gt;0,IF(S64&gt;L64,"READY STOCK",IF(S64=0,"OUT OF STOCK",IF(S64&lt;L64,"LOW STOCK",""))),"")</f>
        <v>#VALUE!</v>
      </c>
      <c r="X64" s="38"/>
      <c r="Y64" s="38"/>
      <c r="Z64" s="38"/>
      <c r="AA64" s="38"/>
      <c r="AB64" s="50">
        <v>46220</v>
      </c>
      <c r="AC64" s="181">
        <v>33041</v>
      </c>
      <c r="AD64" s="51">
        <v>2</v>
      </c>
      <c r="AE64" s="37" t="s">
        <v>383</v>
      </c>
      <c r="AF64" s="37" t="s">
        <v>381</v>
      </c>
      <c r="AG64" s="33" t="str">
        <f>IF(G64&gt;0,IF(AD64&gt;0,IF(AD64=0,"Waiting",IF(AD64&lt;L64,"Partial",IF(AD64=L64,"Full Supply",IF(AD64&gt;L64,"Over Shared")))),"Waiting"),"")</f>
        <v>Full Supply</v>
      </c>
      <c r="AH64" s="37"/>
      <c r="AI64" s="37"/>
      <c r="AJ64" s="181"/>
      <c r="AK64" s="40"/>
      <c r="AL64" s="40"/>
      <c r="AM64" s="40"/>
      <c r="AN64" s="37"/>
      <c r="AO64" s="34"/>
      <c r="AP64" s="37"/>
      <c r="AQ64" s="37"/>
      <c r="AR64" s="37"/>
      <c r="AS64" s="37"/>
      <c r="AT64" s="37">
        <f>AS64-AD64</f>
        <v>-2</v>
      </c>
      <c r="AU64" s="36" t="str">
        <f>IF(AR64=0,"Waiting",IF(AR64&lt;AH64,"Kurang",IF(AR64=AH64,"Sesuai",IF(AR64&gt;AH64,"Over Shared"))))</f>
        <v>Waiting</v>
      </c>
      <c r="AV64" s="37"/>
      <c r="AW64" s="37" t="str">
        <f>IFERROR(DATEDIF(AH64,AK64,"d"),"0")&amp;"-DAY"</f>
        <v>0-DAY</v>
      </c>
      <c r="AX64" s="37" t="str">
        <f>IFERROR(DATEDIF(B64,AB64,"d"),"0")&amp;"-DAY"</f>
        <v>4-DAY</v>
      </c>
      <c r="AY64" s="37"/>
      <c r="AZ64" s="181">
        <f>L64-AD64</f>
        <v>0</v>
      </c>
    </row>
    <row r="65" spans="1:52" ht="15.5" hidden="1" customHeight="1">
      <c r="A65" s="360" t="s">
        <v>372</v>
      </c>
      <c r="B65" s="340">
        <v>46217</v>
      </c>
      <c r="C65" s="181">
        <v>48032</v>
      </c>
      <c r="D65" s="30">
        <v>46217</v>
      </c>
      <c r="E65" s="30">
        <v>46210</v>
      </c>
      <c r="F65" s="30">
        <v>46241</v>
      </c>
      <c r="G65" s="37">
        <v>4420229003</v>
      </c>
      <c r="H65" s="37" t="s">
        <v>373</v>
      </c>
      <c r="I65" s="37">
        <v>9040015632</v>
      </c>
      <c r="J65" s="37" t="s">
        <v>29</v>
      </c>
      <c r="K65" s="325" t="s">
        <v>30</v>
      </c>
      <c r="L65" s="181">
        <v>2</v>
      </c>
      <c r="M65" s="181" t="s">
        <v>425</v>
      </c>
      <c r="N65" s="37" t="s">
        <v>449</v>
      </c>
      <c r="O65" s="31">
        <f>IF(F65&gt;0,F65-AB65,"")</f>
        <v>23</v>
      </c>
      <c r="P65" s="37" t="str">
        <f>IF(F65&gt;0,IF(AB65="","PLANNING SUPPLY",IF(AB65&lt;=F65,"ONTIME DELIVERY","DELAY")),"")</f>
        <v>ONTIME DELIVERY</v>
      </c>
      <c r="Q65" s="181" t="str">
        <f>IFERROR(IF(J65&gt;0,VLOOKUP(J65,#REF!,MATCH($Q$6,#REF!,0),0),""),"")</f>
        <v/>
      </c>
      <c r="R65" s="181" t="str">
        <f>IFERROR(IF(J65&gt;0,VLOOKUP(J65,#REF!,MATCH($R$6,#REF!,0),0),""),"")</f>
        <v/>
      </c>
      <c r="S65" s="181" t="e">
        <f>IF(I65&gt;0,Q65+R65,"")</f>
        <v>#VALUE!</v>
      </c>
      <c r="T65" s="181" t="e">
        <f>Q65-L65</f>
        <v>#VALUE!</v>
      </c>
      <c r="U65" s="181" t="e">
        <f>R65-L65</f>
        <v>#VALUE!</v>
      </c>
      <c r="V65" s="37"/>
      <c r="W65" s="181" t="e">
        <f>IF(I65&gt;0,IF(S65&gt;L65,"READY STOCK",IF(S65=0,"OUT OF STOCK",IF(S65&lt;L65,"LOW STOCK",""))),"")</f>
        <v>#VALUE!</v>
      </c>
      <c r="X65" s="38"/>
      <c r="Y65" s="38"/>
      <c r="Z65" s="38"/>
      <c r="AA65" s="38"/>
      <c r="AB65" s="50">
        <v>46218</v>
      </c>
      <c r="AC65" s="181">
        <v>33025</v>
      </c>
      <c r="AD65" s="51">
        <v>2</v>
      </c>
      <c r="AE65" s="37" t="s">
        <v>383</v>
      </c>
      <c r="AF65" s="37" t="s">
        <v>381</v>
      </c>
      <c r="AG65" s="33" t="str">
        <f>IF(G65&gt;0,IF(AD65&gt;0,IF(AD65=0,"Waiting",IF(AD65&lt;L65,"Partial",IF(AD65=L65,"Full Supply",IF(AD65&gt;L65,"Over Shared")))),"Waiting"),"")</f>
        <v>Full Supply</v>
      </c>
      <c r="AH65" s="37"/>
      <c r="AI65" s="37"/>
      <c r="AJ65" s="181"/>
      <c r="AK65" s="40"/>
      <c r="AL65" s="40"/>
      <c r="AM65" s="40"/>
      <c r="AN65" s="37"/>
      <c r="AO65" s="34"/>
      <c r="AP65" s="37"/>
      <c r="AQ65" s="37"/>
      <c r="AR65" s="37"/>
      <c r="AS65" s="37"/>
      <c r="AT65" s="37">
        <f>AS65-AD65</f>
        <v>-2</v>
      </c>
      <c r="AU65" s="36" t="str">
        <f>IF(AR65=0,"Waiting",IF(AR65&lt;AH65,"Kurang",IF(AR65=AH65,"Sesuai",IF(AR65&gt;AH65,"Over Shared"))))</f>
        <v>Waiting</v>
      </c>
      <c r="AV65" s="37"/>
      <c r="AW65" s="37" t="str">
        <f>IFERROR(DATEDIF(AH65,AK65,"d"),"0")&amp;"-DAY"</f>
        <v>0-DAY</v>
      </c>
      <c r="AX65" s="37" t="str">
        <f>IFERROR(DATEDIF(B65,AB65,"d"),"0")&amp;"-DAY"</f>
        <v>1-DAY</v>
      </c>
      <c r="AY65" s="37"/>
      <c r="AZ65" s="181">
        <f>L65-AD65</f>
        <v>0</v>
      </c>
    </row>
    <row r="66" spans="1:52" ht="15.5" hidden="1" customHeight="1">
      <c r="A66" s="360" t="s">
        <v>372</v>
      </c>
      <c r="B66" s="340">
        <v>46217</v>
      </c>
      <c r="C66" s="181">
        <v>48033</v>
      </c>
      <c r="D66" s="30">
        <v>46217</v>
      </c>
      <c r="E66" s="30">
        <v>46210</v>
      </c>
      <c r="F66" s="30">
        <v>46241</v>
      </c>
      <c r="G66" s="37">
        <v>4420228982</v>
      </c>
      <c r="H66" s="37" t="s">
        <v>373</v>
      </c>
      <c r="I66" s="37">
        <v>9040044285</v>
      </c>
      <c r="J66" s="37" t="s">
        <v>100</v>
      </c>
      <c r="K66" s="325" t="s">
        <v>101</v>
      </c>
      <c r="L66" s="181">
        <v>2</v>
      </c>
      <c r="M66" s="181" t="s">
        <v>427</v>
      </c>
      <c r="N66" s="37" t="s">
        <v>428</v>
      </c>
      <c r="O66" s="31">
        <f>IF(F66&gt;0,F66-AB66,"")</f>
        <v>-40</v>
      </c>
      <c r="P66" s="37" t="str">
        <f>IF(F66&gt;0,IF(AB66="","PLANNING SUPPLY",IF(AB66&lt;=F66,"ONTIME DELIVERY","DELAY")),"")</f>
        <v>DELAY</v>
      </c>
      <c r="Q66" s="181" t="str">
        <f>IFERROR(IF(J66&gt;0,VLOOKUP(J66,#REF!,MATCH($Q$6,#REF!,0),0),""),"")</f>
        <v/>
      </c>
      <c r="R66" s="181" t="str">
        <f>IFERROR(IF(J66&gt;0,VLOOKUP(J66,#REF!,MATCH($R$6,#REF!,0),0),""),"")</f>
        <v/>
      </c>
      <c r="S66" s="181" t="e">
        <f>IF(I66&gt;0,Q66+R66,"")</f>
        <v>#VALUE!</v>
      </c>
      <c r="T66" s="181" t="e">
        <f>Q66-L66</f>
        <v>#VALUE!</v>
      </c>
      <c r="U66" s="181" t="e">
        <f>R66-L66</f>
        <v>#VALUE!</v>
      </c>
      <c r="V66" s="37"/>
      <c r="W66" s="181" t="e">
        <f>IF(I66&gt;0,IF(S66&gt;L66,"READY STOCK",IF(S66=0,"OUT OF STOCK",IF(S66&lt;L66,"LOW STOCK",""))),"")</f>
        <v>#VALUE!</v>
      </c>
      <c r="X66" s="38"/>
      <c r="Y66" s="38"/>
      <c r="Z66" s="38"/>
      <c r="AA66" s="38"/>
      <c r="AB66" s="50">
        <v>46281</v>
      </c>
      <c r="AC66" s="181">
        <v>34291</v>
      </c>
      <c r="AD66" s="51">
        <v>2</v>
      </c>
      <c r="AE66" s="37" t="s">
        <v>383</v>
      </c>
      <c r="AF66" s="37" t="s">
        <v>381</v>
      </c>
      <c r="AG66" s="33" t="str">
        <f>IF(G66&gt;0,IF(AD66&gt;0,IF(AD66=0,"Waiting",IF(AD66&lt;L66,"Partial",IF(AD66=L66,"Full Supply",IF(AD66&gt;L66,"Over Shared")))),"Waiting"),"")</f>
        <v>Full Supply</v>
      </c>
      <c r="AH66" s="326">
        <v>46212</v>
      </c>
      <c r="AI66" s="327" t="s">
        <v>391</v>
      </c>
      <c r="AJ66" s="181">
        <v>20</v>
      </c>
      <c r="AK66" s="40">
        <v>25601</v>
      </c>
      <c r="AL66" s="42">
        <v>46216</v>
      </c>
      <c r="AM66" s="40">
        <v>5</v>
      </c>
      <c r="AN66" s="37"/>
      <c r="AO66" s="43">
        <v>46226</v>
      </c>
      <c r="AP66" s="37"/>
      <c r="AQ66" s="37"/>
      <c r="AR66" s="37"/>
      <c r="AS66" s="37"/>
      <c r="AT66" s="37">
        <f>AS66-AD66</f>
        <v>-2</v>
      </c>
      <c r="AU66" s="36" t="str">
        <f>IF(AR66=0,"Waiting",IF(AR66&lt;AH66,"Kurang",IF(AR66=AH66,"Sesuai",IF(AR66&gt;AH66,"Over Shared"))))</f>
        <v>Waiting</v>
      </c>
      <c r="AV66" s="37"/>
      <c r="AW66" s="37" t="str">
        <f>IFERROR(DATEDIF(AH66,AK66,"d"),"0")&amp;"-DAY"</f>
        <v>0-DAY</v>
      </c>
      <c r="AX66" s="37" t="str">
        <f>IFERROR(DATEDIF(B66,AB66,"d"),"0")&amp;"-DAY"</f>
        <v>64-DAY</v>
      </c>
      <c r="AY66" s="37"/>
      <c r="AZ66" s="181">
        <f>L66-AD66</f>
        <v>0</v>
      </c>
    </row>
    <row r="67" spans="1:52" ht="15.5" hidden="1" customHeight="1">
      <c r="A67" s="360" t="s">
        <v>372</v>
      </c>
      <c r="B67" s="340">
        <v>46217</v>
      </c>
      <c r="C67" s="181">
        <v>48033</v>
      </c>
      <c r="D67" s="30">
        <v>46217</v>
      </c>
      <c r="E67" s="30">
        <v>46210</v>
      </c>
      <c r="F67" s="30">
        <v>46241</v>
      </c>
      <c r="G67" s="37">
        <v>4420228982</v>
      </c>
      <c r="H67" s="37" t="s">
        <v>373</v>
      </c>
      <c r="I67" s="37">
        <v>9040009398</v>
      </c>
      <c r="J67" s="37" t="s">
        <v>282</v>
      </c>
      <c r="K67" s="325" t="s">
        <v>283</v>
      </c>
      <c r="L67" s="181">
        <v>3</v>
      </c>
      <c r="M67" s="181"/>
      <c r="N67" s="37" t="s">
        <v>428</v>
      </c>
      <c r="O67" s="31">
        <f>IF(F67&gt;0,F67-AB67,"")</f>
        <v>15</v>
      </c>
      <c r="P67" s="37" t="str">
        <f>IF(F67&gt;0,IF(AB67="","PLANNING SUPPLY",IF(AB67&lt;=F67,"ONTIME DELIVERY","DELAY")),"")</f>
        <v>ONTIME DELIVERY</v>
      </c>
      <c r="Q67" s="181" t="str">
        <f>IFERROR(IF(J67&gt;0,VLOOKUP(J67,#REF!,MATCH($Q$6,#REF!,0),0),""),"")</f>
        <v/>
      </c>
      <c r="R67" s="181" t="str">
        <f>IFERROR(IF(J67&gt;0,VLOOKUP(J67,#REF!,MATCH($R$6,#REF!,0),0),""),"")</f>
        <v/>
      </c>
      <c r="S67" s="181" t="e">
        <f>IF(I67&gt;0,Q67+R67,"")</f>
        <v>#VALUE!</v>
      </c>
      <c r="T67" s="181" t="e">
        <f>Q67-L67</f>
        <v>#VALUE!</v>
      </c>
      <c r="U67" s="181" t="e">
        <f>R67-L67</f>
        <v>#VALUE!</v>
      </c>
      <c r="V67" s="37"/>
      <c r="W67" s="181" t="e">
        <f>IF(I67&gt;0,IF(S67&gt;L67,"READY STOCK",IF(S67=0,"OUT OF STOCK",IF(S67&lt;L67,"LOW STOCK",""))),"")</f>
        <v>#VALUE!</v>
      </c>
      <c r="X67" s="38"/>
      <c r="Y67" s="38"/>
      <c r="Z67" s="38"/>
      <c r="AA67" s="38"/>
      <c r="AB67" s="50">
        <v>46226</v>
      </c>
      <c r="AC67" s="181">
        <v>33143</v>
      </c>
      <c r="AD67" s="51">
        <v>3</v>
      </c>
      <c r="AE67" s="37" t="s">
        <v>383</v>
      </c>
      <c r="AF67" s="37" t="s">
        <v>381</v>
      </c>
      <c r="AG67" s="33" t="str">
        <f>IF(G67&gt;0,IF(AD67&gt;0,IF(AD67=0,"Waiting",IF(AD67&lt;L67,"Partial",IF(AD67=L67,"Full Supply",IF(AD67&gt;L67,"Over Shared")))),"Waiting"),"")</f>
        <v>Full Supply</v>
      </c>
      <c r="AH67" s="181" t="s">
        <v>450</v>
      </c>
      <c r="AI67" s="181"/>
      <c r="AJ67" s="181"/>
      <c r="AK67" s="40"/>
      <c r="AL67" s="40"/>
      <c r="AM67" s="40"/>
      <c r="AN67" s="37"/>
      <c r="AO67" s="34"/>
      <c r="AP67" s="37"/>
      <c r="AQ67" s="37"/>
      <c r="AR67" s="37"/>
      <c r="AS67" s="37"/>
      <c r="AT67" s="37">
        <f>AS67-AD67</f>
        <v>-3</v>
      </c>
      <c r="AU67" s="36" t="str">
        <f>IF(AR67=0,"Waiting",IF(AR67&lt;AH67,"Kurang",IF(AR67=AH67,"Sesuai",IF(AR67&gt;AH67,"Over Shared"))))</f>
        <v>Waiting</v>
      </c>
      <c r="AV67" s="37"/>
      <c r="AW67" s="37" t="str">
        <f>IFERROR(DATEDIF(AH67,AK67,"d"),"0")&amp;"-DAY"</f>
        <v>0-DAY</v>
      </c>
      <c r="AX67" s="37" t="str">
        <f>IFERROR(DATEDIF(B67,AB67,"d"),"0")&amp;"-DAY"</f>
        <v>9-DAY</v>
      </c>
      <c r="AY67" s="37"/>
      <c r="AZ67" s="181">
        <f>L67-AD67</f>
        <v>0</v>
      </c>
    </row>
    <row r="68" spans="1:52" ht="15.5" hidden="1" customHeight="1">
      <c r="A68" s="360" t="s">
        <v>372</v>
      </c>
      <c r="B68" s="340">
        <v>46219</v>
      </c>
      <c r="C68" s="181">
        <v>48082</v>
      </c>
      <c r="D68" s="30">
        <v>46219</v>
      </c>
      <c r="E68" s="30">
        <v>46217</v>
      </c>
      <c r="F68" s="30">
        <v>46238</v>
      </c>
      <c r="G68" s="37">
        <v>4420229426</v>
      </c>
      <c r="H68" s="37" t="s">
        <v>373</v>
      </c>
      <c r="I68" s="37">
        <v>9040040390</v>
      </c>
      <c r="J68" s="37" t="s">
        <v>209</v>
      </c>
      <c r="K68" s="325" t="s">
        <v>210</v>
      </c>
      <c r="L68" s="181">
        <v>1</v>
      </c>
      <c r="M68" s="181" t="s">
        <v>429</v>
      </c>
      <c r="N68" s="37" t="s">
        <v>451</v>
      </c>
      <c r="O68" s="31">
        <f>IF(F68&gt;0,F68-AB68,"")</f>
        <v>7</v>
      </c>
      <c r="P68" s="37" t="str">
        <f>IF(F68&gt;0,IF(AB68="","PLANNING SUPPLY",IF(AB68&lt;=F68,"ONTIME DELIVERY","DELAY")),"")</f>
        <v>ONTIME DELIVERY</v>
      </c>
      <c r="Q68" s="181" t="str">
        <f>IFERROR(IF(J68&gt;0,VLOOKUP(J68,#REF!,MATCH($Q$6,#REF!,0),0),""),"")</f>
        <v/>
      </c>
      <c r="R68" s="181" t="str">
        <f>IFERROR(IF(J68&gt;0,VLOOKUP(J68,#REF!,MATCH($R$6,#REF!,0),0),""),"")</f>
        <v/>
      </c>
      <c r="S68" s="181" t="e">
        <f>IF(I71&gt;0,Q68+R68,"")</f>
        <v>#VALUE!</v>
      </c>
      <c r="T68" s="181"/>
      <c r="U68" s="181"/>
      <c r="V68" s="37"/>
      <c r="W68" s="181" t="e">
        <f>IF(I71&gt;0,IF(S68&gt;L68,"READY STOCK",IF(S68=0,"OUT OF STOCK",IF(S68&lt;L68,"LOW STOCK",""))),"")</f>
        <v>#VALUE!</v>
      </c>
      <c r="X68" s="181">
        <v>33121</v>
      </c>
      <c r="Y68" s="38">
        <v>46224</v>
      </c>
      <c r="Z68" s="181" t="s">
        <v>396</v>
      </c>
      <c r="AA68" s="181" t="s">
        <v>397</v>
      </c>
      <c r="AB68" s="50">
        <v>46231</v>
      </c>
      <c r="AC68" s="181">
        <v>33256</v>
      </c>
      <c r="AD68" s="51">
        <v>1</v>
      </c>
      <c r="AE68" s="37" t="s">
        <v>383</v>
      </c>
      <c r="AF68" s="37" t="s">
        <v>381</v>
      </c>
      <c r="AG68" s="33" t="str">
        <f>IF(G68&gt;0,IF(AD68&gt;0,IF(AD68=0,"Waiting",IF(AD68&lt;L68,"Partial",IF(AD68=L68,"Full Supply",IF(AD68&gt;L68,"Over Shared")))),"Waiting"),"")</f>
        <v>Full Supply</v>
      </c>
      <c r="AH68" s="49">
        <v>46225</v>
      </c>
      <c r="AI68" s="37" t="s">
        <v>452</v>
      </c>
      <c r="AJ68" s="181">
        <v>4</v>
      </c>
      <c r="AK68" s="40">
        <v>25747</v>
      </c>
      <c r="AL68" s="218">
        <v>46226</v>
      </c>
      <c r="AM68" s="40">
        <v>4</v>
      </c>
      <c r="AN68" s="37"/>
      <c r="AO68" s="41">
        <v>46227</v>
      </c>
      <c r="AP68" s="37"/>
      <c r="AQ68" s="37"/>
      <c r="AR68" s="37"/>
      <c r="AS68" s="37"/>
      <c r="AT68" s="37">
        <f>AS68-AD68</f>
        <v>-1</v>
      </c>
      <c r="AU68" s="36" t="str">
        <f>IF(AR68=0,"Waiting",IF(AR68&lt;AH68,"Kurang",IF(AR68=AH68,"Sesuai",IF(AR68&gt;AH68,"Over Shared"))))</f>
        <v>Waiting</v>
      </c>
      <c r="AV68" s="37"/>
      <c r="AW68" s="37" t="str">
        <f>IFERROR(DATEDIF(AH68,AK68,"d"),"0")&amp;"-DAY"</f>
        <v>0-DAY</v>
      </c>
      <c r="AX68" s="37" t="str">
        <f>IFERROR(DATEDIF(B68,AB68,"d"),"0")&amp;"-DAY"</f>
        <v>12-DAY</v>
      </c>
      <c r="AY68" s="37"/>
      <c r="AZ68" s="181">
        <f>L68-AD68</f>
        <v>0</v>
      </c>
    </row>
    <row r="69" spans="1:52" ht="15.5" hidden="1" customHeight="1">
      <c r="A69" s="360" t="s">
        <v>372</v>
      </c>
      <c r="B69" s="340">
        <v>46219</v>
      </c>
      <c r="C69" s="181">
        <v>48082</v>
      </c>
      <c r="D69" s="30">
        <v>46219</v>
      </c>
      <c r="E69" s="30">
        <v>46217</v>
      </c>
      <c r="F69" s="30">
        <v>46238</v>
      </c>
      <c r="G69" s="37">
        <v>4420229426</v>
      </c>
      <c r="H69" s="37" t="s">
        <v>373</v>
      </c>
      <c r="I69" s="37">
        <v>9040042224</v>
      </c>
      <c r="J69" s="37" t="s">
        <v>195</v>
      </c>
      <c r="K69" s="325" t="s">
        <v>196</v>
      </c>
      <c r="L69" s="181">
        <v>1</v>
      </c>
      <c r="M69" s="181" t="s">
        <v>429</v>
      </c>
      <c r="N69" s="37" t="s">
        <v>451</v>
      </c>
      <c r="O69" s="31">
        <f>IF(F69&gt;0,F69-AB69,"")</f>
        <v>7</v>
      </c>
      <c r="P69" s="37" t="str">
        <f>IF(F69&gt;0,IF(AB69="","PLANNING SUPPLY",IF(AB69&lt;=F69,"ONTIME DELIVERY","DELAY")),"")</f>
        <v>ONTIME DELIVERY</v>
      </c>
      <c r="Q69" s="181" t="str">
        <f>IFERROR(IF(J69&gt;0,VLOOKUP(J69,#REF!,MATCH($Q$6,#REF!,0),0),""),"")</f>
        <v/>
      </c>
      <c r="R69" s="181" t="str">
        <f>IFERROR(IF(J69&gt;0,VLOOKUP(J69,#REF!,MATCH($R$6,#REF!,0),0),""),"")</f>
        <v/>
      </c>
      <c r="S69" s="181" t="e">
        <f>IF(I72&gt;0,Q69+R69,"")</f>
        <v>#VALUE!</v>
      </c>
      <c r="T69" s="181"/>
      <c r="U69" s="181"/>
      <c r="V69" s="37"/>
      <c r="W69" s="181" t="e">
        <f>IF(I72&gt;0,IF(S69&gt;L69,"READY STOCK",IF(S69=0,"OUT OF STOCK",IF(S69&lt;L69,"LOW STOCK",""))),"")</f>
        <v>#VALUE!</v>
      </c>
      <c r="X69" s="181">
        <v>33121</v>
      </c>
      <c r="Y69" s="38">
        <v>46224</v>
      </c>
      <c r="Z69" s="181" t="s">
        <v>407</v>
      </c>
      <c r="AA69" s="181" t="s">
        <v>397</v>
      </c>
      <c r="AB69" s="50">
        <v>46231</v>
      </c>
      <c r="AC69" s="181">
        <v>33217</v>
      </c>
      <c r="AD69" s="51">
        <v>1</v>
      </c>
      <c r="AE69" s="37" t="s">
        <v>383</v>
      </c>
      <c r="AF69" s="37" t="s">
        <v>381</v>
      </c>
      <c r="AG69" s="33" t="str">
        <f>IF(G69&gt;0,IF(AD69&gt;0,IF(AD69=0,"Waiting",IF(AD69&lt;L69,"Partial",IF(AD69=L69,"Full Supply",IF(AD69&gt;L69,"Over Shared")))),"Waiting"),"")</f>
        <v>Full Supply</v>
      </c>
      <c r="AH69" s="49">
        <v>46225</v>
      </c>
      <c r="AI69" s="37" t="s">
        <v>452</v>
      </c>
      <c r="AJ69" s="181">
        <v>8</v>
      </c>
      <c r="AK69" s="40">
        <v>25747</v>
      </c>
      <c r="AL69" s="218">
        <v>46226</v>
      </c>
      <c r="AM69" s="40">
        <v>8</v>
      </c>
      <c r="AN69" s="37"/>
      <c r="AO69" s="41">
        <v>46227</v>
      </c>
      <c r="AP69" s="37"/>
      <c r="AQ69" s="37"/>
      <c r="AR69" s="37"/>
      <c r="AS69" s="37"/>
      <c r="AT69" s="37">
        <f>AS69-AD69</f>
        <v>-1</v>
      </c>
      <c r="AU69" s="36" t="str">
        <f>IF(AR69=0,"Waiting",IF(AR69&lt;AH69,"Kurang",IF(AR69=AH69,"Sesuai",IF(AR69&gt;AH69,"Over Shared"))))</f>
        <v>Waiting</v>
      </c>
      <c r="AV69" s="37"/>
      <c r="AW69" s="37" t="str">
        <f>IFERROR(DATEDIF(AH69,AK69,"d"),"0")&amp;"-DAY"</f>
        <v>0-DAY</v>
      </c>
      <c r="AX69" s="37" t="str">
        <f>IFERROR(DATEDIF(B69,AB69,"d"),"0")&amp;"-DAY"</f>
        <v>12-DAY</v>
      </c>
      <c r="AY69" s="37"/>
      <c r="AZ69" s="181">
        <f>L69-AD69</f>
        <v>0</v>
      </c>
    </row>
    <row r="70" spans="1:52" ht="15.5" hidden="1" customHeight="1">
      <c r="A70" s="360" t="s">
        <v>372</v>
      </c>
      <c r="B70" s="340">
        <v>46219</v>
      </c>
      <c r="C70" s="181">
        <v>48085</v>
      </c>
      <c r="D70" s="30">
        <v>46219</v>
      </c>
      <c r="E70" s="30">
        <v>46217</v>
      </c>
      <c r="F70" s="30">
        <v>46225</v>
      </c>
      <c r="G70" s="37">
        <v>4420229436</v>
      </c>
      <c r="H70" s="37" t="s">
        <v>373</v>
      </c>
      <c r="I70" s="37">
        <v>9040040588</v>
      </c>
      <c r="J70" s="37" t="s">
        <v>76</v>
      </c>
      <c r="K70" s="325" t="s">
        <v>77</v>
      </c>
      <c r="L70" s="181">
        <v>20</v>
      </c>
      <c r="M70" s="181" t="s">
        <v>375</v>
      </c>
      <c r="N70" s="37" t="s">
        <v>434</v>
      </c>
      <c r="O70" s="31">
        <f>IF(F70&gt;0,F70-AB70,"")</f>
        <v>-6</v>
      </c>
      <c r="P70" s="37" t="str">
        <f>IF(F70&gt;0,IF(AB70="","PLANNING SUPPLY",IF(AB70&lt;=F70,"ONTIME DELIVERY","DELAY")),"")</f>
        <v>DELAY</v>
      </c>
      <c r="Q70" s="181" t="str">
        <f>IFERROR(IF(J70&gt;0,VLOOKUP(J70,#REF!,MATCH($Q$6,#REF!,0),0),""),"")</f>
        <v/>
      </c>
      <c r="R70" s="181" t="str">
        <f>IFERROR(IF(J70&gt;0,VLOOKUP(J70,#REF!,MATCH($R$6,#REF!,0),0),""),"")</f>
        <v/>
      </c>
      <c r="S70" s="181" t="e">
        <f>IF(I73&gt;0,Q70+R70,"")</f>
        <v>#VALUE!</v>
      </c>
      <c r="T70" s="181"/>
      <c r="U70" s="181"/>
      <c r="V70" s="37"/>
      <c r="W70" s="181" t="e">
        <f>IF(I73&gt;0,IF(S70&gt;L70,"READY STOCK",IF(S70=0,"OUT OF STOCK",IF(S70&lt;L70,"LOW STOCK",""))),"")</f>
        <v>#VALUE!</v>
      </c>
      <c r="X70" s="38"/>
      <c r="Y70" s="38"/>
      <c r="Z70" s="38"/>
      <c r="AA70" s="38"/>
      <c r="AB70" s="50">
        <v>46231</v>
      </c>
      <c r="AC70" s="181">
        <v>33250</v>
      </c>
      <c r="AD70" s="51">
        <v>20</v>
      </c>
      <c r="AE70" s="37" t="s">
        <v>383</v>
      </c>
      <c r="AF70" s="37" t="s">
        <v>381</v>
      </c>
      <c r="AG70" s="33" t="str">
        <f>IF(G70&gt;0,IF(AD70&gt;0,IF(AD70=0,"Waiting",IF(AD70&lt;L70,"Partial",IF(AD70=L70,"Full Supply",IF(AD70&gt;L70,"Over Shared")))),"Waiting"),"")</f>
        <v>Full Supply</v>
      </c>
      <c r="AH70" s="49"/>
      <c r="AI70" s="37"/>
      <c r="AJ70" s="181"/>
      <c r="AK70" s="40"/>
      <c r="AL70" s="40"/>
      <c r="AM70" s="40"/>
      <c r="AN70" s="37"/>
      <c r="AO70" s="34"/>
      <c r="AP70" s="37"/>
      <c r="AQ70" s="37"/>
      <c r="AR70" s="37"/>
      <c r="AS70" s="37"/>
      <c r="AT70" s="37">
        <f>AS70-AD70</f>
        <v>-20</v>
      </c>
      <c r="AU70" s="36" t="str">
        <f>IF(AR70=0,"Waiting",IF(AR70&lt;AH70,"Kurang",IF(AR70=AH70,"Sesuai",IF(AR70&gt;AH70,"Over Shared"))))</f>
        <v>Waiting</v>
      </c>
      <c r="AV70" s="37"/>
      <c r="AW70" s="37" t="str">
        <f>IFERROR(DATEDIF(AH70,AK70,"d"),"0")&amp;"-DAY"</f>
        <v>0-DAY</v>
      </c>
      <c r="AX70" s="37" t="str">
        <f>IFERROR(DATEDIF(B70,AB70,"d"),"0")&amp;"-DAY"</f>
        <v>12-DAY</v>
      </c>
      <c r="AY70" s="37"/>
      <c r="AZ70" s="181">
        <f>L70-AD70</f>
        <v>0</v>
      </c>
    </row>
    <row r="71" spans="1:52" ht="15.5" hidden="1" customHeight="1">
      <c r="A71" s="360" t="s">
        <v>372</v>
      </c>
      <c r="B71" s="340">
        <v>46219</v>
      </c>
      <c r="C71" s="181">
        <v>48088</v>
      </c>
      <c r="D71" s="30">
        <v>46219</v>
      </c>
      <c r="E71" s="30">
        <v>46217</v>
      </c>
      <c r="F71" s="30">
        <v>46227</v>
      </c>
      <c r="G71" s="37">
        <v>4420229402</v>
      </c>
      <c r="H71" s="37" t="s">
        <v>373</v>
      </c>
      <c r="I71" s="37">
        <v>9040017824</v>
      </c>
      <c r="J71" s="37" t="s">
        <v>150</v>
      </c>
      <c r="K71" s="325" t="s">
        <v>151</v>
      </c>
      <c r="L71" s="181">
        <v>3</v>
      </c>
      <c r="M71" s="181" t="s">
        <v>425</v>
      </c>
      <c r="N71" s="37" t="s">
        <v>399</v>
      </c>
      <c r="O71" s="31">
        <f>IF(F71&gt;0,F71-AB71,"")</f>
        <v>-80</v>
      </c>
      <c r="P71" s="37" t="str">
        <f>IF(F71&gt;0,IF(AB71="","PLANNING SUPPLY",IF(AB71&lt;=F71,"ONTIME DELIVERY","DELAY")),"")</f>
        <v>DELAY</v>
      </c>
      <c r="Q71" s="181" t="str">
        <f>IFERROR(IF(J71&gt;0,VLOOKUP(J71,#REF!,MATCH($Q$6,#REF!,0),0),""),"")</f>
        <v/>
      </c>
      <c r="R71" s="181" t="str">
        <f>IFERROR(IF(J71&gt;0,VLOOKUP(J71,#REF!,MATCH($R$6,#REF!,0),0),""),"")</f>
        <v/>
      </c>
      <c r="S71" s="181" t="e">
        <f>IF(I74&gt;0,Q71+R71,"")</f>
        <v>#VALUE!</v>
      </c>
      <c r="T71" s="181"/>
      <c r="U71" s="181"/>
      <c r="V71" s="37"/>
      <c r="W71" s="181" t="e">
        <f>IF(I74&gt;0,IF(S71&gt;L71,"READY STOCK",IF(S71=0,"OUT OF STOCK",IF(S71&lt;L71,"LOW STOCK",""))),"")</f>
        <v>#VALUE!</v>
      </c>
      <c r="X71" s="38"/>
      <c r="Y71" s="38"/>
      <c r="Z71" s="38"/>
      <c r="AA71" s="38"/>
      <c r="AB71" s="50">
        <v>46307</v>
      </c>
      <c r="AC71" s="181">
        <v>34954</v>
      </c>
      <c r="AD71" s="51">
        <v>3</v>
      </c>
      <c r="AE71" s="37" t="s">
        <v>387</v>
      </c>
      <c r="AF71" s="37" t="s">
        <v>381</v>
      </c>
      <c r="AG71" s="33" t="str">
        <f>IF(G71&gt;0,IF(AD71&gt;0,IF(AD71=0,"Waiting",IF(AD71&lt;L71,"Partial",IF(AD71=L71,"Full Supply",IF(AD71&gt;L71,"Over Shared")))),"Waiting"),"")</f>
        <v>Full Supply</v>
      </c>
      <c r="AH71" s="49">
        <v>46261</v>
      </c>
      <c r="AI71" s="37" t="s">
        <v>453</v>
      </c>
      <c r="AJ71" s="181" t="s">
        <v>454</v>
      </c>
      <c r="AK71" s="40">
        <v>26495</v>
      </c>
      <c r="AL71" s="42">
        <v>46295</v>
      </c>
      <c r="AM71" s="40">
        <v>4</v>
      </c>
      <c r="AN71" s="37"/>
      <c r="AO71" s="239">
        <v>46297</v>
      </c>
      <c r="AP71" s="37"/>
      <c r="AQ71" s="37"/>
      <c r="AR71" s="37"/>
      <c r="AS71" s="37"/>
      <c r="AT71" s="37">
        <f>AS71-AD71</f>
        <v>-3</v>
      </c>
      <c r="AU71" s="36" t="str">
        <f>IF(AR71=0,"Waiting",IF(AR71&lt;AH71,"Kurang",IF(AR71=AH71,"Sesuai",IF(AR71&gt;AH71,"Over Shared"))))</f>
        <v>Waiting</v>
      </c>
      <c r="AV71" s="37"/>
      <c r="AW71" s="37" t="str">
        <f>IFERROR(DATEDIF(AH71,AK71,"d"),"0")&amp;"-DAY"</f>
        <v>0-DAY</v>
      </c>
      <c r="AX71" s="37" t="str">
        <f>IFERROR(DATEDIF(B71,AB71,"d"),"0")&amp;"-DAY"</f>
        <v>88-DAY</v>
      </c>
      <c r="AY71" s="37"/>
      <c r="AZ71" s="181">
        <f>L71-AD71</f>
        <v>0</v>
      </c>
    </row>
    <row r="72" spans="1:52" ht="15.5" hidden="1" customHeight="1">
      <c r="A72" s="360" t="s">
        <v>372</v>
      </c>
      <c r="B72" s="340">
        <v>46219</v>
      </c>
      <c r="C72" s="181">
        <v>48097</v>
      </c>
      <c r="D72" s="30">
        <v>46219</v>
      </c>
      <c r="E72" s="30">
        <v>46218</v>
      </c>
      <c r="F72" s="30">
        <v>46224</v>
      </c>
      <c r="G72" s="37">
        <v>4420229513</v>
      </c>
      <c r="H72" s="37" t="s">
        <v>373</v>
      </c>
      <c r="I72" s="37">
        <v>9040024721</v>
      </c>
      <c r="J72" s="37" t="s">
        <v>239</v>
      </c>
      <c r="K72" s="325" t="s">
        <v>240</v>
      </c>
      <c r="L72" s="181">
        <v>1</v>
      </c>
      <c r="M72" s="181" t="s">
        <v>446</v>
      </c>
      <c r="N72" s="37" t="s">
        <v>400</v>
      </c>
      <c r="O72" s="31">
        <f>IF(F72&gt;0,F72-AB72,"")</f>
        <v>46224</v>
      </c>
      <c r="P72" s="37" t="str">
        <f>IF(F72&gt;0,IF(AB72="","PLANNING SUPPLY",IF(AB72&lt;=F72,"ONTIME DELIVERY","DELAY")),"")</f>
        <v>PLANNING SUPPLY</v>
      </c>
      <c r="Q72" s="181" t="str">
        <f>IFERROR(IF(J72&gt;0,VLOOKUP(J72,#REF!,MATCH($Q$6,#REF!,0),0),""),"")</f>
        <v/>
      </c>
      <c r="R72" s="181" t="str">
        <f>IFERROR(IF(J72&gt;0,VLOOKUP(J72,#REF!,MATCH($R$6,#REF!,0),0),""),"")</f>
        <v/>
      </c>
      <c r="S72" s="181" t="e">
        <f>IF(I75&gt;0,Q72+R72,"")</f>
        <v>#VALUE!</v>
      </c>
      <c r="T72" s="181"/>
      <c r="U72" s="181"/>
      <c r="V72" s="37"/>
      <c r="W72" s="181" t="e">
        <f>IF(I75&gt;0,IF(S72&gt;L72,"READY STOCK",IF(S72=0,"OUT OF STOCK",IF(S72&lt;L72,"LOW STOCK",""))),"")</f>
        <v>#VALUE!</v>
      </c>
      <c r="X72" s="38"/>
      <c r="Y72" s="38"/>
      <c r="Z72" s="38"/>
      <c r="AA72" s="38"/>
      <c r="AB72" s="50"/>
      <c r="AC72" s="181"/>
      <c r="AD72" s="51"/>
      <c r="AE72" s="37"/>
      <c r="AF72" s="37"/>
      <c r="AG72" s="33" t="str">
        <f>IF(G72&gt;0,IF(AD72&gt;0,IF(AD72=0,"Waiting",IF(AD72&lt;L72,"Partial",IF(AD72=L72,"Full Supply",IF(AD72&gt;L72,"Over Shared")))),"Waiting"),"")</f>
        <v>Waiting</v>
      </c>
      <c r="AH72" s="49">
        <v>46225</v>
      </c>
      <c r="AI72" s="37" t="s">
        <v>452</v>
      </c>
      <c r="AJ72" s="181">
        <v>1</v>
      </c>
      <c r="AK72" s="40">
        <v>25749</v>
      </c>
      <c r="AL72" s="218">
        <v>46226</v>
      </c>
      <c r="AM72" s="40">
        <v>1</v>
      </c>
      <c r="AN72" s="37"/>
      <c r="AO72" s="41">
        <v>46234</v>
      </c>
      <c r="AP72" s="37"/>
      <c r="AQ72" s="37"/>
      <c r="AR72" s="37"/>
      <c r="AS72" s="37"/>
      <c r="AT72" s="37">
        <f>AS72-AD72</f>
        <v>0</v>
      </c>
      <c r="AU72" s="36" t="str">
        <f>IF(AR72=0,"Waiting",IF(AR72&lt;AH72,"Kurang",IF(AR72=AH72,"Sesuai",IF(AR72&gt;AH72,"Over Shared"))))</f>
        <v>Waiting</v>
      </c>
      <c r="AV72" s="37"/>
      <c r="AW72" s="37" t="str">
        <f>IFERROR(DATEDIF(AH72,AK72,"d"),"0")&amp;"-DAY"</f>
        <v>0-DAY</v>
      </c>
      <c r="AX72" s="37" t="str">
        <f>IFERROR(DATEDIF(B72,AB72,"d"),"0")&amp;"-DAY"</f>
        <v>0-DAY</v>
      </c>
      <c r="AY72" s="37"/>
      <c r="AZ72" s="181">
        <f>L72-AD72</f>
        <v>1</v>
      </c>
    </row>
    <row r="73" spans="1:52" ht="15.5" hidden="1" customHeight="1">
      <c r="A73" s="360" t="s">
        <v>372</v>
      </c>
      <c r="B73" s="340">
        <v>46219</v>
      </c>
      <c r="C73" s="181">
        <v>48097</v>
      </c>
      <c r="D73" s="30">
        <v>46219</v>
      </c>
      <c r="E73" s="30">
        <v>46218</v>
      </c>
      <c r="F73" s="30">
        <v>46224</v>
      </c>
      <c r="G73" s="37">
        <v>4420229513</v>
      </c>
      <c r="H73" s="37" t="s">
        <v>373</v>
      </c>
      <c r="I73" s="37">
        <v>9040126458</v>
      </c>
      <c r="J73" s="37" t="s">
        <v>217</v>
      </c>
      <c r="K73" s="325" t="s">
        <v>218</v>
      </c>
      <c r="L73" s="181">
        <v>1</v>
      </c>
      <c r="M73" s="181" t="s">
        <v>446</v>
      </c>
      <c r="N73" s="37" t="s">
        <v>400</v>
      </c>
      <c r="O73" s="31">
        <f>IF(F73&gt;0,F73-AB73,"")</f>
        <v>-34</v>
      </c>
      <c r="P73" s="37" t="str">
        <f>IF(F73&gt;0,IF(AB73="","PLANNING SUPPLY",IF(AB73&lt;=F73,"ONTIME DELIVERY","DELAY")),"")</f>
        <v>DELAY</v>
      </c>
      <c r="Q73" s="181" t="str">
        <f>IFERROR(IF(J73&gt;0,VLOOKUP(J73,#REF!,MATCH($Q$6,#REF!,0),0),""),"")</f>
        <v/>
      </c>
      <c r="R73" s="181" t="str">
        <f>IFERROR(IF(J73&gt;0,VLOOKUP(J73,#REF!,MATCH($R$6,#REF!,0),0),""),"")</f>
        <v/>
      </c>
      <c r="S73" s="181" t="e">
        <f>IF(I76&gt;0,Q73+R73,"")</f>
        <v>#VALUE!</v>
      </c>
      <c r="T73" s="181"/>
      <c r="U73" s="181"/>
      <c r="V73" s="37"/>
      <c r="W73" s="181" t="e">
        <f>IF(I76&gt;0,IF(S73&gt;L73,"READY STOCK",IF(S73=0,"OUT OF STOCK",IF(S73&lt;L73,"LOW STOCK",""))),"")</f>
        <v>#VALUE!</v>
      </c>
      <c r="X73" s="38"/>
      <c r="Y73" s="38"/>
      <c r="Z73" s="38"/>
      <c r="AA73" s="38"/>
      <c r="AB73" s="50">
        <v>46258</v>
      </c>
      <c r="AC73" s="181">
        <v>33793</v>
      </c>
      <c r="AD73" s="51">
        <v>1</v>
      </c>
      <c r="AE73" s="37" t="s">
        <v>383</v>
      </c>
      <c r="AF73" s="37" t="s">
        <v>381</v>
      </c>
      <c r="AG73" s="33" t="str">
        <f>IF(G73&gt;0,IF(AD73&gt;0,IF(AD73=0,"Waiting",IF(AD73&lt;L73,"Partial",IF(AD73=L73,"Full Supply",IF(AD73&gt;L73,"Over Shared")))),"Waiting"),"")</f>
        <v>Full Supply</v>
      </c>
      <c r="AH73" s="49">
        <v>46225</v>
      </c>
      <c r="AI73" s="37" t="s">
        <v>452</v>
      </c>
      <c r="AJ73" s="181">
        <v>1</v>
      </c>
      <c r="AK73" s="40">
        <v>25750</v>
      </c>
      <c r="AL73" s="42">
        <v>46225</v>
      </c>
      <c r="AM73" s="40">
        <v>1</v>
      </c>
      <c r="AN73" s="37"/>
      <c r="AO73" s="239">
        <v>46301</v>
      </c>
      <c r="AP73" s="37"/>
      <c r="AQ73" s="37"/>
      <c r="AR73" s="37"/>
      <c r="AS73" s="37"/>
      <c r="AT73" s="37">
        <f>AS73-AD73</f>
        <v>-1</v>
      </c>
      <c r="AU73" s="36" t="str">
        <f>IF(AR73=0,"Waiting",IF(AR73&lt;AH73,"Kurang",IF(AR73=AH73,"Sesuai",IF(AR73&gt;AH73,"Over Shared"))))</f>
        <v>Waiting</v>
      </c>
      <c r="AV73" s="37"/>
      <c r="AW73" s="37" t="str">
        <f>IFERROR(DATEDIF(AH73,AK73,"d"),"0")&amp;"-DAY"</f>
        <v>0-DAY</v>
      </c>
      <c r="AX73" s="37" t="str">
        <f>IFERROR(DATEDIF(B73,AB73,"d"),"0")&amp;"-DAY"</f>
        <v>39-DAY</v>
      </c>
      <c r="AY73" s="37"/>
      <c r="AZ73" s="181">
        <f>L73-AD73</f>
        <v>0</v>
      </c>
    </row>
    <row r="74" spans="1:52" ht="15.5" hidden="1" customHeight="1">
      <c r="A74" s="360" t="s">
        <v>372</v>
      </c>
      <c r="B74" s="340">
        <v>46219</v>
      </c>
      <c r="C74" s="181">
        <v>48097</v>
      </c>
      <c r="D74" s="30">
        <v>46219</v>
      </c>
      <c r="E74" s="30">
        <v>46218</v>
      </c>
      <c r="F74" s="30">
        <v>46224</v>
      </c>
      <c r="G74" s="37">
        <v>4420229513</v>
      </c>
      <c r="H74" s="37" t="s">
        <v>373</v>
      </c>
      <c r="I74" s="37">
        <v>9040019465</v>
      </c>
      <c r="J74" s="37" t="s">
        <v>27</v>
      </c>
      <c r="K74" s="325" t="s">
        <v>28</v>
      </c>
      <c r="L74" s="181">
        <v>7</v>
      </c>
      <c r="M74" s="181" t="s">
        <v>425</v>
      </c>
      <c r="N74" s="37" t="s">
        <v>400</v>
      </c>
      <c r="O74" s="31">
        <f>IF(F74&gt;0,F74-AB74,"")</f>
        <v>-2</v>
      </c>
      <c r="P74" s="37" t="str">
        <f>IF(F74&gt;0,IF(AB74="","PLANNING SUPPLY",IF(AB74&lt;=F74,"ONTIME DELIVERY","DELAY")),"")</f>
        <v>DELAY</v>
      </c>
      <c r="Q74" s="181" t="str">
        <f>IFERROR(IF(J74&gt;0,VLOOKUP(J74,#REF!,MATCH($Q$6,#REF!,0),0),""),"")</f>
        <v/>
      </c>
      <c r="R74" s="181" t="str">
        <f>IFERROR(IF(J74&gt;0,VLOOKUP(J74,#REF!,MATCH($R$6,#REF!,0),0),""),"")</f>
        <v/>
      </c>
      <c r="S74" s="181" t="e">
        <f>IF(I77&gt;0,Q74+R74,"")</f>
        <v>#VALUE!</v>
      </c>
      <c r="T74" s="181"/>
      <c r="U74" s="181"/>
      <c r="V74" s="37"/>
      <c r="W74" s="181" t="e">
        <f>IF(I77&gt;0,IF(S74&gt;L74,"READY STOCK",IF(S74=0,"OUT OF STOCK",IF(S74&lt;L74,"LOW STOCK",""))),"")</f>
        <v>#VALUE!</v>
      </c>
      <c r="X74" s="38"/>
      <c r="Y74" s="38"/>
      <c r="Z74" s="38"/>
      <c r="AA74" s="38"/>
      <c r="AB74" s="50">
        <v>46226</v>
      </c>
      <c r="AC74" s="181">
        <v>33142</v>
      </c>
      <c r="AD74" s="51">
        <v>7</v>
      </c>
      <c r="AE74" s="37" t="s">
        <v>383</v>
      </c>
      <c r="AF74" s="37" t="s">
        <v>381</v>
      </c>
      <c r="AG74" s="33" t="str">
        <f>IF(G74&gt;0,IF(AD74&gt;0,IF(AD74=0,"Waiting",IF(AD74&lt;L74,"Partial",IF(AD74=L74,"Full Supply",IF(AD74&gt;L74,"Over Shared")))),"Waiting"),"")</f>
        <v>Full Supply</v>
      </c>
      <c r="AH74" s="37"/>
      <c r="AI74" s="37"/>
      <c r="AJ74" s="181"/>
      <c r="AK74" s="40"/>
      <c r="AL74" s="40"/>
      <c r="AM74" s="40"/>
      <c r="AN74" s="37"/>
      <c r="AO74" s="34"/>
      <c r="AP74" s="37"/>
      <c r="AQ74" s="37"/>
      <c r="AR74" s="37"/>
      <c r="AS74" s="37"/>
      <c r="AT74" s="37">
        <f>AS74-AD74</f>
        <v>-7</v>
      </c>
      <c r="AU74" s="36" t="str">
        <f>IF(AR74=0,"Waiting",IF(AR74&lt;AH74,"Kurang",IF(AR74=AH74,"Sesuai",IF(AR74&gt;AH74,"Over Shared"))))</f>
        <v>Waiting</v>
      </c>
      <c r="AV74" s="37"/>
      <c r="AW74" s="37" t="str">
        <f>IFERROR(DATEDIF(AH74,AK74,"d"),"0")&amp;"-DAY"</f>
        <v>0-DAY</v>
      </c>
      <c r="AX74" s="37" t="str">
        <f>IFERROR(DATEDIF(B74,AB74,"d"),"0")&amp;"-DAY"</f>
        <v>7-DAY</v>
      </c>
      <c r="AY74" s="37"/>
      <c r="AZ74" s="181">
        <f>L74-AD74</f>
        <v>0</v>
      </c>
    </row>
    <row r="75" spans="1:52" ht="15.5" hidden="1" customHeight="1">
      <c r="A75" s="360" t="s">
        <v>372</v>
      </c>
      <c r="B75" s="340">
        <v>46219</v>
      </c>
      <c r="C75" s="181">
        <v>48097</v>
      </c>
      <c r="D75" s="30">
        <v>46219</v>
      </c>
      <c r="E75" s="30">
        <v>46218</v>
      </c>
      <c r="F75" s="30">
        <v>46224</v>
      </c>
      <c r="G75" s="37">
        <v>4420229513</v>
      </c>
      <c r="H75" s="37" t="s">
        <v>373</v>
      </c>
      <c r="I75" s="37">
        <v>9040020554</v>
      </c>
      <c r="J75" s="37" t="s">
        <v>297</v>
      </c>
      <c r="K75" s="325" t="s">
        <v>298</v>
      </c>
      <c r="L75" s="181">
        <v>6</v>
      </c>
      <c r="M75" s="181" t="s">
        <v>425</v>
      </c>
      <c r="N75" s="37" t="s">
        <v>400</v>
      </c>
      <c r="O75" s="31">
        <f>IF(F75&gt;0,F75-AB75,"")</f>
        <v>4</v>
      </c>
      <c r="P75" s="37" t="str">
        <f>IF(F75&gt;0,IF(AB75="","PLANNING SUPPLY",IF(AB75&lt;=F75,"ONTIME DELIVERY","DELAY")),"")</f>
        <v>ONTIME DELIVERY</v>
      </c>
      <c r="Q75" s="181" t="str">
        <f>IFERROR(IF(J75&gt;0,VLOOKUP(J75,#REF!,MATCH($Q$6,#REF!,0),0),""),"")</f>
        <v/>
      </c>
      <c r="R75" s="181" t="str">
        <f>IFERROR(IF(J75&gt;0,VLOOKUP(J75,#REF!,MATCH($R$6,#REF!,0),0),""),"")</f>
        <v/>
      </c>
      <c r="S75" s="181" t="e">
        <f>IF(I78&gt;0,Q75+R75,"")</f>
        <v>#VALUE!</v>
      </c>
      <c r="T75" s="181"/>
      <c r="U75" s="181"/>
      <c r="V75" s="37"/>
      <c r="W75" s="181" t="e">
        <f>IF(I78&gt;0,IF(S75&gt;L75,"READY STOCK",IF(S75=0,"OUT OF STOCK",IF(S75&lt;L75,"LOW STOCK",""))),"")</f>
        <v>#VALUE!</v>
      </c>
      <c r="X75" s="38"/>
      <c r="Y75" s="38"/>
      <c r="Z75" s="38"/>
      <c r="AA75" s="38"/>
      <c r="AB75" s="50">
        <v>46220</v>
      </c>
      <c r="AC75" s="181">
        <v>33043</v>
      </c>
      <c r="AD75" s="51">
        <v>6</v>
      </c>
      <c r="AE75" s="37" t="s">
        <v>383</v>
      </c>
      <c r="AF75" s="37" t="s">
        <v>381</v>
      </c>
      <c r="AG75" s="33" t="str">
        <f>IF(G75&gt;0,IF(AD75&gt;0,IF(AD75=0,"Waiting",IF(AD75&lt;L75,"Partial",IF(AD75=L75,"Full Supply",IF(AD75&gt;L75,"Over Shared")))),"Waiting"),"")</f>
        <v>Full Supply</v>
      </c>
      <c r="AH75" s="37"/>
      <c r="AI75" s="37"/>
      <c r="AJ75" s="181"/>
      <c r="AK75" s="40"/>
      <c r="AL75" s="40"/>
      <c r="AM75" s="40"/>
      <c r="AN75" s="37"/>
      <c r="AO75" s="34"/>
      <c r="AP75" s="37"/>
      <c r="AQ75" s="37"/>
      <c r="AR75" s="37"/>
      <c r="AS75" s="37"/>
      <c r="AT75" s="37">
        <f>AS75-AD75</f>
        <v>-6</v>
      </c>
      <c r="AU75" s="36" t="str">
        <f>IF(AR75=0,"Waiting",IF(AR75&lt;AH75,"Kurang",IF(AR75=AH75,"Sesuai",IF(AR75&gt;AH75,"Over Shared"))))</f>
        <v>Waiting</v>
      </c>
      <c r="AV75" s="37"/>
      <c r="AW75" s="37" t="str">
        <f>IFERROR(DATEDIF(AH75,AK75,"d"),"0")&amp;"-DAY"</f>
        <v>0-DAY</v>
      </c>
      <c r="AX75" s="37" t="str">
        <f>IFERROR(DATEDIF(B75,AB75,"d"),"0")&amp;"-DAY"</f>
        <v>1-DAY</v>
      </c>
      <c r="AY75" s="37"/>
      <c r="AZ75" s="181">
        <f>L75-AD75</f>
        <v>0</v>
      </c>
    </row>
    <row r="76" spans="1:52" ht="15.5" hidden="1" customHeight="1">
      <c r="A76" s="360" t="s">
        <v>372</v>
      </c>
      <c r="B76" s="340">
        <v>46219</v>
      </c>
      <c r="C76" s="181">
        <v>48097</v>
      </c>
      <c r="D76" s="30">
        <v>46219</v>
      </c>
      <c r="E76" s="30">
        <v>46218</v>
      </c>
      <c r="F76" s="30">
        <v>46224</v>
      </c>
      <c r="G76" s="37">
        <v>4420229513</v>
      </c>
      <c r="H76" s="37" t="s">
        <v>373</v>
      </c>
      <c r="I76" s="37">
        <v>9040040319</v>
      </c>
      <c r="J76" s="37" t="s">
        <v>301</v>
      </c>
      <c r="K76" s="325" t="s">
        <v>302</v>
      </c>
      <c r="L76" s="181">
        <v>1</v>
      </c>
      <c r="M76" s="181" t="s">
        <v>425</v>
      </c>
      <c r="N76" s="37" t="s">
        <v>400</v>
      </c>
      <c r="O76" s="31">
        <f>IF(F76&gt;0,F76-AB76,"")</f>
        <v>-15</v>
      </c>
      <c r="P76" s="37" t="str">
        <f>IF(F76&gt;0,IF(AB76="","PLANNING SUPPLY",IF(AB76&lt;=F76,"ONTIME DELIVERY","DELAY")),"")</f>
        <v>DELAY</v>
      </c>
      <c r="Q76" s="181" t="str">
        <f>IFERROR(IF(J76&gt;0,VLOOKUP(J76,#REF!,MATCH($Q$6,#REF!,0),0),""),"")</f>
        <v/>
      </c>
      <c r="R76" s="181" t="str">
        <f>IFERROR(IF(J76&gt;0,VLOOKUP(J76,#REF!,MATCH($R$6,#REF!,0),0),""),"")</f>
        <v/>
      </c>
      <c r="S76" s="181" t="e">
        <f>IF(I79&gt;0,Q76+R76,"")</f>
        <v>#VALUE!</v>
      </c>
      <c r="T76" s="181"/>
      <c r="U76" s="181"/>
      <c r="V76" s="37"/>
      <c r="W76" s="181" t="e">
        <f>IF(I79&gt;0,IF(S76&gt;L76,"READY STOCK",IF(S76=0,"OUT OF STOCK",IF(S76&lt;L76,"LOW STOCK",""))),"")</f>
        <v>#VALUE!</v>
      </c>
      <c r="X76" s="181">
        <v>33121</v>
      </c>
      <c r="Y76" s="38">
        <v>46224</v>
      </c>
      <c r="Z76" s="181" t="s">
        <v>396</v>
      </c>
      <c r="AA76" s="181" t="s">
        <v>397</v>
      </c>
      <c r="AB76" s="50">
        <v>46239</v>
      </c>
      <c r="AC76" s="181">
        <v>33420</v>
      </c>
      <c r="AD76" s="51">
        <v>1</v>
      </c>
      <c r="AE76" s="37" t="s">
        <v>383</v>
      </c>
      <c r="AF76" s="37" t="s">
        <v>381</v>
      </c>
      <c r="AG76" s="33" t="str">
        <f>IF(G76&gt;0,IF(AD76&gt;0,IF(AD76=0,"Waiting",IF(AD76&lt;L76,"Partial",IF(AD76=L76,"Full Supply",IF(AD76&gt;L76,"Over Shared")))),"Waiting"),"")</f>
        <v>Full Supply</v>
      </c>
      <c r="AH76" s="37"/>
      <c r="AI76" s="37"/>
      <c r="AJ76" s="181"/>
      <c r="AK76" s="40"/>
      <c r="AL76" s="40"/>
      <c r="AM76" s="40"/>
      <c r="AN76" s="37"/>
      <c r="AO76" s="34"/>
      <c r="AP76" s="37"/>
      <c r="AQ76" s="37"/>
      <c r="AR76" s="37"/>
      <c r="AS76" s="37"/>
      <c r="AT76" s="37">
        <f>AS76-AD76</f>
        <v>-1</v>
      </c>
      <c r="AU76" s="36" t="str">
        <f>IF(AR76=0,"Waiting",IF(AR76&lt;AH76,"Kurang",IF(AR76=AH76,"Sesuai",IF(AR76&gt;AH76,"Over Shared"))))</f>
        <v>Waiting</v>
      </c>
      <c r="AV76" s="37"/>
      <c r="AW76" s="37" t="str">
        <f>IFERROR(DATEDIF(AH76,AK76,"d"),"0")&amp;"-DAY"</f>
        <v>0-DAY</v>
      </c>
      <c r="AX76" s="37" t="str">
        <f>IFERROR(DATEDIF(B76,AB76,"d"),"0")&amp;"-DAY"</f>
        <v>20-DAY</v>
      </c>
      <c r="AY76" s="37"/>
      <c r="AZ76" s="181">
        <f>L76-AD76</f>
        <v>0</v>
      </c>
    </row>
    <row r="77" spans="1:52" ht="15.5" hidden="1" customHeight="1">
      <c r="A77" s="360" t="s">
        <v>372</v>
      </c>
      <c r="B77" s="340">
        <v>46219</v>
      </c>
      <c r="C77" s="181">
        <v>48097</v>
      </c>
      <c r="D77" s="30">
        <v>46219</v>
      </c>
      <c r="E77" s="30">
        <v>46218</v>
      </c>
      <c r="F77" s="30">
        <v>46224</v>
      </c>
      <c r="G77" s="37">
        <v>4420229513</v>
      </c>
      <c r="H77" s="37" t="s">
        <v>373</v>
      </c>
      <c r="I77" s="37">
        <v>9040044191</v>
      </c>
      <c r="J77" s="37" t="s">
        <v>187</v>
      </c>
      <c r="K77" s="325" t="s">
        <v>188</v>
      </c>
      <c r="L77" s="181">
        <v>17</v>
      </c>
      <c r="M77" s="181" t="s">
        <v>425</v>
      </c>
      <c r="N77" s="37" t="s">
        <v>400</v>
      </c>
      <c r="O77" s="31">
        <f>IF(F77&gt;0,F77-AB77,"")</f>
        <v>-2</v>
      </c>
      <c r="P77" s="37" t="str">
        <f>IF(F77&gt;0,IF(AB77="","PLANNING SUPPLY",IF(AB77&lt;=F77,"ONTIME DELIVERY","DELAY")),"")</f>
        <v>DELAY</v>
      </c>
      <c r="Q77" s="181" t="str">
        <f>IFERROR(IF(J77&gt;0,VLOOKUP(J77,#REF!,MATCH($Q$6,#REF!,0),0),""),"")</f>
        <v/>
      </c>
      <c r="R77" s="181" t="str">
        <f>IFERROR(IF(J77&gt;0,VLOOKUP(J77,#REF!,MATCH($R$6,#REF!,0),0),""),"")</f>
        <v/>
      </c>
      <c r="S77" s="181" t="e">
        <f>IF(I80&gt;0,Q77+R77,"")</f>
        <v>#VALUE!</v>
      </c>
      <c r="T77" s="181"/>
      <c r="U77" s="181"/>
      <c r="V77" s="37" t="s">
        <v>457</v>
      </c>
      <c r="W77" s="181" t="e">
        <f>IF(I80&gt;0,IF(S77&gt;L77,"READY STOCK",IF(S77=0,"OUT OF STOCK",IF(S77&lt;L77,"LOW STOCK",""))),"")</f>
        <v>#VALUE!</v>
      </c>
      <c r="X77" s="38"/>
      <c r="Y77" s="38"/>
      <c r="Z77" s="38"/>
      <c r="AA77" s="38"/>
      <c r="AB77" s="50">
        <v>46226</v>
      </c>
      <c r="AC77" s="181">
        <v>33108</v>
      </c>
      <c r="AD77" s="51">
        <v>17</v>
      </c>
      <c r="AE77" s="37" t="s">
        <v>383</v>
      </c>
      <c r="AF77" s="37" t="s">
        <v>381</v>
      </c>
      <c r="AG77" s="33" t="str">
        <f>IF(G77&gt;0,IF(AD77&gt;0,IF(AD77=0,"Waiting",IF(AD77&lt;L77,"Partial",IF(AD77=L77,"Full Supply",IF(AD77&gt;L77,"Over Shared")))),"Waiting"),"")</f>
        <v>Full Supply</v>
      </c>
      <c r="AH77" s="37"/>
      <c r="AI77" s="37"/>
      <c r="AJ77" s="181"/>
      <c r="AK77" s="40"/>
      <c r="AL77" s="40"/>
      <c r="AM77" s="40"/>
      <c r="AN77" s="37"/>
      <c r="AO77" s="34"/>
      <c r="AP77" s="37"/>
      <c r="AQ77" s="37"/>
      <c r="AR77" s="37"/>
      <c r="AS77" s="37"/>
      <c r="AT77" s="37">
        <f>AS77-AD77</f>
        <v>-17</v>
      </c>
      <c r="AU77" s="36" t="str">
        <f>IF(AR77=0,"Waiting",IF(AR77&lt;AH77,"Kurang",IF(AR77=AH77,"Sesuai",IF(AR77&gt;AH77,"Over Shared"))))</f>
        <v>Waiting</v>
      </c>
      <c r="AV77" s="37"/>
      <c r="AW77" s="37" t="str">
        <f>IFERROR(DATEDIF(AH77,AK77,"d"),"0")&amp;"-DAY"</f>
        <v>0-DAY</v>
      </c>
      <c r="AX77" s="37" t="str">
        <f>IFERROR(DATEDIF(B77,AB77,"d"),"0")&amp;"-DAY"</f>
        <v>7-DAY</v>
      </c>
      <c r="AY77" s="37"/>
      <c r="AZ77" s="181">
        <f>L77-AD77</f>
        <v>0</v>
      </c>
    </row>
    <row r="78" spans="1:52" ht="15.5" hidden="1" customHeight="1">
      <c r="A78" s="360" t="s">
        <v>372</v>
      </c>
      <c r="B78" s="340">
        <v>46219</v>
      </c>
      <c r="C78" s="181">
        <v>48097</v>
      </c>
      <c r="D78" s="30">
        <v>46219</v>
      </c>
      <c r="E78" s="30">
        <v>46218</v>
      </c>
      <c r="F78" s="30">
        <v>46224</v>
      </c>
      <c r="G78" s="37">
        <v>4420229513</v>
      </c>
      <c r="H78" s="37" t="s">
        <v>373</v>
      </c>
      <c r="I78" s="37">
        <v>9040040420</v>
      </c>
      <c r="J78" s="37" t="s">
        <v>219</v>
      </c>
      <c r="K78" s="325" t="s">
        <v>220</v>
      </c>
      <c r="L78" s="181">
        <v>6</v>
      </c>
      <c r="M78" s="181" t="s">
        <v>446</v>
      </c>
      <c r="N78" s="37" t="s">
        <v>400</v>
      </c>
      <c r="O78" s="31">
        <f>IF(F78&gt;0,F78-AB78,"")</f>
        <v>-84</v>
      </c>
      <c r="P78" s="37" t="str">
        <f>IF(F78&gt;0,IF(AB78="","PLANNING SUPPLY",IF(AB78&lt;=F78,"ONTIME DELIVERY","DELAY")),"")</f>
        <v>DELAY</v>
      </c>
      <c r="Q78" s="181" t="str">
        <f>IFERROR(IF(J78&gt;0,VLOOKUP(J78,#REF!,MATCH($Q$6,#REF!,0),0),""),"")</f>
        <v/>
      </c>
      <c r="R78" s="181" t="str">
        <f>IFERROR(IF(J78&gt;0,VLOOKUP(J78,#REF!,MATCH($R$6,#REF!,0),0),""),"")</f>
        <v/>
      </c>
      <c r="S78" s="181" t="e">
        <f>IF(I81&gt;0,Q78+R78,"")</f>
        <v>#VALUE!</v>
      </c>
      <c r="T78" s="181"/>
      <c r="U78" s="181"/>
      <c r="V78" s="37"/>
      <c r="W78" s="181" t="e">
        <f>IF(I81&gt;0,IF(S78&gt;L78,"READY STOCK",IF(S78=0,"OUT OF STOCK",IF(S78&lt;L78,"LOW STOCK",""))),"")</f>
        <v>#VALUE!</v>
      </c>
      <c r="X78" s="38"/>
      <c r="Y78" s="38"/>
      <c r="Z78" s="38"/>
      <c r="AA78" s="38"/>
      <c r="AB78" s="50">
        <v>46308</v>
      </c>
      <c r="AC78" s="246">
        <v>34992</v>
      </c>
      <c r="AD78" s="51">
        <v>6</v>
      </c>
      <c r="AE78" s="37" t="s">
        <v>387</v>
      </c>
      <c r="AF78" s="37" t="s">
        <v>381</v>
      </c>
      <c r="AG78" s="33" t="str">
        <f>IF(G78&gt;0,IF(AD78&gt;0,IF(AD78=0,"Waiting",IF(AD78&lt;L78,"Partial",IF(AD78=L78,"Full Supply",IF(AD78&gt;L78,"Over Shared")))),"Waiting"),"")</f>
        <v>Full Supply</v>
      </c>
      <c r="AH78" s="49">
        <v>46225</v>
      </c>
      <c r="AI78" s="37" t="s">
        <v>452</v>
      </c>
      <c r="AJ78" s="181">
        <v>10</v>
      </c>
      <c r="AK78" s="40">
        <v>25937</v>
      </c>
      <c r="AL78" s="218">
        <v>46246</v>
      </c>
      <c r="AM78" s="40">
        <v>10</v>
      </c>
      <c r="AN78" s="37"/>
      <c r="AO78" s="48">
        <v>46256</v>
      </c>
      <c r="AP78" s="37"/>
      <c r="AQ78" s="37"/>
      <c r="AR78" s="37"/>
      <c r="AS78" s="37"/>
      <c r="AT78" s="37">
        <f>AS78-AD78</f>
        <v>-6</v>
      </c>
      <c r="AU78" s="36" t="str">
        <f>IF(AR78=0,"Waiting",IF(AR78&lt;AH78,"Kurang",IF(AR78=AH78,"Sesuai",IF(AR78&gt;AH78,"Over Shared"))))</f>
        <v>Waiting</v>
      </c>
      <c r="AV78" s="37"/>
      <c r="AW78" s="37" t="str">
        <f>IFERROR(DATEDIF(AH78,AK78,"d"),"0")&amp;"-DAY"</f>
        <v>0-DAY</v>
      </c>
      <c r="AX78" s="37" t="str">
        <f>IFERROR(DATEDIF(B78,AB78,"d"),"0")&amp;"-DAY"</f>
        <v>89-DAY</v>
      </c>
      <c r="AY78" s="37"/>
      <c r="AZ78" s="181">
        <f>L78-AD78</f>
        <v>0</v>
      </c>
    </row>
    <row r="79" spans="1:52" ht="15.5" hidden="1" customHeight="1">
      <c r="A79" s="360" t="s">
        <v>372</v>
      </c>
      <c r="B79" s="340">
        <v>46220</v>
      </c>
      <c r="C79" s="181">
        <v>48101</v>
      </c>
      <c r="D79" s="30">
        <v>46220</v>
      </c>
      <c r="E79" s="30">
        <v>46217</v>
      </c>
      <c r="F79" s="30">
        <v>46233</v>
      </c>
      <c r="G79" s="37">
        <v>4420229394</v>
      </c>
      <c r="H79" s="37" t="s">
        <v>373</v>
      </c>
      <c r="I79" s="37">
        <v>9040016343</v>
      </c>
      <c r="J79" s="37" t="s">
        <v>211</v>
      </c>
      <c r="K79" s="325" t="s">
        <v>212</v>
      </c>
      <c r="L79" s="181">
        <v>2</v>
      </c>
      <c r="M79" s="181" t="s">
        <v>429</v>
      </c>
      <c r="N79" s="37" t="s">
        <v>382</v>
      </c>
      <c r="O79" s="31">
        <f>IF(F79&gt;0,F79-AB79,"")</f>
        <v>-6</v>
      </c>
      <c r="P79" s="37" t="str">
        <f>IF(F79&gt;0,IF(AB79="","PLANNING SUPPLY",IF(AB79&lt;=F79,"ONTIME DELIVERY","DELAY")),"")</f>
        <v>DELAY</v>
      </c>
      <c r="Q79" s="181" t="str">
        <f>IFERROR(IF(J79&gt;0,VLOOKUP(J79,#REF!,MATCH($Q$6,#REF!,0),0),""),"")</f>
        <v/>
      </c>
      <c r="R79" s="181" t="str">
        <f>IFERROR(IF(J79&gt;0,VLOOKUP(J79,#REF!,MATCH($R$6,#REF!,0),0),""),"")</f>
        <v/>
      </c>
      <c r="S79" s="181" t="e">
        <f>IF(I82&gt;0,Q79+R79,"")</f>
        <v>#VALUE!</v>
      </c>
      <c r="T79" s="181"/>
      <c r="U79" s="181"/>
      <c r="V79" s="37"/>
      <c r="W79" s="181" t="e">
        <f>IF(I82&gt;0,IF(S79&gt;L79,"READY STOCK",IF(S79=0,"OUT OF STOCK",IF(S79&lt;L79,"LOW STOCK",""))),"")</f>
        <v>#VALUE!</v>
      </c>
      <c r="X79" s="38"/>
      <c r="Y79" s="38"/>
      <c r="Z79" s="38"/>
      <c r="AA79" s="38"/>
      <c r="AB79" s="50">
        <v>46239</v>
      </c>
      <c r="AC79" s="181">
        <v>33396</v>
      </c>
      <c r="AD79" s="51">
        <v>2</v>
      </c>
      <c r="AE79" s="37" t="s">
        <v>383</v>
      </c>
      <c r="AF79" s="37" t="s">
        <v>381</v>
      </c>
      <c r="AG79" s="33" t="str">
        <f>IF(G79&gt;0,IF(AD79&gt;0,IF(AD79=0,"Waiting",IF(AD79&lt;L79,"Partial",IF(AD79=L79,"Full Supply",IF(AD79&gt;L79,"Over Shared")))),"Waiting"),"")</f>
        <v>Full Supply</v>
      </c>
      <c r="AH79" s="49">
        <v>46225</v>
      </c>
      <c r="AI79" s="37" t="s">
        <v>452</v>
      </c>
      <c r="AJ79" s="181">
        <v>20</v>
      </c>
      <c r="AK79" s="40">
        <v>25748</v>
      </c>
      <c r="AL79" s="218">
        <v>46226</v>
      </c>
      <c r="AM79" s="40">
        <v>32</v>
      </c>
      <c r="AN79" s="37"/>
      <c r="AO79" s="41">
        <v>46232</v>
      </c>
      <c r="AP79" s="37"/>
      <c r="AQ79" s="37"/>
      <c r="AR79" s="37"/>
      <c r="AS79" s="37"/>
      <c r="AT79" s="37">
        <f>AS79-AD79</f>
        <v>-2</v>
      </c>
      <c r="AU79" s="36" t="str">
        <f>IF(AR79=0,"Waiting",IF(AR79&lt;AH79,"Kurang",IF(AR79=AH79,"Sesuai",IF(AR79&gt;AH79,"Over Shared"))))</f>
        <v>Waiting</v>
      </c>
      <c r="AV79" s="37">
        <v>54582</v>
      </c>
      <c r="AW79" s="37" t="str">
        <f>IFERROR(DATEDIF(AH79,AK79,"d"),"0")&amp;"-DAY"</f>
        <v>0-DAY</v>
      </c>
      <c r="AX79" s="37" t="str">
        <f>IFERROR(DATEDIF(B79,AB79,"d"),"0")&amp;"-DAY"</f>
        <v>19-DAY</v>
      </c>
      <c r="AY79" s="37"/>
      <c r="AZ79" s="181">
        <f>L79-AD79</f>
        <v>0</v>
      </c>
    </row>
    <row r="80" spans="1:52" ht="15.5" hidden="1" customHeight="1">
      <c r="A80" s="360" t="s">
        <v>372</v>
      </c>
      <c r="B80" s="340">
        <v>46223</v>
      </c>
      <c r="C80" s="181">
        <v>48269</v>
      </c>
      <c r="D80" s="30">
        <v>46223</v>
      </c>
      <c r="E80" s="30">
        <v>46219</v>
      </c>
      <c r="F80" s="30">
        <v>46264</v>
      </c>
      <c r="G80" s="37">
        <v>4420229601</v>
      </c>
      <c r="H80" s="37" t="s">
        <v>373</v>
      </c>
      <c r="I80" s="37">
        <v>9040040636</v>
      </c>
      <c r="J80" s="37" t="s">
        <v>167</v>
      </c>
      <c r="K80" s="325" t="s">
        <v>168</v>
      </c>
      <c r="L80" s="181">
        <v>6</v>
      </c>
      <c r="M80" s="181" t="s">
        <v>425</v>
      </c>
      <c r="N80" s="37" t="s">
        <v>408</v>
      </c>
      <c r="O80" s="31">
        <f>IF(F80&gt;0,F80-AB80,"")</f>
        <v>38</v>
      </c>
      <c r="P80" s="37" t="str">
        <f>IF(F80&gt;0,IF(AB80="","PLANNING SUPPLY",IF(AB80&lt;=F80,"ONTIME DELIVERY","DELAY")),"")</f>
        <v>ONTIME DELIVERY</v>
      </c>
      <c r="Q80" s="181" t="str">
        <f>IFERROR(IF(J80&gt;0,VLOOKUP(J80,#REF!,MATCH($Q$6,#REF!,0),0),""),"")</f>
        <v/>
      </c>
      <c r="R80" s="181" t="str">
        <f>IFERROR(IF(J80&gt;0,VLOOKUP(J80,#REF!,MATCH($R$6,#REF!,0),0),""),"")</f>
        <v/>
      </c>
      <c r="S80" s="181" t="e">
        <f>IF(I83&gt;0,Q80+R80,"")</f>
        <v>#VALUE!</v>
      </c>
      <c r="T80" s="181"/>
      <c r="U80" s="181"/>
      <c r="V80" s="37"/>
      <c r="W80" s="181" t="e">
        <f>IF(I83&gt;0,IF(S80&gt;L80,"READY STOCK",IF(S80=0,"OUT OF STOCK",IF(S80&lt;L80,"LOW STOCK",""))),"")</f>
        <v>#VALUE!</v>
      </c>
      <c r="X80" s="38"/>
      <c r="Y80" s="38"/>
      <c r="Z80" s="38"/>
      <c r="AA80" s="38"/>
      <c r="AB80" s="50">
        <v>46226</v>
      </c>
      <c r="AC80" s="181">
        <v>33139</v>
      </c>
      <c r="AD80" s="51">
        <v>6</v>
      </c>
      <c r="AE80" s="37" t="s">
        <v>383</v>
      </c>
      <c r="AF80" s="37" t="s">
        <v>381</v>
      </c>
      <c r="AG80" s="33" t="str">
        <f>IF(G80&gt;0,IF(AD80&gt;0,IF(AD80=0,"Waiting",IF(AD80&lt;L80,"Partial",IF(AD80=L80,"Full Supply",IF(AD80&gt;L80,"Over Shared")))),"Waiting"),"")</f>
        <v>Full Supply</v>
      </c>
      <c r="AH80" s="37"/>
      <c r="AI80" s="37"/>
      <c r="AJ80" s="181"/>
      <c r="AK80" s="40"/>
      <c r="AL80" s="40"/>
      <c r="AM80" s="40"/>
      <c r="AN80" s="37"/>
      <c r="AO80" s="34"/>
      <c r="AP80" s="37"/>
      <c r="AQ80" s="37"/>
      <c r="AR80" s="37"/>
      <c r="AS80" s="37"/>
      <c r="AT80" s="37">
        <f>AS80-AD80</f>
        <v>-6</v>
      </c>
      <c r="AU80" s="36" t="str">
        <f>IF(AR80=0,"Waiting",IF(AR80&lt;AH80,"Kurang",IF(AR80=AH80,"Sesuai",IF(AR80&gt;AH80,"Over Shared"))))</f>
        <v>Waiting</v>
      </c>
      <c r="AV80" s="37"/>
      <c r="AW80" s="37" t="str">
        <f>IFERROR(DATEDIF(AH80,AK80,"d"),"0")&amp;"-DAY"</f>
        <v>0-DAY</v>
      </c>
      <c r="AX80" s="37" t="str">
        <f>IFERROR(DATEDIF(B80,AB80,"d"),"0")&amp;"-DAY"</f>
        <v>3-DAY</v>
      </c>
      <c r="AY80" s="37"/>
      <c r="AZ80" s="181">
        <f>L80-AD80</f>
        <v>0</v>
      </c>
    </row>
    <row r="81" spans="1:52" ht="15.5" hidden="1" customHeight="1">
      <c r="A81" s="360" t="s">
        <v>372</v>
      </c>
      <c r="B81" s="340">
        <v>46223</v>
      </c>
      <c r="C81" s="181">
        <v>48269</v>
      </c>
      <c r="D81" s="30">
        <v>46223</v>
      </c>
      <c r="E81" s="30">
        <v>46219</v>
      </c>
      <c r="F81" s="30">
        <v>46264</v>
      </c>
      <c r="G81" s="37">
        <v>4420229601</v>
      </c>
      <c r="H81" s="37" t="s">
        <v>373</v>
      </c>
      <c r="I81" s="37">
        <v>9040012343</v>
      </c>
      <c r="J81" s="37" t="s">
        <v>303</v>
      </c>
      <c r="K81" s="325" t="s">
        <v>304</v>
      </c>
      <c r="L81" s="181">
        <v>5</v>
      </c>
      <c r="M81" s="181" t="s">
        <v>425</v>
      </c>
      <c r="N81" s="37" t="s">
        <v>408</v>
      </c>
      <c r="O81" s="31">
        <f>IF(F81&gt;0,F81-AB81,"")</f>
        <v>25</v>
      </c>
      <c r="P81" s="37" t="str">
        <f>IF(F81&gt;0,IF(AB81="","PLANNING SUPPLY",IF(AB81&lt;=F81,"ONTIME DELIVERY","DELAY")),"")</f>
        <v>ONTIME DELIVERY</v>
      </c>
      <c r="Q81" s="181" t="str">
        <f>IFERROR(IF(J81&gt;0,VLOOKUP(J81,#REF!,MATCH($Q$6,#REF!,0),0),""),"")</f>
        <v/>
      </c>
      <c r="R81" s="181" t="str">
        <f>IFERROR(IF(J81&gt;0,VLOOKUP(J81,#REF!,MATCH($R$6,#REF!,0),0),""),"")</f>
        <v/>
      </c>
      <c r="S81" s="181" t="e">
        <f>IF(I84&gt;0,Q81+R81,"")</f>
        <v>#VALUE!</v>
      </c>
      <c r="T81" s="181"/>
      <c r="U81" s="181"/>
      <c r="V81" s="37"/>
      <c r="W81" s="181" t="e">
        <f>IF(I84&gt;0,IF(S81&gt;L81,"READY STOCK",IF(S81=0,"OUT OF STOCK",IF(S81&lt;L81,"LOW STOCK",""))),"")</f>
        <v>#VALUE!</v>
      </c>
      <c r="X81" s="38"/>
      <c r="Y81" s="38"/>
      <c r="Z81" s="38"/>
      <c r="AA81" s="38"/>
      <c r="AB81" s="50">
        <v>46239</v>
      </c>
      <c r="AC81" s="181">
        <v>33422</v>
      </c>
      <c r="AD81" s="51">
        <v>5</v>
      </c>
      <c r="AE81" s="37" t="s">
        <v>383</v>
      </c>
      <c r="AF81" s="37" t="s">
        <v>381</v>
      </c>
      <c r="AG81" s="33" t="str">
        <f>IF(G81&gt;0,IF(AD81&gt;0,IF(AD81=0,"Waiting",IF(AD81&lt;L81,"Partial",IF(AD81=L81,"Full Supply",IF(AD81&gt;L81,"Over Shared")))),"Waiting"),"")</f>
        <v>Full Supply</v>
      </c>
      <c r="AH81" s="37"/>
      <c r="AI81" s="37"/>
      <c r="AJ81" s="181"/>
      <c r="AK81" s="40"/>
      <c r="AL81" s="40"/>
      <c r="AM81" s="40"/>
      <c r="AN81" s="37"/>
      <c r="AO81" s="34"/>
      <c r="AP81" s="37"/>
      <c r="AQ81" s="37"/>
      <c r="AR81" s="37"/>
      <c r="AS81" s="37"/>
      <c r="AT81" s="37">
        <f>AS81-AD81</f>
        <v>-5</v>
      </c>
      <c r="AU81" s="36" t="str">
        <f>IF(AR81=0,"Waiting",IF(AR81&lt;AH81,"Kurang",IF(AR81=AH81,"Sesuai",IF(AR81&gt;AH81,"Over Shared"))))</f>
        <v>Waiting</v>
      </c>
      <c r="AV81" s="37"/>
      <c r="AW81" s="37" t="str">
        <f>IFERROR(DATEDIF(AH81,AK81,"d"),"0")&amp;"-DAY"</f>
        <v>0-DAY</v>
      </c>
      <c r="AX81" s="37" t="str">
        <f>IFERROR(DATEDIF(B81,AB81,"d"),"0")&amp;"-DAY"</f>
        <v>16-DAY</v>
      </c>
      <c r="AY81" s="37"/>
      <c r="AZ81" s="181">
        <f>L81-AD81</f>
        <v>0</v>
      </c>
    </row>
    <row r="82" spans="1:52" ht="15.5" hidden="1" customHeight="1">
      <c r="A82" s="360" t="s">
        <v>372</v>
      </c>
      <c r="B82" s="340">
        <v>46223</v>
      </c>
      <c r="C82" s="181">
        <v>48270</v>
      </c>
      <c r="D82" s="30">
        <v>46223</v>
      </c>
      <c r="E82" s="30">
        <v>46221</v>
      </c>
      <c r="F82" s="30">
        <v>46232</v>
      </c>
      <c r="G82" s="37">
        <v>4420229704</v>
      </c>
      <c r="H82" s="37" t="s">
        <v>373</v>
      </c>
      <c r="I82" s="37">
        <v>9040040450</v>
      </c>
      <c r="J82" s="37" t="s">
        <v>176</v>
      </c>
      <c r="K82" s="325" t="s">
        <v>177</v>
      </c>
      <c r="L82" s="181">
        <v>17</v>
      </c>
      <c r="M82" s="181" t="s">
        <v>429</v>
      </c>
      <c r="N82" s="37" t="s">
        <v>399</v>
      </c>
      <c r="O82" s="31">
        <f>IF(F82&gt;0,F82-AB82,"")</f>
        <v>-14</v>
      </c>
      <c r="P82" s="37" t="str">
        <f>IF(F82&gt;0,IF(AB82="","PLANNING SUPPLY",IF(AB82&lt;=F82,"ONTIME DELIVERY","DELAY")),"")</f>
        <v>DELAY</v>
      </c>
      <c r="Q82" s="181" t="str">
        <f>IFERROR(IF(J82&gt;0,VLOOKUP(J82,#REF!,MATCH($Q$6,#REF!,0),0),""),"")</f>
        <v/>
      </c>
      <c r="R82" s="181" t="str">
        <f>IFERROR(IF(J82&gt;0,VLOOKUP(J82,#REF!,MATCH($R$6,#REF!,0),0),""),"")</f>
        <v/>
      </c>
      <c r="S82" s="181" t="e">
        <f>IF(I85&gt;0,Q82+R82,"")</f>
        <v>#VALUE!</v>
      </c>
      <c r="T82" s="181"/>
      <c r="U82" s="181"/>
      <c r="V82" s="37"/>
      <c r="W82" s="181" t="e">
        <f>IF(I85&gt;0,IF(S82&gt;L82,"READY STOCK",IF(S82=0,"OUT OF STOCK",IF(S82&lt;L82,"LOW STOCK",""))),"")</f>
        <v>#VALUE!</v>
      </c>
      <c r="X82" s="38"/>
      <c r="Y82" s="38"/>
      <c r="Z82" s="38"/>
      <c r="AA82" s="38"/>
      <c r="AB82" s="50">
        <v>46246</v>
      </c>
      <c r="AC82" s="181">
        <v>33569</v>
      </c>
      <c r="AD82" s="51">
        <v>17</v>
      </c>
      <c r="AE82" s="37" t="s">
        <v>387</v>
      </c>
      <c r="AF82" s="37" t="s">
        <v>381</v>
      </c>
      <c r="AG82" s="33" t="str">
        <f>IF(G82&gt;0,IF(AD82&gt;0,IF(AD82=0,"Waiting",IF(AD82&lt;L82,"Partial",IF(AD82=L82,"Full Supply",IF(AD82&gt;L82,"Over Shared")))),"Waiting"),"")</f>
        <v>Full Supply</v>
      </c>
      <c r="AH82" s="49">
        <v>46225</v>
      </c>
      <c r="AI82" s="37" t="s">
        <v>452</v>
      </c>
      <c r="AJ82" s="181">
        <v>17</v>
      </c>
      <c r="AK82" s="40">
        <v>25746</v>
      </c>
      <c r="AL82" s="218">
        <v>46226</v>
      </c>
      <c r="AM82" s="40">
        <v>17</v>
      </c>
      <c r="AN82" s="37"/>
      <c r="AO82" s="41">
        <v>46232</v>
      </c>
      <c r="AP82" s="37"/>
      <c r="AQ82" s="37"/>
      <c r="AR82" s="37"/>
      <c r="AS82" s="37"/>
      <c r="AT82" s="37">
        <f>AS82-AD82</f>
        <v>-17</v>
      </c>
      <c r="AU82" s="36" t="str">
        <f>IF(AR82=0,"Waiting",IF(AR82&lt;AH82,"Kurang",IF(AR82=AH82,"Sesuai",IF(AR82&gt;AH82,"Over Shared"))))</f>
        <v>Waiting</v>
      </c>
      <c r="AV82" s="37"/>
      <c r="AW82" s="37" t="str">
        <f>IFERROR(DATEDIF(AH82,AK82,"d"),"0")&amp;"-DAY"</f>
        <v>0-DAY</v>
      </c>
      <c r="AX82" s="37" t="str">
        <f>IFERROR(DATEDIF(B82,AB82,"d"),"0")&amp;"-DAY"</f>
        <v>23-DAY</v>
      </c>
      <c r="AY82" s="37"/>
      <c r="AZ82" s="181">
        <f>L82-AD82</f>
        <v>0</v>
      </c>
    </row>
    <row r="83" spans="1:52" ht="15.5" hidden="1" customHeight="1">
      <c r="A83" s="360" t="s">
        <v>372</v>
      </c>
      <c r="B83" s="340">
        <v>46223</v>
      </c>
      <c r="C83" s="181">
        <v>48271</v>
      </c>
      <c r="D83" s="30">
        <v>46223</v>
      </c>
      <c r="E83" s="30">
        <v>46219</v>
      </c>
      <c r="F83" s="30">
        <v>46227</v>
      </c>
      <c r="G83" s="37">
        <v>4420229528</v>
      </c>
      <c r="H83" s="37" t="s">
        <v>373</v>
      </c>
      <c r="I83" s="37">
        <v>9040044154</v>
      </c>
      <c r="J83" s="37" t="s">
        <v>301</v>
      </c>
      <c r="K83" s="325" t="s">
        <v>302</v>
      </c>
      <c r="L83" s="181">
        <v>3</v>
      </c>
      <c r="M83" s="181" t="s">
        <v>425</v>
      </c>
      <c r="N83" s="37" t="s">
        <v>399</v>
      </c>
      <c r="O83" s="31">
        <f>IF(F83&gt;0,F83-AB83,"")</f>
        <v>-12</v>
      </c>
      <c r="P83" s="37" t="str">
        <f>IF(F83&gt;0,IF(AB83="","PLANNING SUPPLY",IF(AB83&lt;=F83,"ONTIME DELIVERY","DELAY")),"")</f>
        <v>DELAY</v>
      </c>
      <c r="Q83" s="181" t="str">
        <f>IFERROR(IF(J83&gt;0,VLOOKUP(J83,#REF!,MATCH($Q$6,#REF!,0),0),""),"")</f>
        <v/>
      </c>
      <c r="R83" s="181" t="str">
        <f>IFERROR(IF(J83&gt;0,VLOOKUP(J83,#REF!,MATCH($R$6,#REF!,0),0),""),"")</f>
        <v/>
      </c>
      <c r="S83" s="181" t="e">
        <f>IF(I86&gt;0,Q83+R83,"")</f>
        <v>#VALUE!</v>
      </c>
      <c r="T83" s="181"/>
      <c r="U83" s="181"/>
      <c r="V83" s="37"/>
      <c r="W83" s="181" t="e">
        <f>IF(I86&gt;0,IF(S83&gt;L83,"READY STOCK",IF(S83=0,"OUT OF STOCK",IF(S83&lt;L83,"LOW STOCK",""))),"")</f>
        <v>#VALUE!</v>
      </c>
      <c r="X83" s="181">
        <v>33121</v>
      </c>
      <c r="Y83" s="38">
        <v>46224</v>
      </c>
      <c r="Z83" s="181" t="s">
        <v>396</v>
      </c>
      <c r="AA83" s="181" t="s">
        <v>397</v>
      </c>
      <c r="AB83" s="50">
        <v>46239</v>
      </c>
      <c r="AC83" s="181">
        <v>33404</v>
      </c>
      <c r="AD83" s="51">
        <v>3</v>
      </c>
      <c r="AE83" s="37" t="s">
        <v>383</v>
      </c>
      <c r="AF83" s="37" t="s">
        <v>381</v>
      </c>
      <c r="AG83" s="33" t="str">
        <f>IF(G83&gt;0,IF(AD83&gt;0,IF(AD83=0,"Waiting",IF(AD83&lt;L83,"Partial",IF(AD83=L83,"Full Supply",IF(AD83&gt;L83,"Over Shared")))),"Waiting"),"")</f>
        <v>Full Supply</v>
      </c>
      <c r="AH83" s="37"/>
      <c r="AI83" s="37"/>
      <c r="AJ83" s="181"/>
      <c r="AK83" s="40"/>
      <c r="AL83" s="40"/>
      <c r="AM83" s="40"/>
      <c r="AN83" s="37"/>
      <c r="AO83" s="34"/>
      <c r="AP83" s="37"/>
      <c r="AQ83" s="37"/>
      <c r="AR83" s="37"/>
      <c r="AS83" s="37"/>
      <c r="AT83" s="37">
        <f>AS83-AD83</f>
        <v>-3</v>
      </c>
      <c r="AU83" s="36" t="str">
        <f>IF(AR83=0,"Waiting",IF(AR83&lt;AH83,"Kurang",IF(AR83=AH83,"Sesuai",IF(AR83&gt;AH83,"Over Shared"))))</f>
        <v>Waiting</v>
      </c>
      <c r="AV83" s="37"/>
      <c r="AW83" s="37" t="str">
        <f>IFERROR(DATEDIF(AH83,AK83,"d"),"0")&amp;"-DAY"</f>
        <v>0-DAY</v>
      </c>
      <c r="AX83" s="37" t="str">
        <f>IFERROR(DATEDIF(B83,AB83,"d"),"0")&amp;"-DAY"</f>
        <v>16-DAY</v>
      </c>
      <c r="AY83" s="37"/>
      <c r="AZ83" s="181">
        <f>L83-AD83</f>
        <v>0</v>
      </c>
    </row>
    <row r="84" spans="1:52" ht="15.5" hidden="1" customHeight="1">
      <c r="A84" s="360" t="s">
        <v>372</v>
      </c>
      <c r="B84" s="340">
        <v>46223</v>
      </c>
      <c r="C84" s="181">
        <v>48271</v>
      </c>
      <c r="D84" s="30">
        <v>46223</v>
      </c>
      <c r="E84" s="30">
        <v>46219</v>
      </c>
      <c r="F84" s="30">
        <v>46227</v>
      </c>
      <c r="G84" s="37">
        <v>4420229528</v>
      </c>
      <c r="H84" s="37" t="s">
        <v>373</v>
      </c>
      <c r="I84" s="37">
        <v>9040044155</v>
      </c>
      <c r="J84" s="37" t="s">
        <v>303</v>
      </c>
      <c r="K84" s="325" t="s">
        <v>304</v>
      </c>
      <c r="L84" s="181">
        <v>1</v>
      </c>
      <c r="M84" s="181" t="s">
        <v>425</v>
      </c>
      <c r="N84" s="37" t="s">
        <v>399</v>
      </c>
      <c r="O84" s="31">
        <f>IF(F84&gt;0,F84-AB84,"")</f>
        <v>-12</v>
      </c>
      <c r="P84" s="37" t="str">
        <f>IF(F84&gt;0,IF(AB84="","PLANNING SUPPLY",IF(AB84&lt;=F84,"ONTIME DELIVERY","DELAY")),"")</f>
        <v>DELAY</v>
      </c>
      <c r="Q84" s="181" t="str">
        <f>IFERROR(IF(J84&gt;0,VLOOKUP(J84,#REF!,MATCH($Q$6,#REF!,0),0),""),"")</f>
        <v/>
      </c>
      <c r="R84" s="181" t="str">
        <f>IFERROR(IF(J84&gt;0,VLOOKUP(J84,#REF!,MATCH($R$6,#REF!,0),0),""),"")</f>
        <v/>
      </c>
      <c r="S84" s="181" t="e">
        <f>IF(I87&gt;0,Q84+R84,"")</f>
        <v>#VALUE!</v>
      </c>
      <c r="T84" s="181"/>
      <c r="U84" s="181"/>
      <c r="V84" s="37"/>
      <c r="W84" s="181" t="e">
        <f>IF(I87&gt;0,IF(S84&gt;L84,"READY STOCK",IF(S84=0,"OUT OF STOCK",IF(S84&lt;L84,"LOW STOCK",""))),"")</f>
        <v>#VALUE!</v>
      </c>
      <c r="X84" s="38"/>
      <c r="Y84" s="38"/>
      <c r="Z84" s="38"/>
      <c r="AA84" s="38"/>
      <c r="AB84" s="50">
        <v>46239</v>
      </c>
      <c r="AC84" s="181">
        <v>33404</v>
      </c>
      <c r="AD84" s="51">
        <v>1</v>
      </c>
      <c r="AE84" s="37" t="s">
        <v>383</v>
      </c>
      <c r="AF84" s="37" t="s">
        <v>381</v>
      </c>
      <c r="AG84" s="33" t="str">
        <f>IF(G84&gt;0,IF(AD84&gt;0,IF(AD84=0,"Waiting",IF(AD84&lt;L84,"Partial",IF(AD84=L84,"Full Supply",IF(AD84&gt;L84,"Over Shared")))),"Waiting"),"")</f>
        <v>Full Supply</v>
      </c>
      <c r="AH84" s="37"/>
      <c r="AI84" s="37"/>
      <c r="AJ84" s="181"/>
      <c r="AK84" s="40"/>
      <c r="AL84" s="40"/>
      <c r="AM84" s="40"/>
      <c r="AN84" s="37"/>
      <c r="AO84" s="34"/>
      <c r="AP84" s="37"/>
      <c r="AQ84" s="37"/>
      <c r="AR84" s="37"/>
      <c r="AS84" s="37"/>
      <c r="AT84" s="37">
        <f>AS84-AD84</f>
        <v>-1</v>
      </c>
      <c r="AU84" s="36" t="str">
        <f>IF(AR84=0,"Waiting",IF(AR84&lt;AH84,"Kurang",IF(AR84=AH84,"Sesuai",IF(AR84&gt;AH84,"Over Shared"))))</f>
        <v>Waiting</v>
      </c>
      <c r="AV84" s="37"/>
      <c r="AW84" s="37" t="str">
        <f>IFERROR(DATEDIF(AH84,AK84,"d"),"0")&amp;"-DAY"</f>
        <v>0-DAY</v>
      </c>
      <c r="AX84" s="37" t="str">
        <f>IFERROR(DATEDIF(B84,AB84,"d"),"0")&amp;"-DAY"</f>
        <v>16-DAY</v>
      </c>
      <c r="AY84" s="37"/>
      <c r="AZ84" s="181">
        <f>L84-AD84</f>
        <v>0</v>
      </c>
    </row>
    <row r="85" spans="1:52" ht="15.5" hidden="1" customHeight="1">
      <c r="A85" s="360" t="s">
        <v>372</v>
      </c>
      <c r="B85" s="340">
        <v>46223</v>
      </c>
      <c r="C85" s="181">
        <v>48271</v>
      </c>
      <c r="D85" s="30">
        <v>46223</v>
      </c>
      <c r="E85" s="30">
        <v>46219</v>
      </c>
      <c r="F85" s="30">
        <v>46227</v>
      </c>
      <c r="G85" s="37">
        <v>4420229528</v>
      </c>
      <c r="H85" s="37" t="s">
        <v>373</v>
      </c>
      <c r="I85" s="37">
        <v>9040040933</v>
      </c>
      <c r="J85" s="37" t="s">
        <v>295</v>
      </c>
      <c r="K85" s="325" t="s">
        <v>296</v>
      </c>
      <c r="L85" s="181">
        <v>2</v>
      </c>
      <c r="M85" s="181" t="s">
        <v>425</v>
      </c>
      <c r="N85" s="37" t="s">
        <v>399</v>
      </c>
      <c r="O85" s="31">
        <f>IF(F85&gt;0,F85-AB85,"")</f>
        <v>-19</v>
      </c>
      <c r="P85" s="37" t="str">
        <f>IF(F85&gt;0,IF(AB85="","PLANNING SUPPLY",IF(AB85&lt;=F85,"ONTIME DELIVERY","DELAY")),"")</f>
        <v>DELAY</v>
      </c>
      <c r="Q85" s="181" t="str">
        <f>IFERROR(IF(J85&gt;0,VLOOKUP(J85,#REF!,MATCH($Q$6,#REF!,0),0),""),"")</f>
        <v/>
      </c>
      <c r="R85" s="181" t="str">
        <f>IFERROR(IF(J85&gt;0,VLOOKUP(J85,#REF!,MATCH($R$6,#REF!,0),0),""),"")</f>
        <v/>
      </c>
      <c r="S85" s="181" t="e">
        <f>IF(I88&gt;0,Q85+R85,"")</f>
        <v>#VALUE!</v>
      </c>
      <c r="T85" s="181"/>
      <c r="U85" s="181"/>
      <c r="V85" s="37"/>
      <c r="W85" s="181" t="e">
        <f>IF(I88&gt;0,IF(S85&gt;L85,"READY STOCK",IF(S85=0,"OUT OF STOCK",IF(S85&lt;L85,"LOW STOCK",""))),"")</f>
        <v>#VALUE!</v>
      </c>
      <c r="X85" s="38"/>
      <c r="Y85" s="38"/>
      <c r="Z85" s="38"/>
      <c r="AA85" s="38"/>
      <c r="AB85" s="50">
        <v>46246</v>
      </c>
      <c r="AC85" s="181">
        <v>33590</v>
      </c>
      <c r="AD85" s="51">
        <v>2</v>
      </c>
      <c r="AE85" s="37" t="s">
        <v>387</v>
      </c>
      <c r="AF85" s="37" t="s">
        <v>381</v>
      </c>
      <c r="AG85" s="33" t="str">
        <f>IF(G85&gt;0,IF(AD85&gt;0,IF(AD85=0,"Waiting",IF(AD85&lt;L85,"Partial",IF(AD85=L85,"Full Supply",IF(AD85&gt;L85,"Over Shared")))),"Waiting"),"")</f>
        <v>Full Supply</v>
      </c>
      <c r="AH85" s="49"/>
      <c r="AI85" s="37"/>
      <c r="AJ85" s="181"/>
      <c r="AK85" s="40"/>
      <c r="AL85" s="40"/>
      <c r="AM85" s="40"/>
      <c r="AN85" s="39" t="s">
        <v>469</v>
      </c>
      <c r="AO85" s="34"/>
      <c r="AP85" s="37"/>
      <c r="AQ85" s="37"/>
      <c r="AR85" s="37"/>
      <c r="AS85" s="37"/>
      <c r="AT85" s="37">
        <f>AS85-AD85</f>
        <v>-2</v>
      </c>
      <c r="AU85" s="36" t="str">
        <f>IF(AR85=0,"Waiting",IF(AR85&lt;AH85,"Kurang",IF(AR85=AH85,"Sesuai",IF(AR85&gt;AH85,"Over Shared"))))</f>
        <v>Waiting</v>
      </c>
      <c r="AV85" s="37"/>
      <c r="AW85" s="37" t="str">
        <f>IFERROR(DATEDIF(AH85,AK85,"d"),"0")&amp;"-DAY"</f>
        <v>0-DAY</v>
      </c>
      <c r="AX85" s="37" t="str">
        <f>IFERROR(DATEDIF(B85,AB85,"d"),"0")&amp;"-DAY"</f>
        <v>23-DAY</v>
      </c>
      <c r="AY85" s="37"/>
      <c r="AZ85" s="181">
        <f>L85-AD85</f>
        <v>0</v>
      </c>
    </row>
    <row r="86" spans="1:52" ht="15.5" hidden="1" customHeight="1">
      <c r="A86" s="360" t="s">
        <v>372</v>
      </c>
      <c r="B86" s="340">
        <v>46223</v>
      </c>
      <c r="C86" s="181">
        <v>48272</v>
      </c>
      <c r="D86" s="30">
        <v>46223</v>
      </c>
      <c r="E86" s="30">
        <v>46219</v>
      </c>
      <c r="F86" s="30">
        <v>46233</v>
      </c>
      <c r="G86" s="37">
        <v>4420229561</v>
      </c>
      <c r="H86" s="37" t="s">
        <v>373</v>
      </c>
      <c r="I86" s="37">
        <v>9040040924</v>
      </c>
      <c r="J86" s="37" t="s">
        <v>10</v>
      </c>
      <c r="K86" s="325" t="s">
        <v>149</v>
      </c>
      <c r="L86" s="181">
        <v>4</v>
      </c>
      <c r="M86" s="181" t="s">
        <v>425</v>
      </c>
      <c r="N86" s="37" t="s">
        <v>432</v>
      </c>
      <c r="O86" s="31">
        <f>IF(F86&gt;0,F86-AB86,"")</f>
        <v>7</v>
      </c>
      <c r="P86" s="37" t="str">
        <f>IF(F86&gt;0,IF(AB86="","PLANNING SUPPLY",IF(AB86&lt;=F86,"ONTIME DELIVERY","DELAY")),"")</f>
        <v>ONTIME DELIVERY</v>
      </c>
      <c r="Q86" s="181" t="str">
        <f>IFERROR(IF(J86&gt;0,VLOOKUP(J86,#REF!,MATCH($Q$6,#REF!,0),0),""),"")</f>
        <v/>
      </c>
      <c r="R86" s="181" t="str">
        <f>IFERROR(IF(J86&gt;0,VLOOKUP(J86,#REF!,MATCH($R$6,#REF!,0),0),""),"")</f>
        <v/>
      </c>
      <c r="S86" s="181" t="e">
        <f>IF(I89&gt;0,Q86+R86,"")</f>
        <v>#VALUE!</v>
      </c>
      <c r="T86" s="181"/>
      <c r="U86" s="181"/>
      <c r="V86" s="37" t="s">
        <v>463</v>
      </c>
      <c r="W86" s="181" t="e">
        <f>IF(I89&gt;0,IF(S86&gt;L86,"READY STOCK",IF(S86=0,"OUT OF STOCK",IF(S86&lt;L86,"LOW STOCK",""))),"")</f>
        <v>#VALUE!</v>
      </c>
      <c r="X86" s="38"/>
      <c r="Y86" s="38"/>
      <c r="Z86" s="38"/>
      <c r="AA86" s="38"/>
      <c r="AB86" s="50">
        <v>46226</v>
      </c>
      <c r="AC86" s="181">
        <v>33137</v>
      </c>
      <c r="AD86" s="51">
        <v>4</v>
      </c>
      <c r="AE86" s="37" t="s">
        <v>383</v>
      </c>
      <c r="AF86" s="37" t="s">
        <v>381</v>
      </c>
      <c r="AG86" s="33" t="str">
        <f>IF(G86&gt;0,IF(AD86&gt;0,IF(AD86=0,"Waiting",IF(AD86&lt;L86,"Partial",IF(AD86=L86,"Full Supply",IF(AD86&gt;L86,"Over Shared")))),"Waiting"),"")</f>
        <v>Full Supply</v>
      </c>
      <c r="AH86" s="37"/>
      <c r="AI86" s="37"/>
      <c r="AJ86" s="181"/>
      <c r="AK86" s="40"/>
      <c r="AL86" s="40"/>
      <c r="AM86" s="40"/>
      <c r="AN86" s="37"/>
      <c r="AO86" s="34"/>
      <c r="AP86" s="37"/>
      <c r="AQ86" s="37"/>
      <c r="AR86" s="37"/>
      <c r="AS86" s="37"/>
      <c r="AT86" s="37">
        <f>AS86-AD86</f>
        <v>-4</v>
      </c>
      <c r="AU86" s="36" t="str">
        <f>IF(AR86=0,"Waiting",IF(AR86&lt;AH86,"Kurang",IF(AR86=AH86,"Sesuai",IF(AR86&gt;AH86,"Over Shared"))))</f>
        <v>Waiting</v>
      </c>
      <c r="AV86" s="37"/>
      <c r="AW86" s="37" t="str">
        <f>IFERROR(DATEDIF(AH86,AK86,"d"),"0")&amp;"-DAY"</f>
        <v>0-DAY</v>
      </c>
      <c r="AX86" s="37" t="str">
        <f>IFERROR(DATEDIF(B86,AB86,"d"),"0")&amp;"-DAY"</f>
        <v>3-DAY</v>
      </c>
      <c r="AY86" s="37"/>
      <c r="AZ86" s="181">
        <f>L86-AD86</f>
        <v>0</v>
      </c>
    </row>
    <row r="87" spans="1:52" ht="15.5" hidden="1" customHeight="1">
      <c r="A87" s="360" t="s">
        <v>372</v>
      </c>
      <c r="B87" s="340">
        <v>46223</v>
      </c>
      <c r="C87" s="181">
        <v>48272</v>
      </c>
      <c r="D87" s="30">
        <v>46223</v>
      </c>
      <c r="E87" s="30">
        <v>46219</v>
      </c>
      <c r="F87" s="30">
        <v>46233</v>
      </c>
      <c r="G87" s="37">
        <v>4420229561</v>
      </c>
      <c r="H87" s="37" t="s">
        <v>373</v>
      </c>
      <c r="I87" s="37">
        <v>9040055051</v>
      </c>
      <c r="J87" s="37" t="s">
        <v>10</v>
      </c>
      <c r="K87" s="325" t="s">
        <v>149</v>
      </c>
      <c r="L87" s="181">
        <v>48</v>
      </c>
      <c r="M87" s="181" t="s">
        <v>425</v>
      </c>
      <c r="N87" s="37" t="s">
        <v>432</v>
      </c>
      <c r="O87" s="31">
        <f>IF(F87&gt;0,F87-AB87,"")</f>
        <v>0</v>
      </c>
      <c r="P87" s="37" t="str">
        <f>IF(F87&gt;0,IF(AB87="","PLANNING SUPPLY",IF(AB87&lt;=F87,"ONTIME DELIVERY","DELAY")),"")</f>
        <v>ONTIME DELIVERY</v>
      </c>
      <c r="Q87" s="181" t="str">
        <f>IFERROR(IF(J87&gt;0,VLOOKUP(J87,#REF!,MATCH($Q$6,#REF!,0),0),""),"")</f>
        <v/>
      </c>
      <c r="R87" s="181" t="str">
        <f>IFERROR(IF(J87&gt;0,VLOOKUP(J87,#REF!,MATCH($R$6,#REF!,0),0),""),"")</f>
        <v/>
      </c>
      <c r="S87" s="181" t="e">
        <f>IF(I90&gt;0,Q87+R87,"")</f>
        <v>#VALUE!</v>
      </c>
      <c r="T87" s="181"/>
      <c r="U87" s="181"/>
      <c r="V87" s="37" t="s">
        <v>463</v>
      </c>
      <c r="W87" s="181" t="e">
        <f>IF(I90&gt;0,IF(S87&gt;L87,"READY STOCK",IF(S87=0,"OUT OF STOCK",IF(S87&lt;L87,"LOW STOCK",""))),"")</f>
        <v>#VALUE!</v>
      </c>
      <c r="X87" s="38"/>
      <c r="Y87" s="38"/>
      <c r="Z87" s="38"/>
      <c r="AA87" s="38"/>
      <c r="AB87" s="50">
        <v>46233</v>
      </c>
      <c r="AC87" s="181">
        <v>33302</v>
      </c>
      <c r="AD87" s="51">
        <v>48</v>
      </c>
      <c r="AE87" s="37" t="s">
        <v>383</v>
      </c>
      <c r="AF87" s="37" t="s">
        <v>381</v>
      </c>
      <c r="AG87" s="33" t="str">
        <f>IF(G87&gt;0,IF(AD87&gt;0,IF(AD87=0,"Waiting",IF(AD87&lt;L87,"Partial",IF(AD87=L87,"Full Supply",IF(AD87&gt;L87,"Over Shared")))),"Waiting"),"")</f>
        <v>Full Supply</v>
      </c>
      <c r="AH87" s="37"/>
      <c r="AI87" s="37"/>
      <c r="AJ87" s="181"/>
      <c r="AK87" s="40"/>
      <c r="AL87" s="40"/>
      <c r="AM87" s="40"/>
      <c r="AN87" s="37"/>
      <c r="AO87" s="34"/>
      <c r="AP87" s="37"/>
      <c r="AQ87" s="37"/>
      <c r="AR87" s="37"/>
      <c r="AS87" s="37"/>
      <c r="AT87" s="37">
        <f>AS87-AD87</f>
        <v>-48</v>
      </c>
      <c r="AU87" s="36" t="str">
        <f>IF(AR87=0,"Waiting",IF(AR87&lt;AH87,"Kurang",IF(AR87=AH87,"Sesuai",IF(AR87&gt;AH87,"Over Shared"))))</f>
        <v>Waiting</v>
      </c>
      <c r="AV87" s="37"/>
      <c r="AW87" s="37" t="str">
        <f>IFERROR(DATEDIF(AH87,AK87,"d"),"0")&amp;"-DAY"</f>
        <v>0-DAY</v>
      </c>
      <c r="AX87" s="37" t="str">
        <f>IFERROR(DATEDIF(B87,AB87,"d"),"0")&amp;"-DAY"</f>
        <v>10-DAY</v>
      </c>
      <c r="AY87" s="37"/>
      <c r="AZ87" s="181">
        <f>L87-AD87</f>
        <v>0</v>
      </c>
    </row>
    <row r="88" spans="1:52" ht="15.5" hidden="1" customHeight="1">
      <c r="A88" s="360" t="s">
        <v>372</v>
      </c>
      <c r="B88" s="340">
        <v>46223</v>
      </c>
      <c r="C88" s="181">
        <v>48273</v>
      </c>
      <c r="D88" s="30">
        <v>46223</v>
      </c>
      <c r="E88" s="30">
        <v>46219</v>
      </c>
      <c r="F88" s="30">
        <v>46233</v>
      </c>
      <c r="G88" s="37">
        <v>4420229587</v>
      </c>
      <c r="H88" s="37" t="s">
        <v>373</v>
      </c>
      <c r="I88" s="37">
        <v>9040044209</v>
      </c>
      <c r="J88" s="37" t="s">
        <v>270</v>
      </c>
      <c r="K88" s="325" t="s">
        <v>271</v>
      </c>
      <c r="L88" s="181">
        <v>4</v>
      </c>
      <c r="M88" s="181" t="s">
        <v>425</v>
      </c>
      <c r="N88" s="37" t="s">
        <v>410</v>
      </c>
      <c r="O88" s="31">
        <f>IF(F88&gt;0,F88-AB88,"")</f>
        <v>7</v>
      </c>
      <c r="P88" s="37" t="str">
        <f>IF(F88&gt;0,IF(AB88="","PLANNING SUPPLY",IF(AB88&lt;=F88,"ONTIME DELIVERY","DELAY")),"")</f>
        <v>ONTIME DELIVERY</v>
      </c>
      <c r="Q88" s="181" t="str">
        <f>IFERROR(IF(J88&gt;0,VLOOKUP(J88,#REF!,MATCH($Q$6,#REF!,0),0),""),"")</f>
        <v/>
      </c>
      <c r="R88" s="181" t="str">
        <f>IFERROR(IF(J88&gt;0,VLOOKUP(J88,#REF!,MATCH($R$6,#REF!,0),0),""),"")</f>
        <v/>
      </c>
      <c r="S88" s="181" t="e">
        <f>IF(I91&gt;0,Q88+R88,"")</f>
        <v>#VALUE!</v>
      </c>
      <c r="T88" s="181"/>
      <c r="U88" s="181"/>
      <c r="V88" s="37"/>
      <c r="W88" s="181" t="e">
        <f>IF(I91&gt;0,IF(S88&gt;L88,"READY STOCK",IF(S88=0,"OUT OF STOCK",IF(S88&lt;L88,"LOW STOCK",""))),"")</f>
        <v>#VALUE!</v>
      </c>
      <c r="X88" s="38"/>
      <c r="Y88" s="38"/>
      <c r="Z88" s="38"/>
      <c r="AA88" s="38"/>
      <c r="AB88" s="50">
        <v>46226</v>
      </c>
      <c r="AC88" s="181">
        <v>33141</v>
      </c>
      <c r="AD88" s="51">
        <v>4</v>
      </c>
      <c r="AE88" s="37" t="s">
        <v>383</v>
      </c>
      <c r="AF88" s="37" t="s">
        <v>381</v>
      </c>
      <c r="AG88" s="33" t="str">
        <f>IF(G88&gt;0,IF(AD88&gt;0,IF(AD88=0,"Waiting",IF(AD88&lt;L88,"Partial",IF(AD88=L88,"Full Supply",IF(AD88&gt;L88,"Over Shared")))),"Waiting"),"")</f>
        <v>Full Supply</v>
      </c>
      <c r="AH88" s="37"/>
      <c r="AI88" s="37"/>
      <c r="AJ88" s="181"/>
      <c r="AK88" s="40"/>
      <c r="AL88" s="40"/>
      <c r="AM88" s="40"/>
      <c r="AN88" s="37"/>
      <c r="AO88" s="34"/>
      <c r="AP88" s="37"/>
      <c r="AQ88" s="37"/>
      <c r="AR88" s="37"/>
      <c r="AS88" s="37"/>
      <c r="AT88" s="37">
        <f>AS88-AD88</f>
        <v>-4</v>
      </c>
      <c r="AU88" s="36" t="str">
        <f>IF(AR88=0,"Waiting",IF(AR88&lt;AH88,"Kurang",IF(AR88=AH88,"Sesuai",IF(AR88&gt;AH88,"Over Shared"))))</f>
        <v>Waiting</v>
      </c>
      <c r="AV88" s="37"/>
      <c r="AW88" s="37" t="str">
        <f>IFERROR(DATEDIF(AH88,AK88,"d"),"0")&amp;"-DAY"</f>
        <v>0-DAY</v>
      </c>
      <c r="AX88" s="37" t="str">
        <f>IFERROR(DATEDIF(B88,AB88,"d"),"0")&amp;"-DAY"</f>
        <v>3-DAY</v>
      </c>
      <c r="AY88" s="37"/>
      <c r="AZ88" s="181">
        <f>L88-AD88</f>
        <v>0</v>
      </c>
    </row>
    <row r="89" spans="1:52" ht="15.5" hidden="1" customHeight="1">
      <c r="A89" s="360" t="s">
        <v>372</v>
      </c>
      <c r="B89" s="340">
        <v>46223</v>
      </c>
      <c r="C89" s="181">
        <v>48274</v>
      </c>
      <c r="D89" s="30">
        <v>46223</v>
      </c>
      <c r="E89" s="30">
        <v>46219</v>
      </c>
      <c r="F89" s="30">
        <v>46225</v>
      </c>
      <c r="G89" s="37">
        <v>4420229598</v>
      </c>
      <c r="H89" s="37" t="s">
        <v>373</v>
      </c>
      <c r="I89" s="37">
        <v>9040042285</v>
      </c>
      <c r="J89" s="37" t="s">
        <v>58</v>
      </c>
      <c r="K89" s="325" t="s">
        <v>59</v>
      </c>
      <c r="L89" s="181">
        <v>4</v>
      </c>
      <c r="M89" s="181" t="s">
        <v>425</v>
      </c>
      <c r="N89" s="37" t="s">
        <v>384</v>
      </c>
      <c r="O89" s="31">
        <f>IF(F89&gt;0,F89-AB89,"")</f>
        <v>-21</v>
      </c>
      <c r="P89" s="37" t="str">
        <f>IF(F89&gt;0,IF(AB89="","PLANNING SUPPLY",IF(AB89&lt;=F89,"ONTIME DELIVERY","DELAY")),"")</f>
        <v>DELAY</v>
      </c>
      <c r="Q89" s="181" t="str">
        <f>IFERROR(IF(J89&gt;0,VLOOKUP(J89,#REF!,MATCH($Q$6,#REF!,0),0),""),"")</f>
        <v/>
      </c>
      <c r="R89" s="181" t="str">
        <f>IFERROR(IF(J89&gt;0,VLOOKUP(J89,#REF!,MATCH($R$6,#REF!,0),0),""),"")</f>
        <v/>
      </c>
      <c r="S89" s="181" t="e">
        <f>IF(I92&gt;0,Q89+R89,"")</f>
        <v>#VALUE!</v>
      </c>
      <c r="T89" s="181"/>
      <c r="U89" s="181"/>
      <c r="V89" s="37" t="s">
        <v>465</v>
      </c>
      <c r="W89" s="181" t="e">
        <f>IF(I92&gt;0,IF(S89&gt;L89,"READY STOCK",IF(S89=0,"OUT OF STOCK",IF(S89&lt;L89,"LOW STOCK",""))),"")</f>
        <v>#VALUE!</v>
      </c>
      <c r="X89" s="181">
        <v>33121</v>
      </c>
      <c r="Y89" s="38">
        <v>46224</v>
      </c>
      <c r="Z89" s="181" t="s">
        <v>396</v>
      </c>
      <c r="AA89" s="181" t="s">
        <v>397</v>
      </c>
      <c r="AB89" s="50">
        <v>46246</v>
      </c>
      <c r="AC89" s="181">
        <v>33566</v>
      </c>
      <c r="AD89" s="51">
        <v>4</v>
      </c>
      <c r="AE89" s="37" t="s">
        <v>387</v>
      </c>
      <c r="AF89" s="37" t="s">
        <v>381</v>
      </c>
      <c r="AG89" s="33" t="str">
        <f>IF(G89&gt;0,IF(AD89&gt;0,IF(AD89=0,"Waiting",IF(AD89&lt;L89,"Partial",IF(AD89=L89,"Full Supply",IF(AD89&gt;L89,"Over Shared")))),"Waiting"),"")</f>
        <v>Full Supply</v>
      </c>
      <c r="AH89" s="37"/>
      <c r="AI89" s="37"/>
      <c r="AJ89" s="181"/>
      <c r="AK89" s="40"/>
      <c r="AL89" s="40"/>
      <c r="AM89" s="40"/>
      <c r="AN89" s="37"/>
      <c r="AO89" s="34"/>
      <c r="AP89" s="37"/>
      <c r="AQ89" s="37"/>
      <c r="AR89" s="37"/>
      <c r="AS89" s="37"/>
      <c r="AT89" s="37">
        <f>AS89-AD89</f>
        <v>-4</v>
      </c>
      <c r="AU89" s="36" t="str">
        <f>IF(AR89=0,"Waiting",IF(AR89&lt;AH89,"Kurang",IF(AR89=AH89,"Sesuai",IF(AR89&gt;AH89,"Over Shared"))))</f>
        <v>Waiting</v>
      </c>
      <c r="AV89" s="37"/>
      <c r="AW89" s="37" t="str">
        <f>IFERROR(DATEDIF(AH89,AK89,"d"),"0")&amp;"-DAY"</f>
        <v>0-DAY</v>
      </c>
      <c r="AX89" s="37" t="str">
        <f>IFERROR(DATEDIF(B89,AB89,"d"),"0")&amp;"-DAY"</f>
        <v>23-DAY</v>
      </c>
      <c r="AY89" s="37"/>
      <c r="AZ89" s="181">
        <f>L89-AD89</f>
        <v>0</v>
      </c>
    </row>
    <row r="90" spans="1:52" ht="15.5" hidden="1" customHeight="1">
      <c r="A90" s="360" t="s">
        <v>372</v>
      </c>
      <c r="B90" s="340">
        <v>46223</v>
      </c>
      <c r="C90" s="181">
        <v>48274</v>
      </c>
      <c r="D90" s="30">
        <v>46223</v>
      </c>
      <c r="E90" s="30">
        <v>46219</v>
      </c>
      <c r="F90" s="30">
        <v>46225</v>
      </c>
      <c r="G90" s="37">
        <v>4420229598</v>
      </c>
      <c r="H90" s="37" t="s">
        <v>373</v>
      </c>
      <c r="I90" s="37">
        <v>9040001301</v>
      </c>
      <c r="J90" s="37" t="s">
        <v>33</v>
      </c>
      <c r="K90" s="325" t="s">
        <v>34</v>
      </c>
      <c r="L90" s="181">
        <v>3</v>
      </c>
      <c r="M90" s="181" t="s">
        <v>425</v>
      </c>
      <c r="N90" s="37" t="s">
        <v>384</v>
      </c>
      <c r="O90" s="31">
        <f>IF(F90&gt;0,F90-AB90,"")</f>
        <v>-1</v>
      </c>
      <c r="P90" s="37" t="str">
        <f>IF(F90&gt;0,IF(AB90="","PLANNING SUPPLY",IF(AB90&lt;=F90,"ONTIME DELIVERY","DELAY")),"")</f>
        <v>DELAY</v>
      </c>
      <c r="Q90" s="181" t="str">
        <f>IFERROR(IF(J90&gt;0,VLOOKUP(J90,#REF!,MATCH($Q$6,#REF!,0),0),""),"")</f>
        <v/>
      </c>
      <c r="R90" s="181" t="str">
        <f>IFERROR(IF(J90&gt;0,VLOOKUP(J90,#REF!,MATCH($R$6,#REF!,0),0),""),"")</f>
        <v/>
      </c>
      <c r="S90" s="181" t="e">
        <f>IF(I93&gt;0,Q90+R90,"")</f>
        <v>#VALUE!</v>
      </c>
      <c r="T90" s="181"/>
      <c r="U90" s="181"/>
      <c r="V90" s="37"/>
      <c r="W90" s="181" t="e">
        <f>IF(I93&gt;0,IF(S90&gt;L90,"READY STOCK",IF(S90=0,"OUT OF STOCK",IF(S90&lt;L90,"LOW STOCK",""))),"")</f>
        <v>#VALUE!</v>
      </c>
      <c r="X90" s="38"/>
      <c r="Y90" s="38"/>
      <c r="Z90" s="38"/>
      <c r="AA90" s="38"/>
      <c r="AB90" s="50">
        <v>46226</v>
      </c>
      <c r="AC90" s="181">
        <v>33138</v>
      </c>
      <c r="AD90" s="51">
        <v>3</v>
      </c>
      <c r="AE90" s="37" t="s">
        <v>383</v>
      </c>
      <c r="AF90" s="37" t="s">
        <v>381</v>
      </c>
      <c r="AG90" s="33" t="str">
        <f>IF(G90&gt;0,IF(AD90&gt;0,IF(AD90=0,"Waiting",IF(AD90&lt;L90,"Partial",IF(AD90=L90,"Full Supply",IF(AD90&gt;L90,"Over Shared")))),"Waiting"),"")</f>
        <v>Full Supply</v>
      </c>
      <c r="AH90" s="37"/>
      <c r="AI90" s="37"/>
      <c r="AJ90" s="181"/>
      <c r="AK90" s="40"/>
      <c r="AL90" s="40"/>
      <c r="AM90" s="40"/>
      <c r="AN90" s="37"/>
      <c r="AO90" s="34"/>
      <c r="AP90" s="35">
        <v>46239</v>
      </c>
      <c r="AQ90" s="37"/>
      <c r="AR90" s="37"/>
      <c r="AS90" s="37">
        <v>2</v>
      </c>
      <c r="AT90" s="37">
        <f>AS90-AD90</f>
        <v>-1</v>
      </c>
      <c r="AU90" s="36" t="str">
        <f>IF(AR90=0,"Waiting",IF(AR90&lt;AH90,"Kurang",IF(AR90=AH90,"Sesuai",IF(AR90&gt;AH90,"Over Shared"))))</f>
        <v>Waiting</v>
      </c>
      <c r="AV90" s="37">
        <v>53161</v>
      </c>
      <c r="AW90" s="37" t="str">
        <f>IFERROR(DATEDIF(AH90,AK90,"d"),"0")&amp;"-DAY"</f>
        <v>0-DAY</v>
      </c>
      <c r="AX90" s="37" t="str">
        <f>IFERROR(DATEDIF(B90,AB90,"d"),"0")&amp;"-DAY"</f>
        <v>3-DAY</v>
      </c>
      <c r="AY90" s="37"/>
      <c r="AZ90" s="181">
        <f>L90-AD90</f>
        <v>0</v>
      </c>
    </row>
    <row r="91" spans="1:52" ht="15.5" hidden="1" customHeight="1">
      <c r="A91" s="360" t="s">
        <v>372</v>
      </c>
      <c r="B91" s="340">
        <v>46223</v>
      </c>
      <c r="C91" s="181">
        <v>48274</v>
      </c>
      <c r="D91" s="30">
        <v>46223</v>
      </c>
      <c r="E91" s="30">
        <v>46219</v>
      </c>
      <c r="F91" s="30">
        <v>46225</v>
      </c>
      <c r="G91" s="37">
        <v>4420229598</v>
      </c>
      <c r="H91" s="37" t="s">
        <v>373</v>
      </c>
      <c r="I91" s="37">
        <v>9040021031</v>
      </c>
      <c r="J91" s="37" t="s">
        <v>201</v>
      </c>
      <c r="K91" s="325" t="s">
        <v>202</v>
      </c>
      <c r="L91" s="181">
        <v>1</v>
      </c>
      <c r="M91" s="181" t="s">
        <v>458</v>
      </c>
      <c r="N91" s="37" t="s">
        <v>384</v>
      </c>
      <c r="O91" s="31">
        <f>IF(F91&gt;0,F91-AB91,"")</f>
        <v>-1</v>
      </c>
      <c r="P91" s="37" t="str">
        <f>IF(F91&gt;0,IF(AB91="","PLANNING SUPPLY",IF(AB91&lt;=F91,"ONTIME DELIVERY","DELAY")),"")</f>
        <v>DELAY</v>
      </c>
      <c r="Q91" s="181" t="str">
        <f>IFERROR(IF(J91&gt;0,VLOOKUP(J91,#REF!,MATCH($Q$6,#REF!,0),0),""),"")</f>
        <v/>
      </c>
      <c r="R91" s="181" t="str">
        <f>IFERROR(IF(J91&gt;0,VLOOKUP(J91,#REF!,MATCH($R$6,#REF!,0),0),""),"")</f>
        <v/>
      </c>
      <c r="S91" s="181" t="e">
        <f>IF(I94&gt;0,Q91+R91,"")</f>
        <v>#VALUE!</v>
      </c>
      <c r="T91" s="181"/>
      <c r="U91" s="181"/>
      <c r="V91" s="37"/>
      <c r="W91" s="181" t="e">
        <f>IF(I91&gt;0,IF(S91&gt;L91,"READY STOCK",IF(S91=0,"OUT OF STOCK",IF(S91&lt;L91,"LOW STOCK",""))),"")</f>
        <v>#VALUE!</v>
      </c>
      <c r="X91" s="38"/>
      <c r="Y91" s="38"/>
      <c r="Z91" s="38"/>
      <c r="AA91" s="38"/>
      <c r="AB91" s="50">
        <v>46226</v>
      </c>
      <c r="AC91" s="181">
        <v>33106</v>
      </c>
      <c r="AD91" s="51">
        <v>1</v>
      </c>
      <c r="AE91" s="37" t="s">
        <v>383</v>
      </c>
      <c r="AF91" s="37" t="s">
        <v>381</v>
      </c>
      <c r="AG91" s="33" t="str">
        <f>IF(G91&gt;0,IF(AD91&gt;0,IF(AD91=0,"Waiting",IF(AD91&lt;L91,"Partial",IF(AD91=L91,"Full Supply",IF(AD91&gt;L91,"Over Shared")))),"Waiting"),"")</f>
        <v>Full Supply</v>
      </c>
      <c r="AH91" s="34" t="s">
        <v>465</v>
      </c>
      <c r="AI91" s="37"/>
      <c r="AJ91" s="181"/>
      <c r="AK91" s="40"/>
      <c r="AL91" s="40"/>
      <c r="AM91" s="40"/>
      <c r="AN91" s="37"/>
      <c r="AO91" s="34"/>
      <c r="AP91" s="37"/>
      <c r="AQ91" s="37"/>
      <c r="AR91" s="37"/>
      <c r="AS91" s="37"/>
      <c r="AT91" s="37">
        <f>AS91-AD91</f>
        <v>-1</v>
      </c>
      <c r="AU91" s="36" t="str">
        <f>IF(AR91=0,"Waiting",IF(AR91&lt;AH91,"Kurang",IF(AR91=AH91,"Sesuai",IF(AR91&gt;AH91,"Over Shared"))))</f>
        <v>Waiting</v>
      </c>
      <c r="AV91" s="37"/>
      <c r="AW91" s="37" t="str">
        <f>IFERROR(DATEDIF(AH91,AK91,"d"),"0")&amp;"-DAY"</f>
        <v>0-DAY</v>
      </c>
      <c r="AX91" s="37" t="str">
        <f>IFERROR(DATEDIF(B91,AB91,"d"),"0")&amp;"-DAY"</f>
        <v>3-DAY</v>
      </c>
      <c r="AY91" s="37"/>
      <c r="AZ91" s="181">
        <f>L91-AD91</f>
        <v>0</v>
      </c>
    </row>
    <row r="92" spans="1:52" ht="15.5" hidden="1" customHeight="1">
      <c r="A92" s="360" t="s">
        <v>372</v>
      </c>
      <c r="B92" s="340">
        <v>46223</v>
      </c>
      <c r="C92" s="181">
        <v>48274</v>
      </c>
      <c r="D92" s="30">
        <v>46223</v>
      </c>
      <c r="E92" s="30">
        <v>46219</v>
      </c>
      <c r="F92" s="30">
        <v>46225</v>
      </c>
      <c r="G92" s="37">
        <v>4420229598</v>
      </c>
      <c r="H92" s="37" t="s">
        <v>373</v>
      </c>
      <c r="I92" s="37">
        <v>9040044229</v>
      </c>
      <c r="J92" s="37" t="s">
        <v>324</v>
      </c>
      <c r="K92" s="325" t="s">
        <v>325</v>
      </c>
      <c r="L92" s="181">
        <v>4</v>
      </c>
      <c r="M92" s="181" t="s">
        <v>425</v>
      </c>
      <c r="N92" s="37" t="s">
        <v>384</v>
      </c>
      <c r="O92" s="31">
        <f>IF(F92&gt;0,F92-AB92,"")</f>
        <v>46225</v>
      </c>
      <c r="P92" s="37" t="str">
        <f>IF(F92&gt;0,IF(AB92="","PLANNING SUPPLY",IF(AB92&lt;=F92,"ONTIME DELIVERY","DELAY")),"")</f>
        <v>PLANNING SUPPLY</v>
      </c>
      <c r="Q92" s="181" t="str">
        <f>IFERROR(IF(J92&gt;0,VLOOKUP(J92,#REF!,MATCH($Q$6,#REF!,0),0),""),"")</f>
        <v/>
      </c>
      <c r="R92" s="181" t="str">
        <f>IFERROR(IF(J92&gt;0,VLOOKUP(J92,#REF!,MATCH($R$6,#REF!,0),0),""),"")</f>
        <v/>
      </c>
      <c r="S92" s="181" t="e">
        <f>IF(I95&gt;0,Q92+R92,"")</f>
        <v>#VALUE!</v>
      </c>
      <c r="T92" s="181"/>
      <c r="U92" s="181"/>
      <c r="V92" s="37"/>
      <c r="W92" s="181" t="e">
        <f>IF(I95&gt;0,IF(S92&gt;L92,"READY STOCK",IF(S92=0,"OUT OF STOCK",IF(S92&lt;L92,"LOW STOCK",""))),"")</f>
        <v>#VALUE!</v>
      </c>
      <c r="X92" s="38"/>
      <c r="Y92" s="38"/>
      <c r="Z92" s="38"/>
      <c r="AA92" s="38"/>
      <c r="AB92" s="50"/>
      <c r="AC92" s="181"/>
      <c r="AD92" s="51"/>
      <c r="AE92" s="37"/>
      <c r="AF92" s="37"/>
      <c r="AG92" s="33" t="str">
        <f>IF(G92&gt;0,IF(AD92&gt;0,IF(AD92=0,"Waiting",IF(AD92&lt;L92,"Partial",IF(AD92=L92,"Full Supply",IF(AD92&gt;L92,"Over Shared")))),"Waiting"),"")</f>
        <v>Waiting</v>
      </c>
      <c r="AH92" s="49">
        <v>46261</v>
      </c>
      <c r="AI92" s="37" t="s">
        <v>467</v>
      </c>
      <c r="AJ92" s="181">
        <v>4</v>
      </c>
      <c r="AK92" s="40"/>
      <c r="AL92" s="40"/>
      <c r="AM92" s="40"/>
      <c r="AN92" s="39" t="s">
        <v>468</v>
      </c>
      <c r="AO92" s="232"/>
      <c r="AP92" s="37"/>
      <c r="AQ92" s="37"/>
      <c r="AR92" s="37"/>
      <c r="AS92" s="37"/>
      <c r="AT92" s="37">
        <f>AS92-AD92</f>
        <v>0</v>
      </c>
      <c r="AU92" s="36" t="str">
        <f>IF(AR92=0,"Waiting",IF(AR92&lt;AH92,"Kurang",IF(AR92=AH92,"Sesuai",IF(AR92&gt;AH92,"Over Shared"))))</f>
        <v>Waiting</v>
      </c>
      <c r="AV92" s="37"/>
      <c r="AW92" s="37" t="str">
        <f>IFERROR(DATEDIF(AH92,AK92,"d"),"0")&amp;"-DAY"</f>
        <v>0-DAY</v>
      </c>
      <c r="AX92" s="37" t="str">
        <f>IFERROR(DATEDIF(B92,AB92,"d"),"0")&amp;"-DAY"</f>
        <v>0-DAY</v>
      </c>
      <c r="AY92" s="37"/>
      <c r="AZ92" s="181">
        <f>L92-AD92</f>
        <v>4</v>
      </c>
    </row>
    <row r="93" spans="1:52" ht="15.5" hidden="1" customHeight="1">
      <c r="A93" s="360" t="s">
        <v>372</v>
      </c>
      <c r="B93" s="340">
        <v>46223</v>
      </c>
      <c r="C93" s="181">
        <v>48274</v>
      </c>
      <c r="D93" s="30">
        <v>46223</v>
      </c>
      <c r="E93" s="30">
        <v>46219</v>
      </c>
      <c r="F93" s="30">
        <v>46225</v>
      </c>
      <c r="G93" s="37">
        <v>4420229598</v>
      </c>
      <c r="H93" s="37" t="s">
        <v>373</v>
      </c>
      <c r="I93" s="37">
        <v>9040040420</v>
      </c>
      <c r="J93" s="37" t="s">
        <v>219</v>
      </c>
      <c r="K93" s="325" t="s">
        <v>220</v>
      </c>
      <c r="L93" s="181">
        <v>4</v>
      </c>
      <c r="M93" s="181" t="s">
        <v>446</v>
      </c>
      <c r="N93" s="37" t="s">
        <v>384</v>
      </c>
      <c r="O93" s="31">
        <f>IF(F93&gt;0,F93-AB93,"")</f>
        <v>-83</v>
      </c>
      <c r="P93" s="37" t="str">
        <f>IF(F93&gt;0,IF(AB93="","PLANNING SUPPLY",IF(AB93&lt;=F93,"ONTIME DELIVERY","DELAY")),"")</f>
        <v>DELAY</v>
      </c>
      <c r="Q93" s="181" t="str">
        <f>IFERROR(IF(J93&gt;0,VLOOKUP(J93,#REF!,MATCH($Q$6,#REF!,0),0),""),"")</f>
        <v/>
      </c>
      <c r="R93" s="181" t="str">
        <f>IFERROR(IF(J93&gt;0,VLOOKUP(J93,#REF!,MATCH($R$6,#REF!,0),0),""),"")</f>
        <v/>
      </c>
      <c r="S93" s="181" t="e">
        <f>IF(I96&gt;0,Q93+R93,"")</f>
        <v>#VALUE!</v>
      </c>
      <c r="T93" s="181"/>
      <c r="U93" s="181"/>
      <c r="V93" s="37"/>
      <c r="W93" s="181" t="e">
        <f>IF(I96&gt;0,IF(S93&gt;L93,"READY STOCK",IF(S93=0,"OUT OF STOCK",IF(S93&lt;L93,"LOW STOCK",""))),"")</f>
        <v>#VALUE!</v>
      </c>
      <c r="X93" s="38"/>
      <c r="Y93" s="38"/>
      <c r="Z93" s="38"/>
      <c r="AA93" s="38"/>
      <c r="AB93" s="57">
        <v>46308</v>
      </c>
      <c r="AC93" s="246">
        <v>34975</v>
      </c>
      <c r="AD93" s="53">
        <v>4</v>
      </c>
      <c r="AE93" s="58" t="s">
        <v>387</v>
      </c>
      <c r="AF93" s="58" t="s">
        <v>381</v>
      </c>
      <c r="AG93" s="33" t="str">
        <f>IF(G93&gt;0,IF(AD93&gt;0,IF(AD93=0,"Waiting",IF(AD93&lt;L93,"Partial",IF(AD93=L93,"Full Supply",IF(AD93&gt;L93,"Over Shared")))),"Waiting"),"")</f>
        <v>Full Supply</v>
      </c>
      <c r="AH93" s="49">
        <v>46225</v>
      </c>
      <c r="AI93" s="37" t="s">
        <v>452</v>
      </c>
      <c r="AJ93" s="181">
        <v>10</v>
      </c>
      <c r="AK93" s="40">
        <v>25937</v>
      </c>
      <c r="AL93" s="218">
        <v>46246</v>
      </c>
      <c r="AM93" s="40">
        <v>10</v>
      </c>
      <c r="AN93" s="37"/>
      <c r="AO93" s="48">
        <v>46256</v>
      </c>
      <c r="AP93" s="37"/>
      <c r="AQ93" s="37"/>
      <c r="AR93" s="37"/>
      <c r="AS93" s="37"/>
      <c r="AT93" s="37">
        <f>AS93-AD93</f>
        <v>-4</v>
      </c>
      <c r="AU93" s="36" t="str">
        <f>IF(AR93=0,"Waiting",IF(AR93&lt;AH93,"Kurang",IF(AR93=AH93,"Sesuai",IF(AR93&gt;AH93,"Over Shared"))))</f>
        <v>Waiting</v>
      </c>
      <c r="AV93" s="37"/>
      <c r="AW93" s="37" t="str">
        <f>IFERROR(DATEDIF(AH93,AK93,"d"),"0")&amp;"-DAY"</f>
        <v>0-DAY</v>
      </c>
      <c r="AX93" s="37" t="str">
        <f>IFERROR(DATEDIF(B93,AB93,"d"),"0")&amp;"-DAY"</f>
        <v>85-DAY</v>
      </c>
      <c r="AY93" s="37"/>
      <c r="AZ93" s="181">
        <f>L93-AD93</f>
        <v>0</v>
      </c>
    </row>
    <row r="94" spans="1:52" ht="15.5" hidden="1" customHeight="1">
      <c r="A94" s="360" t="s">
        <v>372</v>
      </c>
      <c r="B94" s="340">
        <v>46223</v>
      </c>
      <c r="C94" s="181">
        <v>48274</v>
      </c>
      <c r="D94" s="30">
        <v>46223</v>
      </c>
      <c r="E94" s="30">
        <v>46219</v>
      </c>
      <c r="F94" s="30">
        <v>46225</v>
      </c>
      <c r="G94" s="37">
        <v>4420229598</v>
      </c>
      <c r="H94" s="37" t="s">
        <v>373</v>
      </c>
      <c r="I94" s="37">
        <v>9040055051</v>
      </c>
      <c r="J94" s="37" t="s">
        <v>10</v>
      </c>
      <c r="K94" s="325" t="s">
        <v>149</v>
      </c>
      <c r="L94" s="181">
        <v>52</v>
      </c>
      <c r="M94" s="181" t="s">
        <v>425</v>
      </c>
      <c r="N94" s="37" t="s">
        <v>384</v>
      </c>
      <c r="O94" s="31">
        <f>IF(F94&gt;0,F94-AB94,"")</f>
        <v>-84</v>
      </c>
      <c r="P94" s="37" t="str">
        <f>IF(F94&gt;0,IF(AB94="","PLANNING SUPPLY",IF(AB94&lt;=F94,"ONTIME DELIVERY","DELAY")),"")</f>
        <v>DELAY</v>
      </c>
      <c r="Q94" s="181" t="str">
        <f>IFERROR(IF(J94&gt;0,VLOOKUP(J94,#REF!,MATCH($Q$6,#REF!,0),0),""),"")</f>
        <v/>
      </c>
      <c r="R94" s="181" t="str">
        <f>IFERROR(IF(J94&gt;0,VLOOKUP(J94,#REF!,MATCH($R$6,#REF!,0),0),""),"")</f>
        <v/>
      </c>
      <c r="S94" s="181" t="e">
        <f>IF(I97&gt;0,Q94+R94,"")</f>
        <v>#VALUE!</v>
      </c>
      <c r="T94" s="181"/>
      <c r="U94" s="181"/>
      <c r="V94" s="37" t="s">
        <v>463</v>
      </c>
      <c r="W94" s="181" t="e">
        <f>IF(I97&gt;0,IF(S94&gt;L94,"READY STOCK",IF(S94=0,"OUT OF STOCK",IF(S94&lt;L94,"LOW STOCK",""))),"")</f>
        <v>#VALUE!</v>
      </c>
      <c r="X94" s="38"/>
      <c r="Y94" s="38"/>
      <c r="Z94" s="38"/>
      <c r="AA94" s="38"/>
      <c r="AB94" s="50">
        <v>46309</v>
      </c>
      <c r="AC94" s="181" t="s">
        <v>470</v>
      </c>
      <c r="AD94" s="51">
        <f>22+13+10</f>
        <v>45</v>
      </c>
      <c r="AE94" s="37" t="s">
        <v>471</v>
      </c>
      <c r="AF94" s="37" t="s">
        <v>381</v>
      </c>
      <c r="AG94" s="33" t="str">
        <f>IF(G94&gt;0,IF(AD94&gt;0,IF(AD94=0,"Waiting",IF(AD94&lt;L94,"Partial",IF(AD94=L94,"Full Supply",IF(AD94&gt;L94,"Over Shared")))),"Waiting"),"")</f>
        <v>Partial</v>
      </c>
      <c r="AH94" s="37"/>
      <c r="AI94" s="37"/>
      <c r="AJ94" s="181"/>
      <c r="AK94" s="40"/>
      <c r="AL94" s="40"/>
      <c r="AM94" s="40"/>
      <c r="AN94" s="37"/>
      <c r="AO94" s="34"/>
      <c r="AP94" s="37"/>
      <c r="AQ94" s="37"/>
      <c r="AR94" s="37"/>
      <c r="AS94" s="37"/>
      <c r="AT94" s="37">
        <f>AS94-AD94</f>
        <v>-45</v>
      </c>
      <c r="AU94" s="36" t="str">
        <f>IF(AR94=0,"Waiting",IF(AR94&lt;AH94,"Kurang",IF(AR94=AH94,"Sesuai",IF(AR94&gt;AH94,"Over Shared"))))</f>
        <v>Waiting</v>
      </c>
      <c r="AV94" s="37"/>
      <c r="AW94" s="37" t="str">
        <f>IFERROR(DATEDIF(AH94,AK94,"d"),"0")&amp;"-DAY"</f>
        <v>0-DAY</v>
      </c>
      <c r="AX94" s="37" t="str">
        <f>IFERROR(DATEDIF(B94,AB94,"d"),"0")&amp;"-DAY"</f>
        <v>86-DAY</v>
      </c>
      <c r="AY94" s="37"/>
      <c r="AZ94" s="181">
        <f>L94-AD94</f>
        <v>7</v>
      </c>
    </row>
    <row r="95" spans="1:52" ht="15.5" hidden="1" customHeight="1">
      <c r="A95" s="360" t="s">
        <v>372</v>
      </c>
      <c r="B95" s="340">
        <v>46223</v>
      </c>
      <c r="C95" s="181">
        <v>48275</v>
      </c>
      <c r="D95" s="30">
        <v>46223</v>
      </c>
      <c r="E95" s="30">
        <v>46220</v>
      </c>
      <c r="F95" s="30">
        <v>46228</v>
      </c>
      <c r="G95" s="37">
        <v>4420229633</v>
      </c>
      <c r="H95" s="37" t="s">
        <v>373</v>
      </c>
      <c r="I95" s="37">
        <v>9040040588</v>
      </c>
      <c r="J95" s="37" t="s">
        <v>76</v>
      </c>
      <c r="K95" s="325" t="s">
        <v>77</v>
      </c>
      <c r="L95" s="181">
        <v>42</v>
      </c>
      <c r="M95" s="181" t="s">
        <v>425</v>
      </c>
      <c r="N95" s="37" t="s">
        <v>399</v>
      </c>
      <c r="O95" s="31">
        <f>IF(F95&gt;0,F95-AB95,"")</f>
        <v>-3</v>
      </c>
      <c r="P95" s="37" t="str">
        <f>IF(F95&gt;0,IF(AB95="","PLANNING SUPPLY",IF(AB95&lt;=F95,"ONTIME DELIVERY","DELAY")),"")</f>
        <v>DELAY</v>
      </c>
      <c r="Q95" s="181" t="str">
        <f>IFERROR(IF(J95&gt;0,VLOOKUP(J95,#REF!,MATCH($Q$6,#REF!,0),0),""),"")</f>
        <v/>
      </c>
      <c r="R95" s="181" t="str">
        <f>IFERROR(IF(J95&gt;0,VLOOKUP(J95,#REF!,MATCH($R$6,#REF!,0),0),""),"")</f>
        <v/>
      </c>
      <c r="S95" s="181" t="e">
        <f>IF(I98&gt;0,Q95+R95,"")</f>
        <v>#VALUE!</v>
      </c>
      <c r="T95" s="181"/>
      <c r="U95" s="181"/>
      <c r="V95" s="37"/>
      <c r="W95" s="181" t="e">
        <f>IF(I98&gt;0,IF(S95&gt;L95,"READY STOCK",IF(S95=0,"OUT OF STOCK",IF(S95&lt;L95,"LOW STOCK",""))),"")</f>
        <v>#VALUE!</v>
      </c>
      <c r="X95" s="38"/>
      <c r="Y95" s="38"/>
      <c r="Z95" s="38"/>
      <c r="AA95" s="38"/>
      <c r="AB95" s="50">
        <v>46231</v>
      </c>
      <c r="AC95" s="181">
        <v>33252</v>
      </c>
      <c r="AD95" s="51">
        <v>42</v>
      </c>
      <c r="AE95" s="37" t="s">
        <v>383</v>
      </c>
      <c r="AF95" s="37" t="s">
        <v>381</v>
      </c>
      <c r="AG95" s="33" t="str">
        <f>IF(G95&gt;0,IF(AD95&gt;0,IF(AD95=0,"Waiting",IF(AD95&lt;L95,"Partial",IF(AD95=L95,"Full Supply",IF(AD95&gt;L95,"Over Shared")))),"Waiting"),"")</f>
        <v>Full Supply</v>
      </c>
      <c r="AH95" s="37"/>
      <c r="AI95" s="37"/>
      <c r="AJ95" s="181"/>
      <c r="AK95" s="40"/>
      <c r="AL95" s="40"/>
      <c r="AM95" s="40"/>
      <c r="AN95" s="37"/>
      <c r="AO95" s="34"/>
      <c r="AP95" s="37"/>
      <c r="AQ95" s="37"/>
      <c r="AR95" s="37"/>
      <c r="AS95" s="37"/>
      <c r="AT95" s="37">
        <f>AS95-AD95</f>
        <v>-42</v>
      </c>
      <c r="AU95" s="36" t="str">
        <f>IF(AR95=0,"Waiting",IF(AR95&lt;AH95,"Kurang",IF(AR95=AH95,"Sesuai",IF(AR95&gt;AH95,"Over Shared"))))</f>
        <v>Waiting</v>
      </c>
      <c r="AV95" s="37"/>
      <c r="AW95" s="37" t="str">
        <f>IFERROR(DATEDIF(AH95,AK95,"d"),"0")&amp;"-DAY"</f>
        <v>0-DAY</v>
      </c>
      <c r="AX95" s="37" t="str">
        <f>IFERROR(DATEDIF(B95,AB95,"d"),"0")&amp;"-DAY"</f>
        <v>8-DAY</v>
      </c>
      <c r="AY95" s="37"/>
      <c r="AZ95" s="181">
        <f>L95-AD95</f>
        <v>0</v>
      </c>
    </row>
    <row r="96" spans="1:52" ht="15.5" hidden="1" customHeight="1">
      <c r="A96" s="360" t="s">
        <v>372</v>
      </c>
      <c r="B96" s="340">
        <v>46223</v>
      </c>
      <c r="C96" s="181">
        <v>48275</v>
      </c>
      <c r="D96" s="30">
        <v>46223</v>
      </c>
      <c r="E96" s="30">
        <v>46220</v>
      </c>
      <c r="F96" s="30">
        <v>46228</v>
      </c>
      <c r="G96" s="37">
        <v>4420229633</v>
      </c>
      <c r="H96" s="37" t="s">
        <v>373</v>
      </c>
      <c r="I96" s="37">
        <v>9040040924</v>
      </c>
      <c r="J96" s="37" t="s">
        <v>10</v>
      </c>
      <c r="K96" s="325" t="s">
        <v>149</v>
      </c>
      <c r="L96" s="181">
        <v>6</v>
      </c>
      <c r="M96" s="181" t="s">
        <v>425</v>
      </c>
      <c r="N96" s="37" t="s">
        <v>399</v>
      </c>
      <c r="O96" s="31">
        <f>IF(F96&gt;0,F96-AB96,"")</f>
        <v>2</v>
      </c>
      <c r="P96" s="37" t="str">
        <f>IF(F96&gt;0,IF(AB96="","PLANNING SUPPLY",IF(AB96&lt;=F96,"ONTIME DELIVERY","DELAY")),"")</f>
        <v>ONTIME DELIVERY</v>
      </c>
      <c r="Q96" s="181" t="str">
        <f>IFERROR(IF(J96&gt;0,VLOOKUP(J96,#REF!,MATCH($Q$6,#REF!,0),0),""),"")</f>
        <v/>
      </c>
      <c r="R96" s="181" t="str">
        <f>IFERROR(IF(J96&gt;0,VLOOKUP(J96,#REF!,MATCH($R$6,#REF!,0),0),""),"")</f>
        <v/>
      </c>
      <c r="S96" s="181" t="e">
        <f>IF(I99&gt;0,Q96+R96,"")</f>
        <v>#VALUE!</v>
      </c>
      <c r="T96" s="181"/>
      <c r="U96" s="181"/>
      <c r="V96" s="37" t="s">
        <v>463</v>
      </c>
      <c r="W96" s="181" t="e">
        <f>IF(I99&gt;0,IF(S96&gt;L96,"READY STOCK",IF(S96=0,"OUT OF STOCK",IF(S96&lt;L96,"LOW STOCK",""))),"")</f>
        <v>#VALUE!</v>
      </c>
      <c r="X96" s="38"/>
      <c r="Y96" s="38"/>
      <c r="Z96" s="38"/>
      <c r="AA96" s="38"/>
      <c r="AB96" s="50">
        <v>46226</v>
      </c>
      <c r="AC96" s="181">
        <v>33144</v>
      </c>
      <c r="AD96" s="51">
        <v>6</v>
      </c>
      <c r="AE96" s="37" t="s">
        <v>383</v>
      </c>
      <c r="AF96" s="37" t="s">
        <v>381</v>
      </c>
      <c r="AG96" s="33" t="str">
        <f>IF(G96&gt;0,IF(AD96&gt;0,IF(AD96=0,"Waiting",IF(AD96&lt;L96,"Partial",IF(AD96=L96,"Full Supply",IF(AD96&gt;L96,"Over Shared")))),"Waiting"),"")</f>
        <v>Full Supply</v>
      </c>
      <c r="AH96" s="37"/>
      <c r="AI96" s="37"/>
      <c r="AJ96" s="181"/>
      <c r="AK96" s="40"/>
      <c r="AL96" s="40"/>
      <c r="AM96" s="40"/>
      <c r="AN96" s="37"/>
      <c r="AO96" s="34"/>
      <c r="AP96" s="37"/>
      <c r="AQ96" s="37"/>
      <c r="AR96" s="37"/>
      <c r="AS96" s="37"/>
      <c r="AT96" s="37">
        <f>AS96-AD96</f>
        <v>-6</v>
      </c>
      <c r="AU96" s="36" t="str">
        <f>IF(AR96=0,"Waiting",IF(AR96&lt;AH96,"Kurang",IF(AR96=AH96,"Sesuai",IF(AR96&gt;AH96,"Over Shared"))))</f>
        <v>Waiting</v>
      </c>
      <c r="AV96" s="37"/>
      <c r="AW96" s="37" t="str">
        <f>IFERROR(DATEDIF(AH96,AK96,"d"),"0")&amp;"-DAY"</f>
        <v>0-DAY</v>
      </c>
      <c r="AX96" s="37" t="str">
        <f>IFERROR(DATEDIF(B96,AB96,"d"),"0")&amp;"-DAY"</f>
        <v>3-DAY</v>
      </c>
      <c r="AY96" s="37"/>
      <c r="AZ96" s="181">
        <f>L96-AD96</f>
        <v>0</v>
      </c>
    </row>
    <row r="97" spans="1:52" ht="15.5" hidden="1" customHeight="1">
      <c r="A97" s="360" t="s">
        <v>372</v>
      </c>
      <c r="B97" s="340">
        <v>46223</v>
      </c>
      <c r="C97" s="181">
        <v>48275</v>
      </c>
      <c r="D97" s="30">
        <v>46223</v>
      </c>
      <c r="E97" s="30">
        <v>46220</v>
      </c>
      <c r="F97" s="30">
        <v>46228</v>
      </c>
      <c r="G97" s="37">
        <v>4420229633</v>
      </c>
      <c r="H97" s="37" t="s">
        <v>373</v>
      </c>
      <c r="I97" s="37">
        <v>9040042224</v>
      </c>
      <c r="J97" s="37" t="s">
        <v>195</v>
      </c>
      <c r="K97" s="325" t="s">
        <v>196</v>
      </c>
      <c r="L97" s="181">
        <v>3</v>
      </c>
      <c r="M97" s="181" t="s">
        <v>429</v>
      </c>
      <c r="N97" s="37" t="s">
        <v>399</v>
      </c>
      <c r="O97" s="31">
        <f>IF(F97&gt;0,F97-AB97,"")</f>
        <v>-11</v>
      </c>
      <c r="P97" s="37" t="str">
        <f>IF(F97&gt;0,IF(AB97="","PLANNING SUPPLY",IF(AB97&lt;=F97,"ONTIME DELIVERY","DELAY")),"")</f>
        <v>DELAY</v>
      </c>
      <c r="Q97" s="181" t="str">
        <f>IFERROR(IF(J97&gt;0,VLOOKUP(J97,#REF!,MATCH($Q$6,#REF!,0),0),""),"")</f>
        <v/>
      </c>
      <c r="R97" s="181" t="str">
        <f>IFERROR(IF(J97&gt;0,VLOOKUP(J97,#REF!,MATCH($R$6,#REF!,0),0),""),"")</f>
        <v/>
      </c>
      <c r="S97" s="181" t="e">
        <f>IF(I100&gt;0,Q97+R97,"")</f>
        <v>#VALUE!</v>
      </c>
      <c r="T97" s="181"/>
      <c r="U97" s="181"/>
      <c r="V97" s="37"/>
      <c r="W97" s="181" t="e">
        <f>IF(I100&gt;0,IF(S97&gt;L97,"READY STOCK",IF(S97=0,"OUT OF STOCK",IF(S97&lt;L97,"LOW STOCK",""))),"")</f>
        <v>#VALUE!</v>
      </c>
      <c r="X97" s="181">
        <v>33121</v>
      </c>
      <c r="Y97" s="38">
        <v>46224</v>
      </c>
      <c r="Z97" s="181" t="s">
        <v>407</v>
      </c>
      <c r="AA97" s="181" t="s">
        <v>397</v>
      </c>
      <c r="AB97" s="50">
        <v>46239</v>
      </c>
      <c r="AC97" s="181">
        <v>33392</v>
      </c>
      <c r="AD97" s="51">
        <v>3</v>
      </c>
      <c r="AE97" s="37" t="s">
        <v>383</v>
      </c>
      <c r="AF97" s="37" t="s">
        <v>381</v>
      </c>
      <c r="AG97" s="33" t="str">
        <f>IF(G97&gt;0,IF(AD97&gt;0,IF(AD97=0,"Waiting",IF(AD97&lt;L97,"Partial",IF(AD97=L97,"Full Supply",IF(AD97&gt;L97,"Over Shared")))),"Waiting"),"")</f>
        <v>Full Supply</v>
      </c>
      <c r="AH97" s="49">
        <v>46225</v>
      </c>
      <c r="AI97" s="37" t="s">
        <v>452</v>
      </c>
      <c r="AJ97" s="181">
        <v>8</v>
      </c>
      <c r="AK97" s="40">
        <v>25747</v>
      </c>
      <c r="AL97" s="218">
        <v>46226</v>
      </c>
      <c r="AM97" s="40">
        <v>8</v>
      </c>
      <c r="AN97" s="37"/>
      <c r="AO97" s="41">
        <v>46227</v>
      </c>
      <c r="AP97" s="37"/>
      <c r="AQ97" s="37"/>
      <c r="AR97" s="37"/>
      <c r="AS97" s="37"/>
      <c r="AT97" s="37">
        <f>AS97-AD97</f>
        <v>-3</v>
      </c>
      <c r="AU97" s="36" t="str">
        <f>IF(AR97=0,"Waiting",IF(AR97&lt;AH97,"Kurang",IF(AR97=AH97,"Sesuai",IF(AR97&gt;AH97,"Over Shared"))))</f>
        <v>Waiting</v>
      </c>
      <c r="AV97" s="37"/>
      <c r="AW97" s="37" t="str">
        <f>IFERROR(DATEDIF(AH97,AK97,"d"),"0")&amp;"-DAY"</f>
        <v>0-DAY</v>
      </c>
      <c r="AX97" s="37" t="str">
        <f>IFERROR(DATEDIF(B97,AB97,"d"),"0")&amp;"-DAY"</f>
        <v>16-DAY</v>
      </c>
      <c r="AY97" s="37"/>
      <c r="AZ97" s="181">
        <f>L97-AD97</f>
        <v>0</v>
      </c>
    </row>
    <row r="98" spans="1:52" ht="15.5" hidden="1" customHeight="1">
      <c r="A98" s="360" t="s">
        <v>372</v>
      </c>
      <c r="B98" s="340">
        <v>46223</v>
      </c>
      <c r="C98" s="181">
        <v>48275</v>
      </c>
      <c r="D98" s="30">
        <v>46223</v>
      </c>
      <c r="E98" s="30">
        <v>46220</v>
      </c>
      <c r="F98" s="30">
        <v>46228</v>
      </c>
      <c r="G98" s="37">
        <v>4420229633</v>
      </c>
      <c r="H98" s="37" t="s">
        <v>373</v>
      </c>
      <c r="I98" s="37">
        <v>9040009495</v>
      </c>
      <c r="J98" s="37" t="s">
        <v>320</v>
      </c>
      <c r="K98" s="325" t="s">
        <v>321</v>
      </c>
      <c r="L98" s="181">
        <v>8</v>
      </c>
      <c r="M98" s="181" t="s">
        <v>425</v>
      </c>
      <c r="N98" s="37" t="s">
        <v>399</v>
      </c>
      <c r="O98" s="31">
        <f>IF(F98&gt;0,F98-AB98,"")</f>
        <v>-72</v>
      </c>
      <c r="P98" s="37" t="str">
        <f>IF(F98&gt;0,IF(AB98="","PLANNING SUPPLY",IF(AB98&lt;=F98,"ONTIME DELIVERY","DELAY")),"")</f>
        <v>DELAY</v>
      </c>
      <c r="Q98" s="181" t="str">
        <f>IFERROR(IF(J98&gt;0,VLOOKUP(J98,#REF!,MATCH($Q$6,#REF!,0),0),""),"")</f>
        <v/>
      </c>
      <c r="R98" s="181" t="str">
        <f>IFERROR(IF(J98&gt;0,VLOOKUP(J98,#REF!,MATCH($R$6,#REF!,0),0),""),"")</f>
        <v/>
      </c>
      <c r="S98" s="181" t="e">
        <f>IF(I101&gt;0,Q98+R98,"")</f>
        <v>#VALUE!</v>
      </c>
      <c r="T98" s="181"/>
      <c r="U98" s="181"/>
      <c r="V98" s="37"/>
      <c r="W98" s="181" t="e">
        <f>IF(I101&gt;0,IF(S98&gt;L98,"READY STOCK",IF(S98=0,"OUT OF STOCK",IF(S98&lt;L98,"LOW STOCK",""))),"")</f>
        <v>#VALUE!</v>
      </c>
      <c r="X98" s="38"/>
      <c r="Y98" s="38"/>
      <c r="Z98" s="38"/>
      <c r="AA98" s="38"/>
      <c r="AB98" s="50">
        <v>46300</v>
      </c>
      <c r="AC98" s="44">
        <v>34705</v>
      </c>
      <c r="AD98" s="51">
        <v>8</v>
      </c>
      <c r="AE98" s="37" t="s">
        <v>387</v>
      </c>
      <c r="AF98" s="37" t="s">
        <v>381</v>
      </c>
      <c r="AG98" s="33" t="str">
        <f>IF(G98&gt;0,IF(AD98&gt;0,IF(AD98=0,"Waiting",IF(AD98&lt;L98,"Partial",IF(AD98=L98,"Full Supply",IF(AD98&gt;L98,"Over Shared")))),"Waiting"),"")</f>
        <v>Full Supply</v>
      </c>
      <c r="AH98" s="49"/>
      <c r="AI98" s="37"/>
      <c r="AJ98" s="181"/>
      <c r="AK98" s="40"/>
      <c r="AL98" s="40"/>
      <c r="AM98" s="40"/>
      <c r="AN98" s="329"/>
      <c r="AO98" s="34"/>
      <c r="AP98" s="37"/>
      <c r="AQ98" s="37"/>
      <c r="AR98" s="37"/>
      <c r="AS98" s="37"/>
      <c r="AT98" s="37">
        <f>AS98-AD98</f>
        <v>-8</v>
      </c>
      <c r="AU98" s="36" t="str">
        <f>IF(AR98=0,"Waiting",IF(AR98&lt;AH98,"Kurang",IF(AR98=AH98,"Sesuai",IF(AR98&gt;AH98,"Over Shared"))))</f>
        <v>Waiting</v>
      </c>
      <c r="AV98" s="37"/>
      <c r="AW98" s="37" t="str">
        <f>IFERROR(DATEDIF(AH98,AK98,"d"),"0")&amp;"-DAY"</f>
        <v>0-DAY</v>
      </c>
      <c r="AX98" s="37" t="str">
        <f>IFERROR(DATEDIF(B98,AB98,"d"),"0")&amp;"-DAY"</f>
        <v>77-DAY</v>
      </c>
      <c r="AY98" s="37"/>
      <c r="AZ98" s="181">
        <f>L98-AD98</f>
        <v>0</v>
      </c>
    </row>
    <row r="99" spans="1:52" ht="15.5" hidden="1" customHeight="1">
      <c r="A99" s="360" t="s">
        <v>372</v>
      </c>
      <c r="B99" s="340">
        <v>46223</v>
      </c>
      <c r="C99" s="181">
        <v>48275</v>
      </c>
      <c r="D99" s="30">
        <v>46223</v>
      </c>
      <c r="E99" s="30">
        <v>46220</v>
      </c>
      <c r="F99" s="30">
        <v>46228</v>
      </c>
      <c r="G99" s="37">
        <v>4420229633</v>
      </c>
      <c r="H99" s="37" t="s">
        <v>373</v>
      </c>
      <c r="I99" s="37">
        <v>9040020519</v>
      </c>
      <c r="J99" s="37" t="s">
        <v>93</v>
      </c>
      <c r="K99" s="325" t="s">
        <v>94</v>
      </c>
      <c r="L99" s="181">
        <v>3</v>
      </c>
      <c r="M99" s="181" t="s">
        <v>478</v>
      </c>
      <c r="N99" s="37" t="s">
        <v>399</v>
      </c>
      <c r="O99" s="31">
        <f>IF(F99&gt;0,F99-AB99,"")</f>
        <v>46228</v>
      </c>
      <c r="P99" s="37" t="str">
        <f>IF(F99&gt;0,IF(AB99="","PLANNING SUPPLY",IF(AB99&lt;=F99,"ONTIME DELIVERY","DELAY")),"")</f>
        <v>PLANNING SUPPLY</v>
      </c>
      <c r="Q99" s="181" t="str">
        <f>IFERROR(IF(J99&gt;0,VLOOKUP(J99,#REF!,MATCH($Q$6,#REF!,0),0),""),"")</f>
        <v/>
      </c>
      <c r="R99" s="181" t="str">
        <f>IFERROR(IF(J99&gt;0,VLOOKUP(J99,#REF!,MATCH($R$6,#REF!,0),0),""),"")</f>
        <v/>
      </c>
      <c r="S99" s="181" t="e">
        <f>IF(I102&gt;0,Q99+R99,"")</f>
        <v>#VALUE!</v>
      </c>
      <c r="T99" s="181"/>
      <c r="U99" s="181"/>
      <c r="V99" s="37"/>
      <c r="W99" s="181" t="e">
        <f>IF(I102&gt;0,IF(S99&gt;L99,"READY STOCK",IF(S99=0,"OUT OF STOCK",IF(S99&lt;L99,"LOW STOCK",""))),"")</f>
        <v>#VALUE!</v>
      </c>
      <c r="X99" s="38"/>
      <c r="Y99" s="38"/>
      <c r="Z99" s="38"/>
      <c r="AA99" s="38"/>
      <c r="AB99" s="50"/>
      <c r="AC99" s="181"/>
      <c r="AD99" s="51"/>
      <c r="AE99" s="37"/>
      <c r="AF99" s="37"/>
      <c r="AG99" s="33" t="str">
        <f>IF(G99&gt;0,IF(AD99&gt;0,IF(AD99=0,"Waiting",IF(AD99&lt;L99,"Partial",IF(AD99=L99,"Full Supply",IF(AD99&gt;L99,"Over Shared")))),"Waiting"),"")</f>
        <v>Waiting</v>
      </c>
      <c r="AH99" s="49"/>
      <c r="AI99" s="37"/>
      <c r="AJ99" s="181"/>
      <c r="AK99" s="40"/>
      <c r="AL99" s="40"/>
      <c r="AM99" s="40"/>
      <c r="AN99" s="39" t="s">
        <v>479</v>
      </c>
      <c r="AO99" s="34"/>
      <c r="AP99" s="37"/>
      <c r="AQ99" s="37"/>
      <c r="AR99" s="37"/>
      <c r="AS99" s="37"/>
      <c r="AT99" s="37">
        <f>AS99-AD99</f>
        <v>0</v>
      </c>
      <c r="AU99" s="36" t="str">
        <f>IF(AR99=0,"Waiting",IF(AR99&lt;AH99,"Kurang",IF(AR99=AH99,"Sesuai",IF(AR99&gt;AH99,"Over Shared"))))</f>
        <v>Waiting</v>
      </c>
      <c r="AV99" s="37"/>
      <c r="AW99" s="37" t="str">
        <f>IFERROR(DATEDIF(AH99,AK99,"d"),"0")&amp;"-DAY"</f>
        <v>0-DAY</v>
      </c>
      <c r="AX99" s="37" t="str">
        <f>IFERROR(DATEDIF(B99,AB99,"d"),"0")&amp;"-DAY"</f>
        <v>0-DAY</v>
      </c>
      <c r="AY99" s="37"/>
      <c r="AZ99" s="181">
        <f>L99-AD99</f>
        <v>3</v>
      </c>
    </row>
    <row r="100" spans="1:52" ht="15.5" hidden="1" customHeight="1">
      <c r="A100" s="360" t="s">
        <v>372</v>
      </c>
      <c r="B100" s="340">
        <v>46223</v>
      </c>
      <c r="C100" s="181">
        <v>48275</v>
      </c>
      <c r="D100" s="30">
        <v>46223</v>
      </c>
      <c r="E100" s="30">
        <v>46220</v>
      </c>
      <c r="F100" s="30">
        <v>46228</v>
      </c>
      <c r="G100" s="37">
        <v>4420229633</v>
      </c>
      <c r="H100" s="37" t="s">
        <v>373</v>
      </c>
      <c r="I100" s="37">
        <v>9040044080</v>
      </c>
      <c r="J100" s="37" t="s">
        <v>70</v>
      </c>
      <c r="K100" s="325" t="s">
        <v>71</v>
      </c>
      <c r="L100" s="181">
        <v>4</v>
      </c>
      <c r="M100" s="181" t="s">
        <v>425</v>
      </c>
      <c r="N100" s="37" t="s">
        <v>399</v>
      </c>
      <c r="O100" s="31">
        <f>IF(F100&gt;0,F100-AB100,"")</f>
        <v>46228</v>
      </c>
      <c r="P100" s="37" t="str">
        <f>IF(F100&gt;0,IF(AB100="","PLANNING SUPPLY",IF(AB100&lt;=F100,"ONTIME DELIVERY","DELAY")),"")</f>
        <v>PLANNING SUPPLY</v>
      </c>
      <c r="Q100" s="181" t="str">
        <f>IFERROR(IF(J100&gt;0,VLOOKUP(J100,#REF!,MATCH($Q$6,#REF!,0),0),""),"")</f>
        <v/>
      </c>
      <c r="R100" s="181" t="str">
        <f>IFERROR(IF(J100&gt;0,VLOOKUP(J100,#REF!,MATCH($R$6,#REF!,0),0),""),"")</f>
        <v/>
      </c>
      <c r="S100" s="181" t="e">
        <f>IF(I103&gt;0,Q100+R100,"")</f>
        <v>#VALUE!</v>
      </c>
      <c r="T100" s="181"/>
      <c r="U100" s="181"/>
      <c r="V100" s="37"/>
      <c r="W100" s="181" t="e">
        <f>IF(I103&gt;0,IF(S100&gt;L100,"READY STOCK",IF(S100=0,"OUT OF STOCK",IF(S100&lt;L100,"LOW STOCK",""))),"")</f>
        <v>#VALUE!</v>
      </c>
      <c r="X100" s="38"/>
      <c r="Y100" s="38"/>
      <c r="Z100" s="38"/>
      <c r="AA100" s="38"/>
      <c r="AB100" s="50"/>
      <c r="AC100" s="181"/>
      <c r="AD100" s="51"/>
      <c r="AE100" s="37"/>
      <c r="AF100" s="37"/>
      <c r="AG100" s="33" t="str">
        <f>IF(G100&gt;0,IF(AD100&gt;0,IF(AD100=0,"Waiting",IF(AD100&lt;L100,"Partial",IF(AD100=L100,"Full Supply",IF(AD100&gt;L100,"Over Shared")))),"Waiting"),"")</f>
        <v>Waiting</v>
      </c>
      <c r="AH100" s="49"/>
      <c r="AI100" s="37"/>
      <c r="AJ100" s="181"/>
      <c r="AK100" s="40"/>
      <c r="AL100" s="40"/>
      <c r="AM100" s="40"/>
      <c r="AN100" s="39" t="s">
        <v>480</v>
      </c>
      <c r="AO100" s="34"/>
      <c r="AP100" s="37"/>
      <c r="AQ100" s="37"/>
      <c r="AR100" s="37"/>
      <c r="AS100" s="37"/>
      <c r="AT100" s="37">
        <f>AS100-AD100</f>
        <v>0</v>
      </c>
      <c r="AU100" s="36" t="str">
        <f>IF(AR100=0,"Waiting",IF(AR100&lt;AH100,"Kurang",IF(AR100=AH100,"Sesuai",IF(AR100&gt;AH100,"Over Shared"))))</f>
        <v>Waiting</v>
      </c>
      <c r="AV100" s="37"/>
      <c r="AW100" s="37" t="str">
        <f>IFERROR(DATEDIF(AH100,AK100,"d"),"0")&amp;"-DAY"</f>
        <v>0-DAY</v>
      </c>
      <c r="AX100" s="37" t="str">
        <f>IFERROR(DATEDIF(B100,AB100,"d"),"0")&amp;"-DAY"</f>
        <v>0-DAY</v>
      </c>
      <c r="AY100" s="37"/>
      <c r="AZ100" s="181">
        <f>L100-AD100</f>
        <v>4</v>
      </c>
    </row>
    <row r="101" spans="1:52" ht="15.5" hidden="1" customHeight="1">
      <c r="A101" s="360" t="s">
        <v>372</v>
      </c>
      <c r="B101" s="340">
        <v>46223</v>
      </c>
      <c r="C101" s="181">
        <v>48278</v>
      </c>
      <c r="D101" s="30">
        <v>46223</v>
      </c>
      <c r="E101" s="30">
        <v>46219</v>
      </c>
      <c r="F101" s="30">
        <v>46239</v>
      </c>
      <c r="G101" s="37">
        <v>4420229531</v>
      </c>
      <c r="H101" s="37" t="s">
        <v>373</v>
      </c>
      <c r="I101" s="37">
        <v>9040008107</v>
      </c>
      <c r="J101" s="37" t="s">
        <v>227</v>
      </c>
      <c r="K101" s="325" t="s">
        <v>228</v>
      </c>
      <c r="L101" s="181">
        <v>10</v>
      </c>
      <c r="M101" s="181" t="s">
        <v>446</v>
      </c>
      <c r="N101" s="37" t="s">
        <v>451</v>
      </c>
      <c r="O101" s="31">
        <f>IF(F101&gt;0,F101-AB101,"")</f>
        <v>-49</v>
      </c>
      <c r="P101" s="37" t="str">
        <f>IF(F101&gt;0,IF(AB101="","PLANNING SUPPLY",IF(AB101&lt;=F101,"ONTIME DELIVERY","DELAY")),"")</f>
        <v>DELAY</v>
      </c>
      <c r="Q101" s="181" t="str">
        <f>IFERROR(IF(J101&gt;0,VLOOKUP(J101,#REF!,MATCH($Q$6,#REF!,0),0),""),"")</f>
        <v/>
      </c>
      <c r="R101" s="181" t="str">
        <f>IFERROR(IF(J101&gt;0,VLOOKUP(J101,#REF!,MATCH($R$6,#REF!,0),0),""),"")</f>
        <v/>
      </c>
      <c r="S101" s="181" t="e">
        <f>IF(I104&gt;0,Q101+R101,"")</f>
        <v>#VALUE!</v>
      </c>
      <c r="T101" s="181"/>
      <c r="U101" s="181"/>
      <c r="V101" s="37"/>
      <c r="W101" s="181" t="e">
        <f>IF(I101&gt;0,IF(S101&gt;L101,"READY STOCK",IF(S101=0,"OUT OF STOCK",IF(S101&lt;L101,"LOW STOCK",""))),"")</f>
        <v>#VALUE!</v>
      </c>
      <c r="X101" s="38"/>
      <c r="Y101" s="38"/>
      <c r="Z101" s="38"/>
      <c r="AA101" s="38"/>
      <c r="AB101" s="50">
        <v>46288</v>
      </c>
      <c r="AC101" s="181">
        <v>34491</v>
      </c>
      <c r="AD101" s="51">
        <v>10</v>
      </c>
      <c r="AE101" s="37" t="s">
        <v>383</v>
      </c>
      <c r="AF101" s="37" t="s">
        <v>381</v>
      </c>
      <c r="AG101" s="33" t="str">
        <f>IF(G101&gt;0,IF(AD101&gt;0,IF(AD101=0,"Waiting",IF(AD101&lt;L101,"Partial",IF(AD101=L101,"Full Supply",IF(AD101&gt;L101,"Over Shared")))),"Waiting"),"")</f>
        <v>Full Supply</v>
      </c>
      <c r="AH101" s="49"/>
      <c r="AI101" s="37"/>
      <c r="AJ101" s="181"/>
      <c r="AK101" s="40"/>
      <c r="AL101" s="40"/>
      <c r="AM101" s="40"/>
      <c r="AN101" s="39" t="s">
        <v>459</v>
      </c>
      <c r="AO101" s="34"/>
      <c r="AP101" s="37"/>
      <c r="AQ101" s="37"/>
      <c r="AR101" s="37"/>
      <c r="AS101" s="37"/>
      <c r="AT101" s="37">
        <f>AS101-AD101</f>
        <v>-10</v>
      </c>
      <c r="AU101" s="36" t="str">
        <f>IF(AR101=0,"Waiting",IF(AR101&lt;AH101,"Kurang",IF(AR101=AH101,"Sesuai",IF(AR101&gt;AH101,"Over Shared"))))</f>
        <v>Waiting</v>
      </c>
      <c r="AV101" s="37"/>
      <c r="AW101" s="37" t="str">
        <f>IFERROR(DATEDIF(AH101,AK101,"d"),"0")&amp;"-DAY"</f>
        <v>0-DAY</v>
      </c>
      <c r="AX101" s="37" t="str">
        <f>IFERROR(DATEDIF(B101,AB101,"d"),"0")&amp;"-DAY"</f>
        <v>65-DAY</v>
      </c>
      <c r="AY101" s="37"/>
      <c r="AZ101" s="181">
        <f>L101-AD101</f>
        <v>0</v>
      </c>
    </row>
    <row r="102" spans="1:52" ht="15.5" hidden="1" customHeight="1">
      <c r="A102" s="360" t="s">
        <v>372</v>
      </c>
      <c r="B102" s="340">
        <v>46223</v>
      </c>
      <c r="C102" s="181">
        <v>48278</v>
      </c>
      <c r="D102" s="30">
        <v>46223</v>
      </c>
      <c r="E102" s="30">
        <v>46219</v>
      </c>
      <c r="F102" s="30">
        <v>46239</v>
      </c>
      <c r="G102" s="37">
        <v>4420229531</v>
      </c>
      <c r="H102" s="37" t="s">
        <v>373</v>
      </c>
      <c r="I102" s="37">
        <v>9040040588</v>
      </c>
      <c r="J102" s="37" t="s">
        <v>76</v>
      </c>
      <c r="K102" s="325" t="s">
        <v>77</v>
      </c>
      <c r="L102" s="181">
        <v>600</v>
      </c>
      <c r="M102" s="181" t="s">
        <v>425</v>
      </c>
      <c r="N102" s="37" t="s">
        <v>451</v>
      </c>
      <c r="O102" s="31">
        <f>IF(F102&gt;0,F102-AB102,"")</f>
        <v>-70</v>
      </c>
      <c r="P102" s="37" t="str">
        <f>IF(F102&gt;0,IF(AB102="","PLANNING SUPPLY",IF(AB102&lt;=F102,"ONTIME DELIVERY","DELAY")),"")</f>
        <v>DELAY</v>
      </c>
      <c r="Q102" s="181" t="str">
        <f>IFERROR(IF(J102&gt;0,VLOOKUP(J102,#REF!,MATCH($Q$6,#REF!,0),0),""),"")</f>
        <v/>
      </c>
      <c r="R102" s="181" t="str">
        <f>IFERROR(IF(J102&gt;0,VLOOKUP(J102,#REF!,MATCH($R$6,#REF!,0),0),""),"")</f>
        <v/>
      </c>
      <c r="S102" s="181" t="e">
        <f>IF(I105&gt;0,Q102+R102,"")</f>
        <v>#VALUE!</v>
      </c>
      <c r="T102" s="181"/>
      <c r="U102" s="181"/>
      <c r="V102" s="37"/>
      <c r="W102" s="181" t="e">
        <f>IF(I105&gt;0,IF(S102&gt;L102,"READY STOCK",IF(S102=0,"OUT OF STOCK",IF(S102&lt;L102,"LOW STOCK",""))),"")</f>
        <v>#VALUE!</v>
      </c>
      <c r="X102" s="38"/>
      <c r="Y102" s="38"/>
      <c r="Z102" s="38"/>
      <c r="AA102" s="38"/>
      <c r="AB102" s="52">
        <v>46309</v>
      </c>
      <c r="AC102" s="181" t="s">
        <v>460</v>
      </c>
      <c r="AD102" s="53">
        <f>211+389</f>
        <v>600</v>
      </c>
      <c r="AE102" s="54" t="s">
        <v>387</v>
      </c>
      <c r="AF102" s="37" t="s">
        <v>381</v>
      </c>
      <c r="AG102" s="33" t="str">
        <f>IF(G102&gt;0,IF(AD102&gt;0,IF(AD102=0,"Waiting",IF(AD102&lt;L102,"Partial",IF(AD102=L102,"Full Supply",IF(AD102&gt;L102,"Over Shared")))),"Waiting"),"")</f>
        <v>Full Supply</v>
      </c>
      <c r="AH102" s="49">
        <v>46225</v>
      </c>
      <c r="AI102" s="37" t="s">
        <v>461</v>
      </c>
      <c r="AJ102" s="181">
        <v>600</v>
      </c>
      <c r="AK102" s="40">
        <v>25929</v>
      </c>
      <c r="AL102" s="42">
        <v>46245</v>
      </c>
      <c r="AM102" s="40">
        <v>200</v>
      </c>
      <c r="AN102" s="37"/>
      <c r="AO102" s="48">
        <v>46254</v>
      </c>
      <c r="AP102" s="37"/>
      <c r="AQ102" s="37"/>
      <c r="AR102" s="37"/>
      <c r="AS102" s="37"/>
      <c r="AT102" s="37">
        <f>AS102-AD102</f>
        <v>-600</v>
      </c>
      <c r="AU102" s="36" t="str">
        <f>IF(AR102=0,"Waiting",IF(AR102&lt;AH102,"Kurang",IF(AR102=AH102,"Sesuai",IF(AR102&gt;AH102,"Over Shared"))))</f>
        <v>Waiting</v>
      </c>
      <c r="AV102" s="37"/>
      <c r="AW102" s="37" t="str">
        <f>IFERROR(DATEDIF(AH102,AK102,"d"),"0")&amp;"-DAY"</f>
        <v>0-DAY</v>
      </c>
      <c r="AX102" s="37" t="str">
        <f>IFERROR(DATEDIF(B102,AB102,"d"),"0")&amp;"-DAY"</f>
        <v>86-DAY</v>
      </c>
      <c r="AY102" s="37"/>
      <c r="AZ102" s="181">
        <f>L102-AD102</f>
        <v>0</v>
      </c>
    </row>
    <row r="103" spans="1:52" ht="15.5" hidden="1" customHeight="1">
      <c r="A103" s="360" t="s">
        <v>372</v>
      </c>
      <c r="B103" s="340">
        <v>46223</v>
      </c>
      <c r="C103" s="181">
        <v>48278</v>
      </c>
      <c r="D103" s="30">
        <v>46223</v>
      </c>
      <c r="E103" s="30">
        <v>46219</v>
      </c>
      <c r="F103" s="30">
        <v>46239</v>
      </c>
      <c r="G103" s="37">
        <v>4420229531</v>
      </c>
      <c r="H103" s="37" t="s">
        <v>373</v>
      </c>
      <c r="I103" s="37">
        <v>9040009482</v>
      </c>
      <c r="J103" s="37" t="s">
        <v>233</v>
      </c>
      <c r="K103" s="325" t="s">
        <v>234</v>
      </c>
      <c r="L103" s="181">
        <v>10</v>
      </c>
      <c r="M103" s="181" t="s">
        <v>446</v>
      </c>
      <c r="N103" s="37" t="s">
        <v>451</v>
      </c>
      <c r="O103" s="31">
        <f>IF(F103&gt;0,F103-AB103,"")</f>
        <v>-49</v>
      </c>
      <c r="P103" s="37" t="str">
        <f>IF(F103&gt;0,IF(AB103="","PLANNING SUPPLY",IF(AB103&lt;=F103,"ONTIME DELIVERY","DELAY")),"")</f>
        <v>DELAY</v>
      </c>
      <c r="Q103" s="181" t="str">
        <f>IFERROR(IF(J103&gt;0,VLOOKUP(J103,#REF!,MATCH($Q$6,#REF!,0),0),""),"")</f>
        <v/>
      </c>
      <c r="R103" s="181" t="str">
        <f>IFERROR(IF(J103&gt;0,VLOOKUP(J103,#REF!,MATCH($R$6,#REF!,0),0),""),"")</f>
        <v/>
      </c>
      <c r="S103" s="181" t="e">
        <f>IF(I106&gt;0,Q103+R103,"")</f>
        <v>#VALUE!</v>
      </c>
      <c r="T103" s="181"/>
      <c r="U103" s="181"/>
      <c r="V103" s="37"/>
      <c r="W103" s="181" t="e">
        <f>IF(I106&gt;0,IF(S103&gt;L103,"READY STOCK",IF(S103=0,"OUT OF STOCK",IF(S103&lt;L103,"LOW STOCK",""))),"")</f>
        <v>#VALUE!</v>
      </c>
      <c r="X103" s="38"/>
      <c r="Y103" s="38"/>
      <c r="Z103" s="38"/>
      <c r="AA103" s="38"/>
      <c r="AB103" s="50">
        <v>46288</v>
      </c>
      <c r="AC103" s="181">
        <v>34491</v>
      </c>
      <c r="AD103" s="51">
        <v>10</v>
      </c>
      <c r="AE103" s="37" t="s">
        <v>383</v>
      </c>
      <c r="AF103" s="37" t="s">
        <v>381</v>
      </c>
      <c r="AG103" s="33" t="str">
        <f>IF(G103&gt;0,IF(AD103&gt;0,IF(AD103=0,"Waiting",IF(AD103&lt;L103,"Partial",IF(AD103=L103,"Full Supply",IF(AD103&gt;L103,"Over Shared")))),"Waiting"),"")</f>
        <v>Full Supply</v>
      </c>
      <c r="AH103" s="49"/>
      <c r="AI103" s="37"/>
      <c r="AJ103" s="181"/>
      <c r="AK103" s="40">
        <v>25756</v>
      </c>
      <c r="AL103" s="218">
        <v>46235</v>
      </c>
      <c r="AM103" s="40">
        <v>10</v>
      </c>
      <c r="AN103" s="37" t="s">
        <v>464</v>
      </c>
      <c r="AO103" s="55"/>
      <c r="AP103" s="37"/>
      <c r="AQ103" s="37"/>
      <c r="AR103" s="37"/>
      <c r="AS103" s="37"/>
      <c r="AT103" s="37">
        <f>AS103-AD103</f>
        <v>-10</v>
      </c>
      <c r="AU103" s="36" t="str">
        <f>IF(AR103=0,"Waiting",IF(AR103&lt;AH103,"Kurang",IF(AR103=AH103,"Sesuai",IF(AR103&gt;AH103,"Over Shared"))))</f>
        <v>Waiting</v>
      </c>
      <c r="AV103" s="37"/>
      <c r="AW103" s="37" t="str">
        <f>IFERROR(DATEDIF(AH103,AK103,"d"),"0")&amp;"-DAY"</f>
        <v>25756-DAY</v>
      </c>
      <c r="AX103" s="37" t="str">
        <f>IFERROR(DATEDIF(B103,AB103,"d"),"0")&amp;"-DAY"</f>
        <v>65-DAY</v>
      </c>
      <c r="AY103" s="37"/>
      <c r="AZ103" s="181">
        <f>L103-AD103</f>
        <v>0</v>
      </c>
    </row>
    <row r="104" spans="1:52" ht="15.5" hidden="1" customHeight="1">
      <c r="A104" s="360" t="s">
        <v>372</v>
      </c>
      <c r="B104" s="340">
        <v>46223</v>
      </c>
      <c r="C104" s="181">
        <v>48278</v>
      </c>
      <c r="D104" s="30">
        <v>46223</v>
      </c>
      <c r="E104" s="30">
        <v>46219</v>
      </c>
      <c r="F104" s="30">
        <v>46239</v>
      </c>
      <c r="G104" s="37">
        <v>4420229531</v>
      </c>
      <c r="H104" s="37" t="s">
        <v>373</v>
      </c>
      <c r="I104" s="37">
        <v>9040009482</v>
      </c>
      <c r="J104" s="37" t="s">
        <v>233</v>
      </c>
      <c r="K104" s="325" t="s">
        <v>234</v>
      </c>
      <c r="L104" s="181">
        <v>4</v>
      </c>
      <c r="M104" s="181" t="s">
        <v>446</v>
      </c>
      <c r="N104" s="37" t="s">
        <v>451</v>
      </c>
      <c r="O104" s="31">
        <f>IF(F104&gt;0,F104-AB104,"")</f>
        <v>-49</v>
      </c>
      <c r="P104" s="37" t="str">
        <f>IF(F104&gt;0,IF(AB104="","PLANNING SUPPLY",IF(AB104&lt;=F104,"ONTIME DELIVERY","DELAY")),"")</f>
        <v>DELAY</v>
      </c>
      <c r="Q104" s="181" t="str">
        <f>IFERROR(IF(J104&gt;0,VLOOKUP(J104,#REF!,MATCH($Q$6,#REF!,0),0),""),"")</f>
        <v/>
      </c>
      <c r="R104" s="181" t="str">
        <f>IFERROR(IF(J104&gt;0,VLOOKUP(J104,#REF!,MATCH($R$6,#REF!,0),0),""),"")</f>
        <v/>
      </c>
      <c r="S104" s="181" t="e">
        <f>IF(I107&gt;0,Q104+R104,"")</f>
        <v>#VALUE!</v>
      </c>
      <c r="T104" s="181"/>
      <c r="U104" s="181"/>
      <c r="V104" s="37"/>
      <c r="W104" s="181" t="e">
        <f>IF(I107&gt;0,IF(S104&gt;L104,"READY STOCK",IF(S104=0,"OUT OF STOCK",IF(S104&lt;L104,"LOW STOCK",""))),"")</f>
        <v>#VALUE!</v>
      </c>
      <c r="X104" s="38"/>
      <c r="Y104" s="38"/>
      <c r="Z104" s="38"/>
      <c r="AA104" s="38"/>
      <c r="AB104" s="50">
        <v>46288</v>
      </c>
      <c r="AC104" s="181">
        <v>34491</v>
      </c>
      <c r="AD104" s="51">
        <v>4</v>
      </c>
      <c r="AE104" s="37" t="s">
        <v>383</v>
      </c>
      <c r="AF104" s="37" t="s">
        <v>381</v>
      </c>
      <c r="AG104" s="33" t="str">
        <f>IF(G104&gt;0,IF(AD104&gt;0,IF(AD104=0,"Waiting",IF(AD104&lt;L104,"Partial",IF(AD104=L104,"Full Supply",IF(AD104&gt;L104,"Over Shared")))),"Waiting"),"")</f>
        <v>Full Supply</v>
      </c>
      <c r="AH104" s="56"/>
      <c r="AI104" s="37"/>
      <c r="AJ104" s="181"/>
      <c r="AK104" s="40"/>
      <c r="AL104" s="40"/>
      <c r="AM104" s="40"/>
      <c r="AN104" s="37"/>
      <c r="AO104" s="34"/>
      <c r="AP104" s="37"/>
      <c r="AQ104" s="37"/>
      <c r="AR104" s="37"/>
      <c r="AS104" s="37"/>
      <c r="AT104" s="37">
        <f>AS104-AD104</f>
        <v>-4</v>
      </c>
      <c r="AU104" s="36" t="str">
        <f>IF(AR104=0,"Waiting",IF(AR104&lt;AH104,"Kurang",IF(AR104=AH104,"Sesuai",IF(AR104&gt;AH104,"Over Shared"))))</f>
        <v>Waiting</v>
      </c>
      <c r="AV104" s="37"/>
      <c r="AW104" s="37" t="str">
        <f>IFERROR(DATEDIF(AH104,AK104,"d"),"0")&amp;"-DAY"</f>
        <v>0-DAY</v>
      </c>
      <c r="AX104" s="37" t="str">
        <f>IFERROR(DATEDIF(B104,AB104,"d"),"0")&amp;"-DAY"</f>
        <v>65-DAY</v>
      </c>
      <c r="AY104" s="37"/>
      <c r="AZ104" s="181">
        <f>L104-AD104</f>
        <v>0</v>
      </c>
    </row>
    <row r="105" spans="1:52" ht="15.5" hidden="1" customHeight="1">
      <c r="A105" s="360" t="s">
        <v>372</v>
      </c>
      <c r="B105" s="340">
        <v>46223</v>
      </c>
      <c r="C105" s="181">
        <v>48278</v>
      </c>
      <c r="D105" s="30">
        <v>46223</v>
      </c>
      <c r="E105" s="30">
        <v>46219</v>
      </c>
      <c r="F105" s="30">
        <v>46239</v>
      </c>
      <c r="G105" s="37">
        <v>4420229531</v>
      </c>
      <c r="H105" s="37" t="s">
        <v>373</v>
      </c>
      <c r="I105" s="37">
        <v>9040014955</v>
      </c>
      <c r="J105" s="37" t="s">
        <v>27</v>
      </c>
      <c r="K105" s="325" t="s">
        <v>28</v>
      </c>
      <c r="L105" s="181">
        <v>1</v>
      </c>
      <c r="M105" s="181" t="s">
        <v>425</v>
      </c>
      <c r="N105" s="37" t="s">
        <v>451</v>
      </c>
      <c r="O105" s="31">
        <f>IF(F105&gt;0,F105-AB105,"")</f>
        <v>13</v>
      </c>
      <c r="P105" s="37" t="str">
        <f>IF(F105&gt;0,IF(AB105="","PLANNING SUPPLY",IF(AB105&lt;=F105,"ONTIME DELIVERY","DELAY")),"")</f>
        <v>ONTIME DELIVERY</v>
      </c>
      <c r="Q105" s="181" t="str">
        <f>IFERROR(IF(J105&gt;0,VLOOKUP(J105,#REF!,MATCH($Q$6,#REF!,0),0),""),"")</f>
        <v/>
      </c>
      <c r="R105" s="181" t="str">
        <f>IFERROR(IF(J105&gt;0,VLOOKUP(J105,#REF!,MATCH($R$6,#REF!,0),0),""),"")</f>
        <v/>
      </c>
      <c r="S105" s="181" t="e">
        <f>IF(I108&gt;0,Q105+R105,"")</f>
        <v>#VALUE!</v>
      </c>
      <c r="T105" s="181"/>
      <c r="U105" s="181"/>
      <c r="V105" s="37"/>
      <c r="W105" s="181" t="e">
        <f>IF(I108&gt;0,IF(S105&gt;L105,"READY STOCK",IF(S105=0,"OUT OF STOCK",IF(S105&lt;L105,"LOW STOCK",""))),"")</f>
        <v>#VALUE!</v>
      </c>
      <c r="X105" s="38"/>
      <c r="Y105" s="38"/>
      <c r="Z105" s="38"/>
      <c r="AA105" s="38"/>
      <c r="AB105" s="50">
        <v>46226</v>
      </c>
      <c r="AC105" s="181">
        <v>33136</v>
      </c>
      <c r="AD105" s="51">
        <v>1</v>
      </c>
      <c r="AE105" s="37" t="s">
        <v>383</v>
      </c>
      <c r="AF105" s="37" t="s">
        <v>381</v>
      </c>
      <c r="AG105" s="33" t="str">
        <f>IF(G105&gt;0,IF(AD105&gt;0,IF(AD105=0,"Waiting",IF(AD105&lt;L105,"Partial",IF(AD105=L105,"Full Supply",IF(AD105&gt;L105,"Over Shared")))),"Waiting"),"")</f>
        <v>Full Supply</v>
      </c>
      <c r="AH105" s="37"/>
      <c r="AI105" s="37"/>
      <c r="AJ105" s="181"/>
      <c r="AK105" s="40"/>
      <c r="AL105" s="40"/>
      <c r="AM105" s="40"/>
      <c r="AN105" s="37"/>
      <c r="AO105" s="34"/>
      <c r="AP105" s="37"/>
      <c r="AQ105" s="37"/>
      <c r="AR105" s="37"/>
      <c r="AS105" s="37"/>
      <c r="AT105" s="37">
        <f>AS105-AD105</f>
        <v>-1</v>
      </c>
      <c r="AU105" s="36" t="str">
        <f>IF(AR105=0,"Waiting",IF(AR105&lt;AH105,"Kurang",IF(AR105=AH105,"Sesuai",IF(AR105&gt;AH105,"Over Shared"))))</f>
        <v>Waiting</v>
      </c>
      <c r="AV105" s="37"/>
      <c r="AW105" s="37" t="str">
        <f>IFERROR(DATEDIF(AH105,AK105,"d"),"0")&amp;"-DAY"</f>
        <v>0-DAY</v>
      </c>
      <c r="AX105" s="37" t="str">
        <f>IFERROR(DATEDIF(B105,AB105,"d"),"0")&amp;"-DAY"</f>
        <v>3-DAY</v>
      </c>
      <c r="AY105" s="37"/>
      <c r="AZ105" s="181">
        <f>L105-AD105</f>
        <v>0</v>
      </c>
    </row>
    <row r="106" spans="1:52" ht="15.5" hidden="1" customHeight="1">
      <c r="A106" s="360" t="s">
        <v>372</v>
      </c>
      <c r="B106" s="340">
        <v>46223</v>
      </c>
      <c r="C106" s="181">
        <v>48278</v>
      </c>
      <c r="D106" s="30">
        <v>46223</v>
      </c>
      <c r="E106" s="30">
        <v>46219</v>
      </c>
      <c r="F106" s="30">
        <v>46239</v>
      </c>
      <c r="G106" s="37">
        <v>4420229531</v>
      </c>
      <c r="H106" s="37" t="s">
        <v>373</v>
      </c>
      <c r="I106" s="37">
        <v>9040016582</v>
      </c>
      <c r="J106" s="37" t="s">
        <v>183</v>
      </c>
      <c r="K106" s="325" t="s">
        <v>184</v>
      </c>
      <c r="L106" s="181">
        <v>1</v>
      </c>
      <c r="M106" s="181" t="s">
        <v>425</v>
      </c>
      <c r="N106" s="37" t="s">
        <v>451</v>
      </c>
      <c r="O106" s="31">
        <f>IF(F106&gt;0,F106-AB106,"")</f>
        <v>13</v>
      </c>
      <c r="P106" s="37" t="str">
        <f>IF(F106&gt;0,IF(AB106="","PLANNING SUPPLY",IF(AB106&lt;=F106,"ONTIME DELIVERY","DELAY")),"")</f>
        <v>ONTIME DELIVERY</v>
      </c>
      <c r="Q106" s="181" t="str">
        <f>IFERROR(IF(J106&gt;0,VLOOKUP(J106,#REF!,MATCH($Q$6,#REF!,0),0),""),"")</f>
        <v/>
      </c>
      <c r="R106" s="181" t="str">
        <f>IFERROR(IF(J106&gt;0,VLOOKUP(J106,#REF!,MATCH($R$6,#REF!,0),0),""),"")</f>
        <v/>
      </c>
      <c r="S106" s="181" t="e">
        <f>IF(I109&gt;0,Q106+R106,"")</f>
        <v>#VALUE!</v>
      </c>
      <c r="T106" s="181"/>
      <c r="U106" s="181"/>
      <c r="V106" s="37"/>
      <c r="W106" s="181" t="e">
        <f>IF(I109&gt;0,IF(S106&gt;L106,"READY STOCK",IF(S106=0,"OUT OF STOCK",IF(S106&lt;L106,"LOW STOCK",""))),"")</f>
        <v>#VALUE!</v>
      </c>
      <c r="X106" s="38"/>
      <c r="Y106" s="38"/>
      <c r="Z106" s="38"/>
      <c r="AA106" s="38"/>
      <c r="AB106" s="50">
        <v>46226</v>
      </c>
      <c r="AC106" s="181">
        <v>33136</v>
      </c>
      <c r="AD106" s="51">
        <v>1</v>
      </c>
      <c r="AE106" s="37" t="s">
        <v>383</v>
      </c>
      <c r="AF106" s="37" t="s">
        <v>381</v>
      </c>
      <c r="AG106" s="33" t="str">
        <f>IF(G106&gt;0,IF(AD106&gt;0,IF(AD106=0,"Waiting",IF(AD106&lt;L106,"Partial",IF(AD106=L106,"Full Supply",IF(AD106&gt;L106,"Over Shared")))),"Waiting"),"")</f>
        <v>Full Supply</v>
      </c>
      <c r="AH106" s="37"/>
      <c r="AI106" s="37"/>
      <c r="AJ106" s="181"/>
      <c r="AK106" s="40"/>
      <c r="AL106" s="40"/>
      <c r="AM106" s="40"/>
      <c r="AN106" s="37"/>
      <c r="AO106" s="34"/>
      <c r="AP106" s="37"/>
      <c r="AQ106" s="37"/>
      <c r="AR106" s="37"/>
      <c r="AS106" s="37"/>
      <c r="AT106" s="37">
        <f>AS106-AD106</f>
        <v>-1</v>
      </c>
      <c r="AU106" s="36" t="str">
        <f>IF(AR106=0,"Waiting",IF(AR106&lt;AH106,"Kurang",IF(AR106=AH106,"Sesuai",IF(AR106&gt;AH106,"Over Shared"))))</f>
        <v>Waiting</v>
      </c>
      <c r="AV106" s="37"/>
      <c r="AW106" s="37" t="str">
        <f>IFERROR(DATEDIF(AH106,AK106,"d"),"0")&amp;"-DAY"</f>
        <v>0-DAY</v>
      </c>
      <c r="AX106" s="37" t="str">
        <f>IFERROR(DATEDIF(B106,AB106,"d"),"0")&amp;"-DAY"</f>
        <v>3-DAY</v>
      </c>
      <c r="AY106" s="37"/>
      <c r="AZ106" s="181">
        <f>L106-AD106</f>
        <v>0</v>
      </c>
    </row>
    <row r="107" spans="1:52" ht="15.5" hidden="1" customHeight="1">
      <c r="A107" s="360" t="s">
        <v>372</v>
      </c>
      <c r="B107" s="340">
        <v>46223</v>
      </c>
      <c r="C107" s="181">
        <v>48278</v>
      </c>
      <c r="D107" s="30">
        <v>46223</v>
      </c>
      <c r="E107" s="30">
        <v>46219</v>
      </c>
      <c r="F107" s="30">
        <v>46239</v>
      </c>
      <c r="G107" s="37">
        <v>4420229531</v>
      </c>
      <c r="H107" s="37" t="s">
        <v>373</v>
      </c>
      <c r="I107" s="37">
        <v>9040012343</v>
      </c>
      <c r="J107" s="37" t="s">
        <v>303</v>
      </c>
      <c r="K107" s="325" t="s">
        <v>304</v>
      </c>
      <c r="L107" s="181">
        <v>7</v>
      </c>
      <c r="M107" s="181" t="s">
        <v>425</v>
      </c>
      <c r="N107" s="37" t="s">
        <v>451</v>
      </c>
      <c r="O107" s="31">
        <f>IF(F107&gt;0,F107-AB107,"")</f>
        <v>2</v>
      </c>
      <c r="P107" s="37" t="str">
        <f>IF(F107&gt;0,IF(AB107="","PLANNING SUPPLY",IF(AB107&lt;=F107,"ONTIME DELIVERY","DELAY")),"")</f>
        <v>ONTIME DELIVERY</v>
      </c>
      <c r="Q107" s="181" t="str">
        <f>IFERROR(IF(J107&gt;0,VLOOKUP(J107,#REF!,MATCH($Q$6,#REF!,0),0),""),"")</f>
        <v/>
      </c>
      <c r="R107" s="181" t="str">
        <f>IFERROR(IF(J107&gt;0,VLOOKUP(J107,#REF!,MATCH($R$6,#REF!,0),0),""),"")</f>
        <v/>
      </c>
      <c r="S107" s="181" t="e">
        <f>IF(I110&gt;0,Q107+R107,"")</f>
        <v>#VALUE!</v>
      </c>
      <c r="T107" s="181"/>
      <c r="U107" s="181"/>
      <c r="V107" s="37"/>
      <c r="W107" s="181" t="e">
        <f>IF(I107&gt;0,IF(S107&gt;L107,"READY STOCK",IF(S107=0,"OUT OF STOCK",IF(S107&lt;L107,"LOW STOCK",""))),"")</f>
        <v>#VALUE!</v>
      </c>
      <c r="X107" s="38"/>
      <c r="Y107" s="38"/>
      <c r="Z107" s="38"/>
      <c r="AA107" s="38"/>
      <c r="AB107" s="50">
        <v>46237</v>
      </c>
      <c r="AC107" s="181">
        <v>33343</v>
      </c>
      <c r="AD107" s="51">
        <v>7</v>
      </c>
      <c r="AE107" s="37" t="s">
        <v>383</v>
      </c>
      <c r="AF107" s="37" t="s">
        <v>381</v>
      </c>
      <c r="AG107" s="33" t="str">
        <f>IF(G107&gt;0,IF(AD107&gt;0,IF(AD107=0,"Waiting",IF(AD107&lt;L107,"Partial",IF(AD107=L107,"Full Supply",IF(AD107&gt;L107,"Over Shared")))),"Waiting"),"")</f>
        <v>Full Supply</v>
      </c>
      <c r="AH107" s="37"/>
      <c r="AI107" s="37"/>
      <c r="AJ107" s="181"/>
      <c r="AK107" s="40"/>
      <c r="AL107" s="40"/>
      <c r="AM107" s="40"/>
      <c r="AN107" s="37"/>
      <c r="AO107" s="34"/>
      <c r="AP107" s="37"/>
      <c r="AQ107" s="37"/>
      <c r="AR107" s="37"/>
      <c r="AS107" s="37"/>
      <c r="AT107" s="37">
        <f>AS107-AD107</f>
        <v>-7</v>
      </c>
      <c r="AU107" s="36" t="str">
        <f>IF(AR107=0,"Waiting",IF(AR107&lt;AH107,"Kurang",IF(AR107=AH107,"Sesuai",IF(AR107&gt;AH107,"Over Shared"))))</f>
        <v>Waiting</v>
      </c>
      <c r="AV107" s="37"/>
      <c r="AW107" s="37" t="str">
        <f>IFERROR(DATEDIF(AH107,AK107,"d"),"0")&amp;"-DAY"</f>
        <v>0-DAY</v>
      </c>
      <c r="AX107" s="37" t="str">
        <f>IFERROR(DATEDIF(B107,AB107,"d"),"0")&amp;"-DAY"</f>
        <v>14-DAY</v>
      </c>
      <c r="AY107" s="37"/>
      <c r="AZ107" s="181">
        <f>L107-AD107</f>
        <v>0</v>
      </c>
    </row>
    <row r="108" spans="1:52" ht="15.5" hidden="1" customHeight="1">
      <c r="A108" s="360" t="s">
        <v>372</v>
      </c>
      <c r="B108" s="340">
        <v>46223</v>
      </c>
      <c r="C108" s="181">
        <v>48278</v>
      </c>
      <c r="D108" s="30">
        <v>46223</v>
      </c>
      <c r="E108" s="30">
        <v>46219</v>
      </c>
      <c r="F108" s="30">
        <v>46239</v>
      </c>
      <c r="G108" s="37">
        <v>4420229531</v>
      </c>
      <c r="H108" s="37" t="s">
        <v>373</v>
      </c>
      <c r="I108" s="37">
        <v>9040040588</v>
      </c>
      <c r="J108" s="37" t="s">
        <v>76</v>
      </c>
      <c r="K108" s="325" t="s">
        <v>77</v>
      </c>
      <c r="L108" s="181">
        <v>2</v>
      </c>
      <c r="M108" s="181" t="s">
        <v>425</v>
      </c>
      <c r="N108" s="37" t="s">
        <v>451</v>
      </c>
      <c r="O108" s="31">
        <f>IF(F108&gt;0,F108-AB108,"")</f>
        <v>8</v>
      </c>
      <c r="P108" s="37" t="str">
        <f>IF(F108&gt;0,IF(AB108="","PLANNING SUPPLY",IF(AB108&lt;=F108,"ONTIME DELIVERY","DELAY")),"")</f>
        <v>ONTIME DELIVERY</v>
      </c>
      <c r="Q108" s="181" t="str">
        <f>IFERROR(IF(J108&gt;0,VLOOKUP(J108,#REF!,MATCH($Q$6,#REF!,0),0),""),"")</f>
        <v/>
      </c>
      <c r="R108" s="181" t="str">
        <f>IFERROR(IF(J108&gt;0,VLOOKUP(J108,#REF!,MATCH($R$6,#REF!,0),0),""),"")</f>
        <v/>
      </c>
      <c r="S108" s="181" t="e">
        <f>IF(I111&gt;0,Q108+R108,"")</f>
        <v>#VALUE!</v>
      </c>
      <c r="T108" s="181"/>
      <c r="U108" s="181"/>
      <c r="V108" s="37"/>
      <c r="W108" s="181" t="e">
        <f>IF(I111&gt;0,IF(S108&gt;L108,"READY STOCK",IF(S108=0,"OUT OF STOCK",IF(S108&lt;L108,"LOW STOCK",""))),"")</f>
        <v>#VALUE!</v>
      </c>
      <c r="X108" s="38"/>
      <c r="Y108" s="38"/>
      <c r="Z108" s="38"/>
      <c r="AA108" s="38"/>
      <c r="AB108" s="50">
        <v>46231</v>
      </c>
      <c r="AC108" s="181">
        <v>33249</v>
      </c>
      <c r="AD108" s="51">
        <v>2</v>
      </c>
      <c r="AE108" s="37" t="s">
        <v>383</v>
      </c>
      <c r="AF108" s="37" t="s">
        <v>381</v>
      </c>
      <c r="AG108" s="33" t="str">
        <f>IF(G108&gt;0,IF(AD108&gt;0,IF(AD108=0,"Waiting",IF(AD108&lt;L108,"Partial",IF(AD108=L108,"Full Supply",IF(AD108&gt;L108,"Over Shared")))),"Waiting"),"")</f>
        <v>Full Supply</v>
      </c>
      <c r="AH108" s="37"/>
      <c r="AI108" s="37"/>
      <c r="AJ108" s="181"/>
      <c r="AK108" s="40"/>
      <c r="AL108" s="40"/>
      <c r="AM108" s="40"/>
      <c r="AN108" s="37"/>
      <c r="AO108" s="34"/>
      <c r="AP108" s="37"/>
      <c r="AQ108" s="37"/>
      <c r="AR108" s="37"/>
      <c r="AS108" s="37"/>
      <c r="AT108" s="37">
        <f>AS108-AD108</f>
        <v>-2</v>
      </c>
      <c r="AU108" s="36" t="str">
        <f>IF(AR108=0,"Waiting",IF(AR108&lt;AH108,"Kurang",IF(AR108=AH108,"Sesuai",IF(AR108&gt;AH108,"Over Shared"))))</f>
        <v>Waiting</v>
      </c>
      <c r="AV108" s="37"/>
      <c r="AW108" s="37" t="str">
        <f>IFERROR(DATEDIF(AH108,AK108,"d"),"0")&amp;"-DAY"</f>
        <v>0-DAY</v>
      </c>
      <c r="AX108" s="37" t="str">
        <f>IFERROR(DATEDIF(B108,AB108,"d"),"0")&amp;"-DAY"</f>
        <v>8-DAY</v>
      </c>
      <c r="AY108" s="37"/>
      <c r="AZ108" s="181">
        <f>L108-AD108</f>
        <v>0</v>
      </c>
    </row>
    <row r="109" spans="1:52" ht="15.5" hidden="1" customHeight="1">
      <c r="A109" s="360" t="s">
        <v>372</v>
      </c>
      <c r="B109" s="340">
        <v>46223</v>
      </c>
      <c r="C109" s="181">
        <v>48278</v>
      </c>
      <c r="D109" s="30">
        <v>46223</v>
      </c>
      <c r="E109" s="30">
        <v>46219</v>
      </c>
      <c r="F109" s="30">
        <v>46239</v>
      </c>
      <c r="G109" s="37">
        <v>4420229531</v>
      </c>
      <c r="H109" s="37" t="s">
        <v>373</v>
      </c>
      <c r="I109" s="37">
        <v>9040040588</v>
      </c>
      <c r="J109" s="37" t="s">
        <v>76</v>
      </c>
      <c r="K109" s="325" t="s">
        <v>77</v>
      </c>
      <c r="L109" s="181">
        <v>4</v>
      </c>
      <c r="M109" s="181" t="s">
        <v>425</v>
      </c>
      <c r="N109" s="37" t="s">
        <v>451</v>
      </c>
      <c r="O109" s="31">
        <f>IF(F109&gt;0,F109-AB109,"")</f>
        <v>8</v>
      </c>
      <c r="P109" s="37" t="str">
        <f>IF(F109&gt;0,IF(AB109="","PLANNING SUPPLY",IF(AB109&lt;=F109,"ONTIME DELIVERY","DELAY")),"")</f>
        <v>ONTIME DELIVERY</v>
      </c>
      <c r="Q109" s="181" t="str">
        <f>IFERROR(IF(J109&gt;0,VLOOKUP(J109,#REF!,MATCH($Q$6,#REF!,0),0),""),"")</f>
        <v/>
      </c>
      <c r="R109" s="181" t="str">
        <f>IFERROR(IF(J109&gt;0,VLOOKUP(J109,#REF!,MATCH($R$6,#REF!,0),0),""),"")</f>
        <v/>
      </c>
      <c r="S109" s="181" t="e">
        <f>IF(I112&gt;0,Q109+R109,"")</f>
        <v>#VALUE!</v>
      </c>
      <c r="T109" s="181"/>
      <c r="U109" s="181"/>
      <c r="V109" s="37"/>
      <c r="W109" s="181" t="e">
        <f>IF(I112&gt;0,IF(S109&gt;L109,"READY STOCK",IF(S109=0,"OUT OF STOCK",IF(S109&lt;L109,"LOW STOCK",""))),"")</f>
        <v>#VALUE!</v>
      </c>
      <c r="X109" s="38"/>
      <c r="Y109" s="38"/>
      <c r="Z109" s="38"/>
      <c r="AA109" s="38"/>
      <c r="AB109" s="50">
        <v>46231</v>
      </c>
      <c r="AC109" s="181">
        <v>33249</v>
      </c>
      <c r="AD109" s="51">
        <v>4</v>
      </c>
      <c r="AE109" s="37" t="s">
        <v>383</v>
      </c>
      <c r="AF109" s="37" t="s">
        <v>381</v>
      </c>
      <c r="AG109" s="33" t="str">
        <f>IF(G109&gt;0,IF(AD109&gt;0,IF(AD109=0,"Waiting",IF(AD109&lt;L109,"Partial",IF(AD109=L109,"Full Supply",IF(AD109&gt;L109,"Over Shared")))),"Waiting"),"")</f>
        <v>Full Supply</v>
      </c>
      <c r="AH109" s="37"/>
      <c r="AI109" s="37"/>
      <c r="AJ109" s="181"/>
      <c r="AK109" s="40"/>
      <c r="AL109" s="40"/>
      <c r="AM109" s="40"/>
      <c r="AN109" s="37"/>
      <c r="AO109" s="34"/>
      <c r="AP109" s="37"/>
      <c r="AQ109" s="37"/>
      <c r="AR109" s="37"/>
      <c r="AS109" s="37"/>
      <c r="AT109" s="37">
        <f>AS109-AD109</f>
        <v>-4</v>
      </c>
      <c r="AU109" s="36" t="str">
        <f>IF(AR109=0,"Waiting",IF(AR109&lt;AH109,"Kurang",IF(AR109=AH109,"Sesuai",IF(AR109&gt;AH109,"Over Shared"))))</f>
        <v>Waiting</v>
      </c>
      <c r="AV109" s="37"/>
      <c r="AW109" s="37" t="str">
        <f>IFERROR(DATEDIF(AH109,AK109,"d"),"0")&amp;"-DAY"</f>
        <v>0-DAY</v>
      </c>
      <c r="AX109" s="37" t="str">
        <f>IFERROR(DATEDIF(B109,AB109,"d"),"0")&amp;"-DAY"</f>
        <v>8-DAY</v>
      </c>
      <c r="AY109" s="37"/>
      <c r="AZ109" s="181">
        <f>L109-AD109</f>
        <v>0</v>
      </c>
    </row>
    <row r="110" spans="1:52" ht="15.5" hidden="1" customHeight="1">
      <c r="A110" s="360" t="s">
        <v>372</v>
      </c>
      <c r="B110" s="340">
        <v>46223</v>
      </c>
      <c r="C110" s="181">
        <v>48278</v>
      </c>
      <c r="D110" s="30">
        <v>46223</v>
      </c>
      <c r="E110" s="30">
        <v>46219</v>
      </c>
      <c r="F110" s="30">
        <v>46239</v>
      </c>
      <c r="G110" s="37">
        <v>4420229531</v>
      </c>
      <c r="H110" s="37" t="s">
        <v>373</v>
      </c>
      <c r="I110" s="37">
        <v>9040040588</v>
      </c>
      <c r="J110" s="37" t="s">
        <v>76</v>
      </c>
      <c r="K110" s="325" t="s">
        <v>77</v>
      </c>
      <c r="L110" s="181">
        <v>1</v>
      </c>
      <c r="M110" s="181" t="s">
        <v>425</v>
      </c>
      <c r="N110" s="37" t="s">
        <v>451</v>
      </c>
      <c r="O110" s="31">
        <f>IF(F110&gt;0,F110-AB110,"")</f>
        <v>8</v>
      </c>
      <c r="P110" s="37" t="str">
        <f>IF(F110&gt;0,IF(AB110="","PLANNING SUPPLY",IF(AB110&lt;=F110,"ONTIME DELIVERY","DELAY")),"")</f>
        <v>ONTIME DELIVERY</v>
      </c>
      <c r="Q110" s="181" t="str">
        <f>IFERROR(IF(J110&gt;0,VLOOKUP(J110,#REF!,MATCH($Q$6,#REF!,0),0),""),"")</f>
        <v/>
      </c>
      <c r="R110" s="181" t="str">
        <f>IFERROR(IF(J110&gt;0,VLOOKUP(J110,#REF!,MATCH($R$6,#REF!,0),0),""),"")</f>
        <v/>
      </c>
      <c r="S110" s="181" t="e">
        <f>IF(I113&gt;0,Q110+R110,"")</f>
        <v>#VALUE!</v>
      </c>
      <c r="T110" s="181"/>
      <c r="U110" s="181"/>
      <c r="V110" s="37"/>
      <c r="W110" s="181" t="e">
        <f>IF(I113&gt;0,IF(S110&gt;L110,"READY STOCK",IF(S110=0,"OUT OF STOCK",IF(S110&lt;L110,"LOW STOCK",""))),"")</f>
        <v>#VALUE!</v>
      </c>
      <c r="X110" s="38"/>
      <c r="Y110" s="38"/>
      <c r="Z110" s="38"/>
      <c r="AA110" s="38"/>
      <c r="AB110" s="50">
        <v>46231</v>
      </c>
      <c r="AC110" s="181">
        <v>33249</v>
      </c>
      <c r="AD110" s="51">
        <v>1</v>
      </c>
      <c r="AE110" s="37" t="s">
        <v>383</v>
      </c>
      <c r="AF110" s="37" t="s">
        <v>381</v>
      </c>
      <c r="AG110" s="33" t="str">
        <f>IF(G110&gt;0,IF(AD110&gt;0,IF(AD110=0,"Waiting",IF(AD110&lt;L110,"Partial",IF(AD110=L110,"Full Supply",IF(AD110&gt;L110,"Over Shared")))),"Waiting"),"")</f>
        <v>Full Supply</v>
      </c>
      <c r="AH110" s="37"/>
      <c r="AI110" s="37"/>
      <c r="AJ110" s="181"/>
      <c r="AK110" s="40"/>
      <c r="AL110" s="40"/>
      <c r="AM110" s="40"/>
      <c r="AN110" s="37"/>
      <c r="AO110" s="34"/>
      <c r="AP110" s="37"/>
      <c r="AQ110" s="37"/>
      <c r="AR110" s="37"/>
      <c r="AS110" s="37"/>
      <c r="AT110" s="37">
        <f>AS110-AD110</f>
        <v>-1</v>
      </c>
      <c r="AU110" s="36" t="str">
        <f>IF(AR110=0,"Waiting",IF(AR110&lt;AH110,"Kurang",IF(AR110=AH110,"Sesuai",IF(AR110&gt;AH110,"Over Shared"))))</f>
        <v>Waiting</v>
      </c>
      <c r="AV110" s="37"/>
      <c r="AW110" s="37" t="str">
        <f>IFERROR(DATEDIF(AH110,AK110,"d"),"0")&amp;"-DAY"</f>
        <v>0-DAY</v>
      </c>
      <c r="AX110" s="37" t="str">
        <f>IFERROR(DATEDIF(B110,AB110,"d"),"0")&amp;"-DAY"</f>
        <v>8-DAY</v>
      </c>
      <c r="AY110" s="37"/>
      <c r="AZ110" s="181">
        <f>L110-AD110</f>
        <v>0</v>
      </c>
    </row>
    <row r="111" spans="1:52" ht="15.5" hidden="1" customHeight="1">
      <c r="A111" s="360" t="s">
        <v>372</v>
      </c>
      <c r="B111" s="340">
        <v>46223</v>
      </c>
      <c r="C111" s="181">
        <v>48278</v>
      </c>
      <c r="D111" s="30">
        <v>46223</v>
      </c>
      <c r="E111" s="30">
        <v>46219</v>
      </c>
      <c r="F111" s="30">
        <v>46239</v>
      </c>
      <c r="G111" s="37">
        <v>4420229531</v>
      </c>
      <c r="H111" s="37" t="s">
        <v>373</v>
      </c>
      <c r="I111" s="37">
        <v>9040040588</v>
      </c>
      <c r="J111" s="37" t="s">
        <v>76</v>
      </c>
      <c r="K111" s="325" t="s">
        <v>77</v>
      </c>
      <c r="L111" s="181">
        <v>5</v>
      </c>
      <c r="M111" s="181" t="s">
        <v>425</v>
      </c>
      <c r="N111" s="37" t="s">
        <v>451</v>
      </c>
      <c r="O111" s="31">
        <f>IF(F111&gt;0,F111-AB111,"")</f>
        <v>8</v>
      </c>
      <c r="P111" s="37" t="str">
        <f>IF(F111&gt;0,IF(AB111="","PLANNING SUPPLY",IF(AB111&lt;=F111,"ONTIME DELIVERY","DELAY")),"")</f>
        <v>ONTIME DELIVERY</v>
      </c>
      <c r="Q111" s="181" t="str">
        <f>IFERROR(IF(J111&gt;0,VLOOKUP(J111,#REF!,MATCH($Q$6,#REF!,0),0),""),"")</f>
        <v/>
      </c>
      <c r="R111" s="181" t="str">
        <f>IFERROR(IF(J111&gt;0,VLOOKUP(J111,#REF!,MATCH($R$6,#REF!,0),0),""),"")</f>
        <v/>
      </c>
      <c r="S111" s="181" t="e">
        <f>IF(I114&gt;0,Q111+R111,"")</f>
        <v>#VALUE!</v>
      </c>
      <c r="T111" s="181"/>
      <c r="U111" s="181"/>
      <c r="V111" s="37"/>
      <c r="W111" s="181" t="e">
        <f>IF(I114&gt;0,IF(S111&gt;L111,"READY STOCK",IF(S111=0,"OUT OF STOCK",IF(S111&lt;L111,"LOW STOCK",""))),"")</f>
        <v>#VALUE!</v>
      </c>
      <c r="X111" s="38"/>
      <c r="Y111" s="38"/>
      <c r="Z111" s="38"/>
      <c r="AA111" s="38"/>
      <c r="AB111" s="50">
        <v>46231</v>
      </c>
      <c r="AC111" s="181">
        <v>33249</v>
      </c>
      <c r="AD111" s="51">
        <v>5</v>
      </c>
      <c r="AE111" s="37" t="s">
        <v>383</v>
      </c>
      <c r="AF111" s="37" t="s">
        <v>381</v>
      </c>
      <c r="AG111" s="33" t="str">
        <f>IF(G111&gt;0,IF(AD111&gt;0,IF(AD111=0,"Waiting",IF(AD111&lt;L111,"Partial",IF(AD111=L111,"Full Supply",IF(AD111&gt;L111,"Over Shared")))),"Waiting"),"")</f>
        <v>Full Supply</v>
      </c>
      <c r="AH111" s="37"/>
      <c r="AI111" s="37"/>
      <c r="AJ111" s="181"/>
      <c r="AK111" s="40"/>
      <c r="AL111" s="40"/>
      <c r="AM111" s="40"/>
      <c r="AN111" s="37"/>
      <c r="AO111" s="34"/>
      <c r="AP111" s="37"/>
      <c r="AQ111" s="37"/>
      <c r="AR111" s="37"/>
      <c r="AS111" s="37"/>
      <c r="AT111" s="37">
        <f>AS111-AD111</f>
        <v>-5</v>
      </c>
      <c r="AU111" s="36" t="str">
        <f>IF(AR111=0,"Waiting",IF(AR111&lt;AH111,"Kurang",IF(AR111=AH111,"Sesuai",IF(AR111&gt;AH111,"Over Shared"))))</f>
        <v>Waiting</v>
      </c>
      <c r="AV111" s="37"/>
      <c r="AW111" s="37" t="str">
        <f>IFERROR(DATEDIF(AH111,AK111,"d"),"0")&amp;"-DAY"</f>
        <v>0-DAY</v>
      </c>
      <c r="AX111" s="37" t="str">
        <f>IFERROR(DATEDIF(B111,AB111,"d"),"0")&amp;"-DAY"</f>
        <v>8-DAY</v>
      </c>
      <c r="AY111" s="37"/>
      <c r="AZ111" s="181">
        <f>L111-AD111</f>
        <v>0</v>
      </c>
    </row>
    <row r="112" spans="1:52" ht="15.5" hidden="1" customHeight="1">
      <c r="A112" s="360" t="s">
        <v>372</v>
      </c>
      <c r="B112" s="340">
        <v>46223</v>
      </c>
      <c r="C112" s="181">
        <v>48278</v>
      </c>
      <c r="D112" s="30">
        <v>46223</v>
      </c>
      <c r="E112" s="30">
        <v>46219</v>
      </c>
      <c r="F112" s="30">
        <v>46239</v>
      </c>
      <c r="G112" s="37">
        <v>4420229531</v>
      </c>
      <c r="H112" s="37" t="s">
        <v>373</v>
      </c>
      <c r="I112" s="37">
        <v>9040040588</v>
      </c>
      <c r="J112" s="37" t="s">
        <v>76</v>
      </c>
      <c r="K112" s="325" t="s">
        <v>77</v>
      </c>
      <c r="L112" s="181">
        <v>3</v>
      </c>
      <c r="M112" s="181" t="s">
        <v>425</v>
      </c>
      <c r="N112" s="37" t="s">
        <v>451</v>
      </c>
      <c r="O112" s="31">
        <f>IF(F112&gt;0,F112-AB112,"")</f>
        <v>8</v>
      </c>
      <c r="P112" s="37" t="str">
        <f>IF(F112&gt;0,IF(AB112="","PLANNING SUPPLY",IF(AB112&lt;=F112,"ONTIME DELIVERY","DELAY")),"")</f>
        <v>ONTIME DELIVERY</v>
      </c>
      <c r="Q112" s="181" t="str">
        <f>IFERROR(IF(J112&gt;0,VLOOKUP(J112,#REF!,MATCH($Q$6,#REF!,0),0),""),"")</f>
        <v/>
      </c>
      <c r="R112" s="181" t="str">
        <f>IFERROR(IF(J112&gt;0,VLOOKUP(J112,#REF!,MATCH($R$6,#REF!,0),0),""),"")</f>
        <v/>
      </c>
      <c r="S112" s="181" t="e">
        <f>IF(I115&gt;0,Q112+R112,"")</f>
        <v>#VALUE!</v>
      </c>
      <c r="T112" s="181"/>
      <c r="U112" s="181"/>
      <c r="V112" s="37"/>
      <c r="W112" s="181" t="e">
        <f>IF(I115&gt;0,IF(S112&gt;L112,"READY STOCK",IF(S112=0,"OUT OF STOCK",IF(S112&lt;L112,"LOW STOCK",""))),"")</f>
        <v>#VALUE!</v>
      </c>
      <c r="X112" s="38"/>
      <c r="Y112" s="38"/>
      <c r="Z112" s="38"/>
      <c r="AA112" s="38"/>
      <c r="AB112" s="50">
        <v>46231</v>
      </c>
      <c r="AC112" s="181">
        <v>33249</v>
      </c>
      <c r="AD112" s="51">
        <v>3</v>
      </c>
      <c r="AE112" s="37" t="s">
        <v>383</v>
      </c>
      <c r="AF112" s="37" t="s">
        <v>381</v>
      </c>
      <c r="AG112" s="33" t="str">
        <f>IF(G112&gt;0,IF(AD112&gt;0,IF(AD112=0,"Waiting",IF(AD112&lt;L112,"Partial",IF(AD112=L112,"Full Supply",IF(AD112&gt;L112,"Over Shared")))),"Waiting"),"")</f>
        <v>Full Supply</v>
      </c>
      <c r="AH112" s="37"/>
      <c r="AI112" s="37"/>
      <c r="AJ112" s="181"/>
      <c r="AK112" s="40"/>
      <c r="AL112" s="40"/>
      <c r="AM112" s="40"/>
      <c r="AN112" s="37"/>
      <c r="AO112" s="34"/>
      <c r="AP112" s="37"/>
      <c r="AQ112" s="37"/>
      <c r="AR112" s="37"/>
      <c r="AS112" s="37"/>
      <c r="AT112" s="37">
        <f>AS112-AD112</f>
        <v>-3</v>
      </c>
      <c r="AU112" s="36" t="str">
        <f>IF(AR112=0,"Waiting",IF(AR112&lt;AH112,"Kurang",IF(AR112=AH112,"Sesuai",IF(AR112&gt;AH112,"Over Shared"))))</f>
        <v>Waiting</v>
      </c>
      <c r="AV112" s="37"/>
      <c r="AW112" s="37" t="str">
        <f>IFERROR(DATEDIF(AH112,AK112,"d"),"0")&amp;"-DAY"</f>
        <v>0-DAY</v>
      </c>
      <c r="AX112" s="37" t="str">
        <f>IFERROR(DATEDIF(B112,AB112,"d"),"0")&amp;"-DAY"</f>
        <v>8-DAY</v>
      </c>
      <c r="AY112" s="37"/>
      <c r="AZ112" s="181">
        <f>L112-AD112</f>
        <v>0</v>
      </c>
    </row>
    <row r="113" spans="1:52" ht="15.5" hidden="1" customHeight="1">
      <c r="A113" s="360" t="s">
        <v>372</v>
      </c>
      <c r="B113" s="340">
        <v>46223</v>
      </c>
      <c r="C113" s="181">
        <v>48278</v>
      </c>
      <c r="D113" s="30">
        <v>46223</v>
      </c>
      <c r="E113" s="30">
        <v>46219</v>
      </c>
      <c r="F113" s="30">
        <v>46239</v>
      </c>
      <c r="G113" s="37">
        <v>4420229531</v>
      </c>
      <c r="H113" s="37" t="s">
        <v>373</v>
      </c>
      <c r="I113" s="37">
        <v>9040040588</v>
      </c>
      <c r="J113" s="37" t="s">
        <v>76</v>
      </c>
      <c r="K113" s="325" t="s">
        <v>77</v>
      </c>
      <c r="L113" s="181">
        <v>5</v>
      </c>
      <c r="M113" s="181" t="s">
        <v>425</v>
      </c>
      <c r="N113" s="37" t="s">
        <v>451</v>
      </c>
      <c r="O113" s="31">
        <f>IF(F113&gt;0,F113-AB113,"")</f>
        <v>8</v>
      </c>
      <c r="P113" s="37" t="str">
        <f>IF(F113&gt;0,IF(AB113="","PLANNING SUPPLY",IF(AB113&lt;=F113,"ONTIME DELIVERY","DELAY")),"")</f>
        <v>ONTIME DELIVERY</v>
      </c>
      <c r="Q113" s="181" t="str">
        <f>IFERROR(IF(J113&gt;0,VLOOKUP(J113,#REF!,MATCH($Q$6,#REF!,0),0),""),"")</f>
        <v/>
      </c>
      <c r="R113" s="181" t="str">
        <f>IFERROR(IF(J113&gt;0,VLOOKUP(J113,#REF!,MATCH($R$6,#REF!,0),0),""),"")</f>
        <v/>
      </c>
      <c r="S113" s="181" t="e">
        <f>IF(I116&gt;0,Q113+R113,"")</f>
        <v>#VALUE!</v>
      </c>
      <c r="T113" s="181"/>
      <c r="U113" s="181"/>
      <c r="V113" s="37"/>
      <c r="W113" s="181" t="e">
        <f>IF(I116&gt;0,IF(S113&gt;L113,"READY STOCK",IF(S113=0,"OUT OF STOCK",IF(S113&lt;L113,"LOW STOCK",""))),"")</f>
        <v>#VALUE!</v>
      </c>
      <c r="X113" s="38"/>
      <c r="Y113" s="38"/>
      <c r="Z113" s="38"/>
      <c r="AA113" s="38"/>
      <c r="AB113" s="50">
        <v>46231</v>
      </c>
      <c r="AC113" s="181">
        <v>33249</v>
      </c>
      <c r="AD113" s="51">
        <v>5</v>
      </c>
      <c r="AE113" s="37" t="s">
        <v>383</v>
      </c>
      <c r="AF113" s="37" t="s">
        <v>381</v>
      </c>
      <c r="AG113" s="33" t="str">
        <f>IF(G113&gt;0,IF(AD113&gt;0,IF(AD113=0,"Waiting",IF(AD113&lt;L113,"Partial",IF(AD113=L113,"Full Supply",IF(AD113&gt;L113,"Over Shared")))),"Waiting"),"")</f>
        <v>Full Supply</v>
      </c>
      <c r="AH113" s="37"/>
      <c r="AI113" s="37"/>
      <c r="AJ113" s="181"/>
      <c r="AK113" s="40"/>
      <c r="AL113" s="40"/>
      <c r="AM113" s="40"/>
      <c r="AN113" s="37"/>
      <c r="AO113" s="34"/>
      <c r="AP113" s="37"/>
      <c r="AQ113" s="37"/>
      <c r="AR113" s="37"/>
      <c r="AS113" s="37"/>
      <c r="AT113" s="37">
        <f>AS113-AD113</f>
        <v>-5</v>
      </c>
      <c r="AU113" s="36" t="str">
        <f>IF(AR113=0,"Waiting",IF(AR113&lt;AH113,"Kurang",IF(AR113=AH113,"Sesuai",IF(AR113&gt;AH113,"Over Shared"))))</f>
        <v>Waiting</v>
      </c>
      <c r="AV113" s="37"/>
      <c r="AW113" s="37" t="str">
        <f>IFERROR(DATEDIF(AH113,AK113,"d"),"0")&amp;"-DAY"</f>
        <v>0-DAY</v>
      </c>
      <c r="AX113" s="37" t="str">
        <f>IFERROR(DATEDIF(B113,AB113,"d"),"0")&amp;"-DAY"</f>
        <v>8-DAY</v>
      </c>
      <c r="AY113" s="37"/>
      <c r="AZ113" s="181">
        <f>L113-AD113</f>
        <v>0</v>
      </c>
    </row>
    <row r="114" spans="1:52" ht="15.5" hidden="1" customHeight="1">
      <c r="A114" s="360" t="s">
        <v>372</v>
      </c>
      <c r="B114" s="340">
        <v>46223</v>
      </c>
      <c r="C114" s="181">
        <v>48278</v>
      </c>
      <c r="D114" s="30">
        <v>46223</v>
      </c>
      <c r="E114" s="30">
        <v>46219</v>
      </c>
      <c r="F114" s="30">
        <v>46239</v>
      </c>
      <c r="G114" s="37">
        <v>4420229531</v>
      </c>
      <c r="H114" s="37" t="s">
        <v>373</v>
      </c>
      <c r="I114" s="37">
        <v>9040044154</v>
      </c>
      <c r="J114" s="37" t="s">
        <v>301</v>
      </c>
      <c r="K114" s="325" t="s">
        <v>302</v>
      </c>
      <c r="L114" s="181">
        <v>5</v>
      </c>
      <c r="M114" s="181" t="s">
        <v>425</v>
      </c>
      <c r="N114" s="37" t="s">
        <v>451</v>
      </c>
      <c r="O114" s="31">
        <f>IF(F114&gt;0,F114-AB114,"")</f>
        <v>0</v>
      </c>
      <c r="P114" s="37" t="str">
        <f>IF(F114&gt;0,IF(AB114="","PLANNING SUPPLY",IF(AB114&lt;=F114,"ONTIME DELIVERY","DELAY")),"")</f>
        <v>ONTIME DELIVERY</v>
      </c>
      <c r="Q114" s="181" t="str">
        <f>IFERROR(IF(J114&gt;0,VLOOKUP(J114,#REF!,MATCH($Q$6,#REF!,0),0),""),"")</f>
        <v/>
      </c>
      <c r="R114" s="181" t="str">
        <f>IFERROR(IF(J114&gt;0,VLOOKUP(J114,#REF!,MATCH($R$6,#REF!,0),0),""),"")</f>
        <v/>
      </c>
      <c r="S114" s="181" t="e">
        <f>IF(I117&gt;0,Q114+R114,"")</f>
        <v>#VALUE!</v>
      </c>
      <c r="T114" s="181"/>
      <c r="U114" s="181"/>
      <c r="V114" s="37"/>
      <c r="W114" s="181" t="e">
        <f>IF(I117&gt;0,IF(S114&gt;L114,"READY STOCK",IF(S114=0,"OUT OF STOCK",IF(S114&lt;L114,"LOW STOCK",""))),"")</f>
        <v>#VALUE!</v>
      </c>
      <c r="X114" s="181">
        <v>33121</v>
      </c>
      <c r="Y114" s="38">
        <v>46224</v>
      </c>
      <c r="Z114" s="181" t="s">
        <v>396</v>
      </c>
      <c r="AA114" s="181" t="s">
        <v>397</v>
      </c>
      <c r="AB114" s="50">
        <v>46239</v>
      </c>
      <c r="AC114" s="181">
        <v>33388</v>
      </c>
      <c r="AD114" s="51">
        <v>5</v>
      </c>
      <c r="AE114" s="37" t="s">
        <v>383</v>
      </c>
      <c r="AF114" s="37" t="s">
        <v>381</v>
      </c>
      <c r="AG114" s="33" t="str">
        <f>IF(G114&gt;0,IF(AD114&gt;0,IF(AD114=0,"Waiting",IF(AD114&lt;L114,"Partial",IF(AD114=L114,"Full Supply",IF(AD114&gt;L114,"Over Shared")))),"Waiting"),"")</f>
        <v>Full Supply</v>
      </c>
      <c r="AH114" s="37"/>
      <c r="AI114" s="37"/>
      <c r="AJ114" s="181"/>
      <c r="AK114" s="40"/>
      <c r="AL114" s="40"/>
      <c r="AM114" s="40"/>
      <c r="AN114" s="37"/>
      <c r="AO114" s="34"/>
      <c r="AP114" s="37"/>
      <c r="AQ114" s="37"/>
      <c r="AR114" s="37"/>
      <c r="AS114" s="37"/>
      <c r="AT114" s="37">
        <f>AS114-AD114</f>
        <v>-5</v>
      </c>
      <c r="AU114" s="36" t="str">
        <f>IF(AR114=0,"Waiting",IF(AR114&lt;AH114,"Kurang",IF(AR114=AH114,"Sesuai",IF(AR114&gt;AH114,"Over Shared"))))</f>
        <v>Waiting</v>
      </c>
      <c r="AV114" s="37"/>
      <c r="AW114" s="37" t="str">
        <f>IFERROR(DATEDIF(AH114,AK114,"d"),"0")&amp;"-DAY"</f>
        <v>0-DAY</v>
      </c>
      <c r="AX114" s="37" t="str">
        <f>IFERROR(DATEDIF(B114,AB114,"d"),"0")&amp;"-DAY"</f>
        <v>16-DAY</v>
      </c>
      <c r="AY114" s="37"/>
      <c r="AZ114" s="181">
        <f>L114-AD114</f>
        <v>0</v>
      </c>
    </row>
    <row r="115" spans="1:52" ht="15.5" hidden="1" customHeight="1">
      <c r="A115" s="360" t="s">
        <v>372</v>
      </c>
      <c r="B115" s="340">
        <v>46223</v>
      </c>
      <c r="C115" s="181">
        <v>48278</v>
      </c>
      <c r="D115" s="30">
        <v>46223</v>
      </c>
      <c r="E115" s="30">
        <v>46219</v>
      </c>
      <c r="F115" s="30">
        <v>46239</v>
      </c>
      <c r="G115" s="37">
        <v>4420229531</v>
      </c>
      <c r="H115" s="37" t="s">
        <v>373</v>
      </c>
      <c r="I115" s="37">
        <v>9040044191</v>
      </c>
      <c r="J115" s="37" t="s">
        <v>187</v>
      </c>
      <c r="K115" s="325" t="s">
        <v>188</v>
      </c>
      <c r="L115" s="181">
        <v>19</v>
      </c>
      <c r="M115" s="181" t="s">
        <v>425</v>
      </c>
      <c r="N115" s="37" t="s">
        <v>451</v>
      </c>
      <c r="O115" s="31">
        <f>IF(F115&gt;0,F115-AB115,"")</f>
        <v>8</v>
      </c>
      <c r="P115" s="37" t="str">
        <f>IF(F115&gt;0,IF(AB115="","PLANNING SUPPLY",IF(AB115&lt;=F115,"ONTIME DELIVERY","DELAY")),"")</f>
        <v>ONTIME DELIVERY</v>
      </c>
      <c r="Q115" s="181" t="str">
        <f>IFERROR(IF(J115&gt;0,VLOOKUP(J115,#REF!,MATCH($Q$6,#REF!,0),0),""),"")</f>
        <v/>
      </c>
      <c r="R115" s="181" t="str">
        <f>IFERROR(IF(J115&gt;0,VLOOKUP(J115,#REF!,MATCH($R$6,#REF!,0),0),""),"")</f>
        <v/>
      </c>
      <c r="S115" s="181" t="e">
        <f>IF(I118&gt;0,Q115+R115,"")</f>
        <v>#VALUE!</v>
      </c>
      <c r="T115" s="181"/>
      <c r="U115" s="181"/>
      <c r="V115" s="37"/>
      <c r="W115" s="181" t="e">
        <f>IF(I118&gt;0,IF(S115&gt;L115,"READY STOCK",IF(S115=0,"OUT OF STOCK",IF(S115&lt;L115,"LOW STOCK",""))),"")</f>
        <v>#VALUE!</v>
      </c>
      <c r="X115" s="38"/>
      <c r="Y115" s="38"/>
      <c r="Z115" s="38"/>
      <c r="AA115" s="38"/>
      <c r="AB115" s="50">
        <v>46231</v>
      </c>
      <c r="AC115" s="181">
        <v>33249</v>
      </c>
      <c r="AD115" s="51">
        <v>19</v>
      </c>
      <c r="AE115" s="37" t="s">
        <v>383</v>
      </c>
      <c r="AF115" s="37" t="s">
        <v>381</v>
      </c>
      <c r="AG115" s="33" t="str">
        <f>IF(G115&gt;0,IF(AD115&gt;0,IF(AD115=0,"Waiting",IF(AD115&lt;L115,"Partial",IF(AD115=L115,"Full Supply",IF(AD115&gt;L115,"Over Shared")))),"Waiting"),"")</f>
        <v>Full Supply</v>
      </c>
      <c r="AH115" s="37"/>
      <c r="AI115" s="37"/>
      <c r="AJ115" s="181"/>
      <c r="AK115" s="40"/>
      <c r="AL115" s="40"/>
      <c r="AM115" s="40"/>
      <c r="AN115" s="37"/>
      <c r="AO115" s="34"/>
      <c r="AP115" s="37"/>
      <c r="AQ115" s="37"/>
      <c r="AR115" s="37"/>
      <c r="AS115" s="37"/>
      <c r="AT115" s="37">
        <f>AS115-AD115</f>
        <v>-19</v>
      </c>
      <c r="AU115" s="36" t="str">
        <f>IF(AR115=0,"Waiting",IF(AR115&lt;AH115,"Kurang",IF(AR115=AH115,"Sesuai",IF(AR115&gt;AH115,"Over Shared"))))</f>
        <v>Waiting</v>
      </c>
      <c r="AV115" s="37"/>
      <c r="AW115" s="37" t="str">
        <f>IFERROR(DATEDIF(AH115,AK115,"d"),"0")&amp;"-DAY"</f>
        <v>0-DAY</v>
      </c>
      <c r="AX115" s="37" t="str">
        <f>IFERROR(DATEDIF(B115,AB115,"d"),"0")&amp;"-DAY"</f>
        <v>8-DAY</v>
      </c>
      <c r="AY115" s="37"/>
      <c r="AZ115" s="181">
        <f>L115-AD115</f>
        <v>0</v>
      </c>
    </row>
    <row r="116" spans="1:52" ht="15.5" hidden="1" customHeight="1">
      <c r="A116" s="360" t="s">
        <v>372</v>
      </c>
      <c r="B116" s="340">
        <v>46224</v>
      </c>
      <c r="C116" s="181">
        <v>48297</v>
      </c>
      <c r="D116" s="30">
        <v>46224</v>
      </c>
      <c r="E116" s="30">
        <v>46221</v>
      </c>
      <c r="F116" s="30">
        <v>46228</v>
      </c>
      <c r="G116" s="37">
        <v>4420229719</v>
      </c>
      <c r="H116" s="37" t="s">
        <v>373</v>
      </c>
      <c r="I116" s="37">
        <v>9040055051</v>
      </c>
      <c r="J116" s="37" t="s">
        <v>10</v>
      </c>
      <c r="K116" s="325" t="s">
        <v>149</v>
      </c>
      <c r="L116" s="181">
        <v>11</v>
      </c>
      <c r="M116" s="181" t="s">
        <v>425</v>
      </c>
      <c r="N116" s="37" t="s">
        <v>400</v>
      </c>
      <c r="O116" s="31">
        <f>IF(F116&gt;0,F116-AB116,"")</f>
        <v>-3</v>
      </c>
      <c r="P116" s="37" t="str">
        <f>IF(F116&gt;0,IF(AB116="","PLANNING SUPPLY",IF(AB116&lt;=F116,"ONTIME DELIVERY","DELAY")),"")</f>
        <v>DELAY</v>
      </c>
      <c r="Q116" s="181" t="str">
        <f>IFERROR(IF(J116&gt;0,VLOOKUP(J116,#REF!,MATCH($Q$6,#REF!,0),0),""),"")</f>
        <v/>
      </c>
      <c r="R116" s="181" t="str">
        <f>IFERROR(IF(J116&gt;0,VLOOKUP(J116,#REF!,MATCH($R$6,#REF!,0),0),""),"")</f>
        <v/>
      </c>
      <c r="S116" s="181" t="e">
        <f>IF(I119&gt;0,Q116+R116,"")</f>
        <v>#VALUE!</v>
      </c>
      <c r="T116" s="181"/>
      <c r="U116" s="181"/>
      <c r="V116" s="37"/>
      <c r="W116" s="181" t="e">
        <f>IF(I119&gt;0,IF(S116&gt;L116,"READY STOCK",IF(S116=0,"OUT OF STOCK",IF(S116&lt;L116,"LOW STOCK",""))),"")</f>
        <v>#VALUE!</v>
      </c>
      <c r="X116" s="38"/>
      <c r="Y116" s="38"/>
      <c r="Z116" s="38"/>
      <c r="AA116" s="38"/>
      <c r="AB116" s="50">
        <v>46231</v>
      </c>
      <c r="AC116" s="181">
        <v>33210</v>
      </c>
      <c r="AD116" s="51">
        <v>11</v>
      </c>
      <c r="AE116" s="37" t="s">
        <v>383</v>
      </c>
      <c r="AF116" s="37" t="s">
        <v>381</v>
      </c>
      <c r="AG116" s="33" t="str">
        <f>IF(G116&gt;0,IF(AD116&gt;0,IF(AD116=0,"Waiting",IF(AD116&lt;L116,"Partial",IF(AD116=L116,"Full Supply",IF(AD116&gt;L116,"Over Shared")))),"Waiting"),"")</f>
        <v>Full Supply</v>
      </c>
      <c r="AH116" s="37"/>
      <c r="AI116" s="37"/>
      <c r="AJ116" s="181"/>
      <c r="AK116" s="40"/>
      <c r="AL116" s="40"/>
      <c r="AM116" s="40"/>
      <c r="AN116" s="37"/>
      <c r="AO116" s="34"/>
      <c r="AP116" s="37"/>
      <c r="AQ116" s="37"/>
      <c r="AR116" s="37"/>
      <c r="AS116" s="37"/>
      <c r="AT116" s="37">
        <f>AS116-AD116</f>
        <v>-11</v>
      </c>
      <c r="AU116" s="36" t="str">
        <f>IF(AR116=0,"Waiting",IF(AR116&lt;AH116,"Kurang",IF(AR116=AH116,"Sesuai",IF(AR116&gt;AH116,"Over Shared"))))</f>
        <v>Waiting</v>
      </c>
      <c r="AV116" s="37"/>
      <c r="AW116" s="37" t="str">
        <f>IFERROR(DATEDIF(AH116,AK116,"d"),"0")&amp;"-DAY"</f>
        <v>0-DAY</v>
      </c>
      <c r="AX116" s="37" t="str">
        <f>IFERROR(DATEDIF(B116,AB116,"d"),"0")&amp;"-DAY"</f>
        <v>7-DAY</v>
      </c>
      <c r="AY116" s="37"/>
      <c r="AZ116" s="181">
        <f>L116-AD116</f>
        <v>0</v>
      </c>
    </row>
    <row r="117" spans="1:52" ht="15.5" hidden="1" customHeight="1">
      <c r="A117" s="360" t="s">
        <v>372</v>
      </c>
      <c r="B117" s="340">
        <v>46224</v>
      </c>
      <c r="C117" s="181">
        <v>48303</v>
      </c>
      <c r="D117" s="30">
        <v>46224</v>
      </c>
      <c r="E117" s="30">
        <v>46222</v>
      </c>
      <c r="F117" s="30">
        <v>46264</v>
      </c>
      <c r="G117" s="37">
        <v>4420229733</v>
      </c>
      <c r="H117" s="37" t="s">
        <v>373</v>
      </c>
      <c r="I117" s="37">
        <v>9040016343</v>
      </c>
      <c r="J117" s="37" t="s">
        <v>211</v>
      </c>
      <c r="K117" s="325" t="s">
        <v>212</v>
      </c>
      <c r="L117" s="181">
        <v>8</v>
      </c>
      <c r="M117" s="181" t="s">
        <v>421</v>
      </c>
      <c r="N117" s="37" t="s">
        <v>408</v>
      </c>
      <c r="O117" s="31">
        <f>IF(F117&gt;0,F117-AB117,"")</f>
        <v>25</v>
      </c>
      <c r="P117" s="37" t="str">
        <f>IF(F117&gt;0,IF(AB117="","PLANNING SUPPLY",IF(AB117&lt;=F117,"ONTIME DELIVERY","DELAY")),"")</f>
        <v>ONTIME DELIVERY</v>
      </c>
      <c r="Q117" s="181" t="str">
        <f>IFERROR(IF(J117&gt;0,VLOOKUP(J117,#REF!,MATCH($Q$6,#REF!,0),0),""),"")</f>
        <v/>
      </c>
      <c r="R117" s="181" t="str">
        <f>IFERROR(IF(J117&gt;0,VLOOKUP(J117,#REF!,MATCH($R$6,#REF!,0),0),""),"")</f>
        <v/>
      </c>
      <c r="S117" s="181" t="e">
        <f>IF(I120&gt;0,Q117+R117,"")</f>
        <v>#VALUE!</v>
      </c>
      <c r="T117" s="181"/>
      <c r="U117" s="181"/>
      <c r="V117" s="37"/>
      <c r="W117" s="181" t="e">
        <f>IF(I120&gt;0,IF(S117&gt;L117,"READY STOCK",IF(S117=0,"OUT OF STOCK",IF(S117&lt;L117,"LOW STOCK",""))),"")</f>
        <v>#VALUE!</v>
      </c>
      <c r="X117" s="38"/>
      <c r="Y117" s="38"/>
      <c r="Z117" s="38"/>
      <c r="AA117" s="38"/>
      <c r="AB117" s="50">
        <v>46239</v>
      </c>
      <c r="AC117" s="181">
        <v>33397</v>
      </c>
      <c r="AD117" s="51">
        <v>8</v>
      </c>
      <c r="AE117" s="37" t="s">
        <v>383</v>
      </c>
      <c r="AF117" s="37" t="s">
        <v>381</v>
      </c>
      <c r="AG117" s="33" t="str">
        <f>IF(G117&gt;0,IF(AD117&gt;0,IF(AD117=0,"Waiting",IF(AD117&lt;L117,"Partial",IF(AD117=L117,"Full Supply",IF(AD117&gt;L117,"Over Shared")))),"Waiting"),"")</f>
        <v>Full Supply</v>
      </c>
      <c r="AH117" s="49">
        <v>46225</v>
      </c>
      <c r="AI117" s="37" t="s">
        <v>452</v>
      </c>
      <c r="AJ117" s="181">
        <v>20</v>
      </c>
      <c r="AK117" s="40">
        <v>25748</v>
      </c>
      <c r="AL117" s="218">
        <v>46226</v>
      </c>
      <c r="AM117" s="40">
        <v>32</v>
      </c>
      <c r="AN117" s="37"/>
      <c r="AO117" s="41">
        <v>46232</v>
      </c>
      <c r="AP117" s="37"/>
      <c r="AQ117" s="37"/>
      <c r="AR117" s="37"/>
      <c r="AS117" s="37"/>
      <c r="AT117" s="37">
        <f>AS117-AD117</f>
        <v>-8</v>
      </c>
      <c r="AU117" s="36" t="str">
        <f>IF(AR117=0,"Waiting",IF(AR117&lt;AH117,"Kurang",IF(AR117=AH117,"Sesuai",IF(AR117&gt;AH117,"Over Shared"))))</f>
        <v>Waiting</v>
      </c>
      <c r="AV117" s="37"/>
      <c r="AW117" s="37" t="str">
        <f>IFERROR(DATEDIF(AH117,AK117,"d"),"0")&amp;"-DAY"</f>
        <v>0-DAY</v>
      </c>
      <c r="AX117" s="37" t="str">
        <f>IFERROR(DATEDIF(B117,AB117,"d"),"0")&amp;"-DAY"</f>
        <v>15-DAY</v>
      </c>
      <c r="AY117" s="37"/>
      <c r="AZ117" s="181">
        <f>L117-AD117</f>
        <v>0</v>
      </c>
    </row>
    <row r="118" spans="1:52" ht="15.5" hidden="1" customHeight="1">
      <c r="A118" s="360" t="s">
        <v>372</v>
      </c>
      <c r="B118" s="340">
        <v>46224</v>
      </c>
      <c r="C118" s="181">
        <v>48303</v>
      </c>
      <c r="D118" s="30">
        <v>46224</v>
      </c>
      <c r="E118" s="30">
        <v>46222</v>
      </c>
      <c r="F118" s="30">
        <v>46264</v>
      </c>
      <c r="G118" s="37">
        <v>4420229733</v>
      </c>
      <c r="H118" s="37" t="s">
        <v>373</v>
      </c>
      <c r="I118" s="37">
        <v>9040041385</v>
      </c>
      <c r="J118" s="37" t="s">
        <v>6</v>
      </c>
      <c r="K118" s="325" t="s">
        <v>7</v>
      </c>
      <c r="L118" s="181">
        <v>4</v>
      </c>
      <c r="M118" s="181" t="s">
        <v>425</v>
      </c>
      <c r="N118" s="37" t="s">
        <v>408</v>
      </c>
      <c r="O118" s="31">
        <f>IF(F118&gt;0,F118-AB118,"")</f>
        <v>27</v>
      </c>
      <c r="P118" s="37" t="str">
        <f>IF(F118&gt;0,IF(AB118="","PLANNING SUPPLY",IF(AB118&lt;=F118,"ONTIME DELIVERY","DELAY")),"")</f>
        <v>ONTIME DELIVERY</v>
      </c>
      <c r="Q118" s="181" t="str">
        <f>IFERROR(IF(J118&gt;0,VLOOKUP(J118,#REF!,MATCH($Q$6,#REF!,0),0),""),"")</f>
        <v/>
      </c>
      <c r="R118" s="181" t="str">
        <f>IFERROR(IF(J118&gt;0,VLOOKUP(J118,#REF!,MATCH($R$6,#REF!,0),0),""),"")</f>
        <v/>
      </c>
      <c r="S118" s="181" t="e">
        <f>IF(I121&gt;0,Q118+R118,"")</f>
        <v>#VALUE!</v>
      </c>
      <c r="T118" s="181"/>
      <c r="U118" s="181"/>
      <c r="V118" s="37"/>
      <c r="W118" s="181" t="e">
        <f>IF(I118&gt;0,IF(S118&gt;L118,"READY STOCK",IF(S118=0,"OUT OF STOCK",IF(S118&lt;L118,"LOW STOCK",""))),"")</f>
        <v>#VALUE!</v>
      </c>
      <c r="X118" s="38"/>
      <c r="Y118" s="38"/>
      <c r="Z118" s="38"/>
      <c r="AA118" s="38"/>
      <c r="AB118" s="50">
        <v>46237</v>
      </c>
      <c r="AC118" s="181">
        <v>33341</v>
      </c>
      <c r="AD118" s="51">
        <v>4</v>
      </c>
      <c r="AE118" s="37" t="s">
        <v>383</v>
      </c>
      <c r="AF118" s="37" t="s">
        <v>381</v>
      </c>
      <c r="AG118" s="33" t="str">
        <f>IF(G118&gt;0,IF(AD118&gt;0,IF(AD118=0,"Waiting",IF(AD118&lt;L118,"Partial",IF(AD118=L118,"Full Supply",IF(AD118&gt;L118,"Over Shared")))),"Waiting"),"")</f>
        <v>Full Supply</v>
      </c>
      <c r="AH118" s="37"/>
      <c r="AI118" s="37"/>
      <c r="AJ118" s="181"/>
      <c r="AK118" s="40"/>
      <c r="AL118" s="40"/>
      <c r="AM118" s="40"/>
      <c r="AN118" s="37"/>
      <c r="AO118" s="34"/>
      <c r="AP118" s="37"/>
      <c r="AQ118" s="37"/>
      <c r="AR118" s="37"/>
      <c r="AS118" s="37"/>
      <c r="AT118" s="37">
        <f>AS118-AD118</f>
        <v>-4</v>
      </c>
      <c r="AU118" s="36" t="str">
        <f>IF(AR118=0,"Waiting",IF(AR118&lt;AH118,"Kurang",IF(AR118=AH118,"Sesuai",IF(AR118&gt;AH118,"Over Shared"))))</f>
        <v>Waiting</v>
      </c>
      <c r="AV118" s="37"/>
      <c r="AW118" s="37" t="str">
        <f>IFERROR(DATEDIF(AH118,AK118,"d"),"0")&amp;"-DAY"</f>
        <v>0-DAY</v>
      </c>
      <c r="AX118" s="37" t="str">
        <f>IFERROR(DATEDIF(B118,AB118,"d"),"0")&amp;"-DAY"</f>
        <v>13-DAY</v>
      </c>
      <c r="AY118" s="37"/>
      <c r="AZ118" s="181">
        <f>L118-AD118</f>
        <v>0</v>
      </c>
    </row>
    <row r="119" spans="1:52" ht="15.5" hidden="1" customHeight="1">
      <c r="A119" s="360" t="s">
        <v>372</v>
      </c>
      <c r="B119" s="340">
        <v>46224</v>
      </c>
      <c r="C119" s="181">
        <v>48303</v>
      </c>
      <c r="D119" s="30">
        <v>46224</v>
      </c>
      <c r="E119" s="30">
        <v>46222</v>
      </c>
      <c r="F119" s="30">
        <v>46264</v>
      </c>
      <c r="G119" s="37">
        <v>4420229733</v>
      </c>
      <c r="H119" s="37" t="s">
        <v>373</v>
      </c>
      <c r="I119" s="37">
        <v>9040044191</v>
      </c>
      <c r="J119" s="37" t="s">
        <v>187</v>
      </c>
      <c r="K119" s="325" t="s">
        <v>188</v>
      </c>
      <c r="L119" s="181">
        <v>7</v>
      </c>
      <c r="M119" s="181" t="s">
        <v>425</v>
      </c>
      <c r="N119" s="37" t="s">
        <v>408</v>
      </c>
      <c r="O119" s="31">
        <f>IF(F119&gt;0,F119-AB119,"")</f>
        <v>33</v>
      </c>
      <c r="P119" s="37" t="str">
        <f>IF(F119&gt;0,IF(AB119="","PLANNING SUPPLY",IF(AB119&lt;=F119,"ONTIME DELIVERY","DELAY")),"")</f>
        <v>ONTIME DELIVERY</v>
      </c>
      <c r="Q119" s="181" t="str">
        <f>IFERROR(IF(J119&gt;0,VLOOKUP(J119,#REF!,MATCH($Q$6,#REF!,0),0),""),"")</f>
        <v/>
      </c>
      <c r="R119" s="181" t="str">
        <f>IFERROR(IF(J119&gt;0,VLOOKUP(J119,#REF!,MATCH($R$6,#REF!,0),0),""),"")</f>
        <v/>
      </c>
      <c r="S119" s="181" t="e">
        <f>IF(I122&gt;0,Q119+R119,"")</f>
        <v>#VALUE!</v>
      </c>
      <c r="T119" s="181"/>
      <c r="U119" s="181"/>
      <c r="V119" s="37"/>
      <c r="W119" s="181" t="e">
        <f>IF(I122&gt;0,IF(S119&gt;L119,"READY STOCK",IF(S119=0,"OUT OF STOCK",IF(S119&lt;L119,"LOW STOCK",""))),"")</f>
        <v>#VALUE!</v>
      </c>
      <c r="X119" s="38"/>
      <c r="Y119" s="38"/>
      <c r="Z119" s="38"/>
      <c r="AA119" s="38"/>
      <c r="AB119" s="50">
        <v>46231</v>
      </c>
      <c r="AC119" s="181">
        <v>33255</v>
      </c>
      <c r="AD119" s="51">
        <v>7</v>
      </c>
      <c r="AE119" s="37" t="s">
        <v>383</v>
      </c>
      <c r="AF119" s="37" t="s">
        <v>381</v>
      </c>
      <c r="AG119" s="33" t="str">
        <f>IF(G119&gt;0,IF(AD119&gt;0,IF(AD119=0,"Waiting",IF(AD119&lt;L119,"Partial",IF(AD119=L119,"Full Supply",IF(AD119&gt;L119,"Over Shared")))),"Waiting"),"")</f>
        <v>Full Supply</v>
      </c>
      <c r="AH119" s="37"/>
      <c r="AI119" s="37"/>
      <c r="AJ119" s="181"/>
      <c r="AK119" s="40"/>
      <c r="AL119" s="40"/>
      <c r="AM119" s="40"/>
      <c r="AN119" s="37"/>
      <c r="AO119" s="34"/>
      <c r="AP119" s="37"/>
      <c r="AQ119" s="37"/>
      <c r="AR119" s="37"/>
      <c r="AS119" s="37"/>
      <c r="AT119" s="37">
        <f>AS119-AD119</f>
        <v>-7</v>
      </c>
      <c r="AU119" s="36" t="str">
        <f>IF(AR119=0,"Waiting",IF(AR119&lt;AH119,"Kurang",IF(AR119=AH119,"Sesuai",IF(AR119&gt;AH119,"Over Shared"))))</f>
        <v>Waiting</v>
      </c>
      <c r="AV119" s="37"/>
      <c r="AW119" s="37" t="str">
        <f>IFERROR(DATEDIF(AH119,AK119,"d"),"0")&amp;"-DAY"</f>
        <v>0-DAY</v>
      </c>
      <c r="AX119" s="37" t="str">
        <f>IFERROR(DATEDIF(B119,AB119,"d"),"0")&amp;"-DAY"</f>
        <v>7-DAY</v>
      </c>
      <c r="AY119" s="37"/>
      <c r="AZ119" s="181">
        <f>L119-AD119</f>
        <v>0</v>
      </c>
    </row>
    <row r="120" spans="1:52" ht="15.5" hidden="1" customHeight="1">
      <c r="A120" s="360" t="s">
        <v>372</v>
      </c>
      <c r="B120" s="340">
        <v>46224</v>
      </c>
      <c r="C120" s="181">
        <v>48303</v>
      </c>
      <c r="D120" s="30">
        <v>46224</v>
      </c>
      <c r="E120" s="30">
        <v>46222</v>
      </c>
      <c r="F120" s="30">
        <v>46264</v>
      </c>
      <c r="G120" s="37">
        <v>4420229733</v>
      </c>
      <c r="H120" s="37" t="s">
        <v>373</v>
      </c>
      <c r="I120" s="37">
        <v>9040044154</v>
      </c>
      <c r="J120" s="37" t="s">
        <v>301</v>
      </c>
      <c r="K120" s="325" t="s">
        <v>302</v>
      </c>
      <c r="L120" s="181">
        <v>2</v>
      </c>
      <c r="M120" s="181" t="s">
        <v>425</v>
      </c>
      <c r="N120" s="37" t="s">
        <v>408</v>
      </c>
      <c r="O120" s="31">
        <f>IF(F120&gt;0,F120-AB120,"")</f>
        <v>25</v>
      </c>
      <c r="P120" s="37" t="str">
        <f>IF(F120&gt;0,IF(AB120="","PLANNING SUPPLY",IF(AB120&lt;=F120,"ONTIME DELIVERY","DELAY")),"")</f>
        <v>ONTIME DELIVERY</v>
      </c>
      <c r="Q120" s="181" t="str">
        <f>IFERROR(IF(J120&gt;0,VLOOKUP(J120,#REF!,MATCH($Q$6,#REF!,0),0),""),"")</f>
        <v/>
      </c>
      <c r="R120" s="181" t="str">
        <f>IFERROR(IF(J120&gt;0,VLOOKUP(J120,#REF!,MATCH($R$6,#REF!,0),0),""),"")</f>
        <v/>
      </c>
      <c r="S120" s="181" t="e">
        <f>IF(I123&gt;0,Q120+R120,"")</f>
        <v>#VALUE!</v>
      </c>
      <c r="T120" s="181"/>
      <c r="U120" s="181"/>
      <c r="V120" s="37"/>
      <c r="W120" s="181" t="e">
        <f>IF(I123&gt;0,IF(S120&gt;L120,"READY STOCK",IF(S120=0,"OUT OF STOCK",IF(S120&lt;L120,"LOW STOCK",""))),"")</f>
        <v>#VALUE!</v>
      </c>
      <c r="X120" s="181">
        <v>33121</v>
      </c>
      <c r="Y120" s="38">
        <v>46224</v>
      </c>
      <c r="Z120" s="181" t="s">
        <v>396</v>
      </c>
      <c r="AA120" s="181" t="s">
        <v>397</v>
      </c>
      <c r="AB120" s="50">
        <v>46239</v>
      </c>
      <c r="AC120" s="181">
        <v>33421</v>
      </c>
      <c r="AD120" s="51">
        <v>2</v>
      </c>
      <c r="AE120" s="37" t="s">
        <v>383</v>
      </c>
      <c r="AF120" s="37" t="s">
        <v>381</v>
      </c>
      <c r="AG120" s="33" t="str">
        <f>IF(G120&gt;0,IF(AD120&gt;0,IF(AD120=0,"Waiting",IF(AD120&lt;L120,"Partial",IF(AD120=L120,"Full Supply",IF(AD120&gt;L120,"Over Shared")))),"Waiting"),"")</f>
        <v>Full Supply</v>
      </c>
      <c r="AH120" s="37"/>
      <c r="AI120" s="37"/>
      <c r="AJ120" s="181"/>
      <c r="AK120" s="40"/>
      <c r="AL120" s="40"/>
      <c r="AM120" s="40"/>
      <c r="AN120" s="37"/>
      <c r="AO120" s="34"/>
      <c r="AP120" s="37"/>
      <c r="AQ120" s="37"/>
      <c r="AR120" s="37"/>
      <c r="AS120" s="37"/>
      <c r="AT120" s="37">
        <f>AS120-AD120</f>
        <v>-2</v>
      </c>
      <c r="AU120" s="36" t="str">
        <f>IF(AR120=0,"Waiting",IF(AR120&lt;AH120,"Kurang",IF(AR120=AH120,"Sesuai",IF(AR120&gt;AH120,"Over Shared"))))</f>
        <v>Waiting</v>
      </c>
      <c r="AV120" s="37"/>
      <c r="AW120" s="37" t="str">
        <f>IFERROR(DATEDIF(AH120,AK120,"d"),"0")&amp;"-DAY"</f>
        <v>0-DAY</v>
      </c>
      <c r="AX120" s="37" t="str">
        <f>IFERROR(DATEDIF(B120,AB120,"d"),"0")&amp;"-DAY"</f>
        <v>15-DAY</v>
      </c>
      <c r="AY120" s="37"/>
      <c r="AZ120" s="181">
        <f>L120-AD120</f>
        <v>0</v>
      </c>
    </row>
    <row r="121" spans="1:52" ht="15.5" hidden="1" customHeight="1">
      <c r="A121" s="360" t="s">
        <v>372</v>
      </c>
      <c r="B121" s="340">
        <v>46224</v>
      </c>
      <c r="C121" s="181">
        <v>48304</v>
      </c>
      <c r="D121" s="30">
        <v>46224</v>
      </c>
      <c r="E121" s="30">
        <v>46220</v>
      </c>
      <c r="F121" s="30">
        <v>46264</v>
      </c>
      <c r="G121" s="37">
        <v>4420229692</v>
      </c>
      <c r="H121" s="37" t="s">
        <v>373</v>
      </c>
      <c r="I121" s="37">
        <v>9040009482</v>
      </c>
      <c r="J121" s="37" t="s">
        <v>233</v>
      </c>
      <c r="K121" s="325" t="s">
        <v>234</v>
      </c>
      <c r="L121" s="181">
        <v>3</v>
      </c>
      <c r="M121" s="181" t="s">
        <v>389</v>
      </c>
      <c r="N121" s="37" t="s">
        <v>408</v>
      </c>
      <c r="O121" s="31">
        <f>IF(F121&gt;0,F121-AB121,"")</f>
        <v>-24</v>
      </c>
      <c r="P121" s="37" t="str">
        <f>IF(F121&gt;0,IF(AB121="","PLANNING SUPPLY",IF(AB121&lt;=F121,"ONTIME DELIVERY","DELAY")),"")</f>
        <v>DELAY</v>
      </c>
      <c r="Q121" s="181" t="str">
        <f>IFERROR(IF(J121&gt;0,VLOOKUP(J121,#REF!,MATCH($Q$6,#REF!,0),0),""),"")</f>
        <v/>
      </c>
      <c r="R121" s="181" t="str">
        <f>IFERROR(IF(J121&gt;0,VLOOKUP(J121,#REF!,MATCH($R$6,#REF!,0),0),""),"")</f>
        <v/>
      </c>
      <c r="S121" s="181" t="e">
        <f>IF(I124&gt;0,Q121+R121,"")</f>
        <v>#VALUE!</v>
      </c>
      <c r="T121" s="181"/>
      <c r="U121" s="181"/>
      <c r="V121" s="37"/>
      <c r="W121" s="181" t="e">
        <f>IF(I124&gt;0,IF(S121&gt;L121,"READY STOCK",IF(S121=0,"OUT OF STOCK",IF(S121&lt;L121,"LOW STOCK",""))),"")</f>
        <v>#VALUE!</v>
      </c>
      <c r="X121" s="38"/>
      <c r="Y121" s="38"/>
      <c r="Z121" s="38"/>
      <c r="AA121" s="38"/>
      <c r="AB121" s="50">
        <v>46288</v>
      </c>
      <c r="AC121" s="181">
        <v>34492</v>
      </c>
      <c r="AD121" s="51">
        <v>3</v>
      </c>
      <c r="AE121" s="37" t="s">
        <v>383</v>
      </c>
      <c r="AF121" s="37" t="s">
        <v>381</v>
      </c>
      <c r="AG121" s="33" t="str">
        <f>IF(G121&gt;0,IF(AD121&gt;0,IF(AD121=0,"Waiting",IF(AD121&lt;L121,"Partial",IF(AD121=L121,"Full Supply",IF(AD121&gt;L121,"Over Shared")))),"Waiting"),"")</f>
        <v>Full Supply</v>
      </c>
      <c r="AH121" s="56"/>
      <c r="AI121" s="37"/>
      <c r="AJ121" s="181"/>
      <c r="AK121" s="40"/>
      <c r="AL121" s="40"/>
      <c r="AM121" s="40"/>
      <c r="AN121" s="39" t="s">
        <v>459</v>
      </c>
      <c r="AO121" s="34"/>
      <c r="AP121" s="37"/>
      <c r="AQ121" s="37"/>
      <c r="AR121" s="37"/>
      <c r="AS121" s="37"/>
      <c r="AT121" s="37">
        <f>AS121-AD121</f>
        <v>-3</v>
      </c>
      <c r="AU121" s="36" t="str">
        <f>IF(AR121=0,"Waiting",IF(AR121&lt;AH121,"Kurang",IF(AR121=AH121,"Sesuai",IF(AR121&gt;AH121,"Over Shared"))))</f>
        <v>Waiting</v>
      </c>
      <c r="AV121" s="37"/>
      <c r="AW121" s="37" t="str">
        <f>IFERROR(DATEDIF(AH121,AK121,"d"),"0")&amp;"-DAY"</f>
        <v>0-DAY</v>
      </c>
      <c r="AX121" s="37" t="str">
        <f>IFERROR(DATEDIF(B121,AB121,"d"),"0")&amp;"-DAY"</f>
        <v>64-DAY</v>
      </c>
      <c r="AY121" s="37"/>
      <c r="AZ121" s="181">
        <f>L121-AD121</f>
        <v>0</v>
      </c>
    </row>
    <row r="122" spans="1:52" ht="15.5" hidden="1" customHeight="1">
      <c r="A122" s="360" t="s">
        <v>372</v>
      </c>
      <c r="B122" s="340">
        <v>46224</v>
      </c>
      <c r="C122" s="181">
        <v>48304</v>
      </c>
      <c r="D122" s="30">
        <v>46224</v>
      </c>
      <c r="E122" s="30">
        <v>46220</v>
      </c>
      <c r="F122" s="30">
        <v>46264</v>
      </c>
      <c r="G122" s="37">
        <v>4420229692</v>
      </c>
      <c r="H122" s="37" t="s">
        <v>373</v>
      </c>
      <c r="I122" s="37">
        <v>9040044155</v>
      </c>
      <c r="J122" s="37" t="s">
        <v>303</v>
      </c>
      <c r="K122" s="325" t="s">
        <v>304</v>
      </c>
      <c r="L122" s="181">
        <v>1</v>
      </c>
      <c r="M122" s="181" t="s">
        <v>375</v>
      </c>
      <c r="N122" s="37" t="s">
        <v>408</v>
      </c>
      <c r="O122" s="31">
        <f>IF(F122&gt;0,F122-AB122,"")</f>
        <v>11</v>
      </c>
      <c r="P122" s="37" t="str">
        <f>IF(F122&gt;0,IF(AB122="","PLANNING SUPPLY",IF(AB122&lt;=F122,"ONTIME DELIVERY","DELAY")),"")</f>
        <v>ONTIME DELIVERY</v>
      </c>
      <c r="Q122" s="181" t="str">
        <f>IFERROR(IF(J122&gt;0,VLOOKUP(J122,#REF!,MATCH($Q$6,#REF!,0),0),""),"")</f>
        <v/>
      </c>
      <c r="R122" s="181" t="str">
        <f>IFERROR(IF(J122&gt;0,VLOOKUP(J122,#REF!,MATCH($R$6,#REF!,0),0),""),"")</f>
        <v/>
      </c>
      <c r="S122" s="181" t="e">
        <f>IF(I125&gt;0,Q122+R122,"")</f>
        <v>#VALUE!</v>
      </c>
      <c r="T122" s="181"/>
      <c r="U122" s="181"/>
      <c r="V122" s="37"/>
      <c r="W122" s="181" t="e">
        <f>IF(I125&gt;0,IF(S122&gt;L122,"READY STOCK",IF(S122=0,"OUT OF STOCK",IF(S122&lt;L122,"LOW STOCK",""))),"")</f>
        <v>#VALUE!</v>
      </c>
      <c r="X122" s="38"/>
      <c r="Y122" s="38"/>
      <c r="Z122" s="38"/>
      <c r="AA122" s="38"/>
      <c r="AB122" s="50">
        <v>46253</v>
      </c>
      <c r="AC122" s="181">
        <v>33683</v>
      </c>
      <c r="AD122" s="51">
        <v>1</v>
      </c>
      <c r="AE122" s="37" t="s">
        <v>383</v>
      </c>
      <c r="AF122" s="37" t="s">
        <v>381</v>
      </c>
      <c r="AG122" s="33" t="str">
        <f>IF(G122&gt;0,IF(AD122&gt;0,IF(AD122=0,"Waiting",IF(AD122&lt;L122,"Partial",IF(AD122=L122,"Full Supply",IF(AD122&gt;L122,"Over Shared")))),"Waiting"),"")</f>
        <v>Full Supply</v>
      </c>
      <c r="AH122" s="37"/>
      <c r="AI122" s="37"/>
      <c r="AJ122" s="181"/>
      <c r="AK122" s="40"/>
      <c r="AL122" s="40"/>
      <c r="AM122" s="40"/>
      <c r="AN122" s="37"/>
      <c r="AO122" s="34"/>
      <c r="AP122" s="37"/>
      <c r="AQ122" s="37"/>
      <c r="AR122" s="37"/>
      <c r="AS122" s="37"/>
      <c r="AT122" s="37">
        <f>AS122-AD122</f>
        <v>-1</v>
      </c>
      <c r="AU122" s="36" t="str">
        <f>IF(AR122=0,"Waiting",IF(AR122&lt;AH122,"Kurang",IF(AR122=AH122,"Sesuai",IF(AR122&gt;AH122,"Over Shared"))))</f>
        <v>Waiting</v>
      </c>
      <c r="AV122" s="37">
        <v>54537</v>
      </c>
      <c r="AW122" s="37" t="str">
        <f>IFERROR(DATEDIF(AH122,AK122,"d"),"0")&amp;"-DAY"</f>
        <v>0-DAY</v>
      </c>
      <c r="AX122" s="37" t="str">
        <f>IFERROR(DATEDIF(B122,AB122,"d"),"0")&amp;"-DAY"</f>
        <v>29-DAY</v>
      </c>
      <c r="AY122" s="37"/>
      <c r="AZ122" s="181">
        <f>L122-AD122</f>
        <v>0</v>
      </c>
    </row>
    <row r="123" spans="1:52" ht="15.5" hidden="1" customHeight="1">
      <c r="A123" s="360" t="s">
        <v>372</v>
      </c>
      <c r="B123" s="340">
        <v>46224</v>
      </c>
      <c r="C123" s="181">
        <v>48304</v>
      </c>
      <c r="D123" s="30">
        <v>46224</v>
      </c>
      <c r="E123" s="30">
        <v>46220</v>
      </c>
      <c r="F123" s="30">
        <v>46264</v>
      </c>
      <c r="G123" s="37">
        <v>4420229692</v>
      </c>
      <c r="H123" s="37" t="s">
        <v>373</v>
      </c>
      <c r="I123" s="37">
        <v>9040009397</v>
      </c>
      <c r="J123" s="37" t="s">
        <v>287</v>
      </c>
      <c r="K123" s="325" t="s">
        <v>288</v>
      </c>
      <c r="L123" s="181">
        <v>1</v>
      </c>
      <c r="M123" s="181" t="s">
        <v>421</v>
      </c>
      <c r="N123" s="37" t="s">
        <v>408</v>
      </c>
      <c r="O123" s="31">
        <f>IF(F123&gt;0,F123-AB123,"")</f>
        <v>31</v>
      </c>
      <c r="P123" s="37" t="str">
        <f>IF(F123&gt;0,IF(AB123="","PLANNING SUPPLY",IF(AB123&lt;=F123,"ONTIME DELIVERY","DELAY")),"")</f>
        <v>ONTIME DELIVERY</v>
      </c>
      <c r="Q123" s="181" t="str">
        <f>IFERROR(IF(J123&gt;0,VLOOKUP(J123,#REF!,MATCH($Q$6,#REF!,0),0),""),"")</f>
        <v/>
      </c>
      <c r="R123" s="181" t="str">
        <f>IFERROR(IF(J123&gt;0,VLOOKUP(J123,#REF!,MATCH($R$6,#REF!,0),0),""),"")</f>
        <v/>
      </c>
      <c r="S123" s="181" t="e">
        <f>IF(I126&gt;0,Q123+R123,"")</f>
        <v>#VALUE!</v>
      </c>
      <c r="T123" s="181"/>
      <c r="U123" s="181"/>
      <c r="V123" s="37"/>
      <c r="W123" s="181" t="e">
        <f>IF(I126&gt;0,IF(S123&gt;L123,"READY STOCK",IF(S123=0,"OUT OF STOCK",IF(S123&lt;L123,"LOW STOCK",""))),"")</f>
        <v>#VALUE!</v>
      </c>
      <c r="X123" s="38"/>
      <c r="Y123" s="38"/>
      <c r="Z123" s="38"/>
      <c r="AA123" s="38"/>
      <c r="AB123" s="50">
        <v>46233</v>
      </c>
      <c r="AC123" s="181">
        <v>33305</v>
      </c>
      <c r="AD123" s="51">
        <v>1</v>
      </c>
      <c r="AE123" s="37" t="s">
        <v>383</v>
      </c>
      <c r="AF123" s="37" t="s">
        <v>381</v>
      </c>
      <c r="AG123" s="33" t="str">
        <f>IF(G123&gt;0,IF(AD123&gt;0,IF(AD123=0,"Waiting",IF(AD123&lt;L123,"Partial",IF(AD123=L123,"Full Supply",IF(AD123&gt;L123,"Over Shared")))),"Waiting"),"")</f>
        <v>Full Supply</v>
      </c>
      <c r="AH123" s="37"/>
      <c r="AI123" s="37"/>
      <c r="AJ123" s="181"/>
      <c r="AK123" s="40"/>
      <c r="AL123" s="40"/>
      <c r="AM123" s="40"/>
      <c r="AN123" s="37"/>
      <c r="AO123" s="34"/>
      <c r="AP123" s="37"/>
      <c r="AQ123" s="37"/>
      <c r="AR123" s="37"/>
      <c r="AS123" s="37"/>
      <c r="AT123" s="37">
        <f>AS123-AD123</f>
        <v>-1</v>
      </c>
      <c r="AU123" s="36" t="str">
        <f>IF(AR123=0,"Waiting",IF(AR123&lt;AH123,"Kurang",IF(AR123=AH123,"Sesuai",IF(AR123&gt;AH123,"Over Shared"))))</f>
        <v>Waiting</v>
      </c>
      <c r="AV123" s="37"/>
      <c r="AW123" s="37" t="str">
        <f>IFERROR(DATEDIF(AH123,AK123,"d"),"0")&amp;"-DAY"</f>
        <v>0-DAY</v>
      </c>
      <c r="AX123" s="37" t="str">
        <f>IFERROR(DATEDIF(B123,AB123,"d"),"0")&amp;"-DAY"</f>
        <v>9-DAY</v>
      </c>
      <c r="AY123" s="37"/>
      <c r="AZ123" s="181">
        <f>L123-AD123</f>
        <v>0</v>
      </c>
    </row>
    <row r="124" spans="1:52" ht="15.5" hidden="1" customHeight="1">
      <c r="A124" s="360" t="s">
        <v>372</v>
      </c>
      <c r="B124" s="340">
        <v>46224</v>
      </c>
      <c r="C124" s="181">
        <v>48304</v>
      </c>
      <c r="D124" s="30">
        <v>46224</v>
      </c>
      <c r="E124" s="30">
        <v>46220</v>
      </c>
      <c r="F124" s="30">
        <v>46264</v>
      </c>
      <c r="G124" s="37">
        <v>4420229692</v>
      </c>
      <c r="H124" s="37" t="s">
        <v>373</v>
      </c>
      <c r="I124" s="37">
        <v>9040028877</v>
      </c>
      <c r="J124" s="37" t="s">
        <v>199</v>
      </c>
      <c r="K124" s="325" t="s">
        <v>200</v>
      </c>
      <c r="L124" s="181">
        <v>24</v>
      </c>
      <c r="M124" s="181" t="s">
        <v>375</v>
      </c>
      <c r="N124" s="37" t="s">
        <v>408</v>
      </c>
      <c r="O124" s="31">
        <f>IF(F124&gt;0,F124-AB124,"")</f>
        <v>37</v>
      </c>
      <c r="P124" s="37" t="str">
        <f>IF(F124&gt;0,IF(AB124="","PLANNING SUPPLY",IF(AB124&lt;=F124,"ONTIME DELIVERY","DELAY")),"")</f>
        <v>ONTIME DELIVERY</v>
      </c>
      <c r="Q124" s="181" t="str">
        <f>IFERROR(IF(J124&gt;0,VLOOKUP(J124,#REF!,MATCH($Q$6,#REF!,0),0),""),"")</f>
        <v/>
      </c>
      <c r="R124" s="181" t="str">
        <f>IFERROR(IF(J124&gt;0,VLOOKUP(J124,#REF!,MATCH($R$6,#REF!,0),0),""),"")</f>
        <v/>
      </c>
      <c r="S124" s="181" t="e">
        <f>IF(I127&gt;0,Q124+R124,"")</f>
        <v>#VALUE!</v>
      </c>
      <c r="T124" s="181"/>
      <c r="U124" s="181"/>
      <c r="V124" s="37"/>
      <c r="W124" s="181" t="e">
        <f>IF(I127&gt;0,IF(S124&gt;L124,"READY STOCK",IF(S124=0,"OUT OF STOCK",IF(S124&lt;L124,"LOW STOCK",""))),"")</f>
        <v>#VALUE!</v>
      </c>
      <c r="X124" s="38"/>
      <c r="Y124" s="38"/>
      <c r="Z124" s="38"/>
      <c r="AA124" s="38"/>
      <c r="AB124" s="50">
        <v>46227</v>
      </c>
      <c r="AC124" s="181">
        <v>33177</v>
      </c>
      <c r="AD124" s="51">
        <v>24</v>
      </c>
      <c r="AE124" s="37" t="s">
        <v>383</v>
      </c>
      <c r="AF124" s="37" t="s">
        <v>381</v>
      </c>
      <c r="AG124" s="33" t="str">
        <f>IF(G124&gt;0,IF(AD124&gt;0,IF(AD124=0,"Waiting",IF(AD124&lt;L124,"Partial",IF(AD124=L124,"Full Supply",IF(AD124&gt;L124,"Over Shared")))),"Waiting"),"")</f>
        <v>Full Supply</v>
      </c>
      <c r="AH124" s="37"/>
      <c r="AI124" s="37"/>
      <c r="AJ124" s="181"/>
      <c r="AK124" s="40"/>
      <c r="AL124" s="40"/>
      <c r="AM124" s="40"/>
      <c r="AN124" s="37"/>
      <c r="AO124" s="34"/>
      <c r="AP124" s="37"/>
      <c r="AQ124" s="37"/>
      <c r="AR124" s="37"/>
      <c r="AS124" s="37"/>
      <c r="AT124" s="37">
        <f>AS124-AD124</f>
        <v>-24</v>
      </c>
      <c r="AU124" s="36" t="str">
        <f>IF(AR124=0,"Waiting",IF(AR124&lt;AH124,"Kurang",IF(AR124=AH124,"Sesuai",IF(AR124&gt;AH124,"Over Shared"))))</f>
        <v>Waiting</v>
      </c>
      <c r="AV124" s="37">
        <v>54537</v>
      </c>
      <c r="AW124" s="37" t="str">
        <f>IFERROR(DATEDIF(AH124,AK124,"d"),"0")&amp;"-DAY"</f>
        <v>0-DAY</v>
      </c>
      <c r="AX124" s="37" t="str">
        <f>IFERROR(DATEDIF(B124,AB124,"d"),"0")&amp;"-DAY"</f>
        <v>3-DAY</v>
      </c>
      <c r="AY124" s="37"/>
      <c r="AZ124" s="181">
        <f>L124-AD124</f>
        <v>0</v>
      </c>
    </row>
    <row r="125" spans="1:52" ht="15.5" hidden="1" customHeight="1">
      <c r="A125" s="360" t="s">
        <v>372</v>
      </c>
      <c r="B125" s="340">
        <v>46224</v>
      </c>
      <c r="C125" s="181">
        <v>48304</v>
      </c>
      <c r="D125" s="30">
        <v>46224</v>
      </c>
      <c r="E125" s="30">
        <v>46220</v>
      </c>
      <c r="F125" s="30">
        <v>46264</v>
      </c>
      <c r="G125" s="37">
        <v>4420229692</v>
      </c>
      <c r="H125" s="37" t="s">
        <v>373</v>
      </c>
      <c r="I125" s="37">
        <v>9040040588</v>
      </c>
      <c r="J125" s="37" t="s">
        <v>76</v>
      </c>
      <c r="K125" s="325" t="s">
        <v>77</v>
      </c>
      <c r="L125" s="181">
        <v>9</v>
      </c>
      <c r="M125" s="181" t="s">
        <v>375</v>
      </c>
      <c r="N125" s="37" t="s">
        <v>408</v>
      </c>
      <c r="O125" s="31">
        <f>IF(F125&gt;0,F125-AB125,"")</f>
        <v>33</v>
      </c>
      <c r="P125" s="37" t="str">
        <f>IF(F125&gt;0,IF(AB125="","PLANNING SUPPLY",IF(AB125&lt;=F125,"ONTIME DELIVERY","DELAY")),"")</f>
        <v>ONTIME DELIVERY</v>
      </c>
      <c r="Q125" s="181" t="str">
        <f>IFERROR(IF(J125&gt;0,VLOOKUP(J125,#REF!,MATCH($Q$6,#REF!,0),0),""),"")</f>
        <v/>
      </c>
      <c r="R125" s="181" t="str">
        <f>IFERROR(IF(J125&gt;0,VLOOKUP(J125,#REF!,MATCH($R$6,#REF!,0),0),""),"")</f>
        <v/>
      </c>
      <c r="S125" s="181" t="e">
        <f>IF(I128&gt;0,Q125+R125,"")</f>
        <v>#VALUE!</v>
      </c>
      <c r="T125" s="181"/>
      <c r="U125" s="181"/>
      <c r="V125" s="37"/>
      <c r="W125" s="181" t="e">
        <f>IF(I128&gt;0,IF(S125&gt;L125,"READY STOCK",IF(S125=0,"OUT OF STOCK",IF(S125&lt;L125,"LOW STOCK",""))),"")</f>
        <v>#VALUE!</v>
      </c>
      <c r="X125" s="38"/>
      <c r="Y125" s="38"/>
      <c r="Z125" s="38"/>
      <c r="AA125" s="38"/>
      <c r="AB125" s="50">
        <v>46231</v>
      </c>
      <c r="AC125" s="181">
        <v>33251</v>
      </c>
      <c r="AD125" s="51">
        <v>9</v>
      </c>
      <c r="AE125" s="37" t="s">
        <v>383</v>
      </c>
      <c r="AF125" s="37" t="s">
        <v>381</v>
      </c>
      <c r="AG125" s="33" t="str">
        <f>IF(G125&gt;0,IF(AD125&gt;0,IF(AD125=0,"Waiting",IF(AD125&lt;L125,"Partial",IF(AD125=L125,"Full Supply",IF(AD125&gt;L125,"Over Shared")))),"Waiting"),"")</f>
        <v>Full Supply</v>
      </c>
      <c r="AH125" s="37"/>
      <c r="AI125" s="37"/>
      <c r="AJ125" s="181"/>
      <c r="AK125" s="40"/>
      <c r="AL125" s="40"/>
      <c r="AM125" s="40"/>
      <c r="AN125" s="37"/>
      <c r="AO125" s="34"/>
      <c r="AP125" s="37"/>
      <c r="AQ125" s="37"/>
      <c r="AR125" s="37"/>
      <c r="AS125" s="37"/>
      <c r="AT125" s="37">
        <f>AS125-AD125</f>
        <v>-9</v>
      </c>
      <c r="AU125" s="36" t="str">
        <f>IF(AR125=0,"Waiting",IF(AR125&lt;AH125,"Kurang",IF(AR125=AH125,"Sesuai",IF(AR125&gt;AH125,"Over Shared"))))</f>
        <v>Waiting</v>
      </c>
      <c r="AV125" s="37"/>
      <c r="AW125" s="37" t="str">
        <f>IFERROR(DATEDIF(AH125,AK125,"d"),"0")&amp;"-DAY"</f>
        <v>0-DAY</v>
      </c>
      <c r="AX125" s="37" t="str">
        <f>IFERROR(DATEDIF(B125,AB125,"d"),"0")&amp;"-DAY"</f>
        <v>7-DAY</v>
      </c>
      <c r="AY125" s="37"/>
      <c r="AZ125" s="181">
        <f>L125-AD125</f>
        <v>0</v>
      </c>
    </row>
    <row r="126" spans="1:52" ht="15.5" hidden="1" customHeight="1">
      <c r="A126" s="360" t="s">
        <v>372</v>
      </c>
      <c r="B126" s="340">
        <v>46224</v>
      </c>
      <c r="C126" s="181">
        <v>48304</v>
      </c>
      <c r="D126" s="30">
        <v>46224</v>
      </c>
      <c r="E126" s="30">
        <v>46220</v>
      </c>
      <c r="F126" s="30">
        <v>46264</v>
      </c>
      <c r="G126" s="37">
        <v>4420229692</v>
      </c>
      <c r="H126" s="37" t="s">
        <v>373</v>
      </c>
      <c r="I126" s="37">
        <v>9040041385</v>
      </c>
      <c r="J126" s="37" t="s">
        <v>6</v>
      </c>
      <c r="K126" s="325" t="s">
        <v>7</v>
      </c>
      <c r="L126" s="181">
        <v>3</v>
      </c>
      <c r="M126" s="181" t="s">
        <v>375</v>
      </c>
      <c r="N126" s="37" t="s">
        <v>408</v>
      </c>
      <c r="O126" s="31">
        <f>IF(F126&gt;0,F126-AB126,"")</f>
        <v>37</v>
      </c>
      <c r="P126" s="37" t="str">
        <f>IF(F126&gt;0,IF(AB126="","PLANNING SUPPLY",IF(AB126&lt;=F126,"ONTIME DELIVERY","DELAY")),"")</f>
        <v>ONTIME DELIVERY</v>
      </c>
      <c r="Q126" s="181" t="str">
        <f>IFERROR(IF(J126&gt;0,VLOOKUP(J126,#REF!,MATCH($Q$6,#REF!,0),0),""),"")</f>
        <v/>
      </c>
      <c r="R126" s="181" t="str">
        <f>IFERROR(IF(J126&gt;0,VLOOKUP(J126,#REF!,MATCH($R$6,#REF!,0),0),""),"")</f>
        <v/>
      </c>
      <c r="S126" s="181" t="e">
        <f>IF(I129&gt;0,Q126+R126,"")</f>
        <v>#VALUE!</v>
      </c>
      <c r="T126" s="181"/>
      <c r="U126" s="181"/>
      <c r="V126" s="37"/>
      <c r="W126" s="181" t="e">
        <f>IF(I129&gt;0,IF(S126&gt;L126,"READY STOCK",IF(S126=0,"OUT OF STOCK",IF(S126&lt;L126,"LOW STOCK",""))),"")</f>
        <v>#VALUE!</v>
      </c>
      <c r="X126" s="38"/>
      <c r="Y126" s="38"/>
      <c r="Z126" s="38"/>
      <c r="AA126" s="38"/>
      <c r="AB126" s="50">
        <v>46227</v>
      </c>
      <c r="AC126" s="181">
        <v>33176</v>
      </c>
      <c r="AD126" s="51">
        <v>3</v>
      </c>
      <c r="AE126" s="37" t="s">
        <v>383</v>
      </c>
      <c r="AF126" s="37" t="s">
        <v>381</v>
      </c>
      <c r="AG126" s="33" t="str">
        <f>IF(G126&gt;0,IF(AD126&gt;0,IF(AD126=0,"Waiting",IF(AD126&lt;L126,"Partial",IF(AD126=L126,"Full Supply",IF(AD126&gt;L126,"Over Shared")))),"Waiting"),"")</f>
        <v>Full Supply</v>
      </c>
      <c r="AH126" s="37"/>
      <c r="AI126" s="37"/>
      <c r="AJ126" s="181"/>
      <c r="AK126" s="40"/>
      <c r="AL126" s="40"/>
      <c r="AM126" s="40"/>
      <c r="AN126" s="37"/>
      <c r="AO126" s="34"/>
      <c r="AP126" s="37"/>
      <c r="AQ126" s="37"/>
      <c r="AR126" s="37"/>
      <c r="AS126" s="37"/>
      <c r="AT126" s="37">
        <f>AS126-AD126</f>
        <v>-3</v>
      </c>
      <c r="AU126" s="36" t="str">
        <f>IF(AR126=0,"Waiting",IF(AR126&lt;AH126,"Kurang",IF(AR126=AH126,"Sesuai",IF(AR126&gt;AH126,"Over Shared"))))</f>
        <v>Waiting</v>
      </c>
      <c r="AV126" s="37">
        <v>54537</v>
      </c>
      <c r="AW126" s="37" t="str">
        <f>IFERROR(DATEDIF(AH126,AK126,"d"),"0")&amp;"-DAY"</f>
        <v>0-DAY</v>
      </c>
      <c r="AX126" s="37" t="str">
        <f>IFERROR(DATEDIF(B126,AB126,"d"),"0")&amp;"-DAY"</f>
        <v>3-DAY</v>
      </c>
      <c r="AY126" s="37"/>
      <c r="AZ126" s="181">
        <f>L126-AD126</f>
        <v>0</v>
      </c>
    </row>
    <row r="127" spans="1:52" ht="15.5" hidden="1" customHeight="1">
      <c r="A127" s="360" t="s">
        <v>372</v>
      </c>
      <c r="B127" s="340">
        <v>46225</v>
      </c>
      <c r="C127" s="181">
        <v>48305</v>
      </c>
      <c r="D127" s="30">
        <v>46224</v>
      </c>
      <c r="E127" s="30">
        <v>46220</v>
      </c>
      <c r="F127" s="30">
        <v>46233</v>
      </c>
      <c r="G127" s="37">
        <v>4420229680</v>
      </c>
      <c r="H127" s="37" t="s">
        <v>373</v>
      </c>
      <c r="I127" s="37">
        <v>9040009482</v>
      </c>
      <c r="J127" s="37" t="s">
        <v>233</v>
      </c>
      <c r="K127" s="325" t="s">
        <v>234</v>
      </c>
      <c r="L127" s="181">
        <v>3</v>
      </c>
      <c r="M127" s="181" t="s">
        <v>389</v>
      </c>
      <c r="N127" s="37" t="s">
        <v>434</v>
      </c>
      <c r="O127" s="31">
        <f>IF(F127&gt;0,F127-AB127,"")</f>
        <v>-35</v>
      </c>
      <c r="P127" s="37" t="str">
        <f>IF(F127&gt;0,IF(AB127="","PLANNING SUPPLY",IF(AB127&lt;=F127,"ONTIME DELIVERY","DELAY")),"")</f>
        <v>DELAY</v>
      </c>
      <c r="Q127" s="181" t="str">
        <f>IFERROR(IF(J127&gt;0,VLOOKUP(J127,#REF!,MATCH($Q$6,#REF!,0),0),""),"")</f>
        <v/>
      </c>
      <c r="R127" s="181" t="str">
        <f>IFERROR(IF(J127&gt;0,VLOOKUP(J127,#REF!,MATCH($R$6,#REF!,0),0),""),"")</f>
        <v/>
      </c>
      <c r="S127" s="181" t="e">
        <f>IF(I130&gt;0,Q127+R127,"")</f>
        <v>#VALUE!</v>
      </c>
      <c r="T127" s="181"/>
      <c r="U127" s="181"/>
      <c r="V127" s="37"/>
      <c r="W127" s="181" t="e">
        <f>IF(I130&gt;0,IF(S127&gt;L127,"READY STOCK",IF(S127=0,"OUT OF STOCK",IF(S127&lt;L127,"LOW STOCK",""))),"")</f>
        <v>#VALUE!</v>
      </c>
      <c r="X127" s="38"/>
      <c r="Y127" s="38"/>
      <c r="Z127" s="38"/>
      <c r="AA127" s="38"/>
      <c r="AB127" s="50">
        <v>46268</v>
      </c>
      <c r="AC127" s="181">
        <v>34022</v>
      </c>
      <c r="AD127" s="51">
        <v>3</v>
      </c>
      <c r="AE127" s="37" t="s">
        <v>383</v>
      </c>
      <c r="AF127" s="37" t="s">
        <v>381</v>
      </c>
      <c r="AG127" s="33" t="str">
        <f>IF(G127&gt;0,IF(AD127&gt;0,IF(AD127=0,"Waiting",IF(AD127&lt;L127,"Partial",IF(AD127=L127,"Full Supply",IF(AD127&gt;L127,"Over Shared")))),"Waiting"),"")</f>
        <v>Full Supply</v>
      </c>
      <c r="AH127" s="56"/>
      <c r="AI127" s="37"/>
      <c r="AJ127" s="181"/>
      <c r="AK127" s="40"/>
      <c r="AL127" s="40"/>
      <c r="AM127" s="40"/>
      <c r="AN127" s="39" t="s">
        <v>459</v>
      </c>
      <c r="AO127" s="34"/>
      <c r="AP127" s="37"/>
      <c r="AQ127" s="37"/>
      <c r="AR127" s="37"/>
      <c r="AS127" s="37"/>
      <c r="AT127" s="37">
        <f>AS127-AD127</f>
        <v>-3</v>
      </c>
      <c r="AU127" s="36" t="str">
        <f>IF(AR127=0,"Waiting",IF(AR127&lt;AH127,"Kurang",IF(AR127=AH127,"Sesuai",IF(AR127&gt;AH127,"Over Shared"))))</f>
        <v>Waiting</v>
      </c>
      <c r="AV127" s="37"/>
      <c r="AW127" s="37" t="str">
        <f>IFERROR(DATEDIF(AH127,AK127,"d"),"0")&amp;"-DAY"</f>
        <v>0-DAY</v>
      </c>
      <c r="AX127" s="37" t="str">
        <f>IFERROR(DATEDIF(B127,AB127,"d"),"0")&amp;"-DAY"</f>
        <v>43-DAY</v>
      </c>
      <c r="AY127" s="37"/>
      <c r="AZ127" s="181">
        <f>L127-AD127</f>
        <v>0</v>
      </c>
    </row>
    <row r="128" spans="1:52" ht="15.5" hidden="1" customHeight="1">
      <c r="A128" s="360" t="s">
        <v>372</v>
      </c>
      <c r="B128" s="340">
        <v>46225</v>
      </c>
      <c r="C128" s="181">
        <v>48308</v>
      </c>
      <c r="D128" s="30">
        <v>46225</v>
      </c>
      <c r="E128" s="30">
        <v>46222</v>
      </c>
      <c r="F128" s="30">
        <v>46241</v>
      </c>
      <c r="G128" s="37">
        <v>4420229731</v>
      </c>
      <c r="H128" s="37" t="s">
        <v>373</v>
      </c>
      <c r="I128" s="37">
        <v>9040040390</v>
      </c>
      <c r="J128" s="37" t="s">
        <v>209</v>
      </c>
      <c r="K128" s="325" t="s">
        <v>210</v>
      </c>
      <c r="L128" s="181">
        <v>3</v>
      </c>
      <c r="M128" s="181" t="s">
        <v>421</v>
      </c>
      <c r="N128" s="37" t="s">
        <v>451</v>
      </c>
      <c r="O128" s="31">
        <f>IF(F128&gt;0,F128-AB128,"")</f>
        <v>0</v>
      </c>
      <c r="P128" s="37" t="str">
        <f>IF(F128&gt;0,IF(AB128="","PLANNING SUPPLY",IF(AB128&lt;=F128,"ONTIME DELIVERY","DELAY")),"")</f>
        <v>ONTIME DELIVERY</v>
      </c>
      <c r="Q128" s="181" t="str">
        <f>IFERROR(IF(J128&gt;0,VLOOKUP(J128,#REF!,MATCH($Q$6,#REF!,0),0),""),"")</f>
        <v/>
      </c>
      <c r="R128" s="181" t="str">
        <f>IFERROR(IF(J128&gt;0,VLOOKUP(J128,#REF!,MATCH($R$6,#REF!,0),0),""),"")</f>
        <v/>
      </c>
      <c r="S128" s="181" t="e">
        <f>IF(I131&gt;0,Q128+R128,"")</f>
        <v>#VALUE!</v>
      </c>
      <c r="T128" s="181"/>
      <c r="U128" s="181"/>
      <c r="V128" s="37"/>
      <c r="W128" s="181" t="e">
        <f>IF(I131&gt;0,IF(S128&gt;L128,"READY STOCK",IF(S128=0,"OUT OF STOCK",IF(S128&lt;L128,"LOW STOCK",""))),"")</f>
        <v>#VALUE!</v>
      </c>
      <c r="X128" s="38"/>
      <c r="Y128" s="38"/>
      <c r="Z128" s="38"/>
      <c r="AA128" s="38"/>
      <c r="AB128" s="50">
        <v>46241</v>
      </c>
      <c r="AC128" s="181">
        <v>33488</v>
      </c>
      <c r="AD128" s="51">
        <v>3</v>
      </c>
      <c r="AE128" s="37" t="s">
        <v>387</v>
      </c>
      <c r="AF128" s="37" t="s">
        <v>381</v>
      </c>
      <c r="AG128" s="33" t="str">
        <f>IF(G128&gt;0,IF(AD128&gt;0,IF(AD128=0,"Waiting",IF(AD128&lt;L128,"Partial",IF(AD128=L128,"Full Supply",IF(AD128&gt;L128,"Over Shared")))),"Waiting"),"")</f>
        <v>Full Supply</v>
      </c>
      <c r="AH128" s="49">
        <v>46225</v>
      </c>
      <c r="AI128" s="37" t="s">
        <v>452</v>
      </c>
      <c r="AJ128" s="181">
        <v>4</v>
      </c>
      <c r="AK128" s="40">
        <v>25747</v>
      </c>
      <c r="AL128" s="218">
        <v>46226</v>
      </c>
      <c r="AM128" s="40">
        <v>4</v>
      </c>
      <c r="AN128" s="37"/>
      <c r="AO128" s="41">
        <v>46227</v>
      </c>
      <c r="AP128" s="37"/>
      <c r="AQ128" s="37"/>
      <c r="AR128" s="37"/>
      <c r="AS128" s="37"/>
      <c r="AT128" s="37">
        <f>AS128-AD128</f>
        <v>-3</v>
      </c>
      <c r="AU128" s="36" t="str">
        <f>IF(AR128=0,"Waiting",IF(AR128&lt;AH128,"Kurang",IF(AR128=AH128,"Sesuai",IF(AR128&gt;AH128,"Over Shared"))))</f>
        <v>Waiting</v>
      </c>
      <c r="AV128" s="37">
        <v>54593</v>
      </c>
      <c r="AW128" s="37" t="str">
        <f>IFERROR(DATEDIF(AH128,AK128,"d"),"0")&amp;"-DAY"</f>
        <v>0-DAY</v>
      </c>
      <c r="AX128" s="37" t="str">
        <f>IFERROR(DATEDIF(B128,AB128,"d"),"0")&amp;"-DAY"</f>
        <v>16-DAY</v>
      </c>
      <c r="AY128" s="37"/>
      <c r="AZ128" s="181">
        <f>L128-AD128</f>
        <v>0</v>
      </c>
    </row>
    <row r="129" spans="1:52" ht="15.5" hidden="1" customHeight="1">
      <c r="A129" s="360" t="s">
        <v>372</v>
      </c>
      <c r="B129" s="340">
        <v>46225</v>
      </c>
      <c r="C129" s="181">
        <v>48308</v>
      </c>
      <c r="D129" s="30">
        <v>46225</v>
      </c>
      <c r="E129" s="30">
        <v>46222</v>
      </c>
      <c r="F129" s="30">
        <v>46241</v>
      </c>
      <c r="G129" s="37">
        <v>4420229731</v>
      </c>
      <c r="H129" s="37" t="s">
        <v>373</v>
      </c>
      <c r="I129" s="37">
        <v>9040042224</v>
      </c>
      <c r="J129" s="37" t="s">
        <v>195</v>
      </c>
      <c r="K129" s="325" t="s">
        <v>196</v>
      </c>
      <c r="L129" s="181">
        <v>4</v>
      </c>
      <c r="M129" s="181" t="s">
        <v>421</v>
      </c>
      <c r="N129" s="37" t="s">
        <v>451</v>
      </c>
      <c r="O129" s="31">
        <f>IF(F129&gt;0,F129-AB129,"")</f>
        <v>10</v>
      </c>
      <c r="P129" s="37" t="str">
        <f>IF(F129&gt;0,IF(AB129="","PLANNING SUPPLY",IF(AB129&lt;=F129,"ONTIME DELIVERY","DELAY")),"")</f>
        <v>ONTIME DELIVERY</v>
      </c>
      <c r="Q129" s="181" t="str">
        <f>IFERROR(IF(J129&gt;0,VLOOKUP(J129,#REF!,MATCH($Q$6,#REF!,0),0),""),"")</f>
        <v/>
      </c>
      <c r="R129" s="181" t="str">
        <f>IFERROR(IF(J129&gt;0,VLOOKUP(J129,#REF!,MATCH($R$6,#REF!,0),0),""),"")</f>
        <v/>
      </c>
      <c r="S129" s="181" t="e">
        <f>IF(I132&gt;0,Q129+R129,"")</f>
        <v>#VALUE!</v>
      </c>
      <c r="T129" s="181"/>
      <c r="U129" s="181"/>
      <c r="V129" s="37"/>
      <c r="W129" s="181" t="e">
        <f>IF(I132&gt;0,IF(S129&gt;L129,"READY STOCK",IF(S129=0,"OUT OF STOCK",IF(S129&lt;L129,"LOW STOCK",""))),"")</f>
        <v>#VALUE!</v>
      </c>
      <c r="X129" s="38"/>
      <c r="Y129" s="38"/>
      <c r="Z129" s="38"/>
      <c r="AA129" s="38"/>
      <c r="AB129" s="50">
        <v>46231</v>
      </c>
      <c r="AC129" s="181">
        <v>33216</v>
      </c>
      <c r="AD129" s="51">
        <v>4</v>
      </c>
      <c r="AE129" s="37" t="s">
        <v>383</v>
      </c>
      <c r="AF129" s="37" t="s">
        <v>381</v>
      </c>
      <c r="AG129" s="33" t="str">
        <f>IF(G129&gt;0,IF(AD129&gt;0,IF(AD129=0,"Waiting",IF(AD129&lt;L129,"Partial",IF(AD129=L129,"Full Supply",IF(AD129&gt;L129,"Over Shared")))),"Waiting"),"")</f>
        <v>Full Supply</v>
      </c>
      <c r="AH129" s="49">
        <v>46225</v>
      </c>
      <c r="AI129" s="37" t="s">
        <v>452</v>
      </c>
      <c r="AJ129" s="181">
        <v>8</v>
      </c>
      <c r="AK129" s="40">
        <v>25747</v>
      </c>
      <c r="AL129" s="218">
        <v>46226</v>
      </c>
      <c r="AM129" s="40">
        <v>8</v>
      </c>
      <c r="AN129" s="37"/>
      <c r="AO129" s="41">
        <v>46227</v>
      </c>
      <c r="AP129" s="37"/>
      <c r="AQ129" s="37"/>
      <c r="AR129" s="37"/>
      <c r="AS129" s="37"/>
      <c r="AT129" s="37">
        <f>AS129-AD129</f>
        <v>-4</v>
      </c>
      <c r="AU129" s="36" t="str">
        <f>IF(AR129=0,"Waiting",IF(AR129&lt;AH129,"Kurang",IF(AR129=AH129,"Sesuai",IF(AR129&gt;AH129,"Over Shared"))))</f>
        <v>Waiting</v>
      </c>
      <c r="AV129" s="37">
        <v>54593</v>
      </c>
      <c r="AW129" s="37" t="str">
        <f>IFERROR(DATEDIF(AH129,AK129,"d"),"0")&amp;"-DAY"</f>
        <v>0-DAY</v>
      </c>
      <c r="AX129" s="37" t="str">
        <f>IFERROR(DATEDIF(B129,AB129,"d"),"0")&amp;"-DAY"</f>
        <v>6-DAY</v>
      </c>
      <c r="AY129" s="37"/>
      <c r="AZ129" s="181">
        <f>L129-AD129</f>
        <v>0</v>
      </c>
    </row>
    <row r="130" spans="1:52" ht="15.5" hidden="1" customHeight="1">
      <c r="A130" s="360" t="s">
        <v>372</v>
      </c>
      <c r="B130" s="340">
        <v>46225</v>
      </c>
      <c r="C130" s="181">
        <v>48308</v>
      </c>
      <c r="D130" s="30">
        <v>46225</v>
      </c>
      <c r="E130" s="30">
        <v>46222</v>
      </c>
      <c r="F130" s="30">
        <v>46241</v>
      </c>
      <c r="G130" s="37">
        <v>4420229731</v>
      </c>
      <c r="H130" s="37" t="s">
        <v>373</v>
      </c>
      <c r="I130" s="37">
        <v>9040016343</v>
      </c>
      <c r="J130" s="37" t="s">
        <v>211</v>
      </c>
      <c r="K130" s="325" t="s">
        <v>212</v>
      </c>
      <c r="L130" s="181">
        <v>10</v>
      </c>
      <c r="M130" s="181" t="s">
        <v>421</v>
      </c>
      <c r="N130" s="37" t="s">
        <v>451</v>
      </c>
      <c r="O130" s="31">
        <f>IF(F130&gt;0,F130-AB130,"")</f>
        <v>2</v>
      </c>
      <c r="P130" s="37" t="str">
        <f>IF(F130&gt;0,IF(AB130="","PLANNING SUPPLY",IF(AB130&lt;=F130,"ONTIME DELIVERY","DELAY")),"")</f>
        <v>ONTIME DELIVERY</v>
      </c>
      <c r="Q130" s="181" t="str">
        <f>IFERROR(IF(J130&gt;0,VLOOKUP(J130,#REF!,MATCH($Q$6,#REF!,0),0),""),"")</f>
        <v/>
      </c>
      <c r="R130" s="181" t="str">
        <f>IFERROR(IF(J130&gt;0,VLOOKUP(J130,#REF!,MATCH($R$6,#REF!,0),0),""),"")</f>
        <v/>
      </c>
      <c r="S130" s="181" t="e">
        <f>IF(I133&gt;0,Q130+R130,"")</f>
        <v>#VALUE!</v>
      </c>
      <c r="T130" s="181"/>
      <c r="U130" s="181"/>
      <c r="V130" s="37"/>
      <c r="W130" s="181" t="e">
        <f>IF(I133&gt;0,IF(S130&gt;L130,"READY STOCK",IF(S130=0,"OUT OF STOCK",IF(S130&lt;L130,"LOW STOCK",""))),"")</f>
        <v>#VALUE!</v>
      </c>
      <c r="X130" s="38"/>
      <c r="Y130" s="38"/>
      <c r="Z130" s="38"/>
      <c r="AA130" s="38"/>
      <c r="AB130" s="50">
        <v>46239</v>
      </c>
      <c r="AC130" s="181">
        <v>33398</v>
      </c>
      <c r="AD130" s="51">
        <v>10</v>
      </c>
      <c r="AE130" s="37" t="s">
        <v>383</v>
      </c>
      <c r="AF130" s="37" t="s">
        <v>381</v>
      </c>
      <c r="AG130" s="33" t="str">
        <f>IF(G130&gt;0,IF(AD130&gt;0,IF(AD130=0,"Waiting",IF(AD130&lt;L130,"Partial",IF(AD130=L130,"Full Supply",IF(AD130&gt;L130,"Over Shared")))),"Waiting"),"")</f>
        <v>Full Supply</v>
      </c>
      <c r="AH130" s="49">
        <v>46225</v>
      </c>
      <c r="AI130" s="37" t="s">
        <v>452</v>
      </c>
      <c r="AJ130" s="181">
        <v>20</v>
      </c>
      <c r="AK130" s="40">
        <v>25748</v>
      </c>
      <c r="AL130" s="218">
        <v>46226</v>
      </c>
      <c r="AM130" s="40">
        <v>32</v>
      </c>
      <c r="AN130" s="37"/>
      <c r="AO130" s="41">
        <v>46232</v>
      </c>
      <c r="AP130" s="37"/>
      <c r="AQ130" s="37"/>
      <c r="AR130" s="37"/>
      <c r="AS130" s="37"/>
      <c r="AT130" s="37">
        <f>AS130-AD130</f>
        <v>-10</v>
      </c>
      <c r="AU130" s="36" t="str">
        <f>IF(AR130=0,"Waiting",IF(AR130&lt;AH130,"Kurang",IF(AR130=AH130,"Sesuai",IF(AR130&gt;AH130,"Over Shared"))))</f>
        <v>Waiting</v>
      </c>
      <c r="AV130" s="37">
        <v>54593</v>
      </c>
      <c r="AW130" s="37" t="str">
        <f>IFERROR(DATEDIF(AH130,AK130,"d"),"0")&amp;"-DAY"</f>
        <v>0-DAY</v>
      </c>
      <c r="AX130" s="37" t="str">
        <f>IFERROR(DATEDIF(B130,AB130,"d"),"0")&amp;"-DAY"</f>
        <v>14-DAY</v>
      </c>
      <c r="AY130" s="37"/>
      <c r="AZ130" s="181">
        <f>L130-AD130</f>
        <v>0</v>
      </c>
    </row>
    <row r="131" spans="1:52" ht="15.5" hidden="1" customHeight="1">
      <c r="A131" s="360" t="s">
        <v>372</v>
      </c>
      <c r="B131" s="340">
        <v>46226</v>
      </c>
      <c r="C131" s="181">
        <v>48359</v>
      </c>
      <c r="D131" s="30">
        <v>46226</v>
      </c>
      <c r="E131" s="30">
        <v>46224</v>
      </c>
      <c r="F131" s="30">
        <v>46238</v>
      </c>
      <c r="G131" s="37">
        <v>4420229838</v>
      </c>
      <c r="H131" s="37" t="s">
        <v>373</v>
      </c>
      <c r="I131" s="37">
        <v>9040003053</v>
      </c>
      <c r="J131" s="37" t="s">
        <v>98</v>
      </c>
      <c r="K131" s="325" t="s">
        <v>99</v>
      </c>
      <c r="L131" s="181">
        <v>15</v>
      </c>
      <c r="M131" s="181" t="s">
        <v>375</v>
      </c>
      <c r="N131" s="37" t="s">
        <v>410</v>
      </c>
      <c r="O131" s="31">
        <f>IF(F131&gt;0,F131-AB131,"")</f>
        <v>7</v>
      </c>
      <c r="P131" s="37" t="str">
        <f>IF(F131&gt;0,IF(AB131="","PLANNING SUPPLY",IF(AB131&lt;=F131,"ONTIME DELIVERY","DELAY")),"")</f>
        <v>ONTIME DELIVERY</v>
      </c>
      <c r="Q131" s="181" t="str">
        <f>IFERROR(IF(J131&gt;0,VLOOKUP(J131,#REF!,MATCH($Q$6,#REF!,0),0),""),"")</f>
        <v/>
      </c>
      <c r="R131" s="181" t="str">
        <f>IFERROR(IF(J131&gt;0,VLOOKUP(J131,#REF!,MATCH($R$6,#REF!,0),0),""),"")</f>
        <v/>
      </c>
      <c r="S131" s="181" t="e">
        <f>IF(I134&gt;0,Q131+R131,"")</f>
        <v>#VALUE!</v>
      </c>
      <c r="T131" s="181"/>
      <c r="U131" s="181"/>
      <c r="V131" s="37"/>
      <c r="W131" s="181" t="e">
        <f>IF(I134&gt;0,IF(S131&gt;L131,"READY STOCK",IF(S131=0,"OUT OF STOCK",IF(S131&lt;L131,"LOW STOCK",""))),"")</f>
        <v>#VALUE!</v>
      </c>
      <c r="X131" s="38"/>
      <c r="Y131" s="38"/>
      <c r="Z131" s="38"/>
      <c r="AA131" s="38"/>
      <c r="AB131" s="50">
        <v>46231</v>
      </c>
      <c r="AC131" s="181">
        <v>33211</v>
      </c>
      <c r="AD131" s="51">
        <v>15</v>
      </c>
      <c r="AE131" s="37" t="s">
        <v>383</v>
      </c>
      <c r="AF131" s="37" t="s">
        <v>381</v>
      </c>
      <c r="AG131" s="33" t="str">
        <f>IF(G131&gt;0,IF(AD131&gt;0,IF(AD131=0,"Waiting",IF(AD131&lt;L131,"Partial",IF(AD131=L131,"Full Supply",IF(AD131&gt;L131,"Over Shared")))),"Waiting"),"")</f>
        <v>Full Supply</v>
      </c>
      <c r="AH131" s="37"/>
      <c r="AI131" s="37"/>
      <c r="AJ131" s="181"/>
      <c r="AK131" s="40"/>
      <c r="AL131" s="40"/>
      <c r="AM131" s="40"/>
      <c r="AN131" s="37"/>
      <c r="AO131" s="34"/>
      <c r="AP131" s="37"/>
      <c r="AQ131" s="37"/>
      <c r="AR131" s="37"/>
      <c r="AS131" s="37"/>
      <c r="AT131" s="37">
        <f>AS131-AD131</f>
        <v>-15</v>
      </c>
      <c r="AU131" s="36" t="str">
        <f>IF(AR131=0,"Waiting",IF(AR131&lt;AH131,"Kurang",IF(AR131=AH131,"Sesuai",IF(AR131&gt;AH131,"Over Shared"))))</f>
        <v>Waiting</v>
      </c>
      <c r="AV131" s="37"/>
      <c r="AW131" s="37" t="str">
        <f>IFERROR(DATEDIF(AH131,AK131,"d"),"0")&amp;"-DAY"</f>
        <v>0-DAY</v>
      </c>
      <c r="AX131" s="37" t="str">
        <f>IFERROR(DATEDIF(B131,AB131,"d"),"0")&amp;"-DAY"</f>
        <v>5-DAY</v>
      </c>
      <c r="AY131" s="37"/>
      <c r="AZ131" s="181">
        <f>L131-AD131</f>
        <v>0</v>
      </c>
    </row>
    <row r="132" spans="1:52" ht="15.5" hidden="1" customHeight="1">
      <c r="A132" s="360" t="s">
        <v>372</v>
      </c>
      <c r="B132" s="340">
        <v>46226</v>
      </c>
      <c r="C132" s="181">
        <v>48359</v>
      </c>
      <c r="D132" s="30">
        <v>46226</v>
      </c>
      <c r="E132" s="30">
        <v>46224</v>
      </c>
      <c r="F132" s="30">
        <v>46238</v>
      </c>
      <c r="G132" s="37">
        <v>4420229838</v>
      </c>
      <c r="H132" s="37" t="s">
        <v>373</v>
      </c>
      <c r="I132" s="37">
        <v>9040009397</v>
      </c>
      <c r="J132" s="37" t="s">
        <v>287</v>
      </c>
      <c r="K132" s="325" t="s">
        <v>288</v>
      </c>
      <c r="L132" s="181">
        <v>3</v>
      </c>
      <c r="M132" s="181" t="s">
        <v>421</v>
      </c>
      <c r="N132" s="37" t="s">
        <v>410</v>
      </c>
      <c r="O132" s="31">
        <f>IF(F132&gt;0,F132-AB132,"")</f>
        <v>5</v>
      </c>
      <c r="P132" s="37" t="str">
        <f>IF(F132&gt;0,IF(AB132="","PLANNING SUPPLY",IF(AB132&lt;=F132,"ONTIME DELIVERY","DELAY")),"")</f>
        <v>ONTIME DELIVERY</v>
      </c>
      <c r="Q132" s="181" t="str">
        <f>IFERROR(IF(J132&gt;0,VLOOKUP(J132,#REF!,MATCH($Q$6,#REF!,0),0),""),"")</f>
        <v/>
      </c>
      <c r="R132" s="181" t="str">
        <f>IFERROR(IF(J132&gt;0,VLOOKUP(J132,#REF!,MATCH($R$6,#REF!,0),0),""),"")</f>
        <v/>
      </c>
      <c r="S132" s="181" t="e">
        <f>IF(I135&gt;0,Q132+R132,"")</f>
        <v>#VALUE!</v>
      </c>
      <c r="T132" s="181"/>
      <c r="U132" s="181"/>
      <c r="V132" s="37"/>
      <c r="W132" s="181" t="e">
        <f>IF(I135&gt;0,IF(S132&gt;L132,"READY STOCK",IF(S132=0,"OUT OF STOCK",IF(S132&lt;L132,"LOW STOCK",""))),"")</f>
        <v>#VALUE!</v>
      </c>
      <c r="X132" s="38"/>
      <c r="Y132" s="38"/>
      <c r="Z132" s="38"/>
      <c r="AA132" s="38"/>
      <c r="AB132" s="50">
        <v>46233</v>
      </c>
      <c r="AC132" s="181">
        <v>33304</v>
      </c>
      <c r="AD132" s="51">
        <v>3</v>
      </c>
      <c r="AE132" s="37" t="s">
        <v>383</v>
      </c>
      <c r="AF132" s="37" t="s">
        <v>381</v>
      </c>
      <c r="AG132" s="33" t="str">
        <f>IF(G132&gt;0,IF(AD132&gt;0,IF(AD132=0,"Waiting",IF(AD132&lt;L132,"Partial",IF(AD132=L132,"Full Supply",IF(AD132&gt;L132,"Over Shared")))),"Waiting"),"")</f>
        <v>Full Supply</v>
      </c>
      <c r="AH132" s="37"/>
      <c r="AI132" s="37"/>
      <c r="AJ132" s="181"/>
      <c r="AK132" s="40"/>
      <c r="AL132" s="40"/>
      <c r="AM132" s="40"/>
      <c r="AN132" s="37"/>
      <c r="AO132" s="34"/>
      <c r="AP132" s="37"/>
      <c r="AQ132" s="37"/>
      <c r="AR132" s="37"/>
      <c r="AS132" s="37"/>
      <c r="AT132" s="37">
        <f>AS132-AD132</f>
        <v>-3</v>
      </c>
      <c r="AU132" s="36" t="str">
        <f>IF(AR132=0,"Waiting",IF(AR132&lt;AH132,"Kurang",IF(AR132=AH132,"Sesuai",IF(AR132&gt;AH132,"Over Shared"))))</f>
        <v>Waiting</v>
      </c>
      <c r="AV132" s="37"/>
      <c r="AW132" s="37" t="str">
        <f>IFERROR(DATEDIF(AH132,AK132,"d"),"0")&amp;"-DAY"</f>
        <v>0-DAY</v>
      </c>
      <c r="AX132" s="37" t="str">
        <f>IFERROR(DATEDIF(B132,AB132,"d"),"0")&amp;"-DAY"</f>
        <v>7-DAY</v>
      </c>
      <c r="AY132" s="37"/>
      <c r="AZ132" s="181">
        <f>L132-AD132</f>
        <v>0</v>
      </c>
    </row>
    <row r="133" spans="1:52" ht="15.5" hidden="1" customHeight="1">
      <c r="A133" s="360" t="s">
        <v>372</v>
      </c>
      <c r="B133" s="340">
        <v>46226</v>
      </c>
      <c r="C133" s="181">
        <v>48359</v>
      </c>
      <c r="D133" s="30">
        <v>46226</v>
      </c>
      <c r="E133" s="30">
        <v>46224</v>
      </c>
      <c r="F133" s="30">
        <v>46238</v>
      </c>
      <c r="G133" s="37">
        <v>4420229838</v>
      </c>
      <c r="H133" s="37" t="s">
        <v>373</v>
      </c>
      <c r="I133" s="37">
        <v>9040009397</v>
      </c>
      <c r="J133" s="37" t="s">
        <v>287</v>
      </c>
      <c r="K133" s="325" t="s">
        <v>288</v>
      </c>
      <c r="L133" s="181">
        <v>1</v>
      </c>
      <c r="M133" s="181" t="s">
        <v>421</v>
      </c>
      <c r="N133" s="37" t="s">
        <v>410</v>
      </c>
      <c r="O133" s="31">
        <f>IF(F133&gt;0,F133-AB133,"")</f>
        <v>5</v>
      </c>
      <c r="P133" s="37" t="str">
        <f>IF(F133&gt;0,IF(AB133="","PLANNING SUPPLY",IF(AB133&lt;=F133,"ONTIME DELIVERY","DELAY")),"")</f>
        <v>ONTIME DELIVERY</v>
      </c>
      <c r="Q133" s="181" t="str">
        <f>IFERROR(IF(J133&gt;0,VLOOKUP(J133,#REF!,MATCH($Q$6,#REF!,0),0),""),"")</f>
        <v/>
      </c>
      <c r="R133" s="181" t="str">
        <f>IFERROR(IF(J133&gt;0,VLOOKUP(J133,#REF!,MATCH($R$6,#REF!,0),0),""),"")</f>
        <v/>
      </c>
      <c r="S133" s="181" t="e">
        <f>IF(I136&gt;0,Q133+R133,"")</f>
        <v>#VALUE!</v>
      </c>
      <c r="T133" s="181"/>
      <c r="U133" s="181"/>
      <c r="V133" s="37"/>
      <c r="W133" s="181" t="e">
        <f>IF(I136&gt;0,IF(S133&gt;L133,"READY STOCK",IF(S133=0,"OUT OF STOCK",IF(S133&lt;L133,"LOW STOCK",""))),"")</f>
        <v>#VALUE!</v>
      </c>
      <c r="X133" s="38"/>
      <c r="Y133" s="38"/>
      <c r="Z133" s="38"/>
      <c r="AA133" s="38"/>
      <c r="AB133" s="50">
        <v>46233</v>
      </c>
      <c r="AC133" s="181">
        <v>33304</v>
      </c>
      <c r="AD133" s="51">
        <v>1</v>
      </c>
      <c r="AE133" s="37" t="s">
        <v>383</v>
      </c>
      <c r="AF133" s="37" t="s">
        <v>381</v>
      </c>
      <c r="AG133" s="33" t="str">
        <f>IF(G133&gt;0,IF(AD133&gt;0,IF(AD133=0,"Waiting",IF(AD133&lt;L133,"Partial",IF(AD133=L133,"Full Supply",IF(AD133&gt;L133,"Over Shared")))),"Waiting"),"")</f>
        <v>Full Supply</v>
      </c>
      <c r="AH133" s="37"/>
      <c r="AI133" s="37"/>
      <c r="AJ133" s="181"/>
      <c r="AK133" s="40"/>
      <c r="AL133" s="40"/>
      <c r="AM133" s="40"/>
      <c r="AN133" s="37"/>
      <c r="AO133" s="34"/>
      <c r="AP133" s="37"/>
      <c r="AQ133" s="37"/>
      <c r="AR133" s="37"/>
      <c r="AS133" s="37"/>
      <c r="AT133" s="37">
        <f>AS133-AD133</f>
        <v>-1</v>
      </c>
      <c r="AU133" s="36" t="str">
        <f>IF(AR133=0,"Waiting",IF(AR133&lt;AH133,"Kurang",IF(AR133=AH133,"Sesuai",IF(AR133&gt;AH133,"Over Shared"))))</f>
        <v>Waiting</v>
      </c>
      <c r="AV133" s="37"/>
      <c r="AW133" s="37" t="str">
        <f>IFERROR(DATEDIF(AH133,AK133,"d"),"0")&amp;"-DAY"</f>
        <v>0-DAY</v>
      </c>
      <c r="AX133" s="37" t="str">
        <f>IFERROR(DATEDIF(B133,AB133,"d"),"0")&amp;"-DAY"</f>
        <v>7-DAY</v>
      </c>
      <c r="AY133" s="37"/>
      <c r="AZ133" s="181">
        <f>L133-AD133</f>
        <v>0</v>
      </c>
    </row>
    <row r="134" spans="1:52" ht="15.5" hidden="1" customHeight="1">
      <c r="A134" s="360" t="s">
        <v>372</v>
      </c>
      <c r="B134" s="340">
        <v>46226</v>
      </c>
      <c r="C134" s="181">
        <v>48359</v>
      </c>
      <c r="D134" s="30">
        <v>46226</v>
      </c>
      <c r="E134" s="30">
        <v>46224</v>
      </c>
      <c r="F134" s="30">
        <v>46238</v>
      </c>
      <c r="G134" s="37">
        <v>4420229838</v>
      </c>
      <c r="H134" s="37" t="s">
        <v>373</v>
      </c>
      <c r="I134" s="37">
        <v>9040009397</v>
      </c>
      <c r="J134" s="37" t="s">
        <v>287</v>
      </c>
      <c r="K134" s="325" t="s">
        <v>288</v>
      </c>
      <c r="L134" s="181">
        <v>1</v>
      </c>
      <c r="M134" s="181" t="s">
        <v>421</v>
      </c>
      <c r="N134" s="37" t="s">
        <v>410</v>
      </c>
      <c r="O134" s="31">
        <f>IF(F134&gt;0,F134-AB134,"")</f>
        <v>5</v>
      </c>
      <c r="P134" s="37" t="str">
        <f>IF(F134&gt;0,IF(AB134="","PLANNING SUPPLY",IF(AB134&lt;=F134,"ONTIME DELIVERY","DELAY")),"")</f>
        <v>ONTIME DELIVERY</v>
      </c>
      <c r="Q134" s="181" t="str">
        <f>IFERROR(IF(J134&gt;0,VLOOKUP(J134,#REF!,MATCH($Q$6,#REF!,0),0),""),"")</f>
        <v/>
      </c>
      <c r="R134" s="181" t="str">
        <f>IFERROR(IF(J134&gt;0,VLOOKUP(J134,#REF!,MATCH($R$6,#REF!,0),0),""),"")</f>
        <v/>
      </c>
      <c r="S134" s="181" t="e">
        <f>IF(I137&gt;0,Q134+R134,"")</f>
        <v>#VALUE!</v>
      </c>
      <c r="T134" s="181"/>
      <c r="U134" s="181"/>
      <c r="V134" s="37"/>
      <c r="W134" s="181" t="e">
        <f>IF(I137&gt;0,IF(S134&gt;L134,"READY STOCK",IF(S134=0,"OUT OF STOCK",IF(S134&lt;L134,"LOW STOCK",""))),"")</f>
        <v>#VALUE!</v>
      </c>
      <c r="X134" s="38"/>
      <c r="Y134" s="38"/>
      <c r="Z134" s="38"/>
      <c r="AA134" s="38"/>
      <c r="AB134" s="50">
        <v>46233</v>
      </c>
      <c r="AC134" s="181">
        <v>33304</v>
      </c>
      <c r="AD134" s="51">
        <v>1</v>
      </c>
      <c r="AE134" s="37" t="s">
        <v>383</v>
      </c>
      <c r="AF134" s="37" t="s">
        <v>381</v>
      </c>
      <c r="AG134" s="33" t="str">
        <f>IF(G134&gt;0,IF(AD134&gt;0,IF(AD134=0,"Waiting",IF(AD134&lt;L134,"Partial",IF(AD134=L134,"Full Supply",IF(AD134&gt;L134,"Over Shared")))),"Waiting"),"")</f>
        <v>Full Supply</v>
      </c>
      <c r="AH134" s="37"/>
      <c r="AI134" s="37"/>
      <c r="AJ134" s="181"/>
      <c r="AK134" s="40"/>
      <c r="AL134" s="40"/>
      <c r="AM134" s="40"/>
      <c r="AN134" s="37"/>
      <c r="AO134" s="34"/>
      <c r="AP134" s="37"/>
      <c r="AQ134" s="37"/>
      <c r="AR134" s="37"/>
      <c r="AS134" s="37"/>
      <c r="AT134" s="37">
        <f>AS134-AD134</f>
        <v>-1</v>
      </c>
      <c r="AU134" s="36" t="str">
        <f>IF(AR134=0,"Waiting",IF(AR134&lt;AH134,"Kurang",IF(AR134=AH134,"Sesuai",IF(AR134&gt;AH134,"Over Shared"))))</f>
        <v>Waiting</v>
      </c>
      <c r="AV134" s="37"/>
      <c r="AW134" s="37" t="str">
        <f>IFERROR(DATEDIF(AH134,AK134,"d"),"0")&amp;"-DAY"</f>
        <v>0-DAY</v>
      </c>
      <c r="AX134" s="37" t="str">
        <f>IFERROR(DATEDIF(B134,AB134,"d"),"0")&amp;"-DAY"</f>
        <v>7-DAY</v>
      </c>
      <c r="AY134" s="37"/>
      <c r="AZ134" s="181">
        <f>L134-AD134</f>
        <v>0</v>
      </c>
    </row>
    <row r="135" spans="1:52" ht="15.5" hidden="1" customHeight="1">
      <c r="A135" s="360" t="s">
        <v>372</v>
      </c>
      <c r="B135" s="340">
        <v>46226</v>
      </c>
      <c r="C135" s="181">
        <v>48359</v>
      </c>
      <c r="D135" s="30">
        <v>46226</v>
      </c>
      <c r="E135" s="30">
        <v>46224</v>
      </c>
      <c r="F135" s="30">
        <v>46238</v>
      </c>
      <c r="G135" s="37">
        <v>4420229838</v>
      </c>
      <c r="H135" s="37" t="s">
        <v>373</v>
      </c>
      <c r="I135" s="37">
        <v>9040009398</v>
      </c>
      <c r="J135" s="37" t="s">
        <v>282</v>
      </c>
      <c r="K135" s="325" t="s">
        <v>283</v>
      </c>
      <c r="L135" s="181">
        <v>3</v>
      </c>
      <c r="M135" s="181" t="s">
        <v>421</v>
      </c>
      <c r="N135" s="37" t="s">
        <v>410</v>
      </c>
      <c r="O135" s="31">
        <f>IF(F135&gt;0,F135-AB135,"")</f>
        <v>7</v>
      </c>
      <c r="P135" s="37" t="str">
        <f>IF(F135&gt;0,IF(AB135="","PLANNING SUPPLY",IF(AB135&lt;=F135,"ONTIME DELIVERY","DELAY")),"")</f>
        <v>ONTIME DELIVERY</v>
      </c>
      <c r="Q135" s="181" t="str">
        <f>IFERROR(IF(J135&gt;0,VLOOKUP(J135,#REF!,MATCH($Q$6,#REF!,0),0),""),"")</f>
        <v/>
      </c>
      <c r="R135" s="181" t="str">
        <f>IFERROR(IF(J135&gt;0,VLOOKUP(J135,#REF!,MATCH($R$6,#REF!,0),0),""),"")</f>
        <v/>
      </c>
      <c r="S135" s="181" t="e">
        <f>IF(I138&gt;0,Q135+R135,"")</f>
        <v>#VALUE!</v>
      </c>
      <c r="T135" s="181"/>
      <c r="U135" s="181"/>
      <c r="V135" s="37"/>
      <c r="W135" s="181" t="e">
        <f>IF(I138&gt;0,IF(S135&gt;L135,"READY STOCK",IF(S135=0,"OUT OF STOCK",IF(S135&lt;L135,"LOW STOCK",""))),"")</f>
        <v>#VALUE!</v>
      </c>
      <c r="X135" s="38"/>
      <c r="Y135" s="38"/>
      <c r="Z135" s="38"/>
      <c r="AA135" s="38"/>
      <c r="AB135" s="50">
        <v>46231</v>
      </c>
      <c r="AC135" s="181">
        <v>33254</v>
      </c>
      <c r="AD135" s="51">
        <v>3</v>
      </c>
      <c r="AE135" s="37" t="s">
        <v>383</v>
      </c>
      <c r="AF135" s="37" t="s">
        <v>381</v>
      </c>
      <c r="AG135" s="33" t="str">
        <f>IF(G135&gt;0,IF(AD135&gt;0,IF(AD135=0,"Waiting",IF(AD135&lt;L135,"Partial",IF(AD135=L135,"Full Supply",IF(AD135&gt;L135,"Over Shared")))),"Waiting"),"")</f>
        <v>Full Supply</v>
      </c>
      <c r="AH135" s="37"/>
      <c r="AI135" s="37"/>
      <c r="AJ135" s="181"/>
      <c r="AK135" s="40"/>
      <c r="AL135" s="40"/>
      <c r="AM135" s="40"/>
      <c r="AN135" s="37"/>
      <c r="AO135" s="34"/>
      <c r="AP135" s="37"/>
      <c r="AQ135" s="37"/>
      <c r="AR135" s="37"/>
      <c r="AS135" s="37"/>
      <c r="AT135" s="37">
        <f>AS135-AD135</f>
        <v>-3</v>
      </c>
      <c r="AU135" s="36" t="str">
        <f>IF(AR135=0,"Waiting",IF(AR135&lt;AH135,"Kurang",IF(AR135=AH135,"Sesuai",IF(AR135&gt;AH135,"Over Shared"))))</f>
        <v>Waiting</v>
      </c>
      <c r="AV135" s="37"/>
      <c r="AW135" s="37" t="str">
        <f>IFERROR(DATEDIF(AH135,AK135,"d"),"0")&amp;"-DAY"</f>
        <v>0-DAY</v>
      </c>
      <c r="AX135" s="37" t="str">
        <f>IFERROR(DATEDIF(B135,AB135,"d"),"0")&amp;"-DAY"</f>
        <v>5-DAY</v>
      </c>
      <c r="AY135" s="37"/>
      <c r="AZ135" s="181">
        <f>L135-AD135</f>
        <v>0</v>
      </c>
    </row>
    <row r="136" spans="1:52" ht="15.5" hidden="1" customHeight="1">
      <c r="A136" s="360" t="s">
        <v>372</v>
      </c>
      <c r="B136" s="340">
        <v>46226</v>
      </c>
      <c r="C136" s="181">
        <v>48359</v>
      </c>
      <c r="D136" s="30">
        <v>46226</v>
      </c>
      <c r="E136" s="30">
        <v>46224</v>
      </c>
      <c r="F136" s="30">
        <v>46238</v>
      </c>
      <c r="G136" s="37">
        <v>4420229838</v>
      </c>
      <c r="H136" s="37" t="s">
        <v>373</v>
      </c>
      <c r="I136" s="37">
        <v>9040009398</v>
      </c>
      <c r="J136" s="37" t="s">
        <v>282</v>
      </c>
      <c r="K136" s="325" t="s">
        <v>283</v>
      </c>
      <c r="L136" s="181">
        <v>1</v>
      </c>
      <c r="M136" s="181" t="s">
        <v>421</v>
      </c>
      <c r="N136" s="37" t="s">
        <v>410</v>
      </c>
      <c r="O136" s="31">
        <f>IF(F136&gt;0,F136-AB136,"")</f>
        <v>7</v>
      </c>
      <c r="P136" s="37" t="str">
        <f>IF(F136&gt;0,IF(AB136="","PLANNING SUPPLY",IF(AB136&lt;=F136,"ONTIME DELIVERY","DELAY")),"")</f>
        <v>ONTIME DELIVERY</v>
      </c>
      <c r="Q136" s="181" t="str">
        <f>IFERROR(IF(J136&gt;0,VLOOKUP(J136,#REF!,MATCH($Q$6,#REF!,0),0),""),"")</f>
        <v/>
      </c>
      <c r="R136" s="181" t="str">
        <f>IFERROR(IF(J136&gt;0,VLOOKUP(J136,#REF!,MATCH($R$6,#REF!,0),0),""),"")</f>
        <v/>
      </c>
      <c r="S136" s="181" t="e">
        <f>IF(I139&gt;0,Q136+R136,"")</f>
        <v>#VALUE!</v>
      </c>
      <c r="T136" s="181"/>
      <c r="U136" s="181"/>
      <c r="V136" s="37"/>
      <c r="W136" s="181" t="e">
        <f>IF(I139&gt;0,IF(S136&gt;L136,"READY STOCK",IF(S136=0,"OUT OF STOCK",IF(S136&lt;L136,"LOW STOCK",""))),"")</f>
        <v>#VALUE!</v>
      </c>
      <c r="X136" s="38"/>
      <c r="Y136" s="38"/>
      <c r="Z136" s="38"/>
      <c r="AA136" s="38"/>
      <c r="AB136" s="50">
        <v>46231</v>
      </c>
      <c r="AC136" s="181">
        <v>33254</v>
      </c>
      <c r="AD136" s="51">
        <v>1</v>
      </c>
      <c r="AE136" s="37" t="s">
        <v>383</v>
      </c>
      <c r="AF136" s="37" t="s">
        <v>381</v>
      </c>
      <c r="AG136" s="33" t="str">
        <f>IF(G136&gt;0,IF(AD136&gt;0,IF(AD136=0,"Waiting",IF(AD136&lt;L136,"Partial",IF(AD136=L136,"Full Supply",IF(AD136&gt;L136,"Over Shared")))),"Waiting"),"")</f>
        <v>Full Supply</v>
      </c>
      <c r="AH136" s="37"/>
      <c r="AI136" s="37"/>
      <c r="AJ136" s="181"/>
      <c r="AK136" s="40"/>
      <c r="AL136" s="40"/>
      <c r="AM136" s="40"/>
      <c r="AN136" s="37"/>
      <c r="AO136" s="34"/>
      <c r="AP136" s="37"/>
      <c r="AQ136" s="37"/>
      <c r="AR136" s="37"/>
      <c r="AS136" s="37"/>
      <c r="AT136" s="37">
        <f>AS136-AD136</f>
        <v>-1</v>
      </c>
      <c r="AU136" s="36" t="str">
        <f>IF(AR136=0,"Waiting",IF(AR136&lt;AH136,"Kurang",IF(AR136=AH136,"Sesuai",IF(AR136&gt;AH136,"Over Shared"))))</f>
        <v>Waiting</v>
      </c>
      <c r="AV136" s="37"/>
      <c r="AW136" s="37" t="str">
        <f>IFERROR(DATEDIF(AH136,AK136,"d"),"0")&amp;"-DAY"</f>
        <v>0-DAY</v>
      </c>
      <c r="AX136" s="37" t="str">
        <f>IFERROR(DATEDIF(B136,AB136,"d"),"0")&amp;"-DAY"</f>
        <v>5-DAY</v>
      </c>
      <c r="AY136" s="37"/>
      <c r="AZ136" s="181">
        <f>L136-AD136</f>
        <v>0</v>
      </c>
    </row>
    <row r="137" spans="1:52" ht="15.5" hidden="1" customHeight="1">
      <c r="A137" s="360" t="s">
        <v>372</v>
      </c>
      <c r="B137" s="340">
        <v>46226</v>
      </c>
      <c r="C137" s="181">
        <v>48359</v>
      </c>
      <c r="D137" s="30">
        <v>46226</v>
      </c>
      <c r="E137" s="30">
        <v>46224</v>
      </c>
      <c r="F137" s="30">
        <v>46238</v>
      </c>
      <c r="G137" s="37">
        <v>4420229838</v>
      </c>
      <c r="H137" s="37" t="s">
        <v>373</v>
      </c>
      <c r="I137" s="37">
        <v>9040009398</v>
      </c>
      <c r="J137" s="37" t="s">
        <v>282</v>
      </c>
      <c r="K137" s="325" t="s">
        <v>283</v>
      </c>
      <c r="L137" s="181">
        <v>1</v>
      </c>
      <c r="M137" s="181" t="s">
        <v>421</v>
      </c>
      <c r="N137" s="37" t="s">
        <v>410</v>
      </c>
      <c r="O137" s="31">
        <f>IF(F137&gt;0,F137-AB137,"")</f>
        <v>5</v>
      </c>
      <c r="P137" s="37" t="str">
        <f>IF(F137&gt;0,IF(AB137="","PLANNING SUPPLY",IF(AB137&lt;=F137,"ONTIME DELIVERY","DELAY")),"")</f>
        <v>ONTIME DELIVERY</v>
      </c>
      <c r="Q137" s="181" t="str">
        <f>IFERROR(IF(J137&gt;0,VLOOKUP(J137,#REF!,MATCH($Q$6,#REF!,0),0),""),"")</f>
        <v/>
      </c>
      <c r="R137" s="181" t="str">
        <f>IFERROR(IF(J137&gt;0,VLOOKUP(J137,#REF!,MATCH($R$6,#REF!,0),0),""),"")</f>
        <v/>
      </c>
      <c r="S137" s="181" t="e">
        <f>IF(I140&gt;0,Q137+R137,"")</f>
        <v>#VALUE!</v>
      </c>
      <c r="T137" s="181"/>
      <c r="U137" s="181"/>
      <c r="V137" s="37"/>
      <c r="W137" s="181" t="e">
        <f>IF(I140&gt;0,IF(S137&gt;L137,"READY STOCK",IF(S137=0,"OUT OF STOCK",IF(S137&lt;L137,"LOW STOCK",""))),"")</f>
        <v>#VALUE!</v>
      </c>
      <c r="X137" s="38"/>
      <c r="Y137" s="38"/>
      <c r="Z137" s="38"/>
      <c r="AA137" s="38"/>
      <c r="AB137" s="50">
        <v>46233</v>
      </c>
      <c r="AC137" s="181">
        <v>33304</v>
      </c>
      <c r="AD137" s="51">
        <v>1</v>
      </c>
      <c r="AE137" s="37" t="s">
        <v>383</v>
      </c>
      <c r="AF137" s="37" t="s">
        <v>381</v>
      </c>
      <c r="AG137" s="33" t="str">
        <f>IF(G137&gt;0,IF(AD137&gt;0,IF(AD137=0,"Waiting",IF(AD137&lt;L137,"Partial",IF(AD137=L137,"Full Supply",IF(AD137&gt;L137,"Over Shared")))),"Waiting"),"")</f>
        <v>Full Supply</v>
      </c>
      <c r="AH137" s="37"/>
      <c r="AI137" s="37"/>
      <c r="AJ137" s="181"/>
      <c r="AK137" s="40"/>
      <c r="AL137" s="40"/>
      <c r="AM137" s="40"/>
      <c r="AN137" s="37"/>
      <c r="AO137" s="34"/>
      <c r="AP137" s="37"/>
      <c r="AQ137" s="37"/>
      <c r="AR137" s="37"/>
      <c r="AS137" s="37"/>
      <c r="AT137" s="37">
        <f>AS137-AD137</f>
        <v>-1</v>
      </c>
      <c r="AU137" s="36" t="str">
        <f>IF(AR137=0,"Waiting",IF(AR137&lt;AH137,"Kurang",IF(AR137=AH137,"Sesuai",IF(AR137&gt;AH137,"Over Shared"))))</f>
        <v>Waiting</v>
      </c>
      <c r="AV137" s="37"/>
      <c r="AW137" s="37" t="str">
        <f>IFERROR(DATEDIF(AH137,AK137,"d"),"0")&amp;"-DAY"</f>
        <v>0-DAY</v>
      </c>
      <c r="AX137" s="37" t="str">
        <f>IFERROR(DATEDIF(B137,AB137,"d"),"0")&amp;"-DAY"</f>
        <v>7-DAY</v>
      </c>
      <c r="AY137" s="37"/>
      <c r="AZ137" s="181">
        <f>L137-AD137</f>
        <v>0</v>
      </c>
    </row>
    <row r="138" spans="1:52" ht="15.5" hidden="1" customHeight="1">
      <c r="A138" s="360" t="s">
        <v>372</v>
      </c>
      <c r="B138" s="340">
        <v>46226</v>
      </c>
      <c r="C138" s="181">
        <v>48359</v>
      </c>
      <c r="D138" s="30">
        <v>46226</v>
      </c>
      <c r="E138" s="30">
        <v>46224</v>
      </c>
      <c r="F138" s="30">
        <v>46238</v>
      </c>
      <c r="G138" s="37">
        <v>4420229838</v>
      </c>
      <c r="H138" s="37" t="s">
        <v>373</v>
      </c>
      <c r="I138" s="37">
        <v>9040044066</v>
      </c>
      <c r="J138" s="37" t="s">
        <v>163</v>
      </c>
      <c r="K138" s="325" t="s">
        <v>164</v>
      </c>
      <c r="L138" s="181">
        <v>10</v>
      </c>
      <c r="M138" s="181" t="s">
        <v>375</v>
      </c>
      <c r="N138" s="37" t="s">
        <v>410</v>
      </c>
      <c r="O138" s="31">
        <f>IF(F138&gt;0,F138-AB138,"")</f>
        <v>7</v>
      </c>
      <c r="P138" s="37" t="str">
        <f>IF(F138&gt;0,IF(AB138="","PLANNING SUPPLY",IF(AB138&lt;=F138,"ONTIME DELIVERY","DELAY")),"")</f>
        <v>ONTIME DELIVERY</v>
      </c>
      <c r="Q138" s="181" t="str">
        <f>IFERROR(IF(J138&gt;0,VLOOKUP(J138,#REF!,MATCH($Q$6,#REF!,0),0),""),"")</f>
        <v/>
      </c>
      <c r="R138" s="181" t="str">
        <f>IFERROR(IF(J138&gt;0,VLOOKUP(J138,#REF!,MATCH($R$6,#REF!,0),0),""),"")</f>
        <v/>
      </c>
      <c r="S138" s="181" t="e">
        <f>IF(I141&gt;0,Q138+R138,"")</f>
        <v>#VALUE!</v>
      </c>
      <c r="T138" s="181"/>
      <c r="U138" s="181"/>
      <c r="V138" s="37"/>
      <c r="W138" s="181" t="e">
        <f>IF(I141&gt;0,IF(S138&gt;L138,"READY STOCK",IF(S138=0,"OUT OF STOCK",IF(S138&lt;L138,"LOW STOCK",""))),"")</f>
        <v>#VALUE!</v>
      </c>
      <c r="X138" s="38"/>
      <c r="Y138" s="38"/>
      <c r="Z138" s="38"/>
      <c r="AA138" s="38"/>
      <c r="AB138" s="50">
        <v>46231</v>
      </c>
      <c r="AC138" s="181">
        <v>33254</v>
      </c>
      <c r="AD138" s="51">
        <v>10</v>
      </c>
      <c r="AE138" s="37" t="s">
        <v>383</v>
      </c>
      <c r="AF138" s="37" t="s">
        <v>381</v>
      </c>
      <c r="AG138" s="33" t="str">
        <f>IF(G138&gt;0,IF(AD138&gt;0,IF(AD138=0,"Waiting",IF(AD138&lt;L138,"Partial",IF(AD138=L138,"Full Supply",IF(AD138&gt;L138,"Over Shared")))),"Waiting"),"")</f>
        <v>Full Supply</v>
      </c>
      <c r="AH138" s="37"/>
      <c r="AI138" s="37"/>
      <c r="AJ138" s="181"/>
      <c r="AK138" s="40"/>
      <c r="AL138" s="40"/>
      <c r="AM138" s="40"/>
      <c r="AN138" s="37"/>
      <c r="AO138" s="34"/>
      <c r="AP138" s="37"/>
      <c r="AQ138" s="37"/>
      <c r="AR138" s="37"/>
      <c r="AS138" s="37"/>
      <c r="AT138" s="37">
        <f>AS138-AD138</f>
        <v>-10</v>
      </c>
      <c r="AU138" s="36" t="str">
        <f>IF(AR138=0,"Waiting",IF(AR138&lt;AH138,"Kurang",IF(AR138=AH138,"Sesuai",IF(AR138&gt;AH138,"Over Shared"))))</f>
        <v>Waiting</v>
      </c>
      <c r="AV138" s="37"/>
      <c r="AW138" s="37" t="str">
        <f>IFERROR(DATEDIF(AH138,AK138,"d"),"0")&amp;"-DAY"</f>
        <v>0-DAY</v>
      </c>
      <c r="AX138" s="37" t="str">
        <f>IFERROR(DATEDIF(B138,AB138,"d"),"0")&amp;"-DAY"</f>
        <v>5-DAY</v>
      </c>
      <c r="AY138" s="37"/>
      <c r="AZ138" s="181">
        <f>L138-AD138</f>
        <v>0</v>
      </c>
    </row>
    <row r="139" spans="1:52" ht="15.5" hidden="1" customHeight="1">
      <c r="A139" s="360" t="s">
        <v>372</v>
      </c>
      <c r="B139" s="340">
        <v>46226</v>
      </c>
      <c r="C139" s="181">
        <v>48359</v>
      </c>
      <c r="D139" s="30">
        <v>46226</v>
      </c>
      <c r="E139" s="30">
        <v>46224</v>
      </c>
      <c r="F139" s="30">
        <v>46238</v>
      </c>
      <c r="G139" s="37">
        <v>4420229838</v>
      </c>
      <c r="H139" s="37" t="s">
        <v>373</v>
      </c>
      <c r="I139" s="37">
        <v>9040009391</v>
      </c>
      <c r="J139" s="37" t="s">
        <v>293</v>
      </c>
      <c r="K139" s="325" t="s">
        <v>294</v>
      </c>
      <c r="L139" s="181">
        <v>2</v>
      </c>
      <c r="M139" s="181" t="s">
        <v>375</v>
      </c>
      <c r="N139" s="37" t="s">
        <v>410</v>
      </c>
      <c r="O139" s="31">
        <f>IF(F139&gt;0,F139-AB139,"")</f>
        <v>7</v>
      </c>
      <c r="P139" s="37" t="str">
        <f>IF(F139&gt;0,IF(AB139="","PLANNING SUPPLY",IF(AB139&lt;=F139,"ONTIME DELIVERY","DELAY")),"")</f>
        <v>ONTIME DELIVERY</v>
      </c>
      <c r="Q139" s="181" t="str">
        <f>IFERROR(IF(J139&gt;0,VLOOKUP(J139,#REF!,MATCH($Q$6,#REF!,0),0),""),"")</f>
        <v/>
      </c>
      <c r="R139" s="181" t="str">
        <f>IFERROR(IF(J139&gt;0,VLOOKUP(J139,#REF!,MATCH($R$6,#REF!,0),0),""),"")</f>
        <v/>
      </c>
      <c r="S139" s="181" t="e">
        <f>IF(I142&gt;0,Q139+R139,"")</f>
        <v>#VALUE!</v>
      </c>
      <c r="T139" s="181"/>
      <c r="U139" s="181"/>
      <c r="V139" s="37"/>
      <c r="W139" s="181" t="e">
        <f>IF(I142&gt;0,IF(S139&gt;L139,"READY STOCK",IF(S139=0,"OUT OF STOCK",IF(S139&lt;L139,"LOW STOCK",""))),"")</f>
        <v>#VALUE!</v>
      </c>
      <c r="X139" s="38"/>
      <c r="Y139" s="38"/>
      <c r="Z139" s="38"/>
      <c r="AA139" s="38"/>
      <c r="AB139" s="50">
        <v>46231</v>
      </c>
      <c r="AC139" s="181">
        <v>33254</v>
      </c>
      <c r="AD139" s="51">
        <v>2</v>
      </c>
      <c r="AE139" s="37" t="s">
        <v>383</v>
      </c>
      <c r="AF139" s="37" t="s">
        <v>381</v>
      </c>
      <c r="AG139" s="33" t="str">
        <f>IF(G139&gt;0,IF(AD139&gt;0,IF(AD139=0,"Waiting",IF(AD139&lt;L139,"Partial",IF(AD139=L139,"Full Supply",IF(AD139&gt;L139,"Over Shared")))),"Waiting"),"")</f>
        <v>Full Supply</v>
      </c>
      <c r="AH139" s="37"/>
      <c r="AI139" s="37"/>
      <c r="AJ139" s="181"/>
      <c r="AK139" s="40"/>
      <c r="AL139" s="40"/>
      <c r="AM139" s="40"/>
      <c r="AN139" s="37"/>
      <c r="AO139" s="34"/>
      <c r="AP139" s="37"/>
      <c r="AQ139" s="37"/>
      <c r="AR139" s="37"/>
      <c r="AS139" s="37"/>
      <c r="AT139" s="37">
        <f>AS139-AD139</f>
        <v>-2</v>
      </c>
      <c r="AU139" s="36" t="str">
        <f>IF(AR139=0,"Waiting",IF(AR139&lt;AH139,"Kurang",IF(AR139=AH139,"Sesuai",IF(AR139&gt;AH139,"Over Shared"))))</f>
        <v>Waiting</v>
      </c>
      <c r="AV139" s="37"/>
      <c r="AW139" s="37" t="str">
        <f>IFERROR(DATEDIF(AH139,AK139,"d"),"0")&amp;"-DAY"</f>
        <v>0-DAY</v>
      </c>
      <c r="AX139" s="37" t="str">
        <f>IFERROR(DATEDIF(B139,AB139,"d"),"0")&amp;"-DAY"</f>
        <v>5-DAY</v>
      </c>
      <c r="AY139" s="37"/>
      <c r="AZ139" s="181">
        <f>L139-AD139</f>
        <v>0</v>
      </c>
    </row>
    <row r="140" spans="1:52" ht="15.5" hidden="1" customHeight="1">
      <c r="A140" s="360" t="s">
        <v>372</v>
      </c>
      <c r="B140" s="340">
        <v>46226</v>
      </c>
      <c r="C140" s="181">
        <v>48359</v>
      </c>
      <c r="D140" s="30">
        <v>46226</v>
      </c>
      <c r="E140" s="30">
        <v>46224</v>
      </c>
      <c r="F140" s="30">
        <v>46238</v>
      </c>
      <c r="G140" s="37">
        <v>4420229838</v>
      </c>
      <c r="H140" s="37" t="s">
        <v>373</v>
      </c>
      <c r="I140" s="37">
        <v>9040042224</v>
      </c>
      <c r="J140" s="37" t="s">
        <v>195</v>
      </c>
      <c r="K140" s="325" t="s">
        <v>196</v>
      </c>
      <c r="L140" s="181">
        <v>6</v>
      </c>
      <c r="M140" s="181" t="s">
        <v>421</v>
      </c>
      <c r="N140" s="37" t="s">
        <v>410</v>
      </c>
      <c r="O140" s="31">
        <f>IF(F140&gt;0,F140-AB140,"")</f>
        <v>7</v>
      </c>
      <c r="P140" s="37" t="str">
        <f>IF(F140&gt;0,IF(AB140="","PLANNING SUPPLY",IF(AB140&lt;=F140,"ONTIME DELIVERY","DELAY")),"")</f>
        <v>ONTIME DELIVERY</v>
      </c>
      <c r="Q140" s="181" t="str">
        <f>IFERROR(IF(J140&gt;0,VLOOKUP(J140,#REF!,MATCH($Q$6,#REF!,0),0),""),"")</f>
        <v/>
      </c>
      <c r="R140" s="181" t="str">
        <f>IFERROR(IF(J140&gt;0,VLOOKUP(J140,#REF!,MATCH($R$6,#REF!,0),0),""),"")</f>
        <v/>
      </c>
      <c r="S140" s="181" t="e">
        <f>IF(I143&gt;0,Q140+R140,"")</f>
        <v>#VALUE!</v>
      </c>
      <c r="T140" s="181"/>
      <c r="U140" s="181"/>
      <c r="V140" s="37"/>
      <c r="W140" s="181" t="e">
        <f>IF(I143&gt;0,IF(S140&gt;L140,"READY STOCK",IF(S140=0,"OUT OF STOCK",IF(S140&lt;L140,"LOW STOCK",""))),"")</f>
        <v>#VALUE!</v>
      </c>
      <c r="X140" s="38"/>
      <c r="Y140" s="38"/>
      <c r="Z140" s="38"/>
      <c r="AA140" s="38"/>
      <c r="AB140" s="50">
        <v>46231</v>
      </c>
      <c r="AC140" s="181">
        <v>33211</v>
      </c>
      <c r="AD140" s="51">
        <v>6</v>
      </c>
      <c r="AE140" s="37" t="s">
        <v>383</v>
      </c>
      <c r="AF140" s="37" t="s">
        <v>381</v>
      </c>
      <c r="AG140" s="33" t="str">
        <f>IF(G140&gt;0,IF(AD140&gt;0,IF(AD140=0,"Waiting",IF(AD140&lt;L140,"Partial",IF(AD140=L140,"Full Supply",IF(AD140&gt;L140,"Over Shared")))),"Waiting"),"")</f>
        <v>Full Supply</v>
      </c>
      <c r="AH140" s="49">
        <v>46232</v>
      </c>
      <c r="AI140" s="37" t="s">
        <v>495</v>
      </c>
      <c r="AJ140" s="181">
        <v>19</v>
      </c>
      <c r="AK140" s="40">
        <v>25940</v>
      </c>
      <c r="AL140" s="218">
        <v>46246</v>
      </c>
      <c r="AM140" s="40">
        <v>167</v>
      </c>
      <c r="AN140" s="37"/>
      <c r="AO140" s="48">
        <v>46253</v>
      </c>
      <c r="AP140" s="37"/>
      <c r="AQ140" s="37"/>
      <c r="AR140" s="37"/>
      <c r="AS140" s="37"/>
      <c r="AT140" s="37">
        <f>AS140-AD140</f>
        <v>-6</v>
      </c>
      <c r="AU140" s="36" t="str">
        <f>IF(AR140=0,"Waiting",IF(AR140&lt;AH140,"Kurang",IF(AR140=AH140,"Sesuai",IF(AR140&gt;AH140,"Over Shared"))))</f>
        <v>Waiting</v>
      </c>
      <c r="AV140" s="37"/>
      <c r="AW140" s="37" t="str">
        <f>IFERROR(DATEDIF(AH140,AK140,"d"),"0")&amp;"-DAY"</f>
        <v>0-DAY</v>
      </c>
      <c r="AX140" s="37" t="str">
        <f>IFERROR(DATEDIF(B140,AB140,"d"),"0")&amp;"-DAY"</f>
        <v>5-DAY</v>
      </c>
      <c r="AY140" s="37"/>
      <c r="AZ140" s="181">
        <f>L140-AD140</f>
        <v>0</v>
      </c>
    </row>
    <row r="141" spans="1:52" ht="15.5" hidden="1" customHeight="1">
      <c r="A141" s="360" t="s">
        <v>372</v>
      </c>
      <c r="B141" s="340">
        <v>46226</v>
      </c>
      <c r="C141" s="181">
        <v>48359</v>
      </c>
      <c r="D141" s="30">
        <v>46226</v>
      </c>
      <c r="E141" s="30">
        <v>46224</v>
      </c>
      <c r="F141" s="30">
        <v>46238</v>
      </c>
      <c r="G141" s="37">
        <v>4420229838</v>
      </c>
      <c r="H141" s="37" t="s">
        <v>373</v>
      </c>
      <c r="I141" s="37">
        <v>9040039404</v>
      </c>
      <c r="J141" s="37" t="s">
        <v>295</v>
      </c>
      <c r="K141" s="325" t="s">
        <v>296</v>
      </c>
      <c r="L141" s="181">
        <v>8</v>
      </c>
      <c r="M141" s="181" t="s">
        <v>375</v>
      </c>
      <c r="N141" s="37" t="s">
        <v>410</v>
      </c>
      <c r="O141" s="31">
        <f>IF(F141&gt;0,F141-AB141,"")</f>
        <v>-8</v>
      </c>
      <c r="P141" s="37" t="str">
        <f>IF(F141&gt;0,IF(AB141="","PLANNING SUPPLY",IF(AB141&lt;=F141,"ONTIME DELIVERY","DELAY")),"")</f>
        <v>DELAY</v>
      </c>
      <c r="Q141" s="181" t="str">
        <f>IFERROR(IF(J141&gt;0,VLOOKUP(J141,#REF!,MATCH($Q$6,#REF!,0),0),""),"")</f>
        <v/>
      </c>
      <c r="R141" s="181" t="str">
        <f>IFERROR(IF(J141&gt;0,VLOOKUP(J141,#REF!,MATCH($R$6,#REF!,0),0),""),"")</f>
        <v/>
      </c>
      <c r="S141" s="181" t="e">
        <f>IF(I144&gt;0,Q141+R141,"")</f>
        <v>#VALUE!</v>
      </c>
      <c r="T141" s="181"/>
      <c r="U141" s="181"/>
      <c r="V141" s="37"/>
      <c r="W141" s="181" t="e">
        <f>IF(I144&gt;0,IF(S141&gt;L141,"READY STOCK",IF(S141=0,"OUT OF STOCK",IF(S141&lt;L141,"LOW STOCK",""))),"")</f>
        <v>#VALUE!</v>
      </c>
      <c r="X141" s="38"/>
      <c r="Y141" s="38"/>
      <c r="Z141" s="38"/>
      <c r="AA141" s="38"/>
      <c r="AB141" s="50">
        <v>46246</v>
      </c>
      <c r="AC141" s="181">
        <v>33592</v>
      </c>
      <c r="AD141" s="51">
        <v>8</v>
      </c>
      <c r="AE141" s="37" t="s">
        <v>387</v>
      </c>
      <c r="AF141" s="37" t="s">
        <v>381</v>
      </c>
      <c r="AG141" s="33" t="str">
        <f>IF(G141&gt;0,IF(AD141&gt;0,IF(AD141=0,"Waiting",IF(AD141&lt;L141,"Partial",IF(AD141=L141,"Full Supply",IF(AD141&gt;L141,"Over Shared")))),"Waiting"),"")</f>
        <v>Full Supply</v>
      </c>
      <c r="AH141" s="37"/>
      <c r="AI141" s="37"/>
      <c r="AJ141" s="181"/>
      <c r="AK141" s="40"/>
      <c r="AL141" s="40"/>
      <c r="AM141" s="40"/>
      <c r="AN141" s="37"/>
      <c r="AO141" s="34"/>
      <c r="AP141" s="37"/>
      <c r="AQ141" s="37"/>
      <c r="AR141" s="37"/>
      <c r="AS141" s="37"/>
      <c r="AT141" s="37">
        <f>AS141-AD141</f>
        <v>-8</v>
      </c>
      <c r="AU141" s="36" t="str">
        <f>IF(AR141=0,"Waiting",IF(AR141&lt;AH141,"Kurang",IF(AR141=AH141,"Sesuai",IF(AR141&gt;AH141,"Over Shared"))))</f>
        <v>Waiting</v>
      </c>
      <c r="AV141" s="37"/>
      <c r="AW141" s="37" t="str">
        <f>IFERROR(DATEDIF(AH141,AK141,"d"),"0")&amp;"-DAY"</f>
        <v>0-DAY</v>
      </c>
      <c r="AX141" s="37" t="str">
        <f>IFERROR(DATEDIF(B141,AB141,"d"),"0")&amp;"-DAY"</f>
        <v>20-DAY</v>
      </c>
      <c r="AY141" s="37"/>
      <c r="AZ141" s="181">
        <f>L141-AD141</f>
        <v>0</v>
      </c>
    </row>
    <row r="142" spans="1:52" ht="15.5" hidden="1" customHeight="1">
      <c r="A142" s="360" t="s">
        <v>372</v>
      </c>
      <c r="B142" s="340">
        <v>46226</v>
      </c>
      <c r="C142" s="181">
        <v>48359</v>
      </c>
      <c r="D142" s="30">
        <v>46226</v>
      </c>
      <c r="E142" s="30">
        <v>46224</v>
      </c>
      <c r="F142" s="30">
        <v>46238</v>
      </c>
      <c r="G142" s="37">
        <v>4420229838</v>
      </c>
      <c r="H142" s="37" t="s">
        <v>373</v>
      </c>
      <c r="I142" s="37">
        <v>9040040409</v>
      </c>
      <c r="J142" s="37" t="s">
        <v>181</v>
      </c>
      <c r="K142" s="325" t="s">
        <v>182</v>
      </c>
      <c r="L142" s="181">
        <v>1</v>
      </c>
      <c r="M142" s="181" t="s">
        <v>375</v>
      </c>
      <c r="N142" s="37" t="s">
        <v>410</v>
      </c>
      <c r="O142" s="31">
        <f>IF(F142&gt;0,F142-AB142,"")</f>
        <v>-76</v>
      </c>
      <c r="P142" s="37" t="str">
        <f>IF(F142&gt;0,IF(AB142="","PLANNING SUPPLY",IF(AB142&lt;=F142,"ONTIME DELIVERY","DELAY")),"")</f>
        <v>DELAY</v>
      </c>
      <c r="Q142" s="181" t="str">
        <f>IFERROR(IF(J142&gt;0,VLOOKUP(J142,#REF!,MATCH($Q$6,#REF!,0),0),""),"")</f>
        <v/>
      </c>
      <c r="R142" s="181" t="str">
        <f>IFERROR(IF(J142&gt;0,VLOOKUP(J142,#REF!,MATCH($R$6,#REF!,0),0),""),"")</f>
        <v/>
      </c>
      <c r="S142" s="181" t="e">
        <f>IF(I145&gt;0,Q142+R142,"")</f>
        <v>#VALUE!</v>
      </c>
      <c r="T142" s="181"/>
      <c r="U142" s="181"/>
      <c r="V142" s="37"/>
      <c r="W142" s="181" t="e">
        <f>IF(I145&gt;0,IF(S142&gt;L142,"READY STOCK",IF(S142=0,"OUT OF STOCK",IF(S142&lt;L142,"LOW STOCK",""))),"")</f>
        <v>#VALUE!</v>
      </c>
      <c r="X142" s="38"/>
      <c r="Y142" s="38"/>
      <c r="Z142" s="38"/>
      <c r="AA142" s="38"/>
      <c r="AB142" s="50">
        <v>46314</v>
      </c>
      <c r="AC142" s="44" t="s">
        <v>537</v>
      </c>
      <c r="AD142" s="51">
        <v>1</v>
      </c>
      <c r="AE142" s="37" t="s">
        <v>387</v>
      </c>
      <c r="AF142" s="37" t="s">
        <v>381</v>
      </c>
      <c r="AG142" s="33" t="str">
        <f>IF(G142&gt;0,IF(AD142&gt;0,IF(AD142=0,"Waiting",IF(AD142&lt;L142,"Partial",IF(AD142=L142,"Full Supply",IF(AD142&gt;L142,"Over Shared")))),"Waiting"),"")</f>
        <v>Full Supply</v>
      </c>
      <c r="AH142" s="56">
        <v>46262</v>
      </c>
      <c r="AI142" s="37" t="s">
        <v>538</v>
      </c>
      <c r="AJ142" s="181" t="s">
        <v>539</v>
      </c>
      <c r="AK142" s="40">
        <v>26181</v>
      </c>
      <c r="AL142" s="218">
        <v>46269</v>
      </c>
      <c r="AM142" s="40"/>
      <c r="AN142" s="39" t="s">
        <v>540</v>
      </c>
      <c r="AO142" s="41">
        <v>46288</v>
      </c>
      <c r="AP142" s="37"/>
      <c r="AQ142" s="37"/>
      <c r="AR142" s="37"/>
      <c r="AS142" s="37"/>
      <c r="AT142" s="37">
        <f>AS142-AD142</f>
        <v>-1</v>
      </c>
      <c r="AU142" s="36" t="str">
        <f>IF(AR142=0,"Waiting",IF(AR142&lt;AH142,"Kurang",IF(AR142=AH142,"Sesuai",IF(AR142&gt;AH142,"Over Shared"))))</f>
        <v>Waiting</v>
      </c>
      <c r="AV142" s="37"/>
      <c r="AW142" s="37" t="str">
        <f>IFERROR(DATEDIF(AH142,AK142,"d"),"0")&amp;"-DAY"</f>
        <v>0-DAY</v>
      </c>
      <c r="AX142" s="37" t="str">
        <f>IFERROR(DATEDIF(B142,AB142,"d"),"0")&amp;"-DAY"</f>
        <v>88-DAY</v>
      </c>
      <c r="AY142" s="37"/>
      <c r="AZ142" s="181">
        <f>L142-AD142</f>
        <v>0</v>
      </c>
    </row>
    <row r="143" spans="1:52" ht="15.5" hidden="1" customHeight="1">
      <c r="A143" s="360" t="s">
        <v>372</v>
      </c>
      <c r="B143" s="340">
        <v>46226</v>
      </c>
      <c r="C143" s="181">
        <v>48359</v>
      </c>
      <c r="D143" s="30">
        <v>46226</v>
      </c>
      <c r="E143" s="30">
        <v>46224</v>
      </c>
      <c r="F143" s="30">
        <v>46238</v>
      </c>
      <c r="G143" s="37">
        <v>4420229838</v>
      </c>
      <c r="H143" s="37" t="s">
        <v>373</v>
      </c>
      <c r="I143" s="37">
        <v>9040040885</v>
      </c>
      <c r="J143" s="37" t="s">
        <v>172</v>
      </c>
      <c r="K143" s="325" t="s">
        <v>173</v>
      </c>
      <c r="L143" s="181">
        <v>10</v>
      </c>
      <c r="M143" s="181" t="s">
        <v>375</v>
      </c>
      <c r="N143" s="37" t="s">
        <v>410</v>
      </c>
      <c r="O143" s="31">
        <f>IF(F143&gt;0,F143-AB143,"")</f>
        <v>-8</v>
      </c>
      <c r="P143" s="37" t="str">
        <f>IF(F143&gt;0,IF(AB143="","PLANNING SUPPLY",IF(AB143&lt;=F143,"ONTIME DELIVERY","DELAY")),"")</f>
        <v>DELAY</v>
      </c>
      <c r="Q143" s="181" t="str">
        <f>IFERROR(IF(J143&gt;0,VLOOKUP(J143,#REF!,MATCH($Q$6,#REF!,0),0),""),"")</f>
        <v/>
      </c>
      <c r="R143" s="181" t="str">
        <f>IFERROR(IF(J143&gt;0,VLOOKUP(J143,#REF!,MATCH($R$6,#REF!,0),0),""),"")</f>
        <v/>
      </c>
      <c r="S143" s="181" t="e">
        <f>IF(I146&gt;0,Q143+R143,"")</f>
        <v>#VALUE!</v>
      </c>
      <c r="T143" s="181"/>
      <c r="U143" s="181"/>
      <c r="V143" s="37"/>
      <c r="W143" s="181" t="e">
        <f>IF(I146&gt;0,IF(S143&gt;L143,"READY STOCK",IF(S143=0,"OUT OF STOCK",IF(S143&lt;L143,"LOW STOCK",""))),"")</f>
        <v>#VALUE!</v>
      </c>
      <c r="X143" s="38"/>
      <c r="Y143" s="38"/>
      <c r="Z143" s="38"/>
      <c r="AA143" s="38"/>
      <c r="AB143" s="50">
        <v>46246</v>
      </c>
      <c r="AC143" s="181">
        <v>33581</v>
      </c>
      <c r="AD143" s="51">
        <v>10</v>
      </c>
      <c r="AE143" s="37" t="s">
        <v>387</v>
      </c>
      <c r="AF143" s="37" t="s">
        <v>381</v>
      </c>
      <c r="AG143" s="33" t="str">
        <f>IF(G143&gt;0,IF(AD143&gt;0,IF(AD143=0,"Waiting",IF(AD143&lt;L143,"Partial",IF(AD143=L143,"Full Supply",IF(AD143&gt;L143,"Over Shared")))),"Waiting"),"")</f>
        <v>Full Supply</v>
      </c>
      <c r="AH143" s="37"/>
      <c r="AI143" s="37"/>
      <c r="AJ143" s="181"/>
      <c r="AK143" s="40"/>
      <c r="AL143" s="40"/>
      <c r="AM143" s="40"/>
      <c r="AN143" s="37"/>
      <c r="AO143" s="34"/>
      <c r="AP143" s="37"/>
      <c r="AQ143" s="37"/>
      <c r="AR143" s="37"/>
      <c r="AS143" s="37"/>
      <c r="AT143" s="37">
        <f>AS143-AD143</f>
        <v>-10</v>
      </c>
      <c r="AU143" s="36" t="str">
        <f>IF(AR143=0,"Waiting",IF(AR143&lt;AH143,"Kurang",IF(AR143=AH143,"Sesuai",IF(AR143&gt;AH143,"Over Shared"))))</f>
        <v>Waiting</v>
      </c>
      <c r="AV143" s="37"/>
      <c r="AW143" s="37" t="str">
        <f>IFERROR(DATEDIF(AH143,AK143,"d"),"0")&amp;"-DAY"</f>
        <v>0-DAY</v>
      </c>
      <c r="AX143" s="37" t="str">
        <f>IFERROR(DATEDIF(B143,AB143,"d"),"0")&amp;"-DAY"</f>
        <v>20-DAY</v>
      </c>
      <c r="AY143" s="37"/>
      <c r="AZ143" s="181">
        <f>L143-AD143</f>
        <v>0</v>
      </c>
    </row>
    <row r="144" spans="1:52" ht="15.5" hidden="1" customHeight="1">
      <c r="A144" s="360" t="s">
        <v>372</v>
      </c>
      <c r="B144" s="340">
        <v>46226</v>
      </c>
      <c r="C144" s="181">
        <v>48359</v>
      </c>
      <c r="D144" s="30">
        <v>46226</v>
      </c>
      <c r="E144" s="30">
        <v>46224</v>
      </c>
      <c r="F144" s="30">
        <v>46238</v>
      </c>
      <c r="G144" s="37">
        <v>4420229838</v>
      </c>
      <c r="H144" s="37" t="s">
        <v>373</v>
      </c>
      <c r="I144" s="37">
        <v>9040054918</v>
      </c>
      <c r="J144" s="37" t="s">
        <v>308</v>
      </c>
      <c r="K144" s="325" t="s">
        <v>309</v>
      </c>
      <c r="L144" s="181">
        <v>1</v>
      </c>
      <c r="M144" s="181" t="s">
        <v>421</v>
      </c>
      <c r="N144" s="37" t="s">
        <v>410</v>
      </c>
      <c r="O144" s="31">
        <f>IF(F144&gt;0,F144-AB144,"")</f>
        <v>-51</v>
      </c>
      <c r="P144" s="37" t="str">
        <f>IF(F144&gt;0,IF(AB144="","PLANNING SUPPLY",IF(AB144&lt;=F144,"ONTIME DELIVERY","DELAY")),"")</f>
        <v>DELAY</v>
      </c>
      <c r="Q144" s="181" t="str">
        <f>IFERROR(IF(J144&gt;0,VLOOKUP(J144,#REF!,MATCH($Q$6,#REF!,0),0),""),"")</f>
        <v/>
      </c>
      <c r="R144" s="181" t="str">
        <f>IFERROR(IF(J144&gt;0,VLOOKUP(J144,#REF!,MATCH($R$6,#REF!,0),0),""),"")</f>
        <v/>
      </c>
      <c r="S144" s="181" t="e">
        <f>IF(I147&gt;0,Q144+R144,"")</f>
        <v>#VALUE!</v>
      </c>
      <c r="T144" s="181"/>
      <c r="U144" s="181"/>
      <c r="V144" s="37"/>
      <c r="W144" s="181" t="e">
        <f>IF(I147&gt;0,IF(S144&gt;L144,"READY STOCK",IF(S144=0,"OUT OF STOCK",IF(S144&lt;L144,"LOW STOCK",""))),"")</f>
        <v>#VALUE!</v>
      </c>
      <c r="X144" s="38"/>
      <c r="Y144" s="38"/>
      <c r="Z144" s="38"/>
      <c r="AA144" s="38"/>
      <c r="AB144" s="50">
        <v>46289</v>
      </c>
      <c r="AC144" s="181">
        <v>34547</v>
      </c>
      <c r="AD144" s="51">
        <v>1</v>
      </c>
      <c r="AE144" s="37" t="s">
        <v>383</v>
      </c>
      <c r="AF144" s="37" t="s">
        <v>381</v>
      </c>
      <c r="AG144" s="33" t="str">
        <f>IF(G144&gt;0,IF(AD144&gt;0,IF(AD144=0,"Waiting",IF(AD144&lt;L144,"Partial",IF(AD144=L144,"Full Supply",IF(AD144&gt;L144,"Over Shared")))),"Waiting"),"")</f>
        <v>Full Supply</v>
      </c>
      <c r="AH144" s="37"/>
      <c r="AI144" s="37"/>
      <c r="AJ144" s="181"/>
      <c r="AK144" s="40"/>
      <c r="AL144" s="40"/>
      <c r="AM144" s="40"/>
      <c r="AN144" s="37"/>
      <c r="AO144" s="34"/>
      <c r="AP144" s="37"/>
      <c r="AQ144" s="37"/>
      <c r="AR144" s="37"/>
      <c r="AS144" s="37"/>
      <c r="AT144" s="37">
        <f>AS144-AD144</f>
        <v>-1</v>
      </c>
      <c r="AU144" s="36" t="str">
        <f>IF(AR144=0,"Waiting",IF(AR144&lt;AH144,"Kurang",IF(AR144=AH144,"Sesuai",IF(AR144&gt;AH144,"Over Shared"))))</f>
        <v>Waiting</v>
      </c>
      <c r="AV144" s="37"/>
      <c r="AW144" s="37" t="str">
        <f>IFERROR(DATEDIF(AH144,AK144,"d"),"0")&amp;"-DAY"</f>
        <v>0-DAY</v>
      </c>
      <c r="AX144" s="37" t="str">
        <f>IFERROR(DATEDIF(B144,AB144,"d"),"0")&amp;"-DAY"</f>
        <v>63-DAY</v>
      </c>
      <c r="AY144" s="37"/>
      <c r="AZ144" s="181">
        <f>L144-AD144</f>
        <v>0</v>
      </c>
    </row>
    <row r="145" spans="1:52" ht="15.5" hidden="1" customHeight="1">
      <c r="A145" s="360" t="s">
        <v>372</v>
      </c>
      <c r="B145" s="340">
        <v>46226</v>
      </c>
      <c r="C145" s="181">
        <v>48360</v>
      </c>
      <c r="D145" s="30">
        <v>46226</v>
      </c>
      <c r="E145" s="30">
        <v>46223</v>
      </c>
      <c r="F145" s="30">
        <v>46243</v>
      </c>
      <c r="G145" s="37">
        <v>4420229779</v>
      </c>
      <c r="H145" s="37" t="s">
        <v>373</v>
      </c>
      <c r="I145" s="37">
        <v>9040032418</v>
      </c>
      <c r="J145" s="37" t="s">
        <v>276</v>
      </c>
      <c r="K145" s="325" t="s">
        <v>277</v>
      </c>
      <c r="L145" s="181">
        <v>1</v>
      </c>
      <c r="M145" s="181" t="s">
        <v>375</v>
      </c>
      <c r="N145" s="37" t="s">
        <v>431</v>
      </c>
      <c r="O145" s="31">
        <f>IF(F145&gt;0,F145-AB145,"")</f>
        <v>12</v>
      </c>
      <c r="P145" s="37" t="str">
        <f>IF(F145&gt;0,IF(AB145="","PLANNING SUPPLY",IF(AB145&lt;=F145,"ONTIME DELIVERY","DELAY")),"")</f>
        <v>ONTIME DELIVERY</v>
      </c>
      <c r="Q145" s="181" t="str">
        <f>IFERROR(IF(J145&gt;0,VLOOKUP(J145,#REF!,MATCH($Q$6,#REF!,0),0),""),"")</f>
        <v/>
      </c>
      <c r="R145" s="181" t="str">
        <f>IFERROR(IF(J145&gt;0,VLOOKUP(J145,#REF!,MATCH($R$6,#REF!,0),0),""),"")</f>
        <v/>
      </c>
      <c r="S145" s="181" t="e">
        <f>IF(I148&gt;0,Q145+R145,"")</f>
        <v>#VALUE!</v>
      </c>
      <c r="T145" s="181"/>
      <c r="U145" s="181"/>
      <c r="V145" s="37"/>
      <c r="W145" s="181" t="e">
        <f>IF(I148&gt;0,IF(S145&gt;L145,"READY STOCK",IF(S145=0,"OUT OF STOCK",IF(S145&lt;L145,"LOW STOCK",""))),"")</f>
        <v>#VALUE!</v>
      </c>
      <c r="X145" s="38"/>
      <c r="Y145" s="38"/>
      <c r="Z145" s="38"/>
      <c r="AA145" s="38"/>
      <c r="AB145" s="50">
        <v>46231</v>
      </c>
      <c r="AC145" s="181">
        <v>33259</v>
      </c>
      <c r="AD145" s="51">
        <v>1</v>
      </c>
      <c r="AE145" s="37" t="s">
        <v>383</v>
      </c>
      <c r="AF145" s="37" t="s">
        <v>381</v>
      </c>
      <c r="AG145" s="33" t="str">
        <f>IF(G145&gt;0,IF(AD145&gt;0,IF(AD145=0,"Waiting",IF(AD145&lt;L145,"Partial",IF(AD145=L145,"Full Supply",IF(AD145&gt;L145,"Over Shared")))),"Waiting"),"")</f>
        <v>Full Supply</v>
      </c>
      <c r="AH145" s="37"/>
      <c r="AI145" s="37"/>
      <c r="AJ145" s="181"/>
      <c r="AK145" s="40"/>
      <c r="AL145" s="40"/>
      <c r="AM145" s="40"/>
      <c r="AN145" s="37"/>
      <c r="AO145" s="34"/>
      <c r="AP145" s="35">
        <v>46239</v>
      </c>
      <c r="AQ145" s="237"/>
      <c r="AR145" s="37"/>
      <c r="AS145" s="37">
        <v>1</v>
      </c>
      <c r="AT145" s="37">
        <f>AS145-AD145</f>
        <v>0</v>
      </c>
      <c r="AU145" s="36" t="str">
        <f>IF(AR145=0,"Waiting",IF(AR145&lt;AH145,"Kurang",IF(AR145=AH145,"Sesuai",IF(AR145&gt;AH145,"Over Shared"))))</f>
        <v>Waiting</v>
      </c>
      <c r="AV145" s="181">
        <v>53163</v>
      </c>
      <c r="AW145" s="37" t="str">
        <f>IFERROR(DATEDIF(AH145,AK145,"d"),"0")&amp;"-DAY"</f>
        <v>0-DAY</v>
      </c>
      <c r="AX145" s="37" t="str">
        <f>IFERROR(DATEDIF(B145,AB145,"d"),"0")&amp;"-DAY"</f>
        <v>5-DAY</v>
      </c>
      <c r="AY145" s="37"/>
      <c r="AZ145" s="181">
        <f>L145-AD145</f>
        <v>0</v>
      </c>
    </row>
    <row r="146" spans="1:52" ht="15.5" hidden="1" customHeight="1">
      <c r="A146" s="360" t="s">
        <v>372</v>
      </c>
      <c r="B146" s="340">
        <v>46226</v>
      </c>
      <c r="C146" s="181">
        <v>48361</v>
      </c>
      <c r="D146" s="30">
        <v>46226</v>
      </c>
      <c r="E146" s="30">
        <v>46223</v>
      </c>
      <c r="F146" s="30">
        <v>46233</v>
      </c>
      <c r="G146" s="37">
        <v>4420229757</v>
      </c>
      <c r="H146" s="37" t="s">
        <v>373</v>
      </c>
      <c r="I146" s="37">
        <v>9040040445</v>
      </c>
      <c r="J146" s="37" t="s">
        <v>193</v>
      </c>
      <c r="K146" s="325" t="s">
        <v>194</v>
      </c>
      <c r="L146" s="181">
        <v>15</v>
      </c>
      <c r="M146" s="181" t="s">
        <v>421</v>
      </c>
      <c r="N146" s="37" t="s">
        <v>432</v>
      </c>
      <c r="O146" s="31">
        <f>IF(F146&gt;0,F146-AB146,"")</f>
        <v>2</v>
      </c>
      <c r="P146" s="37" t="str">
        <f>IF(F146&gt;0,IF(AB146="","PLANNING SUPPLY",IF(AB146&lt;=F146,"ONTIME DELIVERY","DELAY")),"")</f>
        <v>ONTIME DELIVERY</v>
      </c>
      <c r="Q146" s="181" t="str">
        <f>IFERROR(IF(J146&gt;0,VLOOKUP(J146,#REF!,MATCH($Q$6,#REF!,0),0),""),"")</f>
        <v/>
      </c>
      <c r="R146" s="181" t="str">
        <f>IFERROR(IF(J146&gt;0,VLOOKUP(J146,#REF!,MATCH($R$6,#REF!,0),0),""),"")</f>
        <v/>
      </c>
      <c r="S146" s="181" t="e">
        <f>IF(I149&gt;0,Q146+R146,"")</f>
        <v>#VALUE!</v>
      </c>
      <c r="T146" s="181"/>
      <c r="U146" s="181"/>
      <c r="V146" s="37"/>
      <c r="W146" s="181" t="e">
        <f>IF(I149&gt;0,IF(S146&gt;L146,"READY STOCK",IF(S146=0,"OUT OF STOCK",IF(S146&lt;L146,"LOW STOCK",""))),"")</f>
        <v>#VALUE!</v>
      </c>
      <c r="X146" s="38"/>
      <c r="Y146" s="38"/>
      <c r="Z146" s="38"/>
      <c r="AA146" s="38"/>
      <c r="AB146" s="50">
        <v>46231</v>
      </c>
      <c r="AC146" s="181">
        <v>33212</v>
      </c>
      <c r="AD146" s="51">
        <v>15</v>
      </c>
      <c r="AE146" s="37" t="s">
        <v>383</v>
      </c>
      <c r="AF146" s="37" t="s">
        <v>381</v>
      </c>
      <c r="AG146" s="33" t="str">
        <f>IF(G146&gt;0,IF(AD146&gt;0,IF(AD146=0,"Waiting",IF(AD146&lt;L146,"Partial",IF(AD146=L146,"Full Supply",IF(AD146&gt;L146,"Over Shared")))),"Waiting"),"")</f>
        <v>Full Supply</v>
      </c>
      <c r="AH146" s="37"/>
      <c r="AI146" s="37"/>
      <c r="AJ146" s="181"/>
      <c r="AK146" s="40"/>
      <c r="AL146" s="40"/>
      <c r="AM146" s="40"/>
      <c r="AN146" s="37"/>
      <c r="AO146" s="34"/>
      <c r="AP146" s="37"/>
      <c r="AQ146" s="37"/>
      <c r="AR146" s="37"/>
      <c r="AS146" s="37"/>
      <c r="AT146" s="37">
        <f>AS146-AD146</f>
        <v>-15</v>
      </c>
      <c r="AU146" s="36" t="str">
        <f>IF(AR146=0,"Waiting",IF(AR146&lt;AH146,"Kurang",IF(AR146=AH146,"Sesuai",IF(AR146&gt;AH146,"Over Shared"))))</f>
        <v>Waiting</v>
      </c>
      <c r="AV146" s="37"/>
      <c r="AW146" s="37" t="str">
        <f>IFERROR(DATEDIF(AH146,AK146,"d"),"0")&amp;"-DAY"</f>
        <v>0-DAY</v>
      </c>
      <c r="AX146" s="37" t="str">
        <f>IFERROR(DATEDIF(B146,AB146,"d"),"0")&amp;"-DAY"</f>
        <v>5-DAY</v>
      </c>
      <c r="AY146" s="37"/>
      <c r="AZ146" s="181">
        <f>L146-AD146</f>
        <v>0</v>
      </c>
    </row>
    <row r="147" spans="1:52" ht="15.5" hidden="1" customHeight="1">
      <c r="A147" s="360" t="s">
        <v>372</v>
      </c>
      <c r="B147" s="340">
        <v>46226</v>
      </c>
      <c r="C147" s="181">
        <v>48361</v>
      </c>
      <c r="D147" s="30">
        <v>46226</v>
      </c>
      <c r="E147" s="30">
        <v>46223</v>
      </c>
      <c r="F147" s="30">
        <v>46233</v>
      </c>
      <c r="G147" s="37">
        <v>4420229757</v>
      </c>
      <c r="H147" s="37" t="s">
        <v>373</v>
      </c>
      <c r="I147" s="37">
        <v>9040042224</v>
      </c>
      <c r="J147" s="37" t="s">
        <v>195</v>
      </c>
      <c r="K147" s="325" t="s">
        <v>196</v>
      </c>
      <c r="L147" s="181">
        <v>13</v>
      </c>
      <c r="M147" s="181" t="s">
        <v>421</v>
      </c>
      <c r="N147" s="37" t="s">
        <v>432</v>
      </c>
      <c r="O147" s="31">
        <f>IF(F147&gt;0,F147-AB147,"")</f>
        <v>2</v>
      </c>
      <c r="P147" s="37" t="str">
        <f>IF(F147&gt;0,IF(AB147="","PLANNING SUPPLY",IF(AB147&lt;=F147,"ONTIME DELIVERY","DELAY")),"")</f>
        <v>ONTIME DELIVERY</v>
      </c>
      <c r="Q147" s="181" t="str">
        <f>IFERROR(IF(J147&gt;0,VLOOKUP(J147,#REF!,MATCH($Q$6,#REF!,0),0),""),"")</f>
        <v/>
      </c>
      <c r="R147" s="181" t="str">
        <f>IFERROR(IF(J147&gt;0,VLOOKUP(J147,#REF!,MATCH($R$6,#REF!,0),0),""),"")</f>
        <v/>
      </c>
      <c r="S147" s="181" t="e">
        <f>IF(I150&gt;0,Q147+R147,"")</f>
        <v>#VALUE!</v>
      </c>
      <c r="T147" s="181"/>
      <c r="U147" s="181"/>
      <c r="V147" s="37"/>
      <c r="W147" s="181" t="e">
        <f>IF(I150&gt;0,IF(S147&gt;L147,"READY STOCK",IF(S147=0,"OUT OF STOCK",IF(S147&lt;L147,"LOW STOCK",""))),"")</f>
        <v>#VALUE!</v>
      </c>
      <c r="X147" s="38"/>
      <c r="Y147" s="38"/>
      <c r="Z147" s="38"/>
      <c r="AA147" s="38"/>
      <c r="AB147" s="50">
        <v>46231</v>
      </c>
      <c r="AC147" s="181">
        <v>33212</v>
      </c>
      <c r="AD147" s="51">
        <v>13</v>
      </c>
      <c r="AE147" s="37" t="s">
        <v>383</v>
      </c>
      <c r="AF147" s="37" t="s">
        <v>381</v>
      </c>
      <c r="AG147" s="33" t="str">
        <f>IF(G147&gt;0,IF(AD147&gt;0,IF(AD147=0,"Waiting",IF(AD147&lt;L147,"Partial",IF(AD147=L147,"Full Supply",IF(AD147&gt;L147,"Over Shared")))),"Waiting"),"")</f>
        <v>Full Supply</v>
      </c>
      <c r="AH147" s="49">
        <v>46232</v>
      </c>
      <c r="AI147" s="37" t="s">
        <v>495</v>
      </c>
      <c r="AJ147" s="181">
        <v>19</v>
      </c>
      <c r="AK147" s="40">
        <v>25940</v>
      </c>
      <c r="AL147" s="218">
        <v>46246</v>
      </c>
      <c r="AM147" s="40">
        <v>167</v>
      </c>
      <c r="AN147" s="37"/>
      <c r="AO147" s="48">
        <v>46253</v>
      </c>
      <c r="AP147" s="37"/>
      <c r="AQ147" s="37"/>
      <c r="AR147" s="37"/>
      <c r="AS147" s="37"/>
      <c r="AT147" s="37">
        <f>AS147-AD147</f>
        <v>-13</v>
      </c>
      <c r="AU147" s="36" t="str">
        <f>IF(AR147=0,"Waiting",IF(AR147&lt;AH147,"Kurang",IF(AR147=AH147,"Sesuai",IF(AR147&gt;AH147,"Over Shared"))))</f>
        <v>Waiting</v>
      </c>
      <c r="AV147" s="37"/>
      <c r="AW147" s="37" t="str">
        <f>IFERROR(DATEDIF(AH147,AK147,"d"),"0")&amp;"-DAY"</f>
        <v>0-DAY</v>
      </c>
      <c r="AX147" s="37" t="str">
        <f>IFERROR(DATEDIF(B147,AB147,"d"),"0")&amp;"-DAY"</f>
        <v>5-DAY</v>
      </c>
      <c r="AY147" s="37"/>
      <c r="AZ147" s="181">
        <f>L147-AD147</f>
        <v>0</v>
      </c>
    </row>
    <row r="148" spans="1:52" ht="15.5" hidden="1" customHeight="1">
      <c r="A148" s="360" t="s">
        <v>372</v>
      </c>
      <c r="B148" s="340">
        <v>46226</v>
      </c>
      <c r="C148" s="181">
        <v>48363</v>
      </c>
      <c r="D148" s="30">
        <v>46226</v>
      </c>
      <c r="E148" s="30">
        <v>46224</v>
      </c>
      <c r="F148" s="30">
        <v>46233</v>
      </c>
      <c r="G148" s="37">
        <v>4420229816</v>
      </c>
      <c r="H148" s="37" t="s">
        <v>373</v>
      </c>
      <c r="I148" s="37">
        <v>9040044317</v>
      </c>
      <c r="J148" s="37" t="s">
        <v>143</v>
      </c>
      <c r="K148" s="325" t="s">
        <v>144</v>
      </c>
      <c r="L148" s="181">
        <v>5</v>
      </c>
      <c r="M148" s="181" t="s">
        <v>375</v>
      </c>
      <c r="N148" s="37" t="s">
        <v>432</v>
      </c>
      <c r="O148" s="31">
        <f>IF(F148&gt;0,F148-AB148,"")</f>
        <v>-39</v>
      </c>
      <c r="P148" s="37" t="str">
        <f>IF(F148&gt;0,IF(AB148="","PLANNING SUPPLY",IF(AB148&lt;=F148,"ONTIME DELIVERY","DELAY")),"")</f>
        <v>DELAY</v>
      </c>
      <c r="Q148" s="181" t="str">
        <f>IFERROR(IF(J148&gt;0,VLOOKUP(J148,#REF!,MATCH($Q$6,#REF!,0),0),""),"")</f>
        <v/>
      </c>
      <c r="R148" s="181" t="str">
        <f>IFERROR(IF(J148&gt;0,VLOOKUP(J148,#REF!,MATCH($R$6,#REF!,0),0),""),"")</f>
        <v/>
      </c>
      <c r="S148" s="181" t="e">
        <f>IF(I151&gt;0,Q148+R148,"")</f>
        <v>#VALUE!</v>
      </c>
      <c r="T148" s="181"/>
      <c r="U148" s="181"/>
      <c r="V148" s="37"/>
      <c r="W148" s="181" t="e">
        <f>IF(I151&gt;0,IF(S148&gt;L148,"READY STOCK",IF(S148=0,"OUT OF STOCK",IF(S148&lt;L148,"LOW STOCK",""))),"")</f>
        <v>#VALUE!</v>
      </c>
      <c r="X148" s="38"/>
      <c r="Y148" s="38"/>
      <c r="Z148" s="38"/>
      <c r="AA148" s="38"/>
      <c r="AB148" s="50">
        <v>46272</v>
      </c>
      <c r="AC148" s="181">
        <v>34036</v>
      </c>
      <c r="AD148" s="51">
        <v>5</v>
      </c>
      <c r="AE148" s="37" t="s">
        <v>383</v>
      </c>
      <c r="AF148" s="37" t="s">
        <v>381</v>
      </c>
      <c r="AG148" s="33" t="str">
        <f>IF(G148&gt;0,IF(AD148&gt;0,IF(AD148=0,"Waiting",IF(AD148&lt;L148,"Partial",IF(AD148=L148,"Full Supply",IF(AD148&gt;L148,"Over Shared")))),"Waiting"),"")</f>
        <v>Full Supply</v>
      </c>
      <c r="AH148" s="49">
        <v>46232</v>
      </c>
      <c r="AI148" s="37" t="s">
        <v>495</v>
      </c>
      <c r="AJ148" s="181">
        <v>5</v>
      </c>
      <c r="AK148" s="40">
        <v>25942</v>
      </c>
      <c r="AL148" s="218">
        <v>46246</v>
      </c>
      <c r="AM148" s="40">
        <v>7</v>
      </c>
      <c r="AN148" s="37"/>
      <c r="AO148" s="48">
        <v>46268</v>
      </c>
      <c r="AP148" s="37"/>
      <c r="AQ148" s="37"/>
      <c r="AR148" s="37"/>
      <c r="AS148" s="37"/>
      <c r="AT148" s="37">
        <f>AS148-AD148</f>
        <v>-5</v>
      </c>
      <c r="AU148" s="36" t="str">
        <f>IF(AR148=0,"Waiting",IF(AR148&lt;AH148,"Kurang",IF(AR148=AH148,"Sesuai",IF(AR148&gt;AH148,"Over Shared"))))</f>
        <v>Waiting</v>
      </c>
      <c r="AV148" s="37"/>
      <c r="AW148" s="37" t="str">
        <f>IFERROR(DATEDIF(AH148,AK148,"d"),"0")&amp;"-DAY"</f>
        <v>0-DAY</v>
      </c>
      <c r="AX148" s="37" t="str">
        <f>IFERROR(DATEDIF(B148,AB148,"d"),"0")&amp;"-DAY"</f>
        <v>46-DAY</v>
      </c>
      <c r="AY148" s="37"/>
      <c r="AZ148" s="181">
        <f>L148-AD148</f>
        <v>0</v>
      </c>
    </row>
    <row r="149" spans="1:52" ht="15.5" hidden="1" customHeight="1">
      <c r="A149" s="360" t="s">
        <v>372</v>
      </c>
      <c r="B149" s="340">
        <v>46226</v>
      </c>
      <c r="C149" s="181">
        <v>48363</v>
      </c>
      <c r="D149" s="30">
        <v>46226</v>
      </c>
      <c r="E149" s="30">
        <v>46224</v>
      </c>
      <c r="F149" s="30">
        <v>46233</v>
      </c>
      <c r="G149" s="37">
        <v>4420229816</v>
      </c>
      <c r="H149" s="37" t="s">
        <v>373</v>
      </c>
      <c r="I149" s="37">
        <v>9040054919</v>
      </c>
      <c r="J149" s="37" t="s">
        <v>311</v>
      </c>
      <c r="K149" s="325" t="s">
        <v>312</v>
      </c>
      <c r="L149" s="181">
        <v>16</v>
      </c>
      <c r="M149" s="181" t="s">
        <v>421</v>
      </c>
      <c r="N149" s="37" t="s">
        <v>432</v>
      </c>
      <c r="O149" s="31">
        <f>IF(F149&gt;0,F149-AB149,"")</f>
        <v>-14</v>
      </c>
      <c r="P149" s="37" t="str">
        <f>IF(F149&gt;0,IF(AB149="","PLANNING SUPPLY",IF(AB149&lt;=F149,"ONTIME DELIVERY","DELAY")),"")</f>
        <v>DELAY</v>
      </c>
      <c r="Q149" s="181" t="str">
        <f>IFERROR(IF(J149&gt;0,VLOOKUP(J149,#REF!,MATCH($Q$6,#REF!,0),0),""),"")</f>
        <v/>
      </c>
      <c r="R149" s="181" t="str">
        <f>IFERROR(IF(J149&gt;0,VLOOKUP(J149,#REF!,MATCH($R$6,#REF!,0),0),""),"")</f>
        <v/>
      </c>
      <c r="S149" s="181" t="e">
        <f>IF(I152&gt;0,Q149+R149,"")</f>
        <v>#VALUE!</v>
      </c>
      <c r="T149" s="181"/>
      <c r="U149" s="181"/>
      <c r="V149" s="37"/>
      <c r="W149" s="181" t="e">
        <f>IF(I152&gt;0,IF(S149&gt;L149,"READY STOCK",IF(S149=0,"OUT OF STOCK",IF(S149&lt;L149,"LOW STOCK",""))),"")</f>
        <v>#VALUE!</v>
      </c>
      <c r="X149" s="38"/>
      <c r="Y149" s="38"/>
      <c r="Z149" s="38"/>
      <c r="AA149" s="38"/>
      <c r="AB149" s="50">
        <v>46247</v>
      </c>
      <c r="AC149" s="181">
        <v>33617</v>
      </c>
      <c r="AD149" s="51">
        <v>16</v>
      </c>
      <c r="AE149" s="37" t="s">
        <v>387</v>
      </c>
      <c r="AF149" s="37" t="s">
        <v>381</v>
      </c>
      <c r="AG149" s="33" t="str">
        <f>IF(G149&gt;0,IF(AD149&gt;0,IF(AD149=0,"Waiting",IF(AD149&lt;L149,"Partial",IF(AD149=L149,"Full Supply",IF(AD149&gt;L149,"Over Shared")))),"Waiting"),"")</f>
        <v>Full Supply</v>
      </c>
      <c r="AH149" s="49">
        <v>46232</v>
      </c>
      <c r="AI149" s="37" t="s">
        <v>495</v>
      </c>
      <c r="AJ149" s="181">
        <v>16</v>
      </c>
      <c r="AK149" s="40">
        <v>25935</v>
      </c>
      <c r="AL149" s="218">
        <v>46246</v>
      </c>
      <c r="AM149" s="40">
        <v>20</v>
      </c>
      <c r="AN149" s="37"/>
      <c r="AO149" s="239">
        <v>46300</v>
      </c>
      <c r="AP149" s="37"/>
      <c r="AQ149" s="37"/>
      <c r="AR149" s="37"/>
      <c r="AS149" s="37"/>
      <c r="AT149" s="37">
        <f>AS149-AD149</f>
        <v>-16</v>
      </c>
      <c r="AU149" s="36" t="str">
        <f>IF(AR149=0,"Waiting",IF(AR149&lt;AH149,"Kurang",IF(AR149=AH149,"Sesuai",IF(AR149&gt;AH149,"Over Shared"))))</f>
        <v>Waiting</v>
      </c>
      <c r="AV149" s="37"/>
      <c r="AW149" s="37" t="str">
        <f>IFERROR(DATEDIF(AH149,AK149,"d"),"0")&amp;"-DAY"</f>
        <v>0-DAY</v>
      </c>
      <c r="AX149" s="37" t="str">
        <f>IFERROR(DATEDIF(B149,AB149,"d"),"0")&amp;"-DAY"</f>
        <v>21-DAY</v>
      </c>
      <c r="AY149" s="37"/>
      <c r="AZ149" s="181">
        <f>L149-AD149</f>
        <v>0</v>
      </c>
    </row>
    <row r="150" spans="1:52" ht="15.5" hidden="1" customHeight="1">
      <c r="A150" s="360" t="s">
        <v>372</v>
      </c>
      <c r="B150" s="340">
        <v>46226</v>
      </c>
      <c r="C150" s="181">
        <v>48363</v>
      </c>
      <c r="D150" s="30">
        <v>46226</v>
      </c>
      <c r="E150" s="30">
        <v>46224</v>
      </c>
      <c r="F150" s="30">
        <v>46233</v>
      </c>
      <c r="G150" s="37">
        <v>4420229816</v>
      </c>
      <c r="H150" s="37" t="s">
        <v>373</v>
      </c>
      <c r="I150" s="37">
        <v>9040028877</v>
      </c>
      <c r="J150" s="37" t="s">
        <v>199</v>
      </c>
      <c r="K150" s="325" t="s">
        <v>200</v>
      </c>
      <c r="L150" s="181">
        <v>30</v>
      </c>
      <c r="M150" s="181" t="s">
        <v>375</v>
      </c>
      <c r="N150" s="37" t="s">
        <v>432</v>
      </c>
      <c r="O150" s="31">
        <f>IF(F150&gt;0,F150-AB150,"")</f>
        <v>-14</v>
      </c>
      <c r="P150" s="37" t="str">
        <f>IF(F150&gt;0,IF(AB150="","PLANNING SUPPLY",IF(AB150&lt;=F150,"ONTIME DELIVERY","DELAY")),"")</f>
        <v>DELAY</v>
      </c>
      <c r="Q150" s="181" t="str">
        <f>IFERROR(IF(J150&gt;0,VLOOKUP(J150,#REF!,MATCH($Q$6,#REF!,0),0),""),"")</f>
        <v/>
      </c>
      <c r="R150" s="181" t="str">
        <f>IFERROR(IF(J150&gt;0,VLOOKUP(J150,#REF!,MATCH($R$6,#REF!,0),0),""),"")</f>
        <v/>
      </c>
      <c r="S150" s="181" t="e">
        <f>IF(I153&gt;0,Q150+R150,"")</f>
        <v>#VALUE!</v>
      </c>
      <c r="T150" s="181"/>
      <c r="U150" s="181"/>
      <c r="V150" s="37"/>
      <c r="W150" s="181" t="e">
        <f>IF(I153&gt;0,IF(S150&gt;L150,"READY STOCK",IF(S150=0,"OUT OF STOCK",IF(S150&lt;L150,"LOW STOCK",""))),"")</f>
        <v>#VALUE!</v>
      </c>
      <c r="X150" s="38"/>
      <c r="Y150" s="38"/>
      <c r="Z150" s="38"/>
      <c r="AA150" s="38"/>
      <c r="AB150" s="50">
        <v>46247</v>
      </c>
      <c r="AC150" s="181">
        <v>33629</v>
      </c>
      <c r="AD150" s="51">
        <v>30</v>
      </c>
      <c r="AE150" s="37" t="s">
        <v>387</v>
      </c>
      <c r="AF150" s="37" t="s">
        <v>381</v>
      </c>
      <c r="AG150" s="33" t="str">
        <f>IF(G150&gt;0,IF(AD150&gt;0,IF(AD150=0,"Waiting",IF(AD150&lt;L150,"Partial",IF(AD150=L150,"Full Supply",IF(AD150&gt;L150,"Over Shared")))),"Waiting"),"")</f>
        <v>Full Supply</v>
      </c>
      <c r="AH150" s="37"/>
      <c r="AI150" s="37"/>
      <c r="AJ150" s="181"/>
      <c r="AK150" s="40"/>
      <c r="AL150" s="40"/>
      <c r="AM150" s="40"/>
      <c r="AN150" s="37"/>
      <c r="AO150" s="34"/>
      <c r="AP150" s="37"/>
      <c r="AQ150" s="37"/>
      <c r="AR150" s="37"/>
      <c r="AS150" s="37"/>
      <c r="AT150" s="37">
        <f>AS150-AD150</f>
        <v>-30</v>
      </c>
      <c r="AU150" s="36" t="str">
        <f>IF(AR150=0,"Waiting",IF(AR150&lt;AH150,"Kurang",IF(AR150=AH150,"Sesuai",IF(AR150&gt;AH150,"Over Shared"))))</f>
        <v>Waiting</v>
      </c>
      <c r="AV150" s="37"/>
      <c r="AW150" s="37" t="str">
        <f>IFERROR(DATEDIF(AH150,AK150,"d"),"0")&amp;"-DAY"</f>
        <v>0-DAY</v>
      </c>
      <c r="AX150" s="37" t="str">
        <f>IFERROR(DATEDIF(B150,AB150,"d"),"0")&amp;"-DAY"</f>
        <v>21-DAY</v>
      </c>
      <c r="AY150" s="37"/>
      <c r="AZ150" s="181">
        <f>L150-AD150</f>
        <v>0</v>
      </c>
    </row>
    <row r="151" spans="1:52" ht="15.5" hidden="1" customHeight="1">
      <c r="A151" s="360" t="s">
        <v>372</v>
      </c>
      <c r="B151" s="340">
        <v>46226</v>
      </c>
      <c r="C151" s="181">
        <v>48363</v>
      </c>
      <c r="D151" s="30">
        <v>46226</v>
      </c>
      <c r="E151" s="30">
        <v>46224</v>
      </c>
      <c r="F151" s="30">
        <v>46233</v>
      </c>
      <c r="G151" s="37">
        <v>4420229816</v>
      </c>
      <c r="H151" s="37" t="s">
        <v>373</v>
      </c>
      <c r="I151" s="37">
        <v>9040042451</v>
      </c>
      <c r="J151" s="37" t="s">
        <v>295</v>
      </c>
      <c r="K151" s="325" t="s">
        <v>296</v>
      </c>
      <c r="L151" s="181">
        <v>10</v>
      </c>
      <c r="M151" s="181" t="s">
        <v>375</v>
      </c>
      <c r="N151" s="37" t="s">
        <v>432</v>
      </c>
      <c r="O151" s="31">
        <f>IF(F151&gt;0,F151-AB151,"")</f>
        <v>-13</v>
      </c>
      <c r="P151" s="37" t="str">
        <f>IF(F151&gt;0,IF(AB151="","PLANNING SUPPLY",IF(AB151&lt;=F151,"ONTIME DELIVERY","DELAY")),"")</f>
        <v>DELAY</v>
      </c>
      <c r="Q151" s="181" t="str">
        <f>IFERROR(IF(J151&gt;0,VLOOKUP(J151,#REF!,MATCH($Q$6,#REF!,0),0),""),"")</f>
        <v/>
      </c>
      <c r="R151" s="181" t="str">
        <f>IFERROR(IF(J151&gt;0,VLOOKUP(J151,#REF!,MATCH($R$6,#REF!,0),0),""),"")</f>
        <v/>
      </c>
      <c r="S151" s="181" t="e">
        <f>IF(I154&gt;0,Q151+R151,"")</f>
        <v>#VALUE!</v>
      </c>
      <c r="T151" s="181"/>
      <c r="U151" s="181"/>
      <c r="V151" s="37"/>
      <c r="W151" s="181" t="e">
        <f>IF(I154&gt;0,IF(S151&gt;L151,"READY STOCK",IF(S151=0,"OUT OF STOCK",IF(S151&lt;L151,"LOW STOCK",""))),"")</f>
        <v>#VALUE!</v>
      </c>
      <c r="X151" s="38"/>
      <c r="Y151" s="38"/>
      <c r="Z151" s="38"/>
      <c r="AA151" s="38"/>
      <c r="AB151" s="50">
        <v>46246</v>
      </c>
      <c r="AC151" s="181">
        <v>33591</v>
      </c>
      <c r="AD151" s="51">
        <v>10</v>
      </c>
      <c r="AE151" s="37" t="s">
        <v>387</v>
      </c>
      <c r="AF151" s="37" t="s">
        <v>381</v>
      </c>
      <c r="AG151" s="33" t="str">
        <f>IF(G151&gt;0,IF(AD151&gt;0,IF(AD151=0,"Waiting",IF(AD151&lt;L151,"Partial",IF(AD151=L151,"Full Supply",IF(AD151&gt;L151,"Over Shared")))),"Waiting"),"")</f>
        <v>Full Supply</v>
      </c>
      <c r="AH151" s="37"/>
      <c r="AI151" s="37"/>
      <c r="AJ151" s="181"/>
      <c r="AK151" s="40"/>
      <c r="AL151" s="40"/>
      <c r="AM151" s="40"/>
      <c r="AN151" s="37"/>
      <c r="AO151" s="34"/>
      <c r="AP151" s="37"/>
      <c r="AQ151" s="37"/>
      <c r="AR151" s="37"/>
      <c r="AS151" s="37"/>
      <c r="AT151" s="37">
        <f>AS151-AD151</f>
        <v>-10</v>
      </c>
      <c r="AU151" s="36" t="str">
        <f>IF(AR151=0,"Waiting",IF(AR151&lt;AH151,"Kurang",IF(AR151=AH151,"Sesuai",IF(AR151&gt;AH151,"Over Shared"))))</f>
        <v>Waiting</v>
      </c>
      <c r="AV151" s="37"/>
      <c r="AW151" s="37" t="str">
        <f>IFERROR(DATEDIF(AH151,AK151,"d"),"0")&amp;"-DAY"</f>
        <v>0-DAY</v>
      </c>
      <c r="AX151" s="37" t="str">
        <f>IFERROR(DATEDIF(B151,AB151,"d"),"0")&amp;"-DAY"</f>
        <v>20-DAY</v>
      </c>
      <c r="AY151" s="37"/>
      <c r="AZ151" s="181">
        <f>L151-AD151</f>
        <v>0</v>
      </c>
    </row>
    <row r="152" spans="1:52" ht="15.5" hidden="1" customHeight="1">
      <c r="A152" s="360" t="s">
        <v>372</v>
      </c>
      <c r="B152" s="340">
        <v>46226</v>
      </c>
      <c r="C152" s="181">
        <v>48363</v>
      </c>
      <c r="D152" s="30">
        <v>46226</v>
      </c>
      <c r="E152" s="30">
        <v>46224</v>
      </c>
      <c r="F152" s="30">
        <v>46233</v>
      </c>
      <c r="G152" s="37">
        <v>4420229816</v>
      </c>
      <c r="H152" s="37" t="s">
        <v>373</v>
      </c>
      <c r="I152" s="37">
        <v>9040052401</v>
      </c>
      <c r="J152" s="37" t="s">
        <v>252</v>
      </c>
      <c r="K152" s="325" t="s">
        <v>253</v>
      </c>
      <c r="L152" s="181">
        <v>8</v>
      </c>
      <c r="M152" s="181" t="s">
        <v>375</v>
      </c>
      <c r="N152" s="37" t="s">
        <v>432</v>
      </c>
      <c r="O152" s="31">
        <f>IF(F152&gt;0,F152-AB152,"")</f>
        <v>2</v>
      </c>
      <c r="P152" s="37" t="str">
        <f>IF(F152&gt;0,IF(AB152="","PLANNING SUPPLY",IF(AB152&lt;=F152,"ONTIME DELIVERY","DELAY")),"")</f>
        <v>ONTIME DELIVERY</v>
      </c>
      <c r="Q152" s="181" t="str">
        <f>IFERROR(IF(J152&gt;0,VLOOKUP(J152,#REF!,MATCH($Q$6,#REF!,0),0),""),"")</f>
        <v/>
      </c>
      <c r="R152" s="181" t="str">
        <f>IFERROR(IF(J152&gt;0,VLOOKUP(J152,#REF!,MATCH($R$6,#REF!,0),0),""),"")</f>
        <v/>
      </c>
      <c r="S152" s="181" t="e">
        <f>IF(I155&gt;0,Q152+R152,"")</f>
        <v>#VALUE!</v>
      </c>
      <c r="T152" s="181"/>
      <c r="U152" s="181"/>
      <c r="V152" s="37"/>
      <c r="W152" s="181" t="e">
        <f>IF(I155&gt;0,IF(S152&gt;L152,"READY STOCK",IF(S152=0,"OUT OF STOCK",IF(S152&lt;L152,"LOW STOCK",""))),"")</f>
        <v>#VALUE!</v>
      </c>
      <c r="X152" s="38"/>
      <c r="Y152" s="38"/>
      <c r="Z152" s="38"/>
      <c r="AA152" s="38"/>
      <c r="AB152" s="50">
        <v>46231</v>
      </c>
      <c r="AC152" s="181">
        <v>33213</v>
      </c>
      <c r="AD152" s="51">
        <v>8</v>
      </c>
      <c r="AE152" s="37" t="s">
        <v>383</v>
      </c>
      <c r="AF152" s="37" t="s">
        <v>381</v>
      </c>
      <c r="AG152" s="33" t="str">
        <f>IF(G152&gt;0,IF(AD152&gt;0,IF(AD152=0,"Waiting",IF(AD152&lt;L152,"Partial",IF(AD152=L152,"Full Supply",IF(AD152&gt;L152,"Over Shared")))),"Waiting"),"")</f>
        <v>Full Supply</v>
      </c>
      <c r="AH152" s="37"/>
      <c r="AI152" s="37"/>
      <c r="AJ152" s="181"/>
      <c r="AK152" s="40"/>
      <c r="AL152" s="40"/>
      <c r="AM152" s="40"/>
      <c r="AN152" s="37"/>
      <c r="AO152" s="34"/>
      <c r="AP152" s="37"/>
      <c r="AQ152" s="37"/>
      <c r="AR152" s="37"/>
      <c r="AS152" s="37"/>
      <c r="AT152" s="37">
        <f>AS152-AD152</f>
        <v>-8</v>
      </c>
      <c r="AU152" s="36" t="str">
        <f>IF(AR152=0,"Waiting",IF(AR152&lt;AH152,"Kurang",IF(AR152=AH152,"Sesuai",IF(AR152&gt;AH152,"Over Shared"))))</f>
        <v>Waiting</v>
      </c>
      <c r="AV152" s="37"/>
      <c r="AW152" s="37" t="str">
        <f>IFERROR(DATEDIF(AH152,AK152,"d"),"0")&amp;"-DAY"</f>
        <v>0-DAY</v>
      </c>
      <c r="AX152" s="37" t="str">
        <f>IFERROR(DATEDIF(B152,AB152,"d"),"0")&amp;"-DAY"</f>
        <v>5-DAY</v>
      </c>
      <c r="AY152" s="37"/>
      <c r="AZ152" s="181">
        <f>L152-AD152</f>
        <v>0</v>
      </c>
    </row>
    <row r="153" spans="1:52" ht="15.5" hidden="1" customHeight="1">
      <c r="A153" s="360" t="s">
        <v>372</v>
      </c>
      <c r="B153" s="340">
        <v>46226</v>
      </c>
      <c r="C153" s="181">
        <v>48363</v>
      </c>
      <c r="D153" s="30">
        <v>46226</v>
      </c>
      <c r="E153" s="30">
        <v>46224</v>
      </c>
      <c r="F153" s="30">
        <v>46233</v>
      </c>
      <c r="G153" s="37">
        <v>4420229816</v>
      </c>
      <c r="H153" s="37" t="s">
        <v>373</v>
      </c>
      <c r="I153" s="37">
        <v>9040040390</v>
      </c>
      <c r="J153" s="37" t="s">
        <v>209</v>
      </c>
      <c r="K153" s="325" t="s">
        <v>210</v>
      </c>
      <c r="L153" s="181">
        <v>5</v>
      </c>
      <c r="M153" s="181" t="s">
        <v>421</v>
      </c>
      <c r="N153" s="37" t="s">
        <v>432</v>
      </c>
      <c r="O153" s="31">
        <f>IF(F153&gt;0,F153-AB153,"")</f>
        <v>2</v>
      </c>
      <c r="P153" s="37" t="str">
        <f>IF(F153&gt;0,IF(AB153="","PLANNING SUPPLY",IF(AB153&lt;=F153,"ONTIME DELIVERY","DELAY")),"")</f>
        <v>ONTIME DELIVERY</v>
      </c>
      <c r="Q153" s="181" t="str">
        <f>IFERROR(IF(J153&gt;0,VLOOKUP(J153,#REF!,MATCH($Q$6,#REF!,0),0),""),"")</f>
        <v/>
      </c>
      <c r="R153" s="181" t="str">
        <f>IFERROR(IF(J153&gt;0,VLOOKUP(J153,#REF!,MATCH($R$6,#REF!,0),0),""),"")</f>
        <v/>
      </c>
      <c r="S153" s="181" t="e">
        <f>IF(I156&gt;0,Q153+R153,"")</f>
        <v>#VALUE!</v>
      </c>
      <c r="T153" s="181"/>
      <c r="U153" s="181"/>
      <c r="V153" s="37"/>
      <c r="W153" s="181" t="e">
        <f>IF(I156&gt;0,IF(S153&gt;L153,"READY STOCK",IF(S153=0,"OUT OF STOCK",IF(S153&lt;L153,"LOW STOCK",""))),"")</f>
        <v>#VALUE!</v>
      </c>
      <c r="X153" s="38"/>
      <c r="Y153" s="38"/>
      <c r="Z153" s="38"/>
      <c r="AA153" s="38"/>
      <c r="AB153" s="50">
        <v>46231</v>
      </c>
      <c r="AC153" s="181">
        <v>33257</v>
      </c>
      <c r="AD153" s="51">
        <v>5</v>
      </c>
      <c r="AE153" s="37" t="s">
        <v>383</v>
      </c>
      <c r="AF153" s="37" t="s">
        <v>381</v>
      </c>
      <c r="AG153" s="33" t="str">
        <f>IF(G153&gt;0,IF(AD153&gt;0,IF(AD153=0,"Waiting",IF(AD153&lt;L153,"Partial",IF(AD153=L153,"Full Supply",IF(AD153&gt;L153,"Over Shared")))),"Waiting"),"")</f>
        <v>Full Supply</v>
      </c>
      <c r="AH153" s="49">
        <v>46232</v>
      </c>
      <c r="AI153" s="37" t="s">
        <v>495</v>
      </c>
      <c r="AJ153" s="181">
        <v>12</v>
      </c>
      <c r="AK153" s="40">
        <v>25940</v>
      </c>
      <c r="AL153" s="218">
        <v>46246</v>
      </c>
      <c r="AM153" s="40">
        <v>16</v>
      </c>
      <c r="AN153" s="37"/>
      <c r="AO153" s="48">
        <v>46253</v>
      </c>
      <c r="AP153" s="37"/>
      <c r="AQ153" s="37"/>
      <c r="AR153" s="37"/>
      <c r="AS153" s="37"/>
      <c r="AT153" s="37">
        <f>AS153-AD153</f>
        <v>-5</v>
      </c>
      <c r="AU153" s="36" t="str">
        <f>IF(AR153=0,"Waiting",IF(AR153&lt;AH153,"Kurang",IF(AR153=AH153,"Sesuai",IF(AR153&gt;AH153,"Over Shared"))))</f>
        <v>Waiting</v>
      </c>
      <c r="AV153" s="37"/>
      <c r="AW153" s="37" t="str">
        <f>IFERROR(DATEDIF(AH153,AK153,"d"),"0")&amp;"-DAY"</f>
        <v>0-DAY</v>
      </c>
      <c r="AX153" s="37" t="str">
        <f>IFERROR(DATEDIF(B153,AB153,"d"),"0")&amp;"-DAY"</f>
        <v>5-DAY</v>
      </c>
      <c r="AY153" s="37"/>
      <c r="AZ153" s="181">
        <f>L153-AD153</f>
        <v>0</v>
      </c>
    </row>
    <row r="154" spans="1:52" ht="15.5" hidden="1" customHeight="1">
      <c r="A154" s="360" t="s">
        <v>372</v>
      </c>
      <c r="B154" s="340">
        <v>46226</v>
      </c>
      <c r="C154" s="181">
        <v>48363</v>
      </c>
      <c r="D154" s="30">
        <v>46226</v>
      </c>
      <c r="E154" s="30">
        <v>46224</v>
      </c>
      <c r="F154" s="30">
        <v>46233</v>
      </c>
      <c r="G154" s="37">
        <v>4420229816</v>
      </c>
      <c r="H154" s="37" t="s">
        <v>373</v>
      </c>
      <c r="I154" s="37">
        <v>9040041393</v>
      </c>
      <c r="J154" s="37" t="s">
        <v>191</v>
      </c>
      <c r="K154" s="325" t="s">
        <v>192</v>
      </c>
      <c r="L154" s="181">
        <v>101</v>
      </c>
      <c r="M154" s="181" t="s">
        <v>375</v>
      </c>
      <c r="N154" s="37" t="s">
        <v>432</v>
      </c>
      <c r="O154" s="31">
        <f>IF(F154&gt;0,F154-AB154,"")</f>
        <v>-11</v>
      </c>
      <c r="P154" s="37" t="str">
        <f>IF(F154&gt;0,IF(AB154="","PLANNING SUPPLY",IF(AB154&lt;=F154,"ONTIME DELIVERY","DELAY")),"")</f>
        <v>DELAY</v>
      </c>
      <c r="Q154" s="181" t="str">
        <f>IFERROR(IF(J154&gt;0,VLOOKUP(J154,#REF!,MATCH($Q$6,#REF!,0),0),""),"")</f>
        <v/>
      </c>
      <c r="R154" s="181" t="str">
        <f>IFERROR(IF(J154&gt;0,VLOOKUP(J154,#REF!,MATCH($R$6,#REF!,0),0),""),"")</f>
        <v/>
      </c>
      <c r="S154" s="181" t="e">
        <f>IF(I157&gt;0,Q154+R154,"")</f>
        <v>#VALUE!</v>
      </c>
      <c r="T154" s="181"/>
      <c r="U154" s="181"/>
      <c r="V154" s="37"/>
      <c r="W154" s="181" t="e">
        <f>IF(I157&gt;0,IF(S154&gt;L154,"READY STOCK",IF(S154=0,"OUT OF STOCK",IF(S154&lt;L154,"LOW STOCK",""))),"")</f>
        <v>#VALUE!</v>
      </c>
      <c r="X154" s="38"/>
      <c r="Y154" s="38"/>
      <c r="Z154" s="38"/>
      <c r="AA154" s="38"/>
      <c r="AB154" s="50">
        <v>46244</v>
      </c>
      <c r="AC154" s="181">
        <v>33532</v>
      </c>
      <c r="AD154" s="51">
        <v>101</v>
      </c>
      <c r="AE154" s="37" t="s">
        <v>387</v>
      </c>
      <c r="AF154" s="37" t="s">
        <v>381</v>
      </c>
      <c r="AG154" s="33" t="str">
        <f>IF(G154&gt;0,IF(AD154&gt;0,IF(AD154=0,"Waiting",IF(AD154&lt;L154,"Partial",IF(AD154=L154,"Full Supply",IF(AD154&gt;L154,"Over Shared")))),"Waiting"),"")</f>
        <v>Full Supply</v>
      </c>
      <c r="AH154" s="37"/>
      <c r="AI154" s="37"/>
      <c r="AJ154" s="181"/>
      <c r="AK154" s="40"/>
      <c r="AL154" s="40"/>
      <c r="AM154" s="40"/>
      <c r="AN154" s="37"/>
      <c r="AO154" s="34"/>
      <c r="AP154" s="37"/>
      <c r="AQ154" s="37"/>
      <c r="AR154" s="37"/>
      <c r="AS154" s="37"/>
      <c r="AT154" s="37">
        <f>AS154-AD154</f>
        <v>-101</v>
      </c>
      <c r="AU154" s="36" t="str">
        <f>IF(AR154=0,"Waiting",IF(AR154&lt;AH154,"Kurang",IF(AR154=AH154,"Sesuai",IF(AR154&gt;AH154,"Over Shared"))))</f>
        <v>Waiting</v>
      </c>
      <c r="AV154" s="37"/>
      <c r="AW154" s="37" t="str">
        <f>IFERROR(DATEDIF(AH154,AK154,"d"),"0")&amp;"-DAY"</f>
        <v>0-DAY</v>
      </c>
      <c r="AX154" s="37" t="str">
        <f>IFERROR(DATEDIF(B154,AB154,"d"),"0")&amp;"-DAY"</f>
        <v>18-DAY</v>
      </c>
      <c r="AY154" s="37"/>
      <c r="AZ154" s="181">
        <f>L154-AD154</f>
        <v>0</v>
      </c>
    </row>
    <row r="155" spans="1:52" ht="15.5" hidden="1" customHeight="1">
      <c r="A155" s="360" t="s">
        <v>372</v>
      </c>
      <c r="B155" s="340">
        <v>46226</v>
      </c>
      <c r="C155" s="181">
        <v>48363</v>
      </c>
      <c r="D155" s="30">
        <v>46226</v>
      </c>
      <c r="E155" s="30">
        <v>46224</v>
      </c>
      <c r="F155" s="30">
        <v>46233</v>
      </c>
      <c r="G155" s="37">
        <v>4420229816</v>
      </c>
      <c r="H155" s="37" t="s">
        <v>373</v>
      </c>
      <c r="I155" s="37">
        <v>9040044285</v>
      </c>
      <c r="J155" s="37" t="s">
        <v>100</v>
      </c>
      <c r="K155" s="325" t="s">
        <v>101</v>
      </c>
      <c r="L155" s="181">
        <v>2</v>
      </c>
      <c r="M155" s="181" t="s">
        <v>427</v>
      </c>
      <c r="N155" s="37" t="s">
        <v>432</v>
      </c>
      <c r="O155" s="31">
        <f>IF(F155&gt;0,F155-AB155,"")</f>
        <v>-11</v>
      </c>
      <c r="P155" s="37" t="str">
        <f>IF(F155&gt;0,IF(AB155="","PLANNING SUPPLY",IF(AB155&lt;=F155,"ONTIME DELIVERY","DELAY")),"")</f>
        <v>DELAY</v>
      </c>
      <c r="Q155" s="181" t="str">
        <f>IFERROR(IF(J155&gt;0,VLOOKUP(J155,#REF!,MATCH($Q$6,#REF!,0),0),""),"")</f>
        <v/>
      </c>
      <c r="R155" s="181" t="str">
        <f>IFERROR(IF(J155&gt;0,VLOOKUP(J155,#REF!,MATCH($R$6,#REF!,0),0),""),"")</f>
        <v/>
      </c>
      <c r="S155" s="181" t="e">
        <f>IF(I158&gt;0,Q155+R155,"")</f>
        <v>#VALUE!</v>
      </c>
      <c r="T155" s="181"/>
      <c r="U155" s="181"/>
      <c r="V155" s="37"/>
      <c r="W155" s="181" t="e">
        <f>IF(I158&gt;0,IF(S155&gt;L155,"READY STOCK",IF(S155=0,"OUT OF STOCK",IF(S155&lt;L155,"LOW STOCK",""))),"")</f>
        <v>#VALUE!</v>
      </c>
      <c r="X155" s="38"/>
      <c r="Y155" s="38"/>
      <c r="Z155" s="38"/>
      <c r="AA155" s="38"/>
      <c r="AB155" s="50">
        <v>46244</v>
      </c>
      <c r="AC155" s="181">
        <v>33534</v>
      </c>
      <c r="AD155" s="51">
        <v>2</v>
      </c>
      <c r="AE155" s="37" t="s">
        <v>387</v>
      </c>
      <c r="AF155" s="37" t="s">
        <v>381</v>
      </c>
      <c r="AG155" s="33" t="str">
        <f>IF(G155&gt;0,IF(AD155&gt;0,IF(AD155=0,"Waiting",IF(AD155&lt;L155,"Partial",IF(AD155=L155,"Full Supply",IF(AD155&gt;L155,"Over Shared")))),"Waiting"),"")</f>
        <v>Full Supply</v>
      </c>
      <c r="AH155" s="49">
        <v>46232</v>
      </c>
      <c r="AI155" s="37" t="s">
        <v>495</v>
      </c>
      <c r="AJ155" s="181">
        <v>2</v>
      </c>
      <c r="AK155" s="40">
        <v>25323</v>
      </c>
      <c r="AL155" s="45">
        <v>46256</v>
      </c>
      <c r="AM155" s="40">
        <v>2</v>
      </c>
      <c r="AN155" s="37"/>
      <c r="AO155" s="48">
        <v>46262</v>
      </c>
      <c r="AP155" s="37"/>
      <c r="AQ155" s="37"/>
      <c r="AR155" s="37"/>
      <c r="AS155" s="37"/>
      <c r="AT155" s="37">
        <f>AS155-AD155</f>
        <v>-2</v>
      </c>
      <c r="AU155" s="36" t="str">
        <f>IF(AR155=0,"Waiting",IF(AR155&lt;AH155,"Kurang",IF(AR155=AH155,"Sesuai",IF(AR155&gt;AH155,"Over Shared"))))</f>
        <v>Waiting</v>
      </c>
      <c r="AV155" s="37"/>
      <c r="AW155" s="37" t="str">
        <f>IFERROR(DATEDIF(AH155,AK155,"d"),"0")&amp;"-DAY"</f>
        <v>0-DAY</v>
      </c>
      <c r="AX155" s="37" t="str">
        <f>IFERROR(DATEDIF(B155,AB155,"d"),"0")&amp;"-DAY"</f>
        <v>18-DAY</v>
      </c>
      <c r="AY155" s="37"/>
      <c r="AZ155" s="181">
        <f>L155-AD155</f>
        <v>0</v>
      </c>
    </row>
    <row r="156" spans="1:52" ht="15.5" hidden="1" customHeight="1">
      <c r="A156" s="360" t="s">
        <v>372</v>
      </c>
      <c r="B156" s="340">
        <v>46226</v>
      </c>
      <c r="C156" s="181">
        <v>48364</v>
      </c>
      <c r="D156" s="30">
        <v>46226</v>
      </c>
      <c r="E156" s="30">
        <v>46224</v>
      </c>
      <c r="F156" s="30">
        <v>46255</v>
      </c>
      <c r="G156" s="37">
        <v>4420229834</v>
      </c>
      <c r="H156" s="37" t="s">
        <v>373</v>
      </c>
      <c r="I156" s="37">
        <v>9040009495</v>
      </c>
      <c r="J156" s="37" t="s">
        <v>320</v>
      </c>
      <c r="K156" s="325" t="s">
        <v>321</v>
      </c>
      <c r="L156" s="181">
        <v>3</v>
      </c>
      <c r="M156" s="181" t="s">
        <v>375</v>
      </c>
      <c r="N156" s="37" t="s">
        <v>376</v>
      </c>
      <c r="O156" s="31">
        <f>IF(F156&gt;0,F156-AB156,"")</f>
        <v>-45</v>
      </c>
      <c r="P156" s="37" t="str">
        <f>IF(F156&gt;0,IF(AB156="","PLANNING SUPPLY",IF(AB156&lt;=F156,"ONTIME DELIVERY","DELAY")),"")</f>
        <v>DELAY</v>
      </c>
      <c r="Q156" s="181" t="str">
        <f>IFERROR(IF(J156&gt;0,VLOOKUP(J156,#REF!,MATCH($Q$6,#REF!,0),0),""),"")</f>
        <v/>
      </c>
      <c r="R156" s="181" t="str">
        <f>IFERROR(IF(J156&gt;0,VLOOKUP(J156,#REF!,MATCH($R$6,#REF!,0),0),""),"")</f>
        <v/>
      </c>
      <c r="S156" s="181" t="e">
        <f>IF(I159&gt;0,Q156+R156,"")</f>
        <v>#VALUE!</v>
      </c>
      <c r="T156" s="181"/>
      <c r="U156" s="181"/>
      <c r="V156" s="37"/>
      <c r="W156" s="181" t="e">
        <f>IF(I159&gt;0,IF(S156&gt;L156,"READY STOCK",IF(S156=0,"OUT OF STOCK",IF(S156&lt;L156,"LOW STOCK",""))),"")</f>
        <v>#VALUE!</v>
      </c>
      <c r="X156" s="38"/>
      <c r="Y156" s="38"/>
      <c r="Z156" s="38"/>
      <c r="AA156" s="38"/>
      <c r="AB156" s="50">
        <v>46300</v>
      </c>
      <c r="AC156" s="44">
        <v>34707</v>
      </c>
      <c r="AD156" s="51">
        <v>3</v>
      </c>
      <c r="AE156" s="37" t="s">
        <v>387</v>
      </c>
      <c r="AF156" s="37" t="s">
        <v>381</v>
      </c>
      <c r="AG156" s="33" t="str">
        <f>IF(G156&gt;0,IF(AD156&gt;0,IF(AD156=0,"Waiting",IF(AD156&lt;L156,"Partial",IF(AD156=L156,"Full Supply",IF(AD156&gt;L156,"Over Shared")))),"Waiting"),"")</f>
        <v>Full Supply</v>
      </c>
      <c r="AH156" s="49">
        <v>46232</v>
      </c>
      <c r="AI156" s="37"/>
      <c r="AJ156" s="181"/>
      <c r="AK156" s="40"/>
      <c r="AL156" s="40"/>
      <c r="AM156" s="40"/>
      <c r="AN156" s="37"/>
      <c r="AO156" s="34"/>
      <c r="AP156" s="37"/>
      <c r="AQ156" s="37"/>
      <c r="AR156" s="37"/>
      <c r="AS156" s="37"/>
      <c r="AT156" s="37">
        <f>AS156-AD156</f>
        <v>-3</v>
      </c>
      <c r="AU156" s="36" t="str">
        <f>IF(AR156=0,"Waiting",IF(AR156&lt;AH156,"Kurang",IF(AR156=AH156,"Sesuai",IF(AR156&gt;AH156,"Over Shared"))))</f>
        <v>Waiting</v>
      </c>
      <c r="AV156" s="37">
        <v>54581</v>
      </c>
      <c r="AW156" s="37" t="str">
        <f>IFERROR(DATEDIF(AH156,AK156,"d"),"0")&amp;"-DAY"</f>
        <v>0-DAY</v>
      </c>
      <c r="AX156" s="37" t="str">
        <f>IFERROR(DATEDIF(B156,AB156,"d"),"0")&amp;"-DAY"</f>
        <v>74-DAY</v>
      </c>
      <c r="AY156" s="37"/>
      <c r="AZ156" s="181">
        <f>L156-AD156</f>
        <v>0</v>
      </c>
    </row>
    <row r="157" spans="1:52" ht="15.5" hidden="1" customHeight="1">
      <c r="A157" s="360" t="s">
        <v>372</v>
      </c>
      <c r="B157" s="340">
        <v>46226</v>
      </c>
      <c r="C157" s="181">
        <v>48364</v>
      </c>
      <c r="D157" s="30">
        <v>46226</v>
      </c>
      <c r="E157" s="30">
        <v>46224</v>
      </c>
      <c r="F157" s="30">
        <v>46255</v>
      </c>
      <c r="G157" s="37">
        <v>4420229834</v>
      </c>
      <c r="H157" s="37" t="s">
        <v>373</v>
      </c>
      <c r="I157" s="37">
        <v>9040009391</v>
      </c>
      <c r="J157" s="37" t="s">
        <v>293</v>
      </c>
      <c r="K157" s="325" t="s">
        <v>294</v>
      </c>
      <c r="L157" s="181">
        <v>10</v>
      </c>
      <c r="M157" s="181" t="s">
        <v>375</v>
      </c>
      <c r="N157" s="37" t="s">
        <v>376</v>
      </c>
      <c r="O157" s="31">
        <f>IF(F157&gt;0,F157-AB157,"")</f>
        <v>24</v>
      </c>
      <c r="P157" s="37" t="str">
        <f>IF(F157&gt;0,IF(AB157="","PLANNING SUPPLY",IF(AB157&lt;=F157,"ONTIME DELIVERY","DELAY")),"")</f>
        <v>ONTIME DELIVERY</v>
      </c>
      <c r="Q157" s="181" t="str">
        <f>IFERROR(IF(J157&gt;0,VLOOKUP(J157,#REF!,MATCH($Q$6,#REF!,0),0),""),"")</f>
        <v/>
      </c>
      <c r="R157" s="181" t="str">
        <f>IFERROR(IF(J157&gt;0,VLOOKUP(J157,#REF!,MATCH($R$6,#REF!,0),0),""),"")</f>
        <v/>
      </c>
      <c r="S157" s="181" t="e">
        <f>IF(I160&gt;0,Q157+R157,"")</f>
        <v>#VALUE!</v>
      </c>
      <c r="T157" s="181"/>
      <c r="U157" s="181"/>
      <c r="V157" s="37"/>
      <c r="W157" s="181" t="e">
        <f>IF(I160&gt;0,IF(S157&gt;L157,"READY STOCK",IF(S157=0,"OUT OF STOCK",IF(S157&lt;L157,"LOW STOCK",""))),"")</f>
        <v>#VALUE!</v>
      </c>
      <c r="X157" s="38"/>
      <c r="Y157" s="38"/>
      <c r="Z157" s="38"/>
      <c r="AA157" s="38"/>
      <c r="AB157" s="50">
        <v>46231</v>
      </c>
      <c r="AC157" s="181">
        <v>33214</v>
      </c>
      <c r="AD157" s="51">
        <v>10</v>
      </c>
      <c r="AE157" s="37" t="s">
        <v>383</v>
      </c>
      <c r="AF157" s="37" t="s">
        <v>381</v>
      </c>
      <c r="AG157" s="33" t="str">
        <f>IF(G157&gt;0,IF(AD157&gt;0,IF(AD157=0,"Waiting",IF(AD157&lt;L157,"Partial",IF(AD157=L157,"Full Supply",IF(AD157&gt;L157,"Over Shared")))),"Waiting"),"")</f>
        <v>Full Supply</v>
      </c>
      <c r="AH157" s="37"/>
      <c r="AI157" s="37"/>
      <c r="AJ157" s="181"/>
      <c r="AK157" s="40"/>
      <c r="AL157" s="40"/>
      <c r="AM157" s="40"/>
      <c r="AN157" s="37"/>
      <c r="AO157" s="34"/>
      <c r="AP157" s="37"/>
      <c r="AQ157" s="37"/>
      <c r="AR157" s="37"/>
      <c r="AS157" s="37"/>
      <c r="AT157" s="37">
        <f>AS157-AD157</f>
        <v>-10</v>
      </c>
      <c r="AU157" s="36" t="str">
        <f>IF(AR157=0,"Waiting",IF(AR157&lt;AH157,"Kurang",IF(AR157=AH157,"Sesuai",IF(AR157&gt;AH157,"Over Shared"))))</f>
        <v>Waiting</v>
      </c>
      <c r="AV157" s="37">
        <v>54581</v>
      </c>
      <c r="AW157" s="37" t="str">
        <f>IFERROR(DATEDIF(AH157,AK157,"d"),"0")&amp;"-DAY"</f>
        <v>0-DAY</v>
      </c>
      <c r="AX157" s="37" t="str">
        <f>IFERROR(DATEDIF(B157,AB157,"d"),"0")&amp;"-DAY"</f>
        <v>5-DAY</v>
      </c>
      <c r="AY157" s="37"/>
      <c r="AZ157" s="181">
        <f>L157-AD157</f>
        <v>0</v>
      </c>
    </row>
    <row r="158" spans="1:52" ht="15.5" hidden="1" customHeight="1">
      <c r="A158" s="360" t="s">
        <v>372</v>
      </c>
      <c r="B158" s="340">
        <v>46226</v>
      </c>
      <c r="C158" s="181">
        <v>48364</v>
      </c>
      <c r="D158" s="30">
        <v>46226</v>
      </c>
      <c r="E158" s="30">
        <v>46224</v>
      </c>
      <c r="F158" s="30">
        <v>46255</v>
      </c>
      <c r="G158" s="37">
        <v>4420229834</v>
      </c>
      <c r="H158" s="37" t="s">
        <v>373</v>
      </c>
      <c r="I158" s="37">
        <v>9040031134</v>
      </c>
      <c r="J158" s="37" t="s">
        <v>254</v>
      </c>
      <c r="K158" s="325" t="s">
        <v>255</v>
      </c>
      <c r="L158" s="181">
        <v>10</v>
      </c>
      <c r="M158" s="181" t="s">
        <v>375</v>
      </c>
      <c r="N158" s="37" t="s">
        <v>376</v>
      </c>
      <c r="O158" s="31">
        <f>IF(F158&gt;0,F158-AB158,"")</f>
        <v>24</v>
      </c>
      <c r="P158" s="37" t="str">
        <f>IF(F158&gt;0,IF(AB158="","PLANNING SUPPLY",IF(AB158&lt;=F158,"ONTIME DELIVERY","DELAY")),"")</f>
        <v>ONTIME DELIVERY</v>
      </c>
      <c r="Q158" s="181" t="str">
        <f>IFERROR(IF(J158&gt;0,VLOOKUP(J158,#REF!,MATCH($Q$6,#REF!,0),0),""),"")</f>
        <v/>
      </c>
      <c r="R158" s="181" t="str">
        <f>IFERROR(IF(J158&gt;0,VLOOKUP(J158,#REF!,MATCH($R$6,#REF!,0),0),""),"")</f>
        <v/>
      </c>
      <c r="S158" s="181" t="e">
        <f>IF(I161&gt;0,Q158+R158,"")</f>
        <v>#VALUE!</v>
      </c>
      <c r="T158" s="181"/>
      <c r="U158" s="181"/>
      <c r="V158" s="37"/>
      <c r="W158" s="181" t="e">
        <f>IF(I161&gt;0,IF(S158&gt;L158,"READY STOCK",IF(S158=0,"OUT OF STOCK",IF(S158&lt;L158,"LOW STOCK",""))),"")</f>
        <v>#VALUE!</v>
      </c>
      <c r="X158" s="38"/>
      <c r="Y158" s="38"/>
      <c r="Z158" s="38"/>
      <c r="AA158" s="38"/>
      <c r="AB158" s="50">
        <v>46231</v>
      </c>
      <c r="AC158" s="181">
        <v>33214</v>
      </c>
      <c r="AD158" s="51">
        <v>10</v>
      </c>
      <c r="AE158" s="37" t="s">
        <v>383</v>
      </c>
      <c r="AF158" s="37" t="s">
        <v>381</v>
      </c>
      <c r="AG158" s="33" t="str">
        <f>IF(G158&gt;0,IF(AD158&gt;0,IF(AD158=0,"Waiting",IF(AD158&lt;L158,"Partial",IF(AD158=L158,"Full Supply",IF(AD158&gt;L158,"Over Shared")))),"Waiting"),"")</f>
        <v>Full Supply</v>
      </c>
      <c r="AH158" s="37"/>
      <c r="AI158" s="37"/>
      <c r="AJ158" s="181"/>
      <c r="AK158" s="40"/>
      <c r="AL158" s="40"/>
      <c r="AM158" s="40"/>
      <c r="AN158" s="37"/>
      <c r="AO158" s="34"/>
      <c r="AP158" s="37"/>
      <c r="AQ158" s="37"/>
      <c r="AR158" s="37"/>
      <c r="AS158" s="37"/>
      <c r="AT158" s="37">
        <f>AS158-AD158</f>
        <v>-10</v>
      </c>
      <c r="AU158" s="36" t="str">
        <f>IF(AR158=0,"Waiting",IF(AR158&lt;AH158,"Kurang",IF(AR158=AH158,"Sesuai",IF(AR158&gt;AH158,"Over Shared"))))</f>
        <v>Waiting</v>
      </c>
      <c r="AV158" s="37">
        <v>54581</v>
      </c>
      <c r="AW158" s="37" t="str">
        <f>IFERROR(DATEDIF(AH158,AK158,"d"),"0")&amp;"-DAY"</f>
        <v>0-DAY</v>
      </c>
      <c r="AX158" s="37" t="str">
        <f>IFERROR(DATEDIF(B158,AB158,"d"),"0")&amp;"-DAY"</f>
        <v>5-DAY</v>
      </c>
      <c r="AY158" s="37"/>
      <c r="AZ158" s="181">
        <f>L158-AD158</f>
        <v>0</v>
      </c>
    </row>
    <row r="159" spans="1:52" ht="15.5" hidden="1" customHeight="1">
      <c r="A159" s="360" t="s">
        <v>372</v>
      </c>
      <c r="B159" s="340">
        <v>46226</v>
      </c>
      <c r="C159" s="181">
        <v>48364</v>
      </c>
      <c r="D159" s="30">
        <v>46226</v>
      </c>
      <c r="E159" s="30">
        <v>46224</v>
      </c>
      <c r="F159" s="30">
        <v>46255</v>
      </c>
      <c r="G159" s="37">
        <v>4420229834</v>
      </c>
      <c r="H159" s="37" t="s">
        <v>373</v>
      </c>
      <c r="I159" s="37">
        <v>9040052369</v>
      </c>
      <c r="J159" s="37" t="s">
        <v>199</v>
      </c>
      <c r="K159" s="325" t="s">
        <v>200</v>
      </c>
      <c r="L159" s="181">
        <v>10</v>
      </c>
      <c r="M159" s="181" t="s">
        <v>375</v>
      </c>
      <c r="N159" s="37" t="s">
        <v>376</v>
      </c>
      <c r="O159" s="31">
        <f>IF(F159&gt;0,F159-AB159,"")</f>
        <v>24</v>
      </c>
      <c r="P159" s="37" t="str">
        <f>IF(F159&gt;0,IF(AB159="","PLANNING SUPPLY",IF(AB159&lt;=F159,"ONTIME DELIVERY","DELAY")),"")</f>
        <v>ONTIME DELIVERY</v>
      </c>
      <c r="Q159" s="181" t="str">
        <f>IFERROR(IF(J159&gt;0,VLOOKUP(J159,#REF!,MATCH($Q$6,#REF!,0),0),""),"")</f>
        <v/>
      </c>
      <c r="R159" s="181" t="str">
        <f>IFERROR(IF(J159&gt;0,VLOOKUP(J159,#REF!,MATCH($R$6,#REF!,0),0),""),"")</f>
        <v/>
      </c>
      <c r="S159" s="181" t="e">
        <f>IF(I162&gt;0,Q159+R159,"")</f>
        <v>#VALUE!</v>
      </c>
      <c r="T159" s="181"/>
      <c r="U159" s="181" t="e">
        <f>R159-L159</f>
        <v>#VALUE!</v>
      </c>
      <c r="V159" s="37"/>
      <c r="W159" s="181" t="e">
        <f>IF(I162&gt;0,IF(S159&gt;L159,"READY STOCK",IF(S159=0,"OUT OF STOCK",IF(S159&lt;L159,"LOW STOCK",""))),"")</f>
        <v>#VALUE!</v>
      </c>
      <c r="X159" s="38"/>
      <c r="Y159" s="38"/>
      <c r="Z159" s="38"/>
      <c r="AA159" s="38"/>
      <c r="AB159" s="50">
        <v>46231</v>
      </c>
      <c r="AC159" s="181">
        <v>33214</v>
      </c>
      <c r="AD159" s="51">
        <v>10</v>
      </c>
      <c r="AE159" s="37" t="s">
        <v>383</v>
      </c>
      <c r="AF159" s="37" t="s">
        <v>381</v>
      </c>
      <c r="AG159" s="33" t="str">
        <f>IF(G159&gt;0,IF(AD159&gt;0,IF(AD159=0,"Waiting",IF(AD159&lt;L159,"Partial",IF(AD159=L159,"Full Supply",IF(AD159&gt;L159,"Over Shared")))),"Waiting"),"")</f>
        <v>Full Supply</v>
      </c>
      <c r="AH159" s="37"/>
      <c r="AI159" s="37"/>
      <c r="AJ159" s="181"/>
      <c r="AK159" s="40"/>
      <c r="AL159" s="40"/>
      <c r="AM159" s="40"/>
      <c r="AN159" s="37"/>
      <c r="AO159" s="34"/>
      <c r="AP159" s="35">
        <v>46239</v>
      </c>
      <c r="AQ159" s="37"/>
      <c r="AR159" s="37"/>
      <c r="AS159" s="37">
        <v>4</v>
      </c>
      <c r="AT159" s="37">
        <f>AS159-AD159</f>
        <v>-6</v>
      </c>
      <c r="AU159" s="36" t="str">
        <f>IF(AR159=0,"Waiting",IF(AR159&lt;AH159,"Kurang",IF(AR159=AH159,"Sesuai",IF(AR159&gt;AH159,"Over Shared"))))</f>
        <v>Waiting</v>
      </c>
      <c r="AV159" s="37">
        <v>53160</v>
      </c>
      <c r="AW159" s="37" t="str">
        <f>IFERROR(DATEDIF(AH159,AK159,"d"),"0")&amp;"-DAY"</f>
        <v>0-DAY</v>
      </c>
      <c r="AX159" s="37" t="str">
        <f>IFERROR(DATEDIF(B159,AB159,"d"),"0")&amp;"-DAY"</f>
        <v>5-DAY</v>
      </c>
      <c r="AY159" s="37"/>
      <c r="AZ159" s="181">
        <f>L159-AD159</f>
        <v>0</v>
      </c>
    </row>
    <row r="160" spans="1:52" ht="15.5" hidden="1" customHeight="1">
      <c r="A160" s="360" t="s">
        <v>372</v>
      </c>
      <c r="B160" s="340">
        <v>46226</v>
      </c>
      <c r="C160" s="181">
        <v>48364</v>
      </c>
      <c r="D160" s="30">
        <v>46226</v>
      </c>
      <c r="E160" s="30">
        <v>46224</v>
      </c>
      <c r="F160" s="30">
        <v>46255</v>
      </c>
      <c r="G160" s="37">
        <v>4420229834</v>
      </c>
      <c r="H160" s="37" t="s">
        <v>373</v>
      </c>
      <c r="I160" s="37">
        <v>9040052401</v>
      </c>
      <c r="J160" s="37" t="s">
        <v>252</v>
      </c>
      <c r="K160" s="325" t="s">
        <v>253</v>
      </c>
      <c r="L160" s="181">
        <v>2</v>
      </c>
      <c r="M160" s="181" t="s">
        <v>375</v>
      </c>
      <c r="N160" s="37" t="s">
        <v>376</v>
      </c>
      <c r="O160" s="31">
        <f>IF(F160&gt;0,F160-AB160,"")</f>
        <v>24</v>
      </c>
      <c r="P160" s="37" t="str">
        <f>IF(F160&gt;0,IF(AB160="","PLANNING SUPPLY",IF(AB160&lt;=F160,"ONTIME DELIVERY","DELAY")),"")</f>
        <v>ONTIME DELIVERY</v>
      </c>
      <c r="Q160" s="181" t="str">
        <f>IFERROR(IF(J160&gt;0,VLOOKUP(J160,#REF!,MATCH($Q$6,#REF!,0),0),""),"")</f>
        <v/>
      </c>
      <c r="R160" s="181" t="str">
        <f>IFERROR(IF(J160&gt;0,VLOOKUP(J160,#REF!,MATCH($R$6,#REF!,0),0),""),"")</f>
        <v/>
      </c>
      <c r="S160" s="181" t="e">
        <f>IF(I163&gt;0,Q160+R160,"")</f>
        <v>#VALUE!</v>
      </c>
      <c r="T160" s="181"/>
      <c r="U160" s="181"/>
      <c r="V160" s="37"/>
      <c r="W160" s="181" t="e">
        <f>IF(I163&gt;0,IF(S160&gt;L160,"READY STOCK",IF(S160=0,"OUT OF STOCK",IF(S160&lt;L160,"LOW STOCK",""))),"")</f>
        <v>#VALUE!</v>
      </c>
      <c r="X160" s="38"/>
      <c r="Y160" s="38"/>
      <c r="Z160" s="38"/>
      <c r="AA160" s="38"/>
      <c r="AB160" s="50">
        <v>46231</v>
      </c>
      <c r="AC160" s="181">
        <v>33214</v>
      </c>
      <c r="AD160" s="51">
        <v>2</v>
      </c>
      <c r="AE160" s="37" t="s">
        <v>383</v>
      </c>
      <c r="AF160" s="37" t="s">
        <v>381</v>
      </c>
      <c r="AG160" s="33" t="str">
        <f>IF(G160&gt;0,IF(AD160&gt;0,IF(AD160=0,"Waiting",IF(AD160&lt;L160,"Partial",IF(AD160=L160,"Full Supply",IF(AD160&gt;L160,"Over Shared")))),"Waiting"),"")</f>
        <v>Full Supply</v>
      </c>
      <c r="AH160" s="37"/>
      <c r="AI160" s="37"/>
      <c r="AJ160" s="181"/>
      <c r="AK160" s="40"/>
      <c r="AL160" s="40"/>
      <c r="AM160" s="40"/>
      <c r="AN160" s="37"/>
      <c r="AO160" s="34"/>
      <c r="AP160" s="37"/>
      <c r="AQ160" s="37"/>
      <c r="AR160" s="37"/>
      <c r="AS160" s="37"/>
      <c r="AT160" s="37">
        <f>AS160-AD160</f>
        <v>-2</v>
      </c>
      <c r="AU160" s="36" t="str">
        <f>IF(AR160=0,"Waiting",IF(AR160&lt;AH160,"Kurang",IF(AR160=AH160,"Sesuai",IF(AR160&gt;AH160,"Over Shared"))))</f>
        <v>Waiting</v>
      </c>
      <c r="AV160" s="37">
        <v>54581</v>
      </c>
      <c r="AW160" s="37" t="str">
        <f>IFERROR(DATEDIF(AH160,AK160,"d"),"0")&amp;"-DAY"</f>
        <v>0-DAY</v>
      </c>
      <c r="AX160" s="37" t="str">
        <f>IFERROR(DATEDIF(B160,AB160,"d"),"0")&amp;"-DAY"</f>
        <v>5-DAY</v>
      </c>
      <c r="AY160" s="37"/>
      <c r="AZ160" s="181">
        <f>L160-AD160</f>
        <v>0</v>
      </c>
    </row>
    <row r="161" spans="1:52" ht="15.5" hidden="1" customHeight="1">
      <c r="A161" s="360" t="s">
        <v>372</v>
      </c>
      <c r="B161" s="340">
        <v>46226</v>
      </c>
      <c r="C161" s="181">
        <v>48366</v>
      </c>
      <c r="D161" s="30">
        <v>46226</v>
      </c>
      <c r="E161" s="30">
        <v>46221</v>
      </c>
      <c r="F161" s="30">
        <v>46231</v>
      </c>
      <c r="G161" s="37">
        <v>4420229722</v>
      </c>
      <c r="H161" s="37" t="s">
        <v>373</v>
      </c>
      <c r="I161" s="37">
        <v>9040008449</v>
      </c>
      <c r="J161" s="37" t="s">
        <v>145</v>
      </c>
      <c r="K161" s="325" t="s">
        <v>146</v>
      </c>
      <c r="L161" s="181">
        <v>2</v>
      </c>
      <c r="M161" s="181" t="s">
        <v>481</v>
      </c>
      <c r="N161" s="37" t="s">
        <v>482</v>
      </c>
      <c r="O161" s="31">
        <f>IF(F161&gt;0,F161-AB161,"")</f>
        <v>-37</v>
      </c>
      <c r="P161" s="37" t="str">
        <f>IF(F161&gt;0,IF(AB161="","PLANNING SUPPLY",IF(AB161&lt;=F161,"ONTIME DELIVERY","DELAY")),"")</f>
        <v>DELAY</v>
      </c>
      <c r="Q161" s="181" t="str">
        <f>IFERROR(IF(J161&gt;0,VLOOKUP(J161,#REF!,MATCH($Q$6,#REF!,0),0),""),"")</f>
        <v/>
      </c>
      <c r="R161" s="181" t="str">
        <f>IFERROR(IF(J161&gt;0,VLOOKUP(J161,#REF!,MATCH($R$6,#REF!,0),0),""),"")</f>
        <v/>
      </c>
      <c r="S161" s="181" t="e">
        <f>IF(I164&gt;0,Q161+R161,"")</f>
        <v>#VALUE!</v>
      </c>
      <c r="T161" s="181"/>
      <c r="U161" s="181"/>
      <c r="V161" s="37"/>
      <c r="W161" s="181" t="e">
        <f>IF(I164&gt;0,IF(S161&gt;L161,"READY STOCK",IF(S161=0,"OUT OF STOCK",IF(S161&lt;L161,"LOW STOCK",""))),"")</f>
        <v>#VALUE!</v>
      </c>
      <c r="X161" s="38"/>
      <c r="Y161" s="38"/>
      <c r="Z161" s="38"/>
      <c r="AA161" s="38"/>
      <c r="AB161" s="50">
        <v>46268</v>
      </c>
      <c r="AC161" s="181">
        <v>34015</v>
      </c>
      <c r="AD161" s="51">
        <v>2</v>
      </c>
      <c r="AE161" s="37" t="s">
        <v>383</v>
      </c>
      <c r="AF161" s="37" t="s">
        <v>381</v>
      </c>
      <c r="AG161" s="33" t="str">
        <f>IF(G161&gt;0,IF(AD161&gt;0,IF(AD161=0,"Waiting",IF(AD161&lt;L161,"Partial",IF(AD161=L161,"Full Supply",IF(AD161&gt;L161,"Over Shared")))),"Waiting"),"")</f>
        <v>Full Supply</v>
      </c>
      <c r="AH161" s="37"/>
      <c r="AI161" s="37"/>
      <c r="AJ161" s="181"/>
      <c r="AK161" s="40"/>
      <c r="AL161" s="40"/>
      <c r="AM161" s="40"/>
      <c r="AN161" s="37"/>
      <c r="AO161" s="34"/>
      <c r="AP161" s="37"/>
      <c r="AQ161" s="37"/>
      <c r="AR161" s="37"/>
      <c r="AS161" s="37"/>
      <c r="AT161" s="37">
        <f>AS161-AD161</f>
        <v>-2</v>
      </c>
      <c r="AU161" s="36" t="str">
        <f>IF(AR161=0,"Waiting",IF(AR161&lt;AH161,"Kurang",IF(AR161=AH161,"Sesuai",IF(AR161&gt;AH161,"Over Shared"))))</f>
        <v>Waiting</v>
      </c>
      <c r="AV161" s="37"/>
      <c r="AW161" s="37" t="str">
        <f>IFERROR(DATEDIF(AH161,AK161,"d"),"0")&amp;"-DAY"</f>
        <v>0-DAY</v>
      </c>
      <c r="AX161" s="37" t="str">
        <f>IFERROR(DATEDIF(B161,AB161,"d"),"0")&amp;"-DAY"</f>
        <v>42-DAY</v>
      </c>
      <c r="AY161" s="37"/>
      <c r="AZ161" s="181">
        <f>L161-AD161</f>
        <v>0</v>
      </c>
    </row>
    <row r="162" spans="1:52" ht="15.5" hidden="1" customHeight="1">
      <c r="A162" s="360" t="s">
        <v>372</v>
      </c>
      <c r="B162" s="340">
        <v>46230</v>
      </c>
      <c r="C162" s="181">
        <v>48424</v>
      </c>
      <c r="D162" s="30">
        <v>46230</v>
      </c>
      <c r="E162" s="30">
        <v>46225</v>
      </c>
      <c r="F162" s="30">
        <v>46232</v>
      </c>
      <c r="G162" s="37">
        <v>4420229918</v>
      </c>
      <c r="H162" s="37" t="s">
        <v>373</v>
      </c>
      <c r="I162" s="37">
        <v>9040016343</v>
      </c>
      <c r="J162" s="37" t="s">
        <v>211</v>
      </c>
      <c r="K162" s="325" t="s">
        <v>212</v>
      </c>
      <c r="L162" s="181">
        <v>37</v>
      </c>
      <c r="M162" s="181" t="s">
        <v>421</v>
      </c>
      <c r="N162" s="37" t="s">
        <v>384</v>
      </c>
      <c r="O162" s="31">
        <f>IF(F162&gt;0,F162-AB162,"")</f>
        <v>-40</v>
      </c>
      <c r="P162" s="37" t="str">
        <f>IF(F162&gt;0,IF(AB162="","PLANNING SUPPLY",IF(AB162&lt;=F162,"ONTIME DELIVERY","DELAY")),"")</f>
        <v>DELAY</v>
      </c>
      <c r="Q162" s="181" t="str">
        <f>IFERROR(IF(J162&gt;0,VLOOKUP(J162,#REF!,MATCH($Q$6,#REF!,0),0),""),"")</f>
        <v/>
      </c>
      <c r="R162" s="181" t="str">
        <f>IFERROR(IF(J162&gt;0,VLOOKUP(J162,#REF!,MATCH($R$6,#REF!,0),0),""),"")</f>
        <v/>
      </c>
      <c r="S162" s="181" t="e">
        <f>IF(I165&gt;0,Q162+R162,"")</f>
        <v>#VALUE!</v>
      </c>
      <c r="T162" s="181"/>
      <c r="U162" s="181"/>
      <c r="V162" s="37"/>
      <c r="W162" s="181" t="e">
        <f>IF(I165&gt;0,IF(S162&gt;L162,"READY STOCK",IF(S162=0,"OUT OF STOCK",IF(S162&lt;L162,"LOW STOCK",""))),"")</f>
        <v>#VALUE!</v>
      </c>
      <c r="X162" s="38"/>
      <c r="Y162" s="38"/>
      <c r="Z162" s="38"/>
      <c r="AA162" s="38"/>
      <c r="AB162" s="50">
        <v>46272</v>
      </c>
      <c r="AC162" s="181">
        <v>34025</v>
      </c>
      <c r="AD162" s="51">
        <v>37</v>
      </c>
      <c r="AE162" s="37" t="s">
        <v>383</v>
      </c>
      <c r="AF162" s="37" t="s">
        <v>381</v>
      </c>
      <c r="AG162" s="33" t="str">
        <f>IF(G162&gt;0,IF(AD162&gt;0,IF(AD162=0,"Waiting",IF(AD162&lt;L162,"Partial",IF(AD162=L162,"Full Supply",IF(AD162&gt;L162,"Over Shared")))),"Waiting"),"")</f>
        <v>Full Supply</v>
      </c>
      <c r="AH162" s="49">
        <v>46232</v>
      </c>
      <c r="AI162" s="37" t="s">
        <v>495</v>
      </c>
      <c r="AJ162" s="181">
        <v>37</v>
      </c>
      <c r="AK162" s="40">
        <v>25939</v>
      </c>
      <c r="AL162" s="218">
        <v>46246</v>
      </c>
      <c r="AM162" s="40">
        <v>361</v>
      </c>
      <c r="AN162" s="37"/>
      <c r="AO162" s="48">
        <v>46253</v>
      </c>
      <c r="AP162" s="37"/>
      <c r="AQ162" s="37"/>
      <c r="AR162" s="37"/>
      <c r="AS162" s="37"/>
      <c r="AT162" s="37">
        <f>AS162-AD162</f>
        <v>-37</v>
      </c>
      <c r="AU162" s="36" t="str">
        <f>IF(AR162=0,"Waiting",IF(AR162&lt;AH162,"Kurang",IF(AR162=AH162,"Sesuai",IF(AR162&gt;AH162,"Over Shared"))))</f>
        <v>Waiting</v>
      </c>
      <c r="AV162" s="37"/>
      <c r="AW162" s="37" t="str">
        <f>IFERROR(DATEDIF(AH162,AK162,"d"),"0")&amp;"-DAY"</f>
        <v>0-DAY</v>
      </c>
      <c r="AX162" s="37" t="str">
        <f>IFERROR(DATEDIF(B162,AB162,"d"),"0")&amp;"-DAY"</f>
        <v>42-DAY</v>
      </c>
      <c r="AY162" s="37"/>
      <c r="AZ162" s="181">
        <f>L162-AD162</f>
        <v>0</v>
      </c>
    </row>
    <row r="163" spans="1:52" ht="15.5" hidden="1" customHeight="1">
      <c r="A163" s="360" t="s">
        <v>372</v>
      </c>
      <c r="B163" s="340">
        <v>46230</v>
      </c>
      <c r="C163" s="181">
        <v>48424</v>
      </c>
      <c r="D163" s="30">
        <v>46230</v>
      </c>
      <c r="E163" s="30">
        <v>46225</v>
      </c>
      <c r="F163" s="30">
        <v>46232</v>
      </c>
      <c r="G163" s="37">
        <v>4420229918</v>
      </c>
      <c r="H163" s="37" t="s">
        <v>373</v>
      </c>
      <c r="I163" s="37">
        <v>9040020554</v>
      </c>
      <c r="J163" s="37" t="s">
        <v>297</v>
      </c>
      <c r="K163" s="325" t="s">
        <v>298</v>
      </c>
      <c r="L163" s="181">
        <v>18</v>
      </c>
      <c r="M163" s="181" t="s">
        <v>375</v>
      </c>
      <c r="N163" s="37" t="s">
        <v>384</v>
      </c>
      <c r="O163" s="31">
        <f>IF(F163&gt;0,F163-AB163,"")</f>
        <v>46232</v>
      </c>
      <c r="P163" s="37" t="str">
        <f>IF(F163&gt;0,IF(AB163="","PLANNING SUPPLY",IF(AB163&lt;=F163,"ONTIME DELIVERY","DELAY")),"")</f>
        <v>PLANNING SUPPLY</v>
      </c>
      <c r="Q163" s="181" t="str">
        <f>IFERROR(IF(J163&gt;0,VLOOKUP(J163,#REF!,MATCH($Q$6,#REF!,0),0),""),"")</f>
        <v/>
      </c>
      <c r="R163" s="181" t="str">
        <f>IFERROR(IF(J163&gt;0,VLOOKUP(J163,#REF!,MATCH($R$6,#REF!,0),0),""),"")</f>
        <v/>
      </c>
      <c r="S163" s="181" t="e">
        <f>IF(I166&gt;0,Q163+R163,"")</f>
        <v>#VALUE!</v>
      </c>
      <c r="T163" s="181"/>
      <c r="U163" s="181"/>
      <c r="V163" s="37"/>
      <c r="W163" s="181" t="e">
        <f>IF(I166&gt;0,IF(S163&gt;L163,"READY STOCK",IF(S163=0,"OUT OF STOCK",IF(S163&lt;L163,"LOW STOCK",""))),"")</f>
        <v>#VALUE!</v>
      </c>
      <c r="X163" s="38"/>
      <c r="Y163" s="38"/>
      <c r="Z163" s="38"/>
      <c r="AA163" s="38"/>
      <c r="AB163" s="50"/>
      <c r="AC163" s="181"/>
      <c r="AD163" s="51"/>
      <c r="AE163" s="37"/>
      <c r="AF163" s="37"/>
      <c r="AG163" s="33" t="str">
        <f>IF(G163&gt;0,IF(AD163&gt;0,IF(AD163=0,"Waiting",IF(AD163&lt;L163,"Partial",IF(AD163=L163,"Full Supply",IF(AD163&gt;L163,"Over Shared")))),"Waiting"),"")</f>
        <v>Waiting</v>
      </c>
      <c r="AH163" s="56">
        <v>46247</v>
      </c>
      <c r="AI163" s="37" t="s">
        <v>646</v>
      </c>
      <c r="AJ163" s="181">
        <v>100</v>
      </c>
      <c r="AK163" s="40"/>
      <c r="AL163" s="40"/>
      <c r="AM163" s="40"/>
      <c r="AN163" s="216"/>
      <c r="AO163" s="239"/>
      <c r="AP163" s="37"/>
      <c r="AQ163" s="37"/>
      <c r="AR163" s="37"/>
      <c r="AS163" s="37"/>
      <c r="AT163" s="37">
        <f>AS163-AD163</f>
        <v>0</v>
      </c>
      <c r="AU163" s="36" t="str">
        <f>IF(AR163=0,"Waiting",IF(AR163&lt;AH163,"Kurang",IF(AR163=AH163,"Sesuai",IF(AR163&gt;AH163,"Over Shared"))))</f>
        <v>Waiting</v>
      </c>
      <c r="AV163" s="37"/>
      <c r="AW163" s="37" t="str">
        <f>IFERROR(DATEDIF(AH163,AK163,"d"),"0")&amp;"-DAY"</f>
        <v>0-DAY</v>
      </c>
      <c r="AX163" s="37" t="str">
        <f>IFERROR(DATEDIF(B163,AB163,"d"),"0")&amp;"-DAY"</f>
        <v>0-DAY</v>
      </c>
      <c r="AY163" s="37"/>
      <c r="AZ163" s="181">
        <f>L163-AD163</f>
        <v>18</v>
      </c>
    </row>
    <row r="164" spans="1:52" ht="15.5" hidden="1" customHeight="1">
      <c r="A164" s="360" t="s">
        <v>372</v>
      </c>
      <c r="B164" s="340">
        <v>46230</v>
      </c>
      <c r="C164" s="181">
        <v>48424</v>
      </c>
      <c r="D164" s="30">
        <v>46230</v>
      </c>
      <c r="E164" s="30">
        <v>46225</v>
      </c>
      <c r="F164" s="30">
        <v>46232</v>
      </c>
      <c r="G164" s="37">
        <v>4420229918</v>
      </c>
      <c r="H164" s="37" t="s">
        <v>373</v>
      </c>
      <c r="I164" s="37">
        <v>9040009369</v>
      </c>
      <c r="J164" s="37" t="s">
        <v>170</v>
      </c>
      <c r="K164" s="325" t="s">
        <v>171</v>
      </c>
      <c r="L164" s="181">
        <v>3</v>
      </c>
      <c r="M164" s="181" t="s">
        <v>421</v>
      </c>
      <c r="N164" s="37" t="s">
        <v>384</v>
      </c>
      <c r="O164" s="31">
        <f>IF(F164&gt;0,F164-AB164,"")</f>
        <v>-9</v>
      </c>
      <c r="P164" s="37" t="str">
        <f>IF(F164&gt;0,IF(AB164="","PLANNING SUPPLY",IF(AB164&lt;=F164,"ONTIME DELIVERY","DELAY")),"")</f>
        <v>DELAY</v>
      </c>
      <c r="Q164" s="181" t="str">
        <f>IFERROR(IF(J164&gt;0,VLOOKUP(J164,#REF!,MATCH($Q$6,#REF!,0),0),""),"")</f>
        <v/>
      </c>
      <c r="R164" s="181" t="str">
        <f>IFERROR(IF(J164&gt;0,VLOOKUP(J164,#REF!,MATCH($R$6,#REF!,0),0),""),"")</f>
        <v/>
      </c>
      <c r="S164" s="181" t="e">
        <f>IF(I167&gt;0,Q164+R164,"")</f>
        <v>#VALUE!</v>
      </c>
      <c r="T164" s="181"/>
      <c r="U164" s="181"/>
      <c r="V164" s="37"/>
      <c r="W164" s="181" t="e">
        <f>IF(I167&gt;0,IF(S164&gt;L164,"READY STOCK",IF(S164=0,"OUT OF STOCK",IF(S164&lt;L164,"LOW STOCK",""))),"")</f>
        <v>#VALUE!</v>
      </c>
      <c r="X164" s="38"/>
      <c r="Y164" s="38"/>
      <c r="Z164" s="38"/>
      <c r="AA164" s="38"/>
      <c r="AB164" s="50">
        <v>46241</v>
      </c>
      <c r="AC164" s="181">
        <v>33423</v>
      </c>
      <c r="AD164" s="51">
        <v>3</v>
      </c>
      <c r="AE164" s="37" t="s">
        <v>387</v>
      </c>
      <c r="AF164" s="37" t="s">
        <v>381</v>
      </c>
      <c r="AG164" s="33" t="str">
        <f>IF(G164&gt;0,IF(AD164&gt;0,IF(AD164=0,"Waiting",IF(AD164&lt;L164,"Partial",IF(AD164=L164,"Full Supply",IF(AD164&gt;L164,"Over Shared")))),"Waiting"),"")</f>
        <v>Full Supply</v>
      </c>
      <c r="AH164" s="37"/>
      <c r="AI164" s="37"/>
      <c r="AJ164" s="181"/>
      <c r="AK164" s="40"/>
      <c r="AL164" s="40"/>
      <c r="AM164" s="40"/>
      <c r="AN164" s="37"/>
      <c r="AO164" s="34"/>
      <c r="AP164" s="37"/>
      <c r="AQ164" s="37"/>
      <c r="AR164" s="37"/>
      <c r="AS164" s="37"/>
      <c r="AT164" s="37">
        <f>AS164-AD164</f>
        <v>-3</v>
      </c>
      <c r="AU164" s="36" t="str">
        <f>IF(AR164=0,"Waiting",IF(AR164&lt;AH164,"Kurang",IF(AR164=AH164,"Sesuai",IF(AR164&gt;AH164,"Over Shared"))))</f>
        <v>Waiting</v>
      </c>
      <c r="AV164" s="37"/>
      <c r="AW164" s="37" t="str">
        <f>IFERROR(DATEDIF(AH164,AK164,"d"),"0")&amp;"-DAY"</f>
        <v>0-DAY</v>
      </c>
      <c r="AX164" s="37" t="str">
        <f>IFERROR(DATEDIF(B164,AB164,"d"),"0")&amp;"-DAY"</f>
        <v>11-DAY</v>
      </c>
      <c r="AY164" s="37"/>
      <c r="AZ164" s="181">
        <f>L164-AD164</f>
        <v>0</v>
      </c>
    </row>
    <row r="165" spans="1:52" ht="15.5" hidden="1" customHeight="1">
      <c r="A165" s="360" t="s">
        <v>372</v>
      </c>
      <c r="B165" s="340">
        <v>46230</v>
      </c>
      <c r="C165" s="181">
        <v>48424</v>
      </c>
      <c r="D165" s="30">
        <v>46230</v>
      </c>
      <c r="E165" s="30">
        <v>46225</v>
      </c>
      <c r="F165" s="30">
        <v>46232</v>
      </c>
      <c r="G165" s="37">
        <v>4420229918</v>
      </c>
      <c r="H165" s="37" t="s">
        <v>373</v>
      </c>
      <c r="I165" s="37">
        <v>9040009391</v>
      </c>
      <c r="J165" s="37" t="s">
        <v>293</v>
      </c>
      <c r="K165" s="325" t="s">
        <v>294</v>
      </c>
      <c r="L165" s="181">
        <v>12</v>
      </c>
      <c r="M165" s="181" t="s">
        <v>375</v>
      </c>
      <c r="N165" s="37" t="s">
        <v>384</v>
      </c>
      <c r="O165" s="31">
        <f>IF(F165&gt;0,F165-AB165,"")</f>
        <v>-1</v>
      </c>
      <c r="P165" s="37" t="str">
        <f>IF(F165&gt;0,IF(AB165="","PLANNING SUPPLY",IF(AB165&lt;=F165,"ONTIME DELIVERY","DELAY")),"")</f>
        <v>DELAY</v>
      </c>
      <c r="Q165" s="181" t="str">
        <f>IFERROR(IF(J165&gt;0,VLOOKUP(J165,#REF!,MATCH($Q$6,#REF!,0),0),""),"")</f>
        <v/>
      </c>
      <c r="R165" s="181" t="str">
        <f>IFERROR(IF(J165&gt;0,VLOOKUP(J165,#REF!,MATCH($R$6,#REF!,0),0),""),"")</f>
        <v/>
      </c>
      <c r="S165" s="181" t="e">
        <f>IF(I168&gt;0,Q165+R165,"")</f>
        <v>#VALUE!</v>
      </c>
      <c r="T165" s="181"/>
      <c r="U165" s="181"/>
      <c r="V165" s="37"/>
      <c r="W165" s="181" t="e">
        <f>IF(I168&gt;0,IF(S165&gt;L165,"READY STOCK",IF(S165=0,"OUT OF STOCK",IF(S165&lt;L165,"LOW STOCK",""))),"")</f>
        <v>#VALUE!</v>
      </c>
      <c r="X165" s="38"/>
      <c r="Y165" s="38"/>
      <c r="Z165" s="38"/>
      <c r="AA165" s="38"/>
      <c r="AB165" s="50">
        <v>46233</v>
      </c>
      <c r="AC165" s="181">
        <v>33303</v>
      </c>
      <c r="AD165" s="51">
        <v>12</v>
      </c>
      <c r="AE165" s="37" t="s">
        <v>383</v>
      </c>
      <c r="AF165" s="37" t="s">
        <v>381</v>
      </c>
      <c r="AG165" s="33" t="str">
        <f>IF(G165&gt;0,IF(AD165&gt;0,IF(AD165=0,"Waiting",IF(AD165&lt;L165,"Partial",IF(AD165=L165,"Full Supply",IF(AD165&gt;L165,"Over Shared")))),"Waiting"),"")</f>
        <v>Full Supply</v>
      </c>
      <c r="AH165" s="37"/>
      <c r="AI165" s="37"/>
      <c r="AJ165" s="181"/>
      <c r="AK165" s="40"/>
      <c r="AL165" s="40"/>
      <c r="AM165" s="40"/>
      <c r="AN165" s="37"/>
      <c r="AO165" s="34"/>
      <c r="AP165" s="37"/>
      <c r="AQ165" s="37"/>
      <c r="AR165" s="37"/>
      <c r="AS165" s="37"/>
      <c r="AT165" s="37">
        <f>AS165-AD165</f>
        <v>-12</v>
      </c>
      <c r="AU165" s="36" t="str">
        <f>IF(AR165=0,"Waiting",IF(AR165&lt;AH165,"Kurang",IF(AR165=AH165,"Sesuai",IF(AR165&gt;AH165,"Over Shared"))))</f>
        <v>Waiting</v>
      </c>
      <c r="AV165" s="37"/>
      <c r="AW165" s="37" t="str">
        <f>IFERROR(DATEDIF(AH165,AK165,"d"),"0")&amp;"-DAY"</f>
        <v>0-DAY</v>
      </c>
      <c r="AX165" s="37" t="str">
        <f>IFERROR(DATEDIF(B165,AB165,"d"),"0")&amp;"-DAY"</f>
        <v>3-DAY</v>
      </c>
      <c r="AY165" s="37"/>
      <c r="AZ165" s="181">
        <f>L165-AD165</f>
        <v>0</v>
      </c>
    </row>
    <row r="166" spans="1:52" ht="15.5" hidden="1" customHeight="1">
      <c r="A166" s="360" t="s">
        <v>372</v>
      </c>
      <c r="B166" s="340">
        <v>46230</v>
      </c>
      <c r="C166" s="181">
        <v>48424</v>
      </c>
      <c r="D166" s="30">
        <v>46230</v>
      </c>
      <c r="E166" s="30">
        <v>46225</v>
      </c>
      <c r="F166" s="30">
        <v>46232</v>
      </c>
      <c r="G166" s="37">
        <v>4420229918</v>
      </c>
      <c r="H166" s="37" t="s">
        <v>373</v>
      </c>
      <c r="I166" s="37">
        <v>9040040588</v>
      </c>
      <c r="J166" s="37" t="s">
        <v>76</v>
      </c>
      <c r="K166" s="325" t="s">
        <v>77</v>
      </c>
      <c r="L166" s="181">
        <v>54</v>
      </c>
      <c r="M166" s="181" t="s">
        <v>375</v>
      </c>
      <c r="N166" s="37" t="s">
        <v>384</v>
      </c>
      <c r="O166" s="31">
        <f>IF(F166&gt;0,F166-AB166,"")</f>
        <v>-26</v>
      </c>
      <c r="P166" s="37" t="str">
        <f>IF(F166&gt;0,IF(AB166="","PLANNING SUPPLY",IF(AB166&lt;=F166,"ONTIME DELIVERY","DELAY")),"")</f>
        <v>DELAY</v>
      </c>
      <c r="Q166" s="181" t="str">
        <f>IFERROR(IF(J166&gt;0,VLOOKUP(J166,#REF!,MATCH($Q$6,#REF!,0),0),""),"")</f>
        <v/>
      </c>
      <c r="R166" s="181" t="str">
        <f>IFERROR(IF(J166&gt;0,VLOOKUP(J166,#REF!,MATCH($R$6,#REF!,0),0),""),"")</f>
        <v/>
      </c>
      <c r="S166" s="181" t="e">
        <f>IF(I169&gt;0,Q166+R166,"")</f>
        <v>#VALUE!</v>
      </c>
      <c r="T166" s="181"/>
      <c r="U166" s="181"/>
      <c r="V166" s="37"/>
      <c r="W166" s="181" t="e">
        <f>IF(I169&gt;0,IF(S166&gt;L166,"READY STOCK",IF(S166=0,"OUT OF STOCK",IF(S166&lt;L166,"LOW STOCK",""))),"")</f>
        <v>#VALUE!</v>
      </c>
      <c r="X166" s="38"/>
      <c r="Y166" s="38"/>
      <c r="Z166" s="38"/>
      <c r="AA166" s="38"/>
      <c r="AB166" s="50">
        <v>46258</v>
      </c>
      <c r="AC166" s="181">
        <v>33794</v>
      </c>
      <c r="AD166" s="51">
        <v>54</v>
      </c>
      <c r="AE166" s="37" t="s">
        <v>383</v>
      </c>
      <c r="AF166" s="37" t="s">
        <v>381</v>
      </c>
      <c r="AG166" s="33" t="str">
        <f>IF(G166&gt;0,IF(AD166&gt;0,IF(AD166=0,"Waiting",IF(AD166&lt;L166,"Partial",IF(AD166=L166,"Full Supply",IF(AD166&gt;L166,"Over Shared")))),"Waiting"),"")</f>
        <v>Full Supply</v>
      </c>
      <c r="AH166" s="56">
        <v>46247</v>
      </c>
      <c r="AI166" s="37" t="s">
        <v>646</v>
      </c>
      <c r="AJ166" s="181">
        <v>201</v>
      </c>
      <c r="AK166" s="40">
        <v>26391</v>
      </c>
      <c r="AL166" s="42">
        <v>46287</v>
      </c>
      <c r="AM166" s="40">
        <v>201</v>
      </c>
      <c r="AN166" s="37"/>
      <c r="AO166" s="41">
        <v>46295</v>
      </c>
      <c r="AP166" s="37"/>
      <c r="AQ166" s="37"/>
      <c r="AR166" s="37"/>
      <c r="AS166" s="37"/>
      <c r="AT166" s="37">
        <f>AS166-AD166</f>
        <v>-54</v>
      </c>
      <c r="AU166" s="36" t="str">
        <f>IF(AR166=0,"Waiting",IF(AR166&lt;AH166,"Kurang",IF(AR166=AH166,"Sesuai",IF(AR166&gt;AH166,"Over Shared"))))</f>
        <v>Waiting</v>
      </c>
      <c r="AV166" s="37"/>
      <c r="AW166" s="37" t="str">
        <f>IFERROR(DATEDIF(AH166,AK166,"d"),"0")&amp;"-DAY"</f>
        <v>0-DAY</v>
      </c>
      <c r="AX166" s="37" t="str">
        <f>IFERROR(DATEDIF(B166,AB166,"d"),"0")&amp;"-DAY"</f>
        <v>28-DAY</v>
      </c>
      <c r="AY166" s="37"/>
      <c r="AZ166" s="181">
        <f>L166-AD166</f>
        <v>0</v>
      </c>
    </row>
    <row r="167" spans="1:52" ht="15.5" hidden="1" customHeight="1">
      <c r="A167" s="360" t="s">
        <v>372</v>
      </c>
      <c r="B167" s="340">
        <v>46230</v>
      </c>
      <c r="C167" s="181">
        <v>48426</v>
      </c>
      <c r="D167" s="30">
        <v>46230</v>
      </c>
      <c r="E167" s="30">
        <v>46225</v>
      </c>
      <c r="F167" s="30">
        <v>46239</v>
      </c>
      <c r="G167" s="37">
        <v>4420229935</v>
      </c>
      <c r="H167" s="37" t="s">
        <v>373</v>
      </c>
      <c r="I167" s="37">
        <v>9040022707</v>
      </c>
      <c r="J167" s="37" t="s">
        <v>79</v>
      </c>
      <c r="K167" s="325" t="s">
        <v>80</v>
      </c>
      <c r="L167" s="181">
        <v>3</v>
      </c>
      <c r="M167" s="181" t="s">
        <v>375</v>
      </c>
      <c r="N167" s="37" t="s">
        <v>410</v>
      </c>
      <c r="O167" s="31">
        <f>IF(F167&gt;0,F167-AB167,"")</f>
        <v>-28</v>
      </c>
      <c r="P167" s="37" t="str">
        <f>IF(F167&gt;0,IF(AB167="","PLANNING SUPPLY",IF(AB167&lt;=F167,"ONTIME DELIVERY","DELAY")),"")</f>
        <v>DELAY</v>
      </c>
      <c r="Q167" s="181" t="str">
        <f>IFERROR(IF(J167&gt;0,VLOOKUP(J167,#REF!,MATCH($Q$6,#REF!,0),0),""),"")</f>
        <v/>
      </c>
      <c r="R167" s="181" t="str">
        <f>IFERROR(IF(J167&gt;0,VLOOKUP(J167,#REF!,MATCH($R$6,#REF!,0),0),""),"")</f>
        <v/>
      </c>
      <c r="S167" s="181" t="e">
        <f>IF(I170&gt;0,Q167+R167,"")</f>
        <v>#VALUE!</v>
      </c>
      <c r="T167" s="181"/>
      <c r="U167" s="181"/>
      <c r="V167" s="37"/>
      <c r="W167" s="181" t="e">
        <f>IF(I170&gt;0,IF(S167&gt;L167,"READY STOCK",IF(S167=0,"OUT OF STOCK",IF(S167&lt;L167,"LOW STOCK",""))),"")</f>
        <v>#VALUE!</v>
      </c>
      <c r="X167" s="38"/>
      <c r="Y167" s="38"/>
      <c r="Z167" s="38"/>
      <c r="AA167" s="38"/>
      <c r="AB167" s="50">
        <v>46267</v>
      </c>
      <c r="AC167" s="181">
        <v>33992</v>
      </c>
      <c r="AD167" s="51">
        <v>3</v>
      </c>
      <c r="AE167" s="37" t="s">
        <v>383</v>
      </c>
      <c r="AF167" s="37" t="s">
        <v>381</v>
      </c>
      <c r="AG167" s="33" t="str">
        <f>IF(G167&gt;0,IF(AD167&gt;0,IF(AD167=0,"Waiting",IF(AD167&lt;L167,"Partial",IF(AD167=L167,"Full Supply",IF(AD167&gt;L167,"Over Shared")))),"Waiting"),"")</f>
        <v>Full Supply</v>
      </c>
      <c r="AH167" s="49">
        <v>46232</v>
      </c>
      <c r="AI167" s="37" t="s">
        <v>495</v>
      </c>
      <c r="AJ167" s="181">
        <v>3</v>
      </c>
      <c r="AK167" s="40">
        <v>25938</v>
      </c>
      <c r="AL167" s="218">
        <v>46246</v>
      </c>
      <c r="AM167" s="40">
        <v>6</v>
      </c>
      <c r="AN167" s="37"/>
      <c r="AO167" s="48">
        <v>46253</v>
      </c>
      <c r="AP167" s="37"/>
      <c r="AQ167" s="37"/>
      <c r="AR167" s="37"/>
      <c r="AS167" s="37"/>
      <c r="AT167" s="37">
        <f>AS167-AD167</f>
        <v>-3</v>
      </c>
      <c r="AU167" s="36" t="str">
        <f>IF(AR167=0,"Waiting",IF(AR167&lt;AH167,"Kurang",IF(AR167=AH167,"Sesuai",IF(AR167&gt;AH167,"Over Shared"))))</f>
        <v>Waiting</v>
      </c>
      <c r="AV167" s="37"/>
      <c r="AW167" s="37" t="str">
        <f>IFERROR(DATEDIF(AH167,AK167,"d"),"0")&amp;"-DAY"</f>
        <v>0-DAY</v>
      </c>
      <c r="AX167" s="37" t="str">
        <f>IFERROR(DATEDIF(B167,AB167,"d"),"0")&amp;"-DAY"</f>
        <v>37-DAY</v>
      </c>
      <c r="AY167" s="37"/>
      <c r="AZ167" s="181">
        <f>L167-AD167</f>
        <v>0</v>
      </c>
    </row>
    <row r="168" spans="1:52" ht="15.5" hidden="1" customHeight="1">
      <c r="A168" s="360" t="s">
        <v>372</v>
      </c>
      <c r="B168" s="340">
        <v>46230</v>
      </c>
      <c r="C168" s="181">
        <v>48427</v>
      </c>
      <c r="D168" s="30">
        <v>46230</v>
      </c>
      <c r="E168" s="30">
        <v>46228</v>
      </c>
      <c r="F168" s="30">
        <v>46234</v>
      </c>
      <c r="G168" s="37">
        <v>4420230086</v>
      </c>
      <c r="H168" s="37" t="s">
        <v>373</v>
      </c>
      <c r="I168" s="37">
        <v>9040040699</v>
      </c>
      <c r="J168" s="37" t="s">
        <v>27</v>
      </c>
      <c r="K168" s="325" t="s">
        <v>28</v>
      </c>
      <c r="L168" s="181">
        <v>7</v>
      </c>
      <c r="M168" s="181" t="s">
        <v>375</v>
      </c>
      <c r="N168" s="37" t="s">
        <v>384</v>
      </c>
      <c r="O168" s="31">
        <f>IF(F168&gt;0,F168-AB168,"")</f>
        <v>-5</v>
      </c>
      <c r="P168" s="37" t="str">
        <f>IF(F168&gt;0,IF(AB168="","PLANNING SUPPLY",IF(AB168&lt;=F168,"ONTIME DELIVERY","DELAY")),"")</f>
        <v>DELAY</v>
      </c>
      <c r="Q168" s="181" t="str">
        <f>IFERROR(IF(J168&gt;0,VLOOKUP(J168,#REF!,MATCH($Q$6,#REF!,0),0),""),"")</f>
        <v/>
      </c>
      <c r="R168" s="181" t="str">
        <f>IFERROR(IF(J168&gt;0,VLOOKUP(J168,#REF!,MATCH($R$6,#REF!,0),0),""),"")</f>
        <v/>
      </c>
      <c r="S168" s="181" t="e">
        <f>IF(I171&gt;0,Q168+R168,"")</f>
        <v>#VALUE!</v>
      </c>
      <c r="T168" s="181"/>
      <c r="U168" s="181"/>
      <c r="V168" s="37"/>
      <c r="W168" s="181" t="e">
        <f>IF(I171&gt;0,IF(S168&gt;L168,"READY STOCK",IF(S168=0,"OUT OF STOCK",IF(S168&lt;L168,"LOW STOCK",""))),"")</f>
        <v>#VALUE!</v>
      </c>
      <c r="X168" s="38"/>
      <c r="Y168" s="38"/>
      <c r="Z168" s="38"/>
      <c r="AA168" s="38"/>
      <c r="AB168" s="50">
        <v>46239</v>
      </c>
      <c r="AC168" s="181">
        <v>33344</v>
      </c>
      <c r="AD168" s="51">
        <v>7</v>
      </c>
      <c r="AE168" s="37" t="s">
        <v>383</v>
      </c>
      <c r="AF168" s="37" t="s">
        <v>381</v>
      </c>
      <c r="AG168" s="33" t="str">
        <f>IF(G168&gt;0,IF(AD168&gt;0,IF(AD168=0,"Waiting",IF(AD168&lt;L168,"Partial",IF(AD168=L168,"Full Supply",IF(AD168&gt;L168,"Over Shared")))),"Waiting"),"")</f>
        <v>Full Supply</v>
      </c>
      <c r="AH168" s="37"/>
      <c r="AI168" s="37"/>
      <c r="AJ168" s="181"/>
      <c r="AK168" s="40"/>
      <c r="AL168" s="40"/>
      <c r="AM168" s="40"/>
      <c r="AN168" s="37"/>
      <c r="AO168" s="34"/>
      <c r="AP168" s="37"/>
      <c r="AQ168" s="37"/>
      <c r="AR168" s="37"/>
      <c r="AS168" s="37"/>
      <c r="AT168" s="37">
        <f>AS168-AD168</f>
        <v>-7</v>
      </c>
      <c r="AU168" s="36" t="str">
        <f>IF(AR168=0,"Waiting",IF(AR168&lt;AH168,"Kurang",IF(AR168=AH168,"Sesuai",IF(AR168&gt;AH168,"Over Shared"))))</f>
        <v>Waiting</v>
      </c>
      <c r="AV168" s="37">
        <v>54611</v>
      </c>
      <c r="AW168" s="37" t="str">
        <f>IFERROR(DATEDIF(AH168,AK168,"d"),"0")&amp;"-DAY"</f>
        <v>0-DAY</v>
      </c>
      <c r="AX168" s="37" t="str">
        <f>IFERROR(DATEDIF(B168,AB168,"d"),"0")&amp;"-DAY"</f>
        <v>9-DAY</v>
      </c>
      <c r="AY168" s="37"/>
      <c r="AZ168" s="181">
        <f>L168-AD168</f>
        <v>0</v>
      </c>
    </row>
    <row r="169" spans="1:52" ht="15.5" hidden="1" customHeight="1">
      <c r="A169" s="360" t="s">
        <v>372</v>
      </c>
      <c r="B169" s="340">
        <v>46230</v>
      </c>
      <c r="C169" s="181">
        <v>48427</v>
      </c>
      <c r="D169" s="30">
        <v>46230</v>
      </c>
      <c r="E169" s="30">
        <v>46228</v>
      </c>
      <c r="F169" s="30">
        <v>46234</v>
      </c>
      <c r="G169" s="37">
        <v>4420230086</v>
      </c>
      <c r="H169" s="37" t="s">
        <v>373</v>
      </c>
      <c r="I169" s="37">
        <v>9040017179</v>
      </c>
      <c r="J169" s="37" t="s">
        <v>91</v>
      </c>
      <c r="K169" s="325" t="s">
        <v>92</v>
      </c>
      <c r="L169" s="181">
        <v>3</v>
      </c>
      <c r="M169" s="181" t="s">
        <v>375</v>
      </c>
      <c r="N169" s="37" t="s">
        <v>384</v>
      </c>
      <c r="O169" s="31">
        <f>IF(F169&gt;0,F169-AB169,"")</f>
        <v>-5</v>
      </c>
      <c r="P169" s="37" t="str">
        <f>IF(F169&gt;0,IF(AB169="","PLANNING SUPPLY",IF(AB169&lt;=F169,"ONTIME DELIVERY","DELAY")),"")</f>
        <v>DELAY</v>
      </c>
      <c r="Q169" s="181" t="str">
        <f>IFERROR(IF(J169&gt;0,VLOOKUP(J169,#REF!,MATCH($Q$6,#REF!,0),0),""),"")</f>
        <v/>
      </c>
      <c r="R169" s="181" t="str">
        <f>IFERROR(IF(J169&gt;0,VLOOKUP(J169,#REF!,MATCH($R$6,#REF!,0),0),""),"")</f>
        <v/>
      </c>
      <c r="S169" s="181" t="e">
        <f>IF(I172&gt;0,Q169+R169,"")</f>
        <v>#VALUE!</v>
      </c>
      <c r="T169" s="181"/>
      <c r="U169" s="181"/>
      <c r="V169" s="37"/>
      <c r="W169" s="181" t="e">
        <f>IF(I172&gt;0,IF(S169&gt;L169,"READY STOCK",IF(S169=0,"OUT OF STOCK",IF(S169&lt;L169,"LOW STOCK",""))),"")</f>
        <v>#VALUE!</v>
      </c>
      <c r="X169" s="38"/>
      <c r="Y169" s="38"/>
      <c r="Z169" s="38"/>
      <c r="AA169" s="38"/>
      <c r="AB169" s="50">
        <v>46239</v>
      </c>
      <c r="AC169" s="181">
        <v>33417</v>
      </c>
      <c r="AD169" s="51">
        <v>3</v>
      </c>
      <c r="AE169" s="37" t="s">
        <v>383</v>
      </c>
      <c r="AF169" s="37" t="s">
        <v>381</v>
      </c>
      <c r="AG169" s="33" t="str">
        <f>IF(G169&gt;0,IF(AD169&gt;0,IF(AD169=0,"Waiting",IF(AD169&lt;L169,"Partial",IF(AD169=L169,"Full Supply",IF(AD169&gt;L169,"Over Shared")))),"Waiting"),"")</f>
        <v>Full Supply</v>
      </c>
      <c r="AH169" s="37"/>
      <c r="AI169" s="37"/>
      <c r="AJ169" s="181"/>
      <c r="AK169" s="40"/>
      <c r="AL169" s="40"/>
      <c r="AM169" s="40"/>
      <c r="AN169" s="37"/>
      <c r="AO169" s="34"/>
      <c r="AP169" s="37"/>
      <c r="AQ169" s="37"/>
      <c r="AR169" s="37"/>
      <c r="AS169" s="37"/>
      <c r="AT169" s="37">
        <f>AS169-AD169</f>
        <v>-3</v>
      </c>
      <c r="AU169" s="36" t="str">
        <f>IF(AR169=0,"Waiting",IF(AR169&lt;AH169,"Kurang",IF(AR169=AH169,"Sesuai",IF(AR169&gt;AH169,"Over Shared"))))</f>
        <v>Waiting</v>
      </c>
      <c r="AV169" s="37">
        <v>54611</v>
      </c>
      <c r="AW169" s="37" t="str">
        <f>IFERROR(DATEDIF(AH169,AK169,"d"),"0")&amp;"-DAY"</f>
        <v>0-DAY</v>
      </c>
      <c r="AX169" s="37" t="str">
        <f>IFERROR(DATEDIF(B169,AB169,"d"),"0")&amp;"-DAY"</f>
        <v>9-DAY</v>
      </c>
      <c r="AY169" s="37"/>
      <c r="AZ169" s="181">
        <f>L169-AD169</f>
        <v>0</v>
      </c>
    </row>
    <row r="170" spans="1:52" ht="15.5" hidden="1" customHeight="1">
      <c r="A170" s="360" t="s">
        <v>372</v>
      </c>
      <c r="B170" s="340">
        <v>46230</v>
      </c>
      <c r="C170" s="181">
        <v>48427</v>
      </c>
      <c r="D170" s="30">
        <v>46230</v>
      </c>
      <c r="E170" s="30">
        <v>46228</v>
      </c>
      <c r="F170" s="30">
        <v>46234</v>
      </c>
      <c r="G170" s="37">
        <v>4420230086</v>
      </c>
      <c r="H170" s="37" t="s">
        <v>373</v>
      </c>
      <c r="I170" s="37">
        <v>9040009397</v>
      </c>
      <c r="J170" s="37" t="s">
        <v>287</v>
      </c>
      <c r="K170" s="325" t="s">
        <v>288</v>
      </c>
      <c r="L170" s="181">
        <v>4</v>
      </c>
      <c r="M170" s="181" t="s">
        <v>421</v>
      </c>
      <c r="N170" s="37" t="s">
        <v>384</v>
      </c>
      <c r="O170" s="31">
        <f>IF(F170&gt;0,F170-AB170,"")</f>
        <v>1</v>
      </c>
      <c r="P170" s="37" t="str">
        <f>IF(F170&gt;0,IF(AB170="","PLANNING SUPPLY",IF(AB170&lt;=F170,"ONTIME DELIVERY","DELAY")),"")</f>
        <v>ONTIME DELIVERY</v>
      </c>
      <c r="Q170" s="181" t="str">
        <f>IFERROR(IF(J170&gt;0,VLOOKUP(J170,#REF!,MATCH($Q$6,#REF!,0),0),""),"")</f>
        <v/>
      </c>
      <c r="R170" s="181" t="str">
        <f>IFERROR(IF(J170&gt;0,VLOOKUP(J170,#REF!,MATCH($R$6,#REF!,0),0),""),"")</f>
        <v/>
      </c>
      <c r="S170" s="181" t="e">
        <f>IF(I173&gt;0,Q170+R170,"")</f>
        <v>#VALUE!</v>
      </c>
      <c r="T170" s="181"/>
      <c r="U170" s="181"/>
      <c r="V170" s="37"/>
      <c r="W170" s="181" t="e">
        <f>IF(I173&gt;0,IF(S170&gt;L170,"READY STOCK",IF(S170=0,"OUT OF STOCK",IF(S170&lt;L170,"LOW STOCK",""))),"")</f>
        <v>#VALUE!</v>
      </c>
      <c r="X170" s="38"/>
      <c r="Y170" s="38"/>
      <c r="Z170" s="38"/>
      <c r="AA170" s="38"/>
      <c r="AB170" s="50">
        <v>46233</v>
      </c>
      <c r="AC170" s="181">
        <v>33306</v>
      </c>
      <c r="AD170" s="51">
        <v>4</v>
      </c>
      <c r="AE170" s="37" t="s">
        <v>383</v>
      </c>
      <c r="AF170" s="37" t="s">
        <v>381</v>
      </c>
      <c r="AG170" s="33" t="str">
        <f>IF(G170&gt;0,IF(AD170&gt;0,IF(AD170=0,"Waiting",IF(AD170&lt;L170,"Partial",IF(AD170=L170,"Full Supply",IF(AD170&gt;L170,"Over Shared")))),"Waiting"),"")</f>
        <v>Full Supply</v>
      </c>
      <c r="AH170" s="156">
        <v>46239</v>
      </c>
      <c r="AI170" s="37" t="s">
        <v>770</v>
      </c>
      <c r="AJ170" s="181">
        <v>9</v>
      </c>
      <c r="AK170" s="40">
        <v>26041</v>
      </c>
      <c r="AL170" s="218">
        <v>46253</v>
      </c>
      <c r="AM170" s="40">
        <v>9</v>
      </c>
      <c r="AN170" s="37"/>
      <c r="AO170" s="48">
        <v>46255</v>
      </c>
      <c r="AP170" s="37"/>
      <c r="AQ170" s="37"/>
      <c r="AR170" s="37"/>
      <c r="AS170" s="37"/>
      <c r="AT170" s="37">
        <f>AS170-AD170</f>
        <v>-4</v>
      </c>
      <c r="AU170" s="36" t="str">
        <f>IF(AR170=0,"Waiting",IF(AR170&lt;AH170,"Kurang",IF(AR170=AH170,"Sesuai",IF(AR170&gt;AH170,"Over Shared"))))</f>
        <v>Waiting</v>
      </c>
      <c r="AV170" s="37"/>
      <c r="AW170" s="37" t="str">
        <f>IFERROR(DATEDIF(AH170,AK170,"d"),"0")&amp;"-DAY"</f>
        <v>0-DAY</v>
      </c>
      <c r="AX170" s="37" t="str">
        <f>IFERROR(DATEDIF(B170,AB170,"d"),"0")&amp;"-DAY"</f>
        <v>3-DAY</v>
      </c>
      <c r="AY170" s="37"/>
      <c r="AZ170" s="181">
        <f>L170-AD170</f>
        <v>0</v>
      </c>
    </row>
    <row r="171" spans="1:52" ht="15.5" hidden="1" customHeight="1">
      <c r="A171" s="360" t="s">
        <v>372</v>
      </c>
      <c r="B171" s="340">
        <v>46230</v>
      </c>
      <c r="C171" s="181">
        <v>48427</v>
      </c>
      <c r="D171" s="30">
        <v>46230</v>
      </c>
      <c r="E171" s="30">
        <v>46228</v>
      </c>
      <c r="F171" s="30">
        <v>46234</v>
      </c>
      <c r="G171" s="37">
        <v>4420230086</v>
      </c>
      <c r="H171" s="37" t="s">
        <v>373</v>
      </c>
      <c r="I171" s="37">
        <v>9040040923</v>
      </c>
      <c r="J171" s="37" t="s">
        <v>150</v>
      </c>
      <c r="K171" s="325" t="s">
        <v>151</v>
      </c>
      <c r="L171" s="181">
        <v>2</v>
      </c>
      <c r="M171" s="181" t="s">
        <v>375</v>
      </c>
      <c r="N171" s="37" t="s">
        <v>428</v>
      </c>
      <c r="O171" s="31">
        <f>IF(F171&gt;0,F171-AB171,"")</f>
        <v>-73</v>
      </c>
      <c r="P171" s="37" t="str">
        <f>IF(F171&gt;0,IF(AB171="","PLANNING SUPPLY",IF(AB171&lt;=F171,"ONTIME DELIVERY","DELAY")),"")</f>
        <v>DELAY</v>
      </c>
      <c r="Q171" s="181" t="str">
        <f>IFERROR(IF(J171&gt;0,VLOOKUP(J171,#REF!,MATCH($Q$6,#REF!,0),0),""),"")</f>
        <v/>
      </c>
      <c r="R171" s="181" t="str">
        <f>IFERROR(IF(J171&gt;0,VLOOKUP(J171,#REF!,MATCH($R$6,#REF!,0),0),""),"")</f>
        <v/>
      </c>
      <c r="S171" s="181" t="e">
        <f>IF(I174&gt;0,Q171+R171,"")</f>
        <v>#VALUE!</v>
      </c>
      <c r="T171" s="181"/>
      <c r="U171" s="181"/>
      <c r="V171" s="37"/>
      <c r="W171" s="181" t="e">
        <f>IF(I174&gt;0,IF(S171&gt;L171,"READY STOCK",IF(S171=0,"OUT OF STOCK",IF(S171&lt;L171,"LOW STOCK",""))),"")</f>
        <v>#VALUE!</v>
      </c>
      <c r="X171" s="38"/>
      <c r="Y171" s="38"/>
      <c r="Z171" s="38"/>
      <c r="AA171" s="38"/>
      <c r="AB171" s="50">
        <v>46307</v>
      </c>
      <c r="AC171" s="181">
        <v>34875</v>
      </c>
      <c r="AD171" s="51">
        <v>2</v>
      </c>
      <c r="AE171" s="37" t="s">
        <v>387</v>
      </c>
      <c r="AF171" s="37" t="s">
        <v>381</v>
      </c>
      <c r="AG171" s="33" t="str">
        <f>IF(G171&gt;0,IF(AD171&gt;0,IF(AD171=0,"Waiting",IF(AD171&lt;L171,"Partial",IF(AD171=L171,"Full Supply",IF(AD171&gt;L171,"Over Shared")))),"Waiting"),"")</f>
        <v>Full Supply</v>
      </c>
      <c r="AH171" s="49">
        <v>46232</v>
      </c>
      <c r="AI171" s="37" t="s">
        <v>495</v>
      </c>
      <c r="AJ171" s="181">
        <v>2</v>
      </c>
      <c r="AK171" s="40">
        <v>26495</v>
      </c>
      <c r="AL171" s="42">
        <v>46295</v>
      </c>
      <c r="AM171" s="40">
        <v>2</v>
      </c>
      <c r="AN171" s="37"/>
      <c r="AO171" s="239">
        <v>46297</v>
      </c>
      <c r="AP171" s="37"/>
      <c r="AQ171" s="37"/>
      <c r="AR171" s="37"/>
      <c r="AS171" s="37"/>
      <c r="AT171" s="37">
        <f>AS171-AD171</f>
        <v>-2</v>
      </c>
      <c r="AU171" s="36" t="str">
        <f>IF(AR171=0,"Waiting",IF(AR171&lt;AH171,"Kurang",IF(AR171=AH171,"Sesuai",IF(AR171&gt;AH171,"Over Shared"))))</f>
        <v>Waiting</v>
      </c>
      <c r="AV171" s="37"/>
      <c r="AW171" s="37" t="str">
        <f>IFERROR(DATEDIF(AH171,AK171,"d"),"0")&amp;"-DAY"</f>
        <v>0-DAY</v>
      </c>
      <c r="AX171" s="37" t="str">
        <f>IFERROR(DATEDIF(B171,AB171,"d"),"0")&amp;"-DAY"</f>
        <v>77-DAY</v>
      </c>
      <c r="AY171" s="37"/>
      <c r="AZ171" s="181">
        <f>L171-AD171</f>
        <v>0</v>
      </c>
    </row>
    <row r="172" spans="1:52" ht="15.5" hidden="1" customHeight="1">
      <c r="A172" s="360" t="s">
        <v>372</v>
      </c>
      <c r="B172" s="340">
        <v>46230</v>
      </c>
      <c r="C172" s="181">
        <v>48427</v>
      </c>
      <c r="D172" s="30">
        <v>46230</v>
      </c>
      <c r="E172" s="30">
        <v>46228</v>
      </c>
      <c r="F172" s="30">
        <v>46234</v>
      </c>
      <c r="G172" s="37">
        <v>4420230086</v>
      </c>
      <c r="H172" s="37" t="s">
        <v>373</v>
      </c>
      <c r="I172" s="37">
        <v>9040029517</v>
      </c>
      <c r="J172" s="37" t="s">
        <v>197</v>
      </c>
      <c r="K172" s="325" t="s">
        <v>198</v>
      </c>
      <c r="L172" s="181">
        <v>16</v>
      </c>
      <c r="M172" s="181" t="s">
        <v>375</v>
      </c>
      <c r="N172" s="37" t="s">
        <v>384</v>
      </c>
      <c r="O172" s="31">
        <f>IF(F172&gt;0,F172-AB172,"")</f>
        <v>-13</v>
      </c>
      <c r="P172" s="37" t="str">
        <f>IF(F172&gt;0,IF(AB172="","PLANNING SUPPLY",IF(AB172&lt;=F172,"ONTIME DELIVERY","DELAY")),"")</f>
        <v>DELAY</v>
      </c>
      <c r="Q172" s="181" t="str">
        <f>IFERROR(IF(J172&gt;0,VLOOKUP(J172,#REF!,MATCH($Q$6,#REF!,0),0),""),"")</f>
        <v/>
      </c>
      <c r="R172" s="181" t="str">
        <f>IFERROR(IF(J172&gt;0,VLOOKUP(J172,#REF!,MATCH($R$6,#REF!,0),0),""),"")</f>
        <v/>
      </c>
      <c r="S172" s="181" t="e">
        <f>IF(I175&gt;0,Q172+R172,"")</f>
        <v>#VALUE!</v>
      </c>
      <c r="T172" s="181"/>
      <c r="U172" s="181"/>
      <c r="V172" s="37"/>
      <c r="W172" s="181" t="e">
        <f>IF(I175&gt;0,IF(S172&gt;L172,"READY STOCK",IF(S172=0,"OUT OF STOCK",IF(S172&lt;L172,"LOW STOCK",""))),"")</f>
        <v>#VALUE!</v>
      </c>
      <c r="X172" s="38"/>
      <c r="Y172" s="38"/>
      <c r="Z172" s="38"/>
      <c r="AA172" s="38"/>
      <c r="AB172" s="50">
        <v>46247</v>
      </c>
      <c r="AC172" s="181">
        <v>33619</v>
      </c>
      <c r="AD172" s="51">
        <v>16</v>
      </c>
      <c r="AE172" s="37" t="s">
        <v>387</v>
      </c>
      <c r="AF172" s="37" t="s">
        <v>381</v>
      </c>
      <c r="AG172" s="33" t="str">
        <f>IF(G172&gt;0,IF(AD172&gt;0,IF(AD172=0,"Waiting",IF(AD172&lt;L172,"Partial",IF(AD172=L172,"Full Supply",IF(AD172&gt;L172,"Over Shared")))),"Waiting"),"")</f>
        <v>Full Supply</v>
      </c>
      <c r="AH172" s="37"/>
      <c r="AI172" s="37"/>
      <c r="AJ172" s="181"/>
      <c r="AK172" s="40"/>
      <c r="AL172" s="40"/>
      <c r="AM172" s="40"/>
      <c r="AN172" s="37"/>
      <c r="AO172" s="34"/>
      <c r="AP172" s="37"/>
      <c r="AQ172" s="37"/>
      <c r="AR172" s="37"/>
      <c r="AS172" s="37"/>
      <c r="AT172" s="37">
        <f>AS172-AD172</f>
        <v>-16</v>
      </c>
      <c r="AU172" s="36" t="str">
        <f>IF(AR172=0,"Waiting",IF(AR172&lt;AH172,"Kurang",IF(AR172=AH172,"Sesuai",IF(AR172&gt;AH172,"Over Shared"))))</f>
        <v>Waiting</v>
      </c>
      <c r="AV172" s="37"/>
      <c r="AW172" s="37" t="str">
        <f>IFERROR(DATEDIF(AH172,AK172,"d"),"0")&amp;"-DAY"</f>
        <v>0-DAY</v>
      </c>
      <c r="AX172" s="37" t="str">
        <f>IFERROR(DATEDIF(B172,AB172,"d"),"0")&amp;"-DAY"</f>
        <v>17-DAY</v>
      </c>
      <c r="AY172" s="37"/>
      <c r="AZ172" s="181">
        <f>L172-AD172</f>
        <v>0</v>
      </c>
    </row>
    <row r="173" spans="1:52" ht="15.5" hidden="1" customHeight="1">
      <c r="A173" s="360" t="s">
        <v>372</v>
      </c>
      <c r="B173" s="340">
        <v>46230</v>
      </c>
      <c r="C173" s="181">
        <v>48427</v>
      </c>
      <c r="D173" s="30">
        <v>46230</v>
      </c>
      <c r="E173" s="30">
        <v>46228</v>
      </c>
      <c r="F173" s="30">
        <v>46234</v>
      </c>
      <c r="G173" s="37">
        <v>4420230086</v>
      </c>
      <c r="H173" s="37" t="s">
        <v>373</v>
      </c>
      <c r="I173" s="37">
        <v>9040028877</v>
      </c>
      <c r="J173" s="37" t="s">
        <v>199</v>
      </c>
      <c r="K173" s="325" t="s">
        <v>200</v>
      </c>
      <c r="L173" s="181">
        <v>59</v>
      </c>
      <c r="M173" s="181" t="s">
        <v>375</v>
      </c>
      <c r="N173" s="37" t="s">
        <v>384</v>
      </c>
      <c r="O173" s="31">
        <f>IF(F173&gt;0,F173-AB173,"")</f>
        <v>-74</v>
      </c>
      <c r="P173" s="37" t="str">
        <f>IF(F173&gt;0,IF(AB173="","PLANNING SUPPLY",IF(AB173&lt;=F173,"ONTIME DELIVERY","DELAY")),"")</f>
        <v>DELAY</v>
      </c>
      <c r="Q173" s="181" t="str">
        <f>IFERROR(IF(J173&gt;0,VLOOKUP(J173,#REF!,MATCH($Q$6,#REF!,0),0),""),"")</f>
        <v/>
      </c>
      <c r="R173" s="181" t="str">
        <f>IFERROR(IF(J173&gt;0,VLOOKUP(J173,#REF!,MATCH($R$6,#REF!,0),0),""),"")</f>
        <v/>
      </c>
      <c r="S173" s="181" t="e">
        <f>IF(I176&gt;0,Q173+R173,"")</f>
        <v>#VALUE!</v>
      </c>
      <c r="T173" s="181"/>
      <c r="U173" s="181"/>
      <c r="V173" s="37"/>
      <c r="W173" s="181" t="e">
        <f>IF(I176&gt;0,IF(S173&gt;L173,"READY STOCK",IF(S173=0,"OUT OF STOCK",IF(S173&lt;L173,"LOW STOCK",""))),"")</f>
        <v>#VALUE!</v>
      </c>
      <c r="X173" s="38"/>
      <c r="Y173" s="38"/>
      <c r="Z173" s="38"/>
      <c r="AA173" s="38"/>
      <c r="AB173" s="50">
        <v>46308</v>
      </c>
      <c r="AC173" s="181" t="s">
        <v>903</v>
      </c>
      <c r="AD173" s="51">
        <f>24+35</f>
        <v>59</v>
      </c>
      <c r="AE173" s="37" t="s">
        <v>471</v>
      </c>
      <c r="AF173" s="37" t="s">
        <v>381</v>
      </c>
      <c r="AG173" s="33" t="str">
        <f>IF(G173&gt;0,IF(AD173&gt;0,IF(AD173=0,"Waiting",IF(AD173&lt;L173,"Partial",IF(AD173=L173,"Full Supply",IF(AD173&gt;L173,"Over Shared")))),"Waiting"),"")</f>
        <v>Full Supply</v>
      </c>
      <c r="AH173" s="37"/>
      <c r="AI173" s="37"/>
      <c r="AJ173" s="181"/>
      <c r="AK173" s="40"/>
      <c r="AL173" s="40"/>
      <c r="AM173" s="40"/>
      <c r="AN173" s="37"/>
      <c r="AO173" s="34"/>
      <c r="AP173" s="37"/>
      <c r="AQ173" s="37"/>
      <c r="AR173" s="37"/>
      <c r="AS173" s="37"/>
      <c r="AT173" s="37">
        <f>AS173-AD173</f>
        <v>-59</v>
      </c>
      <c r="AU173" s="36" t="str">
        <f>IF(AR173=0,"Waiting",IF(AR173&lt;AH173,"Kurang",IF(AR173=AH173,"Sesuai",IF(AR173&gt;AH173,"Over Shared"))))</f>
        <v>Waiting</v>
      </c>
      <c r="AV173" s="37">
        <v>54611</v>
      </c>
      <c r="AW173" s="37" t="str">
        <f>IFERROR(DATEDIF(AH173,AK173,"d"),"0")&amp;"-DAY"</f>
        <v>0-DAY</v>
      </c>
      <c r="AX173" s="37" t="str">
        <f>IFERROR(DATEDIF(B173,AB173,"d"),"0")&amp;"-DAY"</f>
        <v>78-DAY</v>
      </c>
      <c r="AY173" s="37"/>
      <c r="AZ173" s="181">
        <f>L173-AD173</f>
        <v>0</v>
      </c>
    </row>
    <row r="174" spans="1:52" ht="15.5" hidden="1" customHeight="1">
      <c r="A174" s="360" t="s">
        <v>372</v>
      </c>
      <c r="B174" s="340">
        <v>46233</v>
      </c>
      <c r="C174" s="181">
        <v>48660</v>
      </c>
      <c r="D174" s="30">
        <v>46233</v>
      </c>
      <c r="E174" s="30">
        <v>46227</v>
      </c>
      <c r="F174" s="30">
        <v>46258</v>
      </c>
      <c r="G174" s="37">
        <v>4420230051</v>
      </c>
      <c r="H174" s="37" t="s">
        <v>373</v>
      </c>
      <c r="I174" s="37">
        <v>9040009391</v>
      </c>
      <c r="J174" s="37" t="s">
        <v>293</v>
      </c>
      <c r="K174" s="325" t="s">
        <v>294</v>
      </c>
      <c r="L174" s="181">
        <v>50</v>
      </c>
      <c r="M174" s="181" t="s">
        <v>375</v>
      </c>
      <c r="N174" s="37" t="s">
        <v>376</v>
      </c>
      <c r="O174" s="31">
        <f>IF(F174&gt;0,F174-AB174,"")</f>
        <v>5</v>
      </c>
      <c r="P174" s="37" t="str">
        <f>IF(F174&gt;0,IF(AB174="","PLANNING SUPPLY",IF(AB174&lt;=F174,"ONTIME DELIVERY","DELAY")),"")</f>
        <v>ONTIME DELIVERY</v>
      </c>
      <c r="Q174" s="181" t="str">
        <f>IFERROR(IF(J174&gt;0,VLOOKUP(J174,#REF!,MATCH($Q$6,#REF!,0),0),""),"")</f>
        <v/>
      </c>
      <c r="R174" s="181" t="str">
        <f>IFERROR(IF(J174&gt;0,VLOOKUP(J174,#REF!,MATCH($R$6,#REF!,0),0),""),"")</f>
        <v/>
      </c>
      <c r="S174" s="181" t="e">
        <f>IF(I177&gt;0,Q174+R174,"")</f>
        <v>#VALUE!</v>
      </c>
      <c r="T174" s="181"/>
      <c r="U174" s="181"/>
      <c r="V174" s="37"/>
      <c r="W174" s="181" t="e">
        <f>IF(I177&gt;0,IF(S174&gt;L174,"READY STOCK",IF(S174=0,"OUT OF STOCK",IF(S174&lt;L174,"LOW STOCK",""))),"")</f>
        <v>#VALUE!</v>
      </c>
      <c r="X174" s="38"/>
      <c r="Y174" s="38"/>
      <c r="Z174" s="38"/>
      <c r="AA174" s="38"/>
      <c r="AB174" s="50">
        <v>46253</v>
      </c>
      <c r="AC174" s="181">
        <v>33761</v>
      </c>
      <c r="AD174" s="51">
        <v>50</v>
      </c>
      <c r="AE174" s="37" t="s">
        <v>383</v>
      </c>
      <c r="AF174" s="37" t="s">
        <v>381</v>
      </c>
      <c r="AG174" s="33" t="str">
        <f>IF(G174&gt;0,IF(AD174&gt;0,IF(AD174=0,"Waiting",IF(AD174&lt;L174,"Partial",IF(AD174=L174,"Full Supply",IF(AD174&gt;L174,"Over Shared")))),"Waiting"),"")</f>
        <v>Full Supply</v>
      </c>
      <c r="AH174" s="156">
        <v>46239</v>
      </c>
      <c r="AI174" s="37" t="s">
        <v>770</v>
      </c>
      <c r="AJ174" s="181">
        <v>61</v>
      </c>
      <c r="AK174" s="40">
        <v>25943</v>
      </c>
      <c r="AL174" s="218">
        <v>46246</v>
      </c>
      <c r="AM174" s="40">
        <v>61</v>
      </c>
      <c r="AN174" s="37"/>
      <c r="AO174" s="48">
        <v>46253</v>
      </c>
      <c r="AP174" s="37"/>
      <c r="AQ174" s="37"/>
      <c r="AR174" s="37"/>
      <c r="AS174" s="37"/>
      <c r="AT174" s="37">
        <f>AS174-AD174</f>
        <v>-50</v>
      </c>
      <c r="AU174" s="36" t="str">
        <f>IF(AR174=0,"Waiting",IF(AR174&lt;AH174,"Kurang",IF(AR174=AH174,"Sesuai",IF(AR174&gt;AH174,"Over Shared"))))</f>
        <v>Waiting</v>
      </c>
      <c r="AV174" s="37"/>
      <c r="AW174" s="37" t="str">
        <f>IFERROR(DATEDIF(AH174,AK174,"d"),"0")&amp;"-DAY"</f>
        <v>0-DAY</v>
      </c>
      <c r="AX174" s="37" t="str">
        <f>IFERROR(DATEDIF(B174,AB174,"d"),"0")&amp;"-DAY"</f>
        <v>20-DAY</v>
      </c>
      <c r="AY174" s="37"/>
      <c r="AZ174" s="181">
        <f>L174-AD174</f>
        <v>0</v>
      </c>
    </row>
    <row r="175" spans="1:52" ht="15.5" hidden="1" customHeight="1">
      <c r="A175" s="360" t="s">
        <v>372</v>
      </c>
      <c r="B175" s="340">
        <v>46233</v>
      </c>
      <c r="C175" s="181">
        <v>48660</v>
      </c>
      <c r="D175" s="30">
        <v>46233</v>
      </c>
      <c r="E175" s="30">
        <v>46227</v>
      </c>
      <c r="F175" s="30">
        <v>46258</v>
      </c>
      <c r="G175" s="37">
        <v>4420230051</v>
      </c>
      <c r="H175" s="37" t="s">
        <v>373</v>
      </c>
      <c r="I175" s="37">
        <v>9040020554</v>
      </c>
      <c r="J175" s="37" t="s">
        <v>297</v>
      </c>
      <c r="K175" s="325" t="s">
        <v>298</v>
      </c>
      <c r="L175" s="181">
        <v>50</v>
      </c>
      <c r="M175" s="181" t="s">
        <v>375</v>
      </c>
      <c r="N175" s="37" t="s">
        <v>376</v>
      </c>
      <c r="O175" s="31">
        <f>IF(F175&gt;0,F175-AB175,"")</f>
        <v>46258</v>
      </c>
      <c r="P175" s="37" t="str">
        <f>IF(F175&gt;0,IF(AB175="","PLANNING SUPPLY",IF(AB175&lt;=F175,"ONTIME DELIVERY","DELAY")),"")</f>
        <v>PLANNING SUPPLY</v>
      </c>
      <c r="Q175" s="181" t="str">
        <f>IFERROR(IF(J175&gt;0,VLOOKUP(J175,#REF!,MATCH($Q$6,#REF!,0),0),""),"")</f>
        <v/>
      </c>
      <c r="R175" s="181" t="str">
        <f>IFERROR(IF(J175&gt;0,VLOOKUP(J175,#REF!,MATCH($R$6,#REF!,0),0),""),"")</f>
        <v/>
      </c>
      <c r="S175" s="181" t="e">
        <f>IF(I178&gt;0,Q175+R175,"")</f>
        <v>#VALUE!</v>
      </c>
      <c r="T175" s="181"/>
      <c r="U175" s="181"/>
      <c r="V175" s="37"/>
      <c r="W175" s="181" t="e">
        <f>IF(I178&gt;0,IF(S175&gt;L175,"READY STOCK",IF(S175=0,"OUT OF STOCK",IF(S175&lt;L175,"LOW STOCK",""))),"")</f>
        <v>#VALUE!</v>
      </c>
      <c r="X175" s="38"/>
      <c r="Y175" s="38"/>
      <c r="Z175" s="38"/>
      <c r="AA175" s="38"/>
      <c r="AB175" s="50"/>
      <c r="AC175" s="181"/>
      <c r="AD175" s="51"/>
      <c r="AE175" s="37"/>
      <c r="AF175" s="37"/>
      <c r="AG175" s="33" t="str">
        <f>IF(G175&gt;0,IF(AD175&gt;0,IF(AD175=0,"Waiting",IF(AD175&lt;L175,"Partial",IF(AD175=L175,"Full Supply",IF(AD175&gt;L175,"Over Shared")))),"Waiting"),"")</f>
        <v>Waiting</v>
      </c>
      <c r="AH175" s="56">
        <v>46247</v>
      </c>
      <c r="AI175" s="37" t="s">
        <v>646</v>
      </c>
      <c r="AJ175" s="181">
        <v>100</v>
      </c>
      <c r="AK175" s="40"/>
      <c r="AL175" s="40"/>
      <c r="AM175" s="40"/>
      <c r="AN175" s="216"/>
      <c r="AO175" s="239"/>
      <c r="AP175" s="37"/>
      <c r="AQ175" s="37"/>
      <c r="AR175" s="37"/>
      <c r="AS175" s="37"/>
      <c r="AT175" s="37">
        <f>AS175-AD175</f>
        <v>0</v>
      </c>
      <c r="AU175" s="36" t="str">
        <f>IF(AR175=0,"Waiting",IF(AR175&lt;AH175,"Kurang",IF(AR175=AH175,"Sesuai",IF(AR175&gt;AH175,"Over Shared"))))</f>
        <v>Waiting</v>
      </c>
      <c r="AV175" s="37"/>
      <c r="AW175" s="37" t="str">
        <f>IFERROR(DATEDIF(AH175,AK175,"d"),"0")&amp;"-DAY"</f>
        <v>0-DAY</v>
      </c>
      <c r="AX175" s="37" t="str">
        <f>IFERROR(DATEDIF(B175,AB175,"d"),"0")&amp;"-DAY"</f>
        <v>0-DAY</v>
      </c>
      <c r="AY175" s="37"/>
      <c r="AZ175" s="181">
        <f>L175-AD175</f>
        <v>50</v>
      </c>
    </row>
    <row r="176" spans="1:52" ht="15.5" hidden="1" customHeight="1">
      <c r="A176" s="360" t="s">
        <v>372</v>
      </c>
      <c r="B176" s="340">
        <v>46233</v>
      </c>
      <c r="C176" s="181">
        <v>48660</v>
      </c>
      <c r="D176" s="30">
        <v>46233</v>
      </c>
      <c r="E176" s="30">
        <v>46227</v>
      </c>
      <c r="F176" s="30">
        <v>46258</v>
      </c>
      <c r="G176" s="37">
        <v>4420230051</v>
      </c>
      <c r="H176" s="37" t="s">
        <v>373</v>
      </c>
      <c r="I176" s="37">
        <v>9040040933</v>
      </c>
      <c r="J176" s="37" t="s">
        <v>295</v>
      </c>
      <c r="K176" s="325" t="s">
        <v>296</v>
      </c>
      <c r="L176" s="181">
        <v>50</v>
      </c>
      <c r="M176" s="181" t="s">
        <v>375</v>
      </c>
      <c r="N176" s="37" t="s">
        <v>376</v>
      </c>
      <c r="O176" s="31">
        <f>IF(F176&gt;0,F176-AB176,"")</f>
        <v>-49</v>
      </c>
      <c r="P176" s="37" t="str">
        <f>IF(F176&gt;0,IF(AB176="","PLANNING SUPPLY",IF(AB176&lt;=F176,"ONTIME DELIVERY","DELAY")),"")</f>
        <v>DELAY</v>
      </c>
      <c r="Q176" s="181" t="str">
        <f>IFERROR(IF(J176&gt;0,VLOOKUP(J176,#REF!,MATCH($Q$6,#REF!,0),0),""),"")</f>
        <v/>
      </c>
      <c r="R176" s="181" t="str">
        <f>IFERROR(IF(J176&gt;0,VLOOKUP(J176,#REF!,MATCH($R$6,#REF!,0),0),""),"")</f>
        <v/>
      </c>
      <c r="S176" s="181" t="e">
        <f>IF(I179&gt;0,Q176+R176,"")</f>
        <v>#VALUE!</v>
      </c>
      <c r="T176" s="181"/>
      <c r="U176" s="181"/>
      <c r="V176" s="37"/>
      <c r="W176" s="181" t="e">
        <f>IF(I179&gt;0,IF(S176&gt;L176,"READY STOCK",IF(S176=0,"OUT OF STOCK",IF(S176&lt;L176,"LOW STOCK",""))),"")</f>
        <v>#VALUE!</v>
      </c>
      <c r="X176" s="38"/>
      <c r="Y176" s="38"/>
      <c r="Z176" s="38"/>
      <c r="AA176" s="38"/>
      <c r="AB176" s="50">
        <v>46307</v>
      </c>
      <c r="AC176" s="181">
        <v>34957</v>
      </c>
      <c r="AD176" s="51">
        <v>10</v>
      </c>
      <c r="AE176" s="37" t="s">
        <v>387</v>
      </c>
      <c r="AF176" s="37" t="s">
        <v>381</v>
      </c>
      <c r="AG176" s="33" t="str">
        <f>IF(G176&gt;0,IF(AD176&gt;0,IF(AD176=0,"Waiting",IF(AD176&lt;L176,"Partial",IF(AD176=L176,"Full Supply",IF(AD176&gt;L176,"Over Shared")))),"Waiting"),"")</f>
        <v>Partial</v>
      </c>
      <c r="AH176" s="56"/>
      <c r="AI176" s="37"/>
      <c r="AJ176" s="181"/>
      <c r="AK176" s="40"/>
      <c r="AL176" s="40"/>
      <c r="AM176" s="40"/>
      <c r="AN176" s="39" t="s">
        <v>469</v>
      </c>
      <c r="AO176" s="34"/>
      <c r="AP176" s="37"/>
      <c r="AQ176" s="37"/>
      <c r="AR176" s="37"/>
      <c r="AS176" s="37"/>
      <c r="AT176" s="37">
        <f>AS176-AD176</f>
        <v>-10</v>
      </c>
      <c r="AU176" s="36" t="str">
        <f>IF(AR176=0,"Waiting",IF(AR176&lt;AH176,"Kurang",IF(AR176=AH176,"Sesuai",IF(AR176&gt;AH176,"Over Shared"))))</f>
        <v>Waiting</v>
      </c>
      <c r="AV176" s="37"/>
      <c r="AW176" s="37" t="str">
        <f>IFERROR(DATEDIF(AH176,AK176,"d"),"0")&amp;"-DAY"</f>
        <v>0-DAY</v>
      </c>
      <c r="AX176" s="37" t="str">
        <f>IFERROR(DATEDIF(B176,AB176,"d"),"0")&amp;"-DAY"</f>
        <v>74-DAY</v>
      </c>
      <c r="AY176" s="37"/>
      <c r="AZ176" s="181">
        <f>L176-AD176</f>
        <v>40</v>
      </c>
    </row>
    <row r="177" spans="1:52" ht="15.5" hidden="1" customHeight="1">
      <c r="A177" s="360" t="s">
        <v>372</v>
      </c>
      <c r="B177" s="340">
        <v>46233</v>
      </c>
      <c r="C177" s="181">
        <v>48662</v>
      </c>
      <c r="D177" s="30">
        <v>46233</v>
      </c>
      <c r="E177" s="30">
        <v>46231</v>
      </c>
      <c r="F177" s="30">
        <v>46254</v>
      </c>
      <c r="G177" s="37">
        <v>4420230218</v>
      </c>
      <c r="H177" s="37" t="s">
        <v>373</v>
      </c>
      <c r="I177" s="37">
        <v>9040009391</v>
      </c>
      <c r="J177" s="37" t="s">
        <v>293</v>
      </c>
      <c r="K177" s="325" t="s">
        <v>294</v>
      </c>
      <c r="L177" s="181">
        <v>1</v>
      </c>
      <c r="M177" s="181" t="s">
        <v>375</v>
      </c>
      <c r="N177" s="37" t="s">
        <v>434</v>
      </c>
      <c r="O177" s="31">
        <f>IF(F177&gt;0,F177-AB177,"")</f>
        <v>13</v>
      </c>
      <c r="P177" s="37" t="str">
        <f>IF(F177&gt;0,IF(AB177="","PLANNING SUPPLY",IF(AB177&lt;=F177,"ONTIME DELIVERY","DELAY")),"")</f>
        <v>ONTIME DELIVERY</v>
      </c>
      <c r="Q177" s="181" t="str">
        <f>IFERROR(IF(J177&gt;0,VLOOKUP(J177,#REF!,MATCH($Q$6,#REF!,0),0),""),"")</f>
        <v/>
      </c>
      <c r="R177" s="181" t="str">
        <f>IFERROR(IF(J177&gt;0,VLOOKUP(J177,#REF!,MATCH($R$6,#REF!,0),0),""),"")</f>
        <v/>
      </c>
      <c r="S177" s="181" t="e">
        <f>IF(I180&gt;0,Q177+R177,"")</f>
        <v>#VALUE!</v>
      </c>
      <c r="T177" s="181"/>
      <c r="U177" s="181"/>
      <c r="V177" s="37"/>
      <c r="W177" s="181" t="e">
        <f>IF(I180&gt;0,IF(S177&gt;L177,"READY STOCK",IF(S177=0,"OUT OF STOCK",IF(S177&lt;L177,"LOW STOCK",""))),"")</f>
        <v>#VALUE!</v>
      </c>
      <c r="X177" s="38"/>
      <c r="Y177" s="38"/>
      <c r="Z177" s="38"/>
      <c r="AA177" s="38"/>
      <c r="AB177" s="50">
        <v>46241</v>
      </c>
      <c r="AC177" s="181">
        <v>33845</v>
      </c>
      <c r="AD177" s="51">
        <v>1</v>
      </c>
      <c r="AE177" s="37" t="s">
        <v>387</v>
      </c>
      <c r="AF177" s="37" t="s">
        <v>381</v>
      </c>
      <c r="AG177" s="33" t="str">
        <f>IF(G177&gt;0,IF(AD177&gt;0,IF(AD177=0,"Waiting",IF(AD177&lt;L177,"Partial",IF(AD177=L177,"Full Supply",IF(AD177&gt;L177,"Over Shared")))),"Waiting"),"")</f>
        <v>Full Supply</v>
      </c>
      <c r="AH177" s="156">
        <v>46239</v>
      </c>
      <c r="AI177" s="37" t="s">
        <v>770</v>
      </c>
      <c r="AJ177" s="181">
        <v>61</v>
      </c>
      <c r="AK177" s="40">
        <v>25943</v>
      </c>
      <c r="AL177" s="218">
        <v>46246</v>
      </c>
      <c r="AM177" s="40">
        <v>61</v>
      </c>
      <c r="AN177" s="37"/>
      <c r="AO177" s="48">
        <v>46253</v>
      </c>
      <c r="AP177" s="37"/>
      <c r="AQ177" s="37"/>
      <c r="AR177" s="37"/>
      <c r="AS177" s="37"/>
      <c r="AT177" s="37">
        <f>AS177-AD177</f>
        <v>-1</v>
      </c>
      <c r="AU177" s="36" t="str">
        <f>IF(AR177=0,"Waiting",IF(AR177&lt;AH177,"Kurang",IF(AR177=AH177,"Sesuai",IF(AR177&gt;AH177,"Over Shared"))))</f>
        <v>Waiting</v>
      </c>
      <c r="AV177" s="37"/>
      <c r="AW177" s="37" t="str">
        <f>IFERROR(DATEDIF(AH177,AK177,"d"),"0")&amp;"-DAY"</f>
        <v>0-DAY</v>
      </c>
      <c r="AX177" s="37" t="str">
        <f>IFERROR(DATEDIF(B177,AB177,"d"),"0")&amp;"-DAY"</f>
        <v>8-DAY</v>
      </c>
      <c r="AY177" s="37"/>
      <c r="AZ177" s="181">
        <f>L177-AD177</f>
        <v>0</v>
      </c>
    </row>
    <row r="178" spans="1:52" ht="15.5" hidden="1" customHeight="1">
      <c r="A178" s="360" t="s">
        <v>372</v>
      </c>
      <c r="B178" s="340">
        <v>46233</v>
      </c>
      <c r="C178" s="181">
        <v>48662</v>
      </c>
      <c r="D178" s="30">
        <v>46233</v>
      </c>
      <c r="E178" s="30">
        <v>46231</v>
      </c>
      <c r="F178" s="30">
        <v>46254</v>
      </c>
      <c r="G178" s="37">
        <v>4420230218</v>
      </c>
      <c r="H178" s="37" t="s">
        <v>373</v>
      </c>
      <c r="I178" s="37">
        <v>9040041385</v>
      </c>
      <c r="J178" s="37" t="s">
        <v>6</v>
      </c>
      <c r="K178" s="325" t="s">
        <v>7</v>
      </c>
      <c r="L178" s="181">
        <v>10</v>
      </c>
      <c r="M178" s="181" t="s">
        <v>375</v>
      </c>
      <c r="N178" s="37" t="s">
        <v>434</v>
      </c>
      <c r="O178" s="31">
        <f>IF(F178&gt;0,F178-AB178,"")</f>
        <v>-41</v>
      </c>
      <c r="P178" s="37" t="str">
        <f>IF(F178&gt;0,IF(AB178="","PLANNING SUPPLY",IF(AB178&lt;=F178,"ONTIME DELIVERY","DELAY")),"")</f>
        <v>DELAY</v>
      </c>
      <c r="Q178" s="181" t="str">
        <f>IFERROR(IF(J178&gt;0,VLOOKUP(J178,#REF!,MATCH($Q$6,#REF!,0),0),""),"")</f>
        <v/>
      </c>
      <c r="R178" s="181" t="str">
        <f>IFERROR(IF(J178&gt;0,VLOOKUP(J178,#REF!,MATCH($R$6,#REF!,0),0),""),"")</f>
        <v/>
      </c>
      <c r="S178" s="181" t="e">
        <f>IF(I181&gt;0,Q178+R178,"")</f>
        <v>#VALUE!</v>
      </c>
      <c r="T178" s="181"/>
      <c r="U178" s="181"/>
      <c r="V178" s="37"/>
      <c r="W178" s="181" t="e">
        <f>IF(I181&gt;0,IF(S178&gt;L178,"READY STOCK",IF(S178=0,"OUT OF STOCK",IF(S178&lt;L178,"LOW STOCK",""))),"")</f>
        <v>#VALUE!</v>
      </c>
      <c r="X178" s="38"/>
      <c r="Y178" s="38"/>
      <c r="Z178" s="38"/>
      <c r="AA178" s="38"/>
      <c r="AB178" s="50">
        <v>46295</v>
      </c>
      <c r="AC178" s="181">
        <v>34669</v>
      </c>
      <c r="AD178" s="51">
        <v>10</v>
      </c>
      <c r="AE178" s="37" t="s">
        <v>387</v>
      </c>
      <c r="AF178" s="37" t="s">
        <v>381</v>
      </c>
      <c r="AG178" s="33" t="str">
        <f>IF(G178&gt;0,IF(AD178&gt;0,IF(AD178=0,"Waiting",IF(AD178&lt;L178,"Partial",IF(AD178=L178,"Full Supply",IF(AD178&gt;L178,"Over Shared")))),"Waiting"),"")</f>
        <v>Full Supply</v>
      </c>
      <c r="AH178" s="56">
        <v>46290</v>
      </c>
      <c r="AI178" s="37" t="s">
        <v>922</v>
      </c>
      <c r="AJ178" s="181">
        <v>10</v>
      </c>
      <c r="AK178" s="40">
        <v>26433</v>
      </c>
      <c r="AL178" s="42">
        <v>46290</v>
      </c>
      <c r="AM178" s="40">
        <v>10</v>
      </c>
      <c r="AN178" s="37"/>
      <c r="AO178" s="41">
        <v>46290</v>
      </c>
      <c r="AP178" s="37"/>
      <c r="AQ178" s="37"/>
      <c r="AR178" s="37"/>
      <c r="AS178" s="37"/>
      <c r="AT178" s="37">
        <f>AS178-AD178</f>
        <v>-10</v>
      </c>
      <c r="AU178" s="36" t="str">
        <f>IF(AR178=0,"Waiting",IF(AR178&lt;AH178,"Kurang",IF(AR178=AH178,"Sesuai",IF(AR178&gt;AH178,"Over Shared"))))</f>
        <v>Waiting</v>
      </c>
      <c r="AV178" s="37"/>
      <c r="AW178" s="37" t="str">
        <f>IFERROR(DATEDIF(AH178,AK178,"d"),"0")&amp;"-DAY"</f>
        <v>0-DAY</v>
      </c>
      <c r="AX178" s="37" t="str">
        <f>IFERROR(DATEDIF(B178,AB178,"d"),"0")&amp;"-DAY"</f>
        <v>62-DAY</v>
      </c>
      <c r="AY178" s="37"/>
      <c r="AZ178" s="181">
        <f>L178-AD178</f>
        <v>0</v>
      </c>
    </row>
    <row r="179" spans="1:52" ht="15.5" hidden="1" customHeight="1">
      <c r="A179" s="360" t="s">
        <v>372</v>
      </c>
      <c r="B179" s="340">
        <v>46233</v>
      </c>
      <c r="C179" s="181">
        <v>48662</v>
      </c>
      <c r="D179" s="30">
        <v>46233</v>
      </c>
      <c r="E179" s="30">
        <v>46231</v>
      </c>
      <c r="F179" s="30">
        <v>46254</v>
      </c>
      <c r="G179" s="37">
        <v>4420230218</v>
      </c>
      <c r="H179" s="37" t="s">
        <v>373</v>
      </c>
      <c r="I179" s="37">
        <v>9040044317</v>
      </c>
      <c r="J179" s="37" t="s">
        <v>143</v>
      </c>
      <c r="K179" s="325" t="s">
        <v>144</v>
      </c>
      <c r="L179" s="181">
        <v>1</v>
      </c>
      <c r="M179" s="181" t="s">
        <v>375</v>
      </c>
      <c r="N179" s="37" t="s">
        <v>434</v>
      </c>
      <c r="O179" s="31">
        <f>IF(F179&gt;0,F179-AB179,"")</f>
        <v>-18</v>
      </c>
      <c r="P179" s="37" t="str">
        <f>IF(F179&gt;0,IF(AB179="","PLANNING SUPPLY",IF(AB179&lt;=F179,"ONTIME DELIVERY","DELAY")),"")</f>
        <v>DELAY</v>
      </c>
      <c r="Q179" s="181" t="str">
        <f>IFERROR(IF(J179&gt;0,VLOOKUP(J179,#REF!,MATCH($Q$6,#REF!,0),0),""),"")</f>
        <v/>
      </c>
      <c r="R179" s="181" t="str">
        <f>IFERROR(IF(J179&gt;0,VLOOKUP(J179,#REF!,MATCH($R$6,#REF!,0),0),""),"")</f>
        <v/>
      </c>
      <c r="S179" s="181" t="e">
        <f>IF(I182&gt;0,Q179+R179,"")</f>
        <v>#VALUE!</v>
      </c>
      <c r="T179" s="181"/>
      <c r="U179" s="181"/>
      <c r="V179" s="37"/>
      <c r="W179" s="181" t="e">
        <f>IF(I182&gt;0,IF(S179&gt;L179,"READY STOCK",IF(S179=0,"OUT OF STOCK",IF(S179&lt;L179,"LOW STOCK",""))),"")</f>
        <v>#VALUE!</v>
      </c>
      <c r="X179" s="38"/>
      <c r="Y179" s="38"/>
      <c r="Z179" s="38"/>
      <c r="AA179" s="38"/>
      <c r="AB179" s="50">
        <v>46272</v>
      </c>
      <c r="AC179" s="181">
        <v>34088</v>
      </c>
      <c r="AD179" s="51">
        <v>1</v>
      </c>
      <c r="AE179" s="37" t="s">
        <v>383</v>
      </c>
      <c r="AF179" s="37" t="s">
        <v>381</v>
      </c>
      <c r="AG179" s="33" t="str">
        <f>IF(G179&gt;0,IF(AD179&gt;0,IF(AD179=0,"Waiting",IF(AD179&lt;L179,"Partial",IF(AD179=L179,"Full Supply",IF(AD179&gt;L179,"Over Shared")))),"Waiting"),"")</f>
        <v>Full Supply</v>
      </c>
      <c r="AH179" s="56">
        <v>46247</v>
      </c>
      <c r="AI179" s="37" t="s">
        <v>646</v>
      </c>
      <c r="AJ179" s="181">
        <v>1</v>
      </c>
      <c r="AK179" s="40">
        <v>26068</v>
      </c>
      <c r="AL179" s="218">
        <v>46255</v>
      </c>
      <c r="AM179" s="40">
        <v>1</v>
      </c>
      <c r="AN179" s="37"/>
      <c r="AO179" s="241">
        <v>46283</v>
      </c>
      <c r="AP179" s="37"/>
      <c r="AQ179" s="37"/>
      <c r="AR179" s="37"/>
      <c r="AS179" s="37"/>
      <c r="AT179" s="37">
        <f>AS179-AD179</f>
        <v>-1</v>
      </c>
      <c r="AU179" s="36" t="str">
        <f>IF(AR179=0,"Waiting",IF(AR179&lt;AH179,"Kurang",IF(AR179=AH179,"Sesuai",IF(AR179&gt;AH179,"Over Shared"))))</f>
        <v>Waiting</v>
      </c>
      <c r="AV179" s="37"/>
      <c r="AW179" s="37" t="str">
        <f>IFERROR(DATEDIF(AH179,AK179,"d"),"0")&amp;"-DAY"</f>
        <v>0-DAY</v>
      </c>
      <c r="AX179" s="37" t="str">
        <f>IFERROR(DATEDIF(B179,AB179,"d"),"0")&amp;"-DAY"</f>
        <v>39-DAY</v>
      </c>
      <c r="AY179" s="37"/>
      <c r="AZ179" s="181">
        <f>L179-AD179</f>
        <v>0</v>
      </c>
    </row>
    <row r="180" spans="1:52" ht="15.5" hidden="1" customHeight="1">
      <c r="A180" s="360" t="s">
        <v>372</v>
      </c>
      <c r="B180" s="340">
        <v>46233</v>
      </c>
      <c r="C180" s="181">
        <v>48662</v>
      </c>
      <c r="D180" s="30">
        <v>46233</v>
      </c>
      <c r="E180" s="30">
        <v>46231</v>
      </c>
      <c r="F180" s="30">
        <v>46254</v>
      </c>
      <c r="G180" s="37">
        <v>4420230218</v>
      </c>
      <c r="H180" s="37" t="s">
        <v>373</v>
      </c>
      <c r="I180" s="37">
        <v>9040028877</v>
      </c>
      <c r="J180" s="37" t="s">
        <v>199</v>
      </c>
      <c r="K180" s="325" t="s">
        <v>200</v>
      </c>
      <c r="L180" s="181">
        <v>38</v>
      </c>
      <c r="M180" s="181" t="s">
        <v>375</v>
      </c>
      <c r="N180" s="37" t="s">
        <v>434</v>
      </c>
      <c r="O180" s="31">
        <f>IF(F180&gt;0,F180-AB180,"")</f>
        <v>7</v>
      </c>
      <c r="P180" s="37" t="str">
        <f>IF(F180&gt;0,IF(AB180="","PLANNING SUPPLY",IF(AB180&lt;=F180,"ONTIME DELIVERY","DELAY")),"")</f>
        <v>ONTIME DELIVERY</v>
      </c>
      <c r="Q180" s="181" t="str">
        <f>IFERROR(IF(J180&gt;0,VLOOKUP(J180,#REF!,MATCH($Q$6,#REF!,0),0),""),"")</f>
        <v/>
      </c>
      <c r="R180" s="181" t="str">
        <f>IFERROR(IF(J180&gt;0,VLOOKUP(J180,#REF!,MATCH($R$6,#REF!,0),0),""),"")</f>
        <v/>
      </c>
      <c r="S180" s="181" t="e">
        <f>IF(I183&gt;0,Q180+R180,"")</f>
        <v>#VALUE!</v>
      </c>
      <c r="T180" s="181"/>
      <c r="U180" s="181"/>
      <c r="V180" s="37"/>
      <c r="W180" s="181" t="e">
        <f>IF(I183&gt;0,IF(S180&gt;L180,"READY STOCK",IF(S180=0,"OUT OF STOCK",IF(S180&lt;L180,"LOW STOCK",""))),"")</f>
        <v>#VALUE!</v>
      </c>
      <c r="X180" s="38"/>
      <c r="Y180" s="38"/>
      <c r="Z180" s="38"/>
      <c r="AA180" s="38"/>
      <c r="AB180" s="50">
        <v>46247</v>
      </c>
      <c r="AC180" s="181">
        <v>33631</v>
      </c>
      <c r="AD180" s="51">
        <v>38</v>
      </c>
      <c r="AE180" s="37" t="s">
        <v>387</v>
      </c>
      <c r="AF180" s="37" t="s">
        <v>381</v>
      </c>
      <c r="AG180" s="33" t="str">
        <f>IF(G180&gt;0,IF(AD180&gt;0,IF(AD180=0,"Waiting",IF(AD180&lt;L180,"Partial",IF(AD180=L180,"Full Supply",IF(AD180&gt;L180,"Over Shared")))),"Waiting"),"")</f>
        <v>Full Supply</v>
      </c>
      <c r="AH180" s="37"/>
      <c r="AI180" s="37"/>
      <c r="AJ180" s="181"/>
      <c r="AK180" s="40"/>
      <c r="AL180" s="40"/>
      <c r="AM180" s="40"/>
      <c r="AN180" s="37"/>
      <c r="AO180" s="34"/>
      <c r="AP180" s="37"/>
      <c r="AQ180" s="37"/>
      <c r="AR180" s="37"/>
      <c r="AS180" s="37"/>
      <c r="AT180" s="37">
        <f>AS180-AD180</f>
        <v>-38</v>
      </c>
      <c r="AU180" s="36" t="str">
        <f>IF(AR180=0,"Waiting",IF(AR180&lt;AH180,"Kurang",IF(AR180=AH180,"Sesuai",IF(AR180&gt;AH180,"Over Shared"))))</f>
        <v>Waiting</v>
      </c>
      <c r="AV180" s="37"/>
      <c r="AW180" s="37" t="str">
        <f>IFERROR(DATEDIF(AH180,AK180,"d"),"0")&amp;"-DAY"</f>
        <v>0-DAY</v>
      </c>
      <c r="AX180" s="37" t="str">
        <f>IFERROR(DATEDIF(B180,AB180,"d"),"0")&amp;"-DAY"</f>
        <v>14-DAY</v>
      </c>
      <c r="AY180" s="37"/>
      <c r="AZ180" s="181">
        <f>L180-AD180</f>
        <v>0</v>
      </c>
    </row>
    <row r="181" spans="1:52" ht="15.5" hidden="1" customHeight="1">
      <c r="A181" s="360" t="s">
        <v>372</v>
      </c>
      <c r="B181" s="340">
        <v>46233</v>
      </c>
      <c r="C181" s="181">
        <v>48662</v>
      </c>
      <c r="D181" s="30">
        <v>46233</v>
      </c>
      <c r="E181" s="30">
        <v>46231</v>
      </c>
      <c r="F181" s="30">
        <v>46254</v>
      </c>
      <c r="G181" s="37">
        <v>4420230218</v>
      </c>
      <c r="H181" s="37" t="s">
        <v>373</v>
      </c>
      <c r="I181" s="37">
        <v>9040016956</v>
      </c>
      <c r="J181" s="37" t="s">
        <v>249</v>
      </c>
      <c r="K181" s="325" t="s">
        <v>250</v>
      </c>
      <c r="L181" s="181">
        <v>1</v>
      </c>
      <c r="M181" s="181" t="s">
        <v>421</v>
      </c>
      <c r="N181" s="37" t="s">
        <v>434</v>
      </c>
      <c r="O181" s="31">
        <f>IF(F181&gt;0,F181-AB181,"")</f>
        <v>1</v>
      </c>
      <c r="P181" s="37" t="str">
        <f>IF(F181&gt;0,IF(AB181="","PLANNING SUPPLY",IF(AB181&lt;=F181,"ONTIME DELIVERY","DELAY")),"")</f>
        <v>ONTIME DELIVERY</v>
      </c>
      <c r="Q181" s="181" t="str">
        <f>IFERROR(IF(J181&gt;0,VLOOKUP(J181,#REF!,MATCH($Q$6,#REF!,0),0),""),"")</f>
        <v/>
      </c>
      <c r="R181" s="181" t="str">
        <f>IFERROR(IF(J181&gt;0,VLOOKUP(J181,#REF!,MATCH($R$6,#REF!,0),0),""),"")</f>
        <v/>
      </c>
      <c r="S181" s="181" t="e">
        <f>IF(I184&gt;0,Q181+R181,"")</f>
        <v>#VALUE!</v>
      </c>
      <c r="T181" s="181"/>
      <c r="U181" s="181"/>
      <c r="V181" s="37"/>
      <c r="W181" s="181" t="e">
        <f>IF(I184&gt;0,IF(S181&gt;L181,"READY STOCK",IF(S181=0,"OUT OF STOCK",IF(S181&lt;L181,"LOW STOCK",""))),"")</f>
        <v>#VALUE!</v>
      </c>
      <c r="X181" s="38"/>
      <c r="Y181" s="38"/>
      <c r="Z181" s="38"/>
      <c r="AA181" s="38"/>
      <c r="AB181" s="50">
        <v>46253</v>
      </c>
      <c r="AC181" s="181">
        <v>33744</v>
      </c>
      <c r="AD181" s="51">
        <v>1</v>
      </c>
      <c r="AE181" s="37" t="s">
        <v>383</v>
      </c>
      <c r="AF181" s="37" t="s">
        <v>381</v>
      </c>
      <c r="AG181" s="33" t="str">
        <f>IF(G181&gt;0,IF(AD181&gt;0,IF(AD181=0,"Waiting",IF(AD181&lt;L181,"Partial",IF(AD181=L181,"Full Supply",IF(AD181&gt;L181,"Over Shared")))),"Waiting"),"")</f>
        <v>Full Supply</v>
      </c>
      <c r="AH181" s="156">
        <v>46239</v>
      </c>
      <c r="AI181" s="37" t="s">
        <v>770</v>
      </c>
      <c r="AJ181" s="181">
        <v>1</v>
      </c>
      <c r="AK181" s="40">
        <v>25936</v>
      </c>
      <c r="AL181" s="218">
        <v>46246</v>
      </c>
      <c r="AM181" s="40">
        <v>1</v>
      </c>
      <c r="AN181" s="37"/>
      <c r="AO181" s="48">
        <v>46253</v>
      </c>
      <c r="AP181" s="37"/>
      <c r="AQ181" s="37"/>
      <c r="AR181" s="37"/>
      <c r="AS181" s="37"/>
      <c r="AT181" s="37">
        <f>AS181-AD181</f>
        <v>-1</v>
      </c>
      <c r="AU181" s="36" t="str">
        <f>IF(AR181=0,"Waiting",IF(AR181&lt;AH181,"Kurang",IF(AR181=AH181,"Sesuai",IF(AR181&gt;AH181,"Over Shared"))))</f>
        <v>Waiting</v>
      </c>
      <c r="AV181" s="37"/>
      <c r="AW181" s="37" t="str">
        <f>IFERROR(DATEDIF(AH181,AK181,"d"),"0")&amp;"-DAY"</f>
        <v>0-DAY</v>
      </c>
      <c r="AX181" s="37" t="str">
        <f>IFERROR(DATEDIF(B181,AB181,"d"),"0")&amp;"-DAY"</f>
        <v>20-DAY</v>
      </c>
      <c r="AY181" s="37"/>
      <c r="AZ181" s="181">
        <f>L181-AD181</f>
        <v>0</v>
      </c>
    </row>
    <row r="182" spans="1:52" ht="15.5" hidden="1" customHeight="1">
      <c r="A182" s="360" t="s">
        <v>372</v>
      </c>
      <c r="B182" s="340">
        <v>46233</v>
      </c>
      <c r="C182" s="181">
        <v>48662</v>
      </c>
      <c r="D182" s="30">
        <v>46233</v>
      </c>
      <c r="E182" s="30">
        <v>46231</v>
      </c>
      <c r="F182" s="30">
        <v>46254</v>
      </c>
      <c r="G182" s="37">
        <v>4420230218</v>
      </c>
      <c r="H182" s="37" t="s">
        <v>373</v>
      </c>
      <c r="I182" s="37">
        <v>9040008449</v>
      </c>
      <c r="J182" s="37" t="s">
        <v>145</v>
      </c>
      <c r="K182" s="325" t="s">
        <v>146</v>
      </c>
      <c r="L182" s="181">
        <v>1</v>
      </c>
      <c r="M182" s="181" t="s">
        <v>1029</v>
      </c>
      <c r="N182" s="37" t="s">
        <v>434</v>
      </c>
      <c r="O182" s="31">
        <f>IF(F182&gt;0,F182-AB182,"")</f>
        <v>-14</v>
      </c>
      <c r="P182" s="37" t="str">
        <f>IF(F182&gt;0,IF(AB182="","PLANNING SUPPLY",IF(AB182&lt;=F182,"ONTIME DELIVERY","DELAY")),"")</f>
        <v>DELAY</v>
      </c>
      <c r="Q182" s="181" t="str">
        <f>IFERROR(IF(J182&gt;0,VLOOKUP(J182,#REF!,MATCH($Q$6,#REF!,0),0),""),"")</f>
        <v/>
      </c>
      <c r="R182" s="181" t="str">
        <f>IFERROR(IF(J182&gt;0,VLOOKUP(J182,#REF!,MATCH($R$6,#REF!,0),0),""),"")</f>
        <v/>
      </c>
      <c r="S182" s="181" t="e">
        <f>IF(I185&gt;0,Q182+R182,"")</f>
        <v>#VALUE!</v>
      </c>
      <c r="T182" s="181"/>
      <c r="U182" s="181"/>
      <c r="V182" s="37"/>
      <c r="W182" s="181" t="e">
        <f>IF(I185&gt;0,IF(S182&gt;L182,"READY STOCK",IF(S182=0,"OUT OF STOCK",IF(S182&lt;L182,"LOW STOCK",""))),"")</f>
        <v>#VALUE!</v>
      </c>
      <c r="X182" s="38"/>
      <c r="Y182" s="38"/>
      <c r="Z182" s="38"/>
      <c r="AA182" s="38"/>
      <c r="AB182" s="50">
        <v>46268</v>
      </c>
      <c r="AC182" s="181">
        <v>34016</v>
      </c>
      <c r="AD182" s="51">
        <v>1</v>
      </c>
      <c r="AE182" s="37" t="s">
        <v>383</v>
      </c>
      <c r="AF182" s="37" t="s">
        <v>381</v>
      </c>
      <c r="AG182" s="33" t="str">
        <f>IF(G182&gt;0,IF(AD182&gt;0,IF(AD182=0,"Waiting",IF(AD182&lt;L182,"Partial",IF(AD182=L182,"Full Supply",IF(AD182&gt;L182,"Over Shared")))),"Waiting"),"")</f>
        <v>Full Supply</v>
      </c>
      <c r="AH182" s="156"/>
      <c r="AI182" s="37"/>
      <c r="AJ182" s="181">
        <v>1</v>
      </c>
      <c r="AK182" s="40"/>
      <c r="AL182" s="40"/>
      <c r="AM182" s="40"/>
      <c r="AN182" s="227" t="s">
        <v>1047</v>
      </c>
      <c r="AO182" s="34"/>
      <c r="AP182" s="37"/>
      <c r="AQ182" s="37"/>
      <c r="AR182" s="37"/>
      <c r="AS182" s="37"/>
      <c r="AT182" s="37">
        <f>AS182-AD182</f>
        <v>-1</v>
      </c>
      <c r="AU182" s="36" t="str">
        <f>IF(AR182=0,"Waiting",IF(AR182&lt;AH182,"Kurang",IF(AR182=AH182,"Sesuai",IF(AR182&gt;AH182,"Over Shared"))))</f>
        <v>Waiting</v>
      </c>
      <c r="AV182" s="37"/>
      <c r="AW182" s="37" t="str">
        <f>IFERROR(DATEDIF(AH182,AK182,"d"),"0")&amp;"-DAY"</f>
        <v>0-DAY</v>
      </c>
      <c r="AX182" s="37" t="str">
        <f>IFERROR(DATEDIF(B182,AB182,"d"),"0")&amp;"-DAY"</f>
        <v>35-DAY</v>
      </c>
      <c r="AY182" s="37"/>
      <c r="AZ182" s="181">
        <f>L182-AD182</f>
        <v>0</v>
      </c>
    </row>
    <row r="183" spans="1:52" ht="15.5" customHeight="1">
      <c r="A183" s="360" t="s">
        <v>372</v>
      </c>
      <c r="B183" s="340">
        <v>46234</v>
      </c>
      <c r="C183" s="181">
        <v>48693</v>
      </c>
      <c r="D183" s="30">
        <v>46233</v>
      </c>
      <c r="E183" s="30">
        <v>46231</v>
      </c>
      <c r="F183" s="30">
        <v>46239</v>
      </c>
      <c r="G183" s="37">
        <v>4420230190</v>
      </c>
      <c r="H183" s="37" t="s">
        <v>373</v>
      </c>
      <c r="I183" s="37">
        <v>9040001301</v>
      </c>
      <c r="J183" s="37" t="s">
        <v>33</v>
      </c>
      <c r="K183" s="325" t="s">
        <v>34</v>
      </c>
      <c r="L183" s="181">
        <v>1</v>
      </c>
      <c r="M183" s="181" t="s">
        <v>375</v>
      </c>
      <c r="N183" s="37" t="s">
        <v>940</v>
      </c>
      <c r="O183" s="31">
        <f>IF(F183&gt;0,F183-AB183,"")</f>
        <v>-2</v>
      </c>
      <c r="P183" s="37" t="str">
        <f>IF(F183&gt;0,IF(AB183="","PLANNING SUPPLY",IF(AB183&lt;=F183,"ONTIME DELIVERY","DELAY")),"")</f>
        <v>DELAY</v>
      </c>
      <c r="Q183" s="181" t="str">
        <f>IFERROR(IF(J183&gt;0,VLOOKUP(J183,#REF!,MATCH($Q$6,#REF!,0),0),""),"")</f>
        <v/>
      </c>
      <c r="R183" s="181" t="str">
        <f>IFERROR(IF(J183&gt;0,VLOOKUP(J183,#REF!,MATCH($R$6,#REF!,0),0),""),"")</f>
        <v/>
      </c>
      <c r="S183" s="181" t="e">
        <f>IF(I186&gt;0,Q183+R183,"")</f>
        <v>#VALUE!</v>
      </c>
      <c r="T183" s="181"/>
      <c r="U183" s="181"/>
      <c r="V183" s="37"/>
      <c r="W183" s="181" t="e">
        <f>IF(I186&gt;0,IF(S183&gt;L183,"READY STOCK",IF(S183=0,"OUT OF STOCK",IF(S183&lt;L183,"LOW STOCK",""))),"")</f>
        <v>#VALUE!</v>
      </c>
      <c r="X183" s="38"/>
      <c r="Y183" s="38"/>
      <c r="Z183" s="38"/>
      <c r="AA183" s="38"/>
      <c r="AB183" s="50">
        <v>46241</v>
      </c>
      <c r="AC183" s="181">
        <v>33487</v>
      </c>
      <c r="AD183" s="51">
        <v>1</v>
      </c>
      <c r="AE183" s="37" t="s">
        <v>387</v>
      </c>
      <c r="AF183" s="37" t="s">
        <v>381</v>
      </c>
      <c r="AG183" s="33" t="str">
        <f>IF(G183&gt;0,IF(AD183&gt;0,IF(AD183=0,"Waiting",IF(AD183&lt;L183,"Partial",IF(AD183=L183,"Full Supply",IF(AD183&gt;L183,"Over Shared")))),"Waiting"),"")</f>
        <v>Full Supply</v>
      </c>
      <c r="AH183" s="37"/>
      <c r="AI183" s="37"/>
      <c r="AJ183" s="181"/>
      <c r="AK183" s="40"/>
      <c r="AL183" s="40"/>
      <c r="AM183" s="40"/>
      <c r="AN183" s="37"/>
      <c r="AO183" s="34"/>
      <c r="AP183" s="37"/>
      <c r="AQ183" s="37"/>
      <c r="AR183" s="37"/>
      <c r="AS183" s="37"/>
      <c r="AT183" s="37">
        <f>AS183-AD183</f>
        <v>-1</v>
      </c>
      <c r="AU183" s="36" t="str">
        <f>IF(AR183=0,"Waiting",IF(AR183&lt;AH183,"Kurang",IF(AR183=AH183,"Sesuai",IF(AR183&gt;AH183,"Over Shared"))))</f>
        <v>Waiting</v>
      </c>
      <c r="AV183" s="37"/>
      <c r="AW183" s="37" t="str">
        <f>IFERROR(DATEDIF(AH183,AK183,"d"),"0")&amp;"-DAY"</f>
        <v>0-DAY</v>
      </c>
      <c r="AX183" s="37" t="str">
        <f>IFERROR(DATEDIF(B183,AB183,"d"),"0")&amp;"-DAY"</f>
        <v>7-DAY</v>
      </c>
      <c r="AY183" s="37"/>
      <c r="AZ183" s="181">
        <f>L183-AD183</f>
        <v>0</v>
      </c>
    </row>
    <row r="184" spans="1:52" ht="15.5" customHeight="1">
      <c r="A184" s="360" t="s">
        <v>372</v>
      </c>
      <c r="B184" s="340">
        <v>46234</v>
      </c>
      <c r="C184" s="181">
        <v>48694</v>
      </c>
      <c r="D184" s="30">
        <v>46233</v>
      </c>
      <c r="E184" s="30">
        <v>46231</v>
      </c>
      <c r="F184" s="30">
        <v>46249</v>
      </c>
      <c r="G184" s="37">
        <v>4420230200</v>
      </c>
      <c r="H184" s="37" t="s">
        <v>373</v>
      </c>
      <c r="I184" s="37">
        <v>9040009391</v>
      </c>
      <c r="J184" s="37" t="s">
        <v>293</v>
      </c>
      <c r="K184" s="325" t="s">
        <v>294</v>
      </c>
      <c r="L184" s="181">
        <v>10</v>
      </c>
      <c r="M184" s="181" t="s">
        <v>375</v>
      </c>
      <c r="N184" s="37" t="s">
        <v>399</v>
      </c>
      <c r="O184" s="31">
        <f>IF(F184&gt;0,F184-AB184,"")</f>
        <v>10</v>
      </c>
      <c r="P184" s="37" t="str">
        <f>IF(F184&gt;0,IF(AB184="","PLANNING SUPPLY",IF(AB184&lt;=F184,"ONTIME DELIVERY","DELAY")),"")</f>
        <v>ONTIME DELIVERY</v>
      </c>
      <c r="Q184" s="181" t="str">
        <f>IFERROR(IF(J184&gt;0,VLOOKUP(J184,#REF!,MATCH($Q$6,#REF!,0),0),""),"")</f>
        <v/>
      </c>
      <c r="R184" s="181" t="str">
        <f>IFERROR(IF(J184&gt;0,VLOOKUP(J184,#REF!,MATCH($R$6,#REF!,0),0),""),"")</f>
        <v/>
      </c>
      <c r="S184" s="181" t="e">
        <f>IF(I187&gt;0,Q184+R184,"")</f>
        <v>#VALUE!</v>
      </c>
      <c r="T184" s="181"/>
      <c r="U184" s="181"/>
      <c r="V184" s="37"/>
      <c r="W184" s="181" t="e">
        <f>IF(I187&gt;0,IF(S184&gt;L184,"READY STOCK",IF(S184=0,"OUT OF STOCK",IF(S184&lt;L184,"LOW STOCK",""))),"")</f>
        <v>#VALUE!</v>
      </c>
      <c r="X184" s="38"/>
      <c r="Y184" s="38"/>
      <c r="Z184" s="38"/>
      <c r="AA184" s="38"/>
      <c r="AB184" s="50">
        <v>46239</v>
      </c>
      <c r="AC184" s="181">
        <v>33382</v>
      </c>
      <c r="AD184" s="51">
        <v>10</v>
      </c>
      <c r="AE184" s="37" t="s">
        <v>383</v>
      </c>
      <c r="AF184" s="37" t="s">
        <v>381</v>
      </c>
      <c r="AG184" s="33" t="str">
        <f>IF(G184&gt;0,IF(AD184&gt;0,IF(AD184=0,"Waiting",IF(AD184&lt;L184,"Partial",IF(AD184=L184,"Full Supply",IF(AD184&gt;L184,"Over Shared")))),"Waiting"),"")</f>
        <v>Full Supply</v>
      </c>
      <c r="AH184" s="156">
        <v>46239</v>
      </c>
      <c r="AI184" s="37" t="s">
        <v>770</v>
      </c>
      <c r="AJ184" s="181">
        <v>61</v>
      </c>
      <c r="AK184" s="40">
        <v>25943</v>
      </c>
      <c r="AL184" s="218">
        <v>46246</v>
      </c>
      <c r="AM184" s="40">
        <v>61</v>
      </c>
      <c r="AN184" s="37"/>
      <c r="AO184" s="48">
        <v>46253</v>
      </c>
      <c r="AP184" s="37"/>
      <c r="AQ184" s="37"/>
      <c r="AR184" s="37"/>
      <c r="AS184" s="37"/>
      <c r="AT184" s="37">
        <f>AS184-AD184</f>
        <v>-10</v>
      </c>
      <c r="AU184" s="36" t="str">
        <f>IF(AR184=0,"Waiting",IF(AR184&lt;AH184,"Kurang",IF(AR184=AH184,"Sesuai",IF(AR184&gt;AH184,"Over Shared"))))</f>
        <v>Waiting</v>
      </c>
      <c r="AV184" s="37">
        <v>54584</v>
      </c>
      <c r="AW184" s="37" t="str">
        <f>IFERROR(DATEDIF(AH184,AK184,"d"),"0")&amp;"-DAY"</f>
        <v>0-DAY</v>
      </c>
      <c r="AX184" s="37" t="str">
        <f>IFERROR(DATEDIF(B184,AB184,"d"),"0")&amp;"-DAY"</f>
        <v>5-DAY</v>
      </c>
      <c r="AY184" s="37"/>
      <c r="AZ184" s="181">
        <f>L184-AD184</f>
        <v>0</v>
      </c>
    </row>
    <row r="185" spans="1:52" ht="15.5" customHeight="1">
      <c r="A185" s="360" t="s">
        <v>372</v>
      </c>
      <c r="B185" s="340">
        <v>46234</v>
      </c>
      <c r="C185" s="181">
        <v>48694</v>
      </c>
      <c r="D185" s="30">
        <v>46233</v>
      </c>
      <c r="E185" s="30">
        <v>46231</v>
      </c>
      <c r="F185" s="30">
        <v>46249</v>
      </c>
      <c r="G185" s="37">
        <v>4420230200</v>
      </c>
      <c r="H185" s="37" t="s">
        <v>373</v>
      </c>
      <c r="I185" s="37">
        <v>9040017584</v>
      </c>
      <c r="J185" s="37" t="s">
        <v>37</v>
      </c>
      <c r="K185" s="325" t="s">
        <v>38</v>
      </c>
      <c r="L185" s="181">
        <v>5</v>
      </c>
      <c r="M185" s="181" t="s">
        <v>375</v>
      </c>
      <c r="N185" s="37" t="s">
        <v>399</v>
      </c>
      <c r="O185" s="31">
        <f>IF(F185&gt;0,F185-AB185,"")</f>
        <v>10</v>
      </c>
      <c r="P185" s="37" t="str">
        <f>IF(F185&gt;0,IF(AB185="","PLANNING SUPPLY",IF(AB185&lt;=F185,"ONTIME DELIVERY","DELAY")),"")</f>
        <v>ONTIME DELIVERY</v>
      </c>
      <c r="Q185" s="181" t="str">
        <f>IFERROR(IF(J185&gt;0,VLOOKUP(J185,#REF!,MATCH($Q$6,#REF!,0),0),""),"")</f>
        <v/>
      </c>
      <c r="R185" s="181" t="str">
        <f>IFERROR(IF(J185&gt;0,VLOOKUP(J185,#REF!,MATCH($R$6,#REF!,0),0),""),"")</f>
        <v/>
      </c>
      <c r="S185" s="181" t="e">
        <f>IF(I188&gt;0,Q185+R185,"")</f>
        <v>#VALUE!</v>
      </c>
      <c r="T185" s="181"/>
      <c r="U185" s="181"/>
      <c r="V185" s="37"/>
      <c r="W185" s="181" t="e">
        <f>IF(I188&gt;0,IF(S185&gt;L185,"READY STOCK",IF(S185=0,"OUT OF STOCK",IF(S185&lt;L185,"LOW STOCK",""))),"")</f>
        <v>#VALUE!</v>
      </c>
      <c r="X185" s="38"/>
      <c r="Y185" s="38"/>
      <c r="Z185" s="38"/>
      <c r="AA185" s="38"/>
      <c r="AB185" s="50">
        <v>46239</v>
      </c>
      <c r="AC185" s="181">
        <v>33382</v>
      </c>
      <c r="AD185" s="51">
        <v>5</v>
      </c>
      <c r="AE185" s="37" t="s">
        <v>383</v>
      </c>
      <c r="AF185" s="37" t="s">
        <v>381</v>
      </c>
      <c r="AG185" s="33" t="str">
        <f>IF(G185&gt;0,IF(AD185&gt;0,IF(AD185=0,"Waiting",IF(AD185&lt;L185,"Partial",IF(AD185=L185,"Full Supply",IF(AD185&gt;L185,"Over Shared")))),"Waiting"),"")</f>
        <v>Full Supply</v>
      </c>
      <c r="AH185" s="37"/>
      <c r="AI185" s="37"/>
      <c r="AJ185" s="181"/>
      <c r="AK185" s="40"/>
      <c r="AL185" s="40"/>
      <c r="AM185" s="40"/>
      <c r="AN185" s="37"/>
      <c r="AO185" s="34"/>
      <c r="AP185" s="37"/>
      <c r="AQ185" s="37"/>
      <c r="AR185" s="37"/>
      <c r="AS185" s="37"/>
      <c r="AT185" s="37">
        <f>AS185-AD185</f>
        <v>-5</v>
      </c>
      <c r="AU185" s="36" t="str">
        <f>IF(AR185=0,"Waiting",IF(AR185&lt;AH185,"Kurang",IF(AR185=AH185,"Sesuai",IF(AR185&gt;AH185,"Over Shared"))))</f>
        <v>Waiting</v>
      </c>
      <c r="AV185" s="37">
        <v>54584</v>
      </c>
      <c r="AW185" s="37" t="str">
        <f>IFERROR(DATEDIF(AH185,AK185,"d"),"0")&amp;"-DAY"</f>
        <v>0-DAY</v>
      </c>
      <c r="AX185" s="37" t="str">
        <f>IFERROR(DATEDIF(B185,AB185,"d"),"0")&amp;"-DAY"</f>
        <v>5-DAY</v>
      </c>
      <c r="AY185" s="37"/>
      <c r="AZ185" s="181">
        <f>L185-AD185</f>
        <v>0</v>
      </c>
    </row>
    <row r="186" spans="1:52" ht="15.5" customHeight="1">
      <c r="A186" s="360" t="s">
        <v>372</v>
      </c>
      <c r="B186" s="340">
        <v>46234</v>
      </c>
      <c r="C186" s="181">
        <v>48695</v>
      </c>
      <c r="D186" s="30">
        <v>46233</v>
      </c>
      <c r="E186" s="30">
        <v>46231</v>
      </c>
      <c r="F186" s="30">
        <v>46245</v>
      </c>
      <c r="G186" s="37">
        <v>4420230257</v>
      </c>
      <c r="H186" s="37" t="s">
        <v>373</v>
      </c>
      <c r="I186" s="37">
        <v>9040014955</v>
      </c>
      <c r="J186" s="37" t="s">
        <v>27</v>
      </c>
      <c r="K186" s="325" t="s">
        <v>28</v>
      </c>
      <c r="L186" s="181">
        <v>7</v>
      </c>
      <c r="M186" s="181" t="s">
        <v>375</v>
      </c>
      <c r="N186" s="37" t="s">
        <v>410</v>
      </c>
      <c r="O186" s="31">
        <f>IF(F186&gt;0,F186-AB186,"")</f>
        <v>6</v>
      </c>
      <c r="P186" s="37" t="str">
        <f>IF(F186&gt;0,IF(AB186="","PLANNING SUPPLY",IF(AB186&lt;=F186,"ONTIME DELIVERY","DELAY")),"")</f>
        <v>ONTIME DELIVERY</v>
      </c>
      <c r="Q186" s="181" t="str">
        <f>IFERROR(IF(J186&gt;0,VLOOKUP(J186,#REF!,MATCH($Q$6,#REF!,0),0),""),"")</f>
        <v/>
      </c>
      <c r="R186" s="181" t="str">
        <f>IFERROR(IF(J186&gt;0,VLOOKUP(J186,#REF!,MATCH($R$6,#REF!,0),0),""),"")</f>
        <v/>
      </c>
      <c r="S186" s="181" t="e">
        <f>IF(I189&gt;0,Q186+R186,"")</f>
        <v>#VALUE!</v>
      </c>
      <c r="T186" s="181"/>
      <c r="U186" s="181"/>
      <c r="V186" s="37"/>
      <c r="W186" s="181" t="e">
        <f>IF(I189&gt;0,IF(S186&gt;L186,"READY STOCK",IF(S186=0,"OUT OF STOCK",IF(S186&lt;L186,"LOW STOCK",""))),"")</f>
        <v>#VALUE!</v>
      </c>
      <c r="X186" s="38"/>
      <c r="Y186" s="38"/>
      <c r="Z186" s="38"/>
      <c r="AA186" s="38"/>
      <c r="AB186" s="50">
        <v>46239</v>
      </c>
      <c r="AC186" s="181">
        <v>33342</v>
      </c>
      <c r="AD186" s="51">
        <v>7</v>
      </c>
      <c r="AE186" s="181" t="s">
        <v>383</v>
      </c>
      <c r="AF186" s="37" t="s">
        <v>381</v>
      </c>
      <c r="AG186" s="33" t="str">
        <f>IF(G186&gt;0,IF(AD186&gt;0,IF(AD186=0,"Waiting",IF(AD186&lt;L186,"Partial",IF(AD186=L186,"Full Supply",IF(AD186&gt;L186,"Over Shared")))),"Waiting"),"")</f>
        <v>Full Supply</v>
      </c>
      <c r="AH186" s="37"/>
      <c r="AI186" s="37"/>
      <c r="AJ186" s="181"/>
      <c r="AK186" s="40"/>
      <c r="AL186" s="40"/>
      <c r="AM186" s="40"/>
      <c r="AN186" s="37"/>
      <c r="AO186" s="34"/>
      <c r="AP186" s="37"/>
      <c r="AQ186" s="37"/>
      <c r="AR186" s="37"/>
      <c r="AS186" s="37"/>
      <c r="AT186" s="37">
        <f>AS186-AD186</f>
        <v>-7</v>
      </c>
      <c r="AU186" s="36" t="str">
        <f>IF(AR186=0,"Waiting",IF(AR186&lt;AH186,"Kurang",IF(AR186=AH186,"Sesuai",IF(AR186&gt;AH186,"Over Shared"))))</f>
        <v>Waiting</v>
      </c>
      <c r="AV186" s="37">
        <v>54615</v>
      </c>
      <c r="AW186" s="37" t="str">
        <f>IFERROR(DATEDIF(AH186,AK186,"d"),"0")&amp;"-DAY"</f>
        <v>0-DAY</v>
      </c>
      <c r="AX186" s="37" t="str">
        <f>IFERROR(DATEDIF(B186,AB186,"d"),"0")&amp;"-DAY"</f>
        <v>5-DAY</v>
      </c>
      <c r="AY186" s="37"/>
      <c r="AZ186" s="181">
        <f>L186-AD186</f>
        <v>0</v>
      </c>
    </row>
    <row r="187" spans="1:52" ht="15.5" customHeight="1">
      <c r="A187" s="360" t="s">
        <v>372</v>
      </c>
      <c r="B187" s="340">
        <v>46234</v>
      </c>
      <c r="C187" s="181">
        <v>48695</v>
      </c>
      <c r="D187" s="30">
        <v>46233</v>
      </c>
      <c r="E187" s="30">
        <v>46231</v>
      </c>
      <c r="F187" s="30">
        <v>46245</v>
      </c>
      <c r="G187" s="37">
        <v>4420230257</v>
      </c>
      <c r="H187" s="37" t="s">
        <v>373</v>
      </c>
      <c r="I187" s="37">
        <v>9040040390</v>
      </c>
      <c r="J187" s="37" t="s">
        <v>209</v>
      </c>
      <c r="K187" s="325" t="s">
        <v>210</v>
      </c>
      <c r="L187" s="181">
        <v>4</v>
      </c>
      <c r="M187" s="181" t="s">
        <v>421</v>
      </c>
      <c r="N187" s="37" t="s">
        <v>410</v>
      </c>
      <c r="O187" s="31">
        <f>IF(F187&gt;0,F187-AB187,"")</f>
        <v>8</v>
      </c>
      <c r="P187" s="37" t="str">
        <f>IF(F187&gt;0,IF(AB187="","PLANNING SUPPLY",IF(AB187&lt;=F187,"ONTIME DELIVERY","DELAY")),"")</f>
        <v>ONTIME DELIVERY</v>
      </c>
      <c r="Q187" s="181" t="str">
        <f>IFERROR(IF(J187&gt;0,VLOOKUP(J187,#REF!,MATCH($Q$6,#REF!,0),0),""),"")</f>
        <v/>
      </c>
      <c r="R187" s="181" t="str">
        <f>IFERROR(IF(J187&gt;0,VLOOKUP(J187,#REF!,MATCH($R$6,#REF!,0),0),""),"")</f>
        <v/>
      </c>
      <c r="S187" s="181" t="e">
        <f>IF(I190&gt;0,Q187+R187,"")</f>
        <v>#VALUE!</v>
      </c>
      <c r="T187" s="181"/>
      <c r="U187" s="181"/>
      <c r="V187" s="37"/>
      <c r="W187" s="181" t="e">
        <f>IF(I190&gt;0,IF(S187&gt;L187,"READY STOCK",IF(S187=0,"OUT OF STOCK",IF(S187&lt;L187,"LOW STOCK",""))),"")</f>
        <v>#VALUE!</v>
      </c>
      <c r="X187" s="38"/>
      <c r="Y187" s="38"/>
      <c r="Z187" s="38"/>
      <c r="AA187" s="38"/>
      <c r="AB187" s="50">
        <v>46237</v>
      </c>
      <c r="AC187" s="181">
        <v>33335</v>
      </c>
      <c r="AD187" s="51">
        <v>4</v>
      </c>
      <c r="AE187" s="181" t="s">
        <v>383</v>
      </c>
      <c r="AF187" s="37" t="s">
        <v>381</v>
      </c>
      <c r="AG187" s="33" t="str">
        <f>IF(G187&gt;0,IF(AD187&gt;0,IF(AD187=0,"Waiting",IF(AD187&lt;L187,"Partial",IF(AD187=L187,"Full Supply",IF(AD187&gt;L187,"Over Shared")))),"Waiting"),"")</f>
        <v>Full Supply</v>
      </c>
      <c r="AH187" s="156">
        <v>46239</v>
      </c>
      <c r="AI187" s="37" t="s">
        <v>770</v>
      </c>
      <c r="AJ187" s="181">
        <v>4</v>
      </c>
      <c r="AK187" s="40">
        <v>25940</v>
      </c>
      <c r="AL187" s="218">
        <v>46246</v>
      </c>
      <c r="AM187" s="40">
        <v>16</v>
      </c>
      <c r="AN187" s="37"/>
      <c r="AO187" s="48">
        <v>46253</v>
      </c>
      <c r="AP187" s="37"/>
      <c r="AQ187" s="37"/>
      <c r="AR187" s="37"/>
      <c r="AS187" s="37"/>
      <c r="AT187" s="37">
        <f>AS187-AD187</f>
        <v>-4</v>
      </c>
      <c r="AU187" s="36" t="str">
        <f>IF(AR187=0,"Waiting",IF(AR187&lt;AH187,"Kurang",IF(AR187=AH187,"Sesuai",IF(AR187&gt;AH187,"Over Shared"))))</f>
        <v>Waiting</v>
      </c>
      <c r="AV187" s="37">
        <v>54615</v>
      </c>
      <c r="AW187" s="37" t="str">
        <f>IFERROR(DATEDIF(AH187,AK187,"d"),"0")&amp;"-DAY"</f>
        <v>0-DAY</v>
      </c>
      <c r="AX187" s="37" t="str">
        <f>IFERROR(DATEDIF(B187,AB187,"d"),"0")&amp;"-DAY"</f>
        <v>3-DAY</v>
      </c>
      <c r="AY187" s="37"/>
      <c r="AZ187" s="181">
        <f>L187-AD187</f>
        <v>0</v>
      </c>
    </row>
    <row r="188" spans="1:52" ht="15.5" customHeight="1">
      <c r="A188" s="360" t="s">
        <v>372</v>
      </c>
      <c r="B188" s="340">
        <v>46234</v>
      </c>
      <c r="C188" s="181">
        <v>48695</v>
      </c>
      <c r="D188" s="30">
        <v>46233</v>
      </c>
      <c r="E188" s="30">
        <v>46231</v>
      </c>
      <c r="F188" s="30">
        <v>46245</v>
      </c>
      <c r="G188" s="37">
        <v>4420230257</v>
      </c>
      <c r="H188" s="37" t="s">
        <v>373</v>
      </c>
      <c r="I188" s="37">
        <v>9040042224</v>
      </c>
      <c r="J188" s="37" t="s">
        <v>195</v>
      </c>
      <c r="K188" s="325" t="s">
        <v>196</v>
      </c>
      <c r="L188" s="181">
        <v>4</v>
      </c>
      <c r="M188" s="181" t="s">
        <v>421</v>
      </c>
      <c r="N188" s="37" t="s">
        <v>410</v>
      </c>
      <c r="O188" s="31">
        <f>IF(F188&gt;0,F188-AB188,"")</f>
        <v>-27</v>
      </c>
      <c r="P188" s="37" t="str">
        <f>IF(F188&gt;0,IF(AB188="","PLANNING SUPPLY",IF(AB188&lt;=F188,"ONTIME DELIVERY","DELAY")),"")</f>
        <v>DELAY</v>
      </c>
      <c r="Q188" s="181" t="str">
        <f>IFERROR(IF(J188&gt;0,VLOOKUP(J188,#REF!,MATCH($Q$6,#REF!,0),0),""),"")</f>
        <v/>
      </c>
      <c r="R188" s="181" t="str">
        <f>IFERROR(IF(J188&gt;0,VLOOKUP(J188,#REF!,MATCH($R$6,#REF!,0),0),""),"")</f>
        <v/>
      </c>
      <c r="S188" s="181" t="e">
        <f>IF(I191&gt;0,Q188+R188,"")</f>
        <v>#VALUE!</v>
      </c>
      <c r="T188" s="181"/>
      <c r="U188" s="181"/>
      <c r="V188" s="37"/>
      <c r="W188" s="181" t="e">
        <f>IF(I191&gt;0,IF(S188&gt;L188,"READY STOCK",IF(S188=0,"OUT OF STOCK",IF(S188&lt;L188,"LOW STOCK",""))),"")</f>
        <v>#VALUE!</v>
      </c>
      <c r="X188" s="38"/>
      <c r="Y188" s="38"/>
      <c r="Z188" s="38"/>
      <c r="AA188" s="38"/>
      <c r="AB188" s="50">
        <v>46272</v>
      </c>
      <c r="AC188" s="181">
        <v>34087</v>
      </c>
      <c r="AD188" s="51">
        <v>4</v>
      </c>
      <c r="AE188" s="181" t="s">
        <v>383</v>
      </c>
      <c r="AF188" s="37" t="s">
        <v>381</v>
      </c>
      <c r="AG188" s="33" t="str">
        <f>IF(G188&gt;0,IF(AD188&gt;0,IF(AD188=0,"Waiting",IF(AD188&lt;L188,"Partial",IF(AD188=L188,"Full Supply",IF(AD188&gt;L188,"Over Shared")))),"Waiting"),"")</f>
        <v>Full Supply</v>
      </c>
      <c r="AH188" s="56">
        <v>46247</v>
      </c>
      <c r="AI188" s="37" t="s">
        <v>646</v>
      </c>
      <c r="AJ188" s="181">
        <v>14</v>
      </c>
      <c r="AK188" s="40">
        <v>26064</v>
      </c>
      <c r="AL188" s="189">
        <v>46266</v>
      </c>
      <c r="AM188" s="40">
        <v>14</v>
      </c>
      <c r="AN188" s="37"/>
      <c r="AO188" s="190">
        <v>46296</v>
      </c>
      <c r="AP188" s="37"/>
      <c r="AQ188" s="37"/>
      <c r="AR188" s="37"/>
      <c r="AS188" s="37"/>
      <c r="AT188" s="37">
        <f>AS188-AD188</f>
        <v>-4</v>
      </c>
      <c r="AU188" s="36" t="str">
        <f>IF(AR188=0,"Waiting",IF(AR188&lt;AH188,"Kurang",IF(AR188=AH188,"Sesuai",IF(AR188&gt;AH188,"Over Shared"))))</f>
        <v>Waiting</v>
      </c>
      <c r="AV188" s="37">
        <v>54615</v>
      </c>
      <c r="AW188" s="37" t="str">
        <f>IFERROR(DATEDIF(AH188,AK188,"d"),"0")&amp;"-DAY"</f>
        <v>0-DAY</v>
      </c>
      <c r="AX188" s="37" t="str">
        <f>IFERROR(DATEDIF(B188,AB188,"d"),"0")&amp;"-DAY"</f>
        <v>38-DAY</v>
      </c>
      <c r="AY188" s="37"/>
      <c r="AZ188" s="181">
        <f>L188-AD188</f>
        <v>0</v>
      </c>
    </row>
    <row r="189" spans="1:52" ht="15.5" customHeight="1">
      <c r="A189" s="360" t="s">
        <v>372</v>
      </c>
      <c r="B189" s="340">
        <v>46234</v>
      </c>
      <c r="C189" s="181">
        <v>48695</v>
      </c>
      <c r="D189" s="30">
        <v>46233</v>
      </c>
      <c r="E189" s="30">
        <v>46231</v>
      </c>
      <c r="F189" s="30">
        <v>46245</v>
      </c>
      <c r="G189" s="37">
        <v>4420230257</v>
      </c>
      <c r="H189" s="37" t="s">
        <v>373</v>
      </c>
      <c r="I189" s="37">
        <v>9040044191</v>
      </c>
      <c r="J189" s="37" t="s">
        <v>187</v>
      </c>
      <c r="K189" s="325" t="s">
        <v>188</v>
      </c>
      <c r="L189" s="181">
        <v>7</v>
      </c>
      <c r="M189" s="181" t="s">
        <v>375</v>
      </c>
      <c r="N189" s="37" t="s">
        <v>410</v>
      </c>
      <c r="O189" s="31">
        <f>IF(F189&gt;0,F189-AB189,"")</f>
        <v>-1</v>
      </c>
      <c r="P189" s="37" t="str">
        <f>IF(F189&gt;0,IF(AB189="","PLANNING SUPPLY",IF(AB189&lt;=F189,"ONTIME DELIVERY","DELAY")),"")</f>
        <v>DELAY</v>
      </c>
      <c r="Q189" s="181" t="str">
        <f>IFERROR(IF(J189&gt;0,VLOOKUP(J189,#REF!,MATCH($Q$6,#REF!,0),0),""),"")</f>
        <v/>
      </c>
      <c r="R189" s="181" t="str">
        <f>IFERROR(IF(J189&gt;0,VLOOKUP(J189,#REF!,MATCH($R$6,#REF!,0),0),""),"")</f>
        <v/>
      </c>
      <c r="S189" s="181" t="e">
        <f>IF(I192&gt;0,Q189+R189,"")</f>
        <v>#VALUE!</v>
      </c>
      <c r="T189" s="181"/>
      <c r="U189" s="181"/>
      <c r="V189" s="37"/>
      <c r="W189" s="181" t="e">
        <f>IF(I192&gt;0,IF(S189&gt;L189,"READY STOCK",IF(S189=0,"OUT OF STOCK",IF(S189&lt;L189,"LOW STOCK",""))),"")</f>
        <v>#VALUE!</v>
      </c>
      <c r="X189" s="38"/>
      <c r="Y189" s="38"/>
      <c r="Z189" s="38"/>
      <c r="AA189" s="38"/>
      <c r="AB189" s="50">
        <v>46246</v>
      </c>
      <c r="AC189" s="181">
        <v>33604</v>
      </c>
      <c r="AD189" s="51">
        <v>7</v>
      </c>
      <c r="AE189" s="181" t="s">
        <v>387</v>
      </c>
      <c r="AF189" s="37" t="s">
        <v>381</v>
      </c>
      <c r="AG189" s="33" t="str">
        <f>IF(G189&gt;0,IF(AD189&gt;0,IF(AD189=0,"Waiting",IF(AD189&lt;L189,"Partial",IF(AD189=L189,"Full Supply",IF(AD189&gt;L189,"Over Shared")))),"Waiting"),"")</f>
        <v>Full Supply</v>
      </c>
      <c r="AH189" s="37"/>
      <c r="AI189" s="37"/>
      <c r="AJ189" s="181"/>
      <c r="AK189" s="40"/>
      <c r="AL189" s="40"/>
      <c r="AM189" s="40"/>
      <c r="AN189" s="37"/>
      <c r="AO189" s="34"/>
      <c r="AP189" s="37"/>
      <c r="AQ189" s="37"/>
      <c r="AR189" s="37"/>
      <c r="AS189" s="37"/>
      <c r="AT189" s="37">
        <f>AS189-AD189</f>
        <v>-7</v>
      </c>
      <c r="AU189" s="36" t="str">
        <f>IF(AR189=0,"Waiting",IF(AR189&lt;AH189,"Kurang",IF(AR189=AH189,"Sesuai",IF(AR189&gt;AH189,"Over Shared"))))</f>
        <v>Waiting</v>
      </c>
      <c r="AV189" s="37">
        <v>54615</v>
      </c>
      <c r="AW189" s="37" t="str">
        <f>IFERROR(DATEDIF(AH189,AK189,"d"),"0")&amp;"-DAY"</f>
        <v>0-DAY</v>
      </c>
      <c r="AX189" s="37" t="str">
        <f>IFERROR(DATEDIF(B189,AB189,"d"),"0")&amp;"-DAY"</f>
        <v>12-DAY</v>
      </c>
      <c r="AY189" s="37"/>
      <c r="AZ189" s="181">
        <f>L189-AD189</f>
        <v>0</v>
      </c>
    </row>
    <row r="190" spans="1:52" ht="15.5" customHeight="1">
      <c r="A190" s="360" t="s">
        <v>372</v>
      </c>
      <c r="B190" s="340">
        <v>46234</v>
      </c>
      <c r="C190" s="181">
        <v>48695</v>
      </c>
      <c r="D190" s="30">
        <v>46233</v>
      </c>
      <c r="E190" s="30">
        <v>46231</v>
      </c>
      <c r="F190" s="30">
        <v>46245</v>
      </c>
      <c r="G190" s="37">
        <v>4420230257</v>
      </c>
      <c r="H190" s="37" t="s">
        <v>373</v>
      </c>
      <c r="I190" s="37">
        <v>9040021810</v>
      </c>
      <c r="J190" s="37" t="s">
        <v>67</v>
      </c>
      <c r="K190" s="325" t="s">
        <v>68</v>
      </c>
      <c r="L190" s="181">
        <v>1</v>
      </c>
      <c r="M190" s="181" t="s">
        <v>375</v>
      </c>
      <c r="N190" s="37" t="s">
        <v>410</v>
      </c>
      <c r="O190" s="31">
        <f>IF(F190&gt;0,F190-AB190,"")</f>
        <v>46245</v>
      </c>
      <c r="P190" s="37" t="str">
        <f>IF(F190&gt;0,IF(AB190="","PLANNING SUPPLY",IF(AB190&lt;=F190,"ONTIME DELIVERY","DELAY")),"")</f>
        <v>PLANNING SUPPLY</v>
      </c>
      <c r="Q190" s="181" t="str">
        <f>IFERROR(IF(J190&gt;0,VLOOKUP(J190,#REF!,MATCH($Q$6,#REF!,0),0),""),"")</f>
        <v/>
      </c>
      <c r="R190" s="181" t="str">
        <f>IFERROR(IF(J190&gt;0,VLOOKUP(J190,#REF!,MATCH($R$6,#REF!,0),0),""),"")</f>
        <v/>
      </c>
      <c r="S190" s="181" t="e">
        <f>IF(I193&gt;0,Q190+R190,"")</f>
        <v>#VALUE!</v>
      </c>
      <c r="T190" s="181"/>
      <c r="U190" s="181"/>
      <c r="V190" s="37"/>
      <c r="W190" s="181" t="e">
        <f>IF(I193&gt;0,IF(S190&gt;L190,"READY STOCK",IF(S190=0,"OUT OF STOCK",IF(S190&lt;L190,"LOW STOCK",""))),"")</f>
        <v>#VALUE!</v>
      </c>
      <c r="X190" s="38"/>
      <c r="Y190" s="38"/>
      <c r="Z190" s="38"/>
      <c r="AA190" s="38"/>
      <c r="AB190" s="50"/>
      <c r="AC190" s="181"/>
      <c r="AD190" s="51"/>
      <c r="AE190" s="181"/>
      <c r="AF190" s="37"/>
      <c r="AG190" s="33" t="str">
        <f>IF(G190&gt;0,IF(AD190&gt;0,IF(AD190=0,"Waiting",IF(AD190&lt;L190,"Partial",IF(AD190=L190,"Full Supply",IF(AD190&gt;L190,"Over Shared")))),"Waiting"),"")</f>
        <v>Waiting</v>
      </c>
      <c r="AH190" s="56">
        <v>46266</v>
      </c>
      <c r="AI190" s="37" t="s">
        <v>1130</v>
      </c>
      <c r="AJ190" s="181">
        <v>1</v>
      </c>
      <c r="AK190" s="40">
        <v>26496</v>
      </c>
      <c r="AL190" s="42">
        <v>46295</v>
      </c>
      <c r="AM190" s="40">
        <v>1</v>
      </c>
      <c r="AN190" s="37"/>
      <c r="AO190" s="239">
        <v>46300</v>
      </c>
      <c r="AP190" s="37"/>
      <c r="AQ190" s="37"/>
      <c r="AR190" s="37"/>
      <c r="AS190" s="37"/>
      <c r="AT190" s="37">
        <f>AS190-AD190</f>
        <v>0</v>
      </c>
      <c r="AU190" s="36" t="str">
        <f>IF(AR190=0,"Waiting",IF(AR190&lt;AH190,"Kurang",IF(AR190=AH190,"Sesuai",IF(AR190&gt;AH190,"Over Shared"))))</f>
        <v>Waiting</v>
      </c>
      <c r="AV190" s="37"/>
      <c r="AW190" s="37" t="str">
        <f>IFERROR(DATEDIF(AH190,AK190,"d"),"0")&amp;"-DAY"</f>
        <v>0-DAY</v>
      </c>
      <c r="AX190" s="37" t="str">
        <f>IFERROR(DATEDIF(B190,AB190,"d"),"0")&amp;"-DAY"</f>
        <v>0-DAY</v>
      </c>
      <c r="AY190" s="37"/>
      <c r="AZ190" s="181">
        <f>L190-AD190</f>
        <v>1</v>
      </c>
    </row>
    <row r="191" spans="1:52" ht="15.5" customHeight="1">
      <c r="A191" s="360" t="s">
        <v>372</v>
      </c>
      <c r="B191" s="340">
        <v>46234</v>
      </c>
      <c r="C191" s="181">
        <v>48695</v>
      </c>
      <c r="D191" s="30">
        <v>46233</v>
      </c>
      <c r="E191" s="30">
        <v>46231</v>
      </c>
      <c r="F191" s="30">
        <v>46245</v>
      </c>
      <c r="G191" s="37">
        <v>4420230257</v>
      </c>
      <c r="H191" s="37" t="s">
        <v>373</v>
      </c>
      <c r="I191" s="37">
        <v>9040003053</v>
      </c>
      <c r="J191" s="37" t="s">
        <v>98</v>
      </c>
      <c r="K191" s="325" t="s">
        <v>99</v>
      </c>
      <c r="L191" s="181">
        <v>5</v>
      </c>
      <c r="M191" s="181" t="s">
        <v>375</v>
      </c>
      <c r="N191" s="37" t="s">
        <v>410</v>
      </c>
      <c r="O191" s="31">
        <f>IF(F191&gt;0,F191-AB191,"")</f>
        <v>-3</v>
      </c>
      <c r="P191" s="37" t="str">
        <f>IF(F191&gt;0,IF(AB191="","PLANNING SUPPLY",IF(AB191&lt;=F191,"ONTIME DELIVERY","DELAY")),"")</f>
        <v>DELAY</v>
      </c>
      <c r="Q191" s="181" t="str">
        <f>IFERROR(IF(J191&gt;0,VLOOKUP(J191,#REF!,MATCH($Q$6,#REF!,0),0),""),"")</f>
        <v/>
      </c>
      <c r="R191" s="181" t="str">
        <f>IFERROR(IF(J191&gt;0,VLOOKUP(J191,#REF!,MATCH($R$6,#REF!,0),0),""),"")</f>
        <v/>
      </c>
      <c r="S191" s="181" t="e">
        <f>IF(I194&gt;0,Q191+R191,"")</f>
        <v>#VALUE!</v>
      </c>
      <c r="T191" s="181"/>
      <c r="U191" s="181"/>
      <c r="V191" s="37"/>
      <c r="W191" s="181" t="e">
        <f>IF(I194&gt;0,IF(S191&gt;L191,"READY STOCK",IF(S191=0,"OUT OF STOCK",IF(S191&lt;L191,"LOW STOCK",""))),"")</f>
        <v>#VALUE!</v>
      </c>
      <c r="X191" s="38"/>
      <c r="Y191" s="38"/>
      <c r="Z191" s="38"/>
      <c r="AA191" s="38"/>
      <c r="AB191" s="50">
        <v>46248</v>
      </c>
      <c r="AC191" s="181">
        <v>33685</v>
      </c>
      <c r="AD191" s="51">
        <v>5</v>
      </c>
      <c r="AE191" s="181" t="s">
        <v>387</v>
      </c>
      <c r="AF191" s="37" t="s">
        <v>381</v>
      </c>
      <c r="AG191" s="33" t="str">
        <f>IF(G191&gt;0,IF(AD191&gt;0,IF(AD191=0,"Waiting",IF(AD191&lt;L191,"Partial",IF(AD191=L191,"Full Supply",IF(AD191&gt;L191,"Over Shared")))),"Waiting"),"")</f>
        <v>Full Supply</v>
      </c>
      <c r="AH191" s="37"/>
      <c r="AI191" s="37"/>
      <c r="AJ191" s="181"/>
      <c r="AK191" s="40"/>
      <c r="AL191" s="40"/>
      <c r="AM191" s="40"/>
      <c r="AN191" s="37"/>
      <c r="AO191" s="34"/>
      <c r="AP191" s="37"/>
      <c r="AQ191" s="37"/>
      <c r="AR191" s="37"/>
      <c r="AS191" s="37"/>
      <c r="AT191" s="37">
        <f>AS191-AD191</f>
        <v>-5</v>
      </c>
      <c r="AU191" s="36" t="str">
        <f>IF(AR191=0,"Waiting",IF(AR191&lt;AH191,"Kurang",IF(AR191=AH191,"Sesuai",IF(AR191&gt;AH191,"Over Shared"))))</f>
        <v>Waiting</v>
      </c>
      <c r="AV191" s="37">
        <v>54615</v>
      </c>
      <c r="AW191" s="37" t="str">
        <f>IFERROR(DATEDIF(AH191,AK191,"d"),"0")&amp;"-DAY"</f>
        <v>0-DAY</v>
      </c>
      <c r="AX191" s="37" t="str">
        <f>IFERROR(DATEDIF(B191,AB191,"d"),"0")&amp;"-DAY"</f>
        <v>14-DAY</v>
      </c>
      <c r="AY191" s="37"/>
      <c r="AZ191" s="181">
        <f>L191-AD191</f>
        <v>0</v>
      </c>
    </row>
    <row r="192" spans="1:52" ht="15.5" customHeight="1">
      <c r="A192" s="360" t="s">
        <v>372</v>
      </c>
      <c r="B192" s="340">
        <v>46234</v>
      </c>
      <c r="C192" s="181">
        <v>48695</v>
      </c>
      <c r="D192" s="30">
        <v>46233</v>
      </c>
      <c r="E192" s="30">
        <v>46231</v>
      </c>
      <c r="F192" s="30">
        <v>46245</v>
      </c>
      <c r="G192" s="37">
        <v>4420230257</v>
      </c>
      <c r="H192" s="37" t="s">
        <v>373</v>
      </c>
      <c r="I192" s="37">
        <v>9040009397</v>
      </c>
      <c r="J192" s="37" t="s">
        <v>287</v>
      </c>
      <c r="K192" s="325" t="s">
        <v>288</v>
      </c>
      <c r="L192" s="181">
        <v>5</v>
      </c>
      <c r="M192" s="181" t="s">
        <v>421</v>
      </c>
      <c r="N192" s="37" t="s">
        <v>410</v>
      </c>
      <c r="O192" s="31">
        <f>IF(F192&gt;0,F192-AB192,"")</f>
        <v>-3</v>
      </c>
      <c r="P192" s="37" t="str">
        <f>IF(F192&gt;0,IF(AB192="","PLANNING SUPPLY",IF(AB192&lt;=F192,"ONTIME DELIVERY","DELAY")),"")</f>
        <v>DELAY</v>
      </c>
      <c r="Q192" s="181" t="str">
        <f>IFERROR(IF(J192&gt;0,VLOOKUP(J192,#REF!,MATCH($Q$6,#REF!,0),0),""),"")</f>
        <v/>
      </c>
      <c r="R192" s="181" t="str">
        <f>IFERROR(IF(J192&gt;0,VLOOKUP(J192,#REF!,MATCH($R$6,#REF!,0),0),""),"")</f>
        <v/>
      </c>
      <c r="S192" s="181" t="e">
        <f>IF(I195&gt;0,Q192+R192,"")</f>
        <v>#VALUE!</v>
      </c>
      <c r="T192" s="181"/>
      <c r="U192" s="181"/>
      <c r="V192" s="37"/>
      <c r="W192" s="181" t="e">
        <f>IF(I195&gt;0,IF(S192&gt;L192,"READY STOCK",IF(S192=0,"OUT OF STOCK",IF(S192&lt;L192,"LOW STOCK",""))),"")</f>
        <v>#VALUE!</v>
      </c>
      <c r="X192" s="38"/>
      <c r="Y192" s="38"/>
      <c r="Z192" s="38"/>
      <c r="AA192" s="38"/>
      <c r="AB192" s="50">
        <v>46248</v>
      </c>
      <c r="AC192" s="181">
        <v>33686</v>
      </c>
      <c r="AD192" s="51">
        <v>5</v>
      </c>
      <c r="AE192" s="181" t="s">
        <v>387</v>
      </c>
      <c r="AF192" s="37" t="s">
        <v>381</v>
      </c>
      <c r="AG192" s="33" t="str">
        <f>IF(G192&gt;0,IF(AD192&gt;0,IF(AD192=0,"Waiting",IF(AD192&lt;L192,"Partial",IF(AD192=L192,"Full Supply",IF(AD192&gt;L192,"Over Shared")))),"Waiting"),"")</f>
        <v>Full Supply</v>
      </c>
      <c r="AH192" s="156">
        <v>46239</v>
      </c>
      <c r="AI192" s="37" t="s">
        <v>770</v>
      </c>
      <c r="AJ192" s="181">
        <v>9</v>
      </c>
      <c r="AK192" s="40">
        <v>26041</v>
      </c>
      <c r="AL192" s="218">
        <v>46253</v>
      </c>
      <c r="AM192" s="40">
        <v>9</v>
      </c>
      <c r="AN192" s="37"/>
      <c r="AO192" s="48">
        <v>46255</v>
      </c>
      <c r="AP192" s="37"/>
      <c r="AQ192" s="37"/>
      <c r="AR192" s="37"/>
      <c r="AS192" s="37"/>
      <c r="AT192" s="37">
        <f>AS192-AD192</f>
        <v>-5</v>
      </c>
      <c r="AU192" s="36" t="str">
        <f>IF(AR192=0,"Waiting",IF(AR192&lt;AH192,"Kurang",IF(AR192=AH192,"Sesuai",IF(AR192&gt;AH192,"Over Shared"))))</f>
        <v>Waiting</v>
      </c>
      <c r="AV192" s="37">
        <v>54615</v>
      </c>
      <c r="AW192" s="37" t="str">
        <f>IFERROR(DATEDIF(AH192,AK192,"d"),"0")&amp;"-DAY"</f>
        <v>0-DAY</v>
      </c>
      <c r="AX192" s="37" t="str">
        <f>IFERROR(DATEDIF(B192,AB192,"d"),"0")&amp;"-DAY"</f>
        <v>14-DAY</v>
      </c>
      <c r="AY192" s="37"/>
      <c r="AZ192" s="181">
        <f>L192-AD192</f>
        <v>0</v>
      </c>
    </row>
    <row r="193" spans="1:52" ht="15.5" customHeight="1">
      <c r="A193" s="360" t="s">
        <v>372</v>
      </c>
      <c r="B193" s="340">
        <v>46234</v>
      </c>
      <c r="C193" s="181">
        <v>48695</v>
      </c>
      <c r="D193" s="30">
        <v>46233</v>
      </c>
      <c r="E193" s="30">
        <v>46231</v>
      </c>
      <c r="F193" s="30">
        <v>46245</v>
      </c>
      <c r="G193" s="37">
        <v>4420230257</v>
      </c>
      <c r="H193" s="37" t="s">
        <v>373</v>
      </c>
      <c r="I193" s="37">
        <v>9040009398</v>
      </c>
      <c r="J193" s="37" t="s">
        <v>282</v>
      </c>
      <c r="K193" s="325" t="s">
        <v>283</v>
      </c>
      <c r="L193" s="181">
        <v>5</v>
      </c>
      <c r="M193" s="181" t="s">
        <v>421</v>
      </c>
      <c r="N193" s="37" t="s">
        <v>410</v>
      </c>
      <c r="O193" s="31">
        <f>IF(F193&gt;0,F193-AB193,"")</f>
        <v>-56</v>
      </c>
      <c r="P193" s="37" t="str">
        <f>IF(F193&gt;0,IF(AB193="","PLANNING SUPPLY",IF(AB193&lt;=F193,"ONTIME DELIVERY","DELAY")),"")</f>
        <v>DELAY</v>
      </c>
      <c r="Q193" s="181" t="str">
        <f>IFERROR(IF(J193&gt;0,VLOOKUP(J193,#REF!,MATCH($Q$6,#REF!,0),0),""),"")</f>
        <v/>
      </c>
      <c r="R193" s="181" t="str">
        <f>IFERROR(IF(J193&gt;0,VLOOKUP(J193,#REF!,MATCH($R$6,#REF!,0),0),""),"")</f>
        <v/>
      </c>
      <c r="S193" s="181" t="e">
        <f>IF(I196&gt;0,Q193+R193,"")</f>
        <v>#VALUE!</v>
      </c>
      <c r="T193" s="181"/>
      <c r="U193" s="181"/>
      <c r="V193" s="37"/>
      <c r="W193" s="181" t="e">
        <f>IF(I196&gt;0,IF(S193&gt;L193,"READY STOCK",IF(S193=0,"OUT OF STOCK",IF(S193&lt;L193,"LOW STOCK",""))),"")</f>
        <v>#VALUE!</v>
      </c>
      <c r="X193" s="38"/>
      <c r="Y193" s="38"/>
      <c r="Z193" s="38"/>
      <c r="AA193" s="38"/>
      <c r="AB193" s="57">
        <v>46301</v>
      </c>
      <c r="AC193" s="181">
        <v>347885</v>
      </c>
      <c r="AD193" s="53">
        <v>5</v>
      </c>
      <c r="AE193" s="195" t="s">
        <v>387</v>
      </c>
      <c r="AF193" s="58" t="s">
        <v>381</v>
      </c>
      <c r="AG193" s="33" t="str">
        <f>IF(G193&gt;0,IF(AD193&gt;0,IF(AD193=0,"Waiting",IF(AD193&lt;L193,"Partial",IF(AD193=L193,"Full Supply",IF(AD193&gt;L193,"Over Shared")))),"Waiting"),"")</f>
        <v>Full Supply</v>
      </c>
      <c r="AH193" s="37"/>
      <c r="AI193" s="37"/>
      <c r="AJ193" s="181"/>
      <c r="AK193" s="40"/>
      <c r="AL193" s="40"/>
      <c r="AM193" s="40"/>
      <c r="AN193" s="37"/>
      <c r="AO193" s="34"/>
      <c r="AP193" s="37"/>
      <c r="AQ193" s="37"/>
      <c r="AR193" s="37"/>
      <c r="AS193" s="37"/>
      <c r="AT193" s="37">
        <f>AS193-AD193</f>
        <v>-5</v>
      </c>
      <c r="AU193" s="36" t="str">
        <f>IF(AR193=0,"Waiting",IF(AR193&lt;AH193,"Kurang",IF(AR193=AH193,"Sesuai",IF(AR193&gt;AH193,"Over Shared"))))</f>
        <v>Waiting</v>
      </c>
      <c r="AV193" s="37">
        <v>54615</v>
      </c>
      <c r="AW193" s="37" t="str">
        <f>IFERROR(DATEDIF(AH193,AK193,"d"),"0")&amp;"-DAY"</f>
        <v>0-DAY</v>
      </c>
      <c r="AX193" s="37" t="str">
        <f>IFERROR(DATEDIF(B193,AB193,"d"),"0")&amp;"-DAY"</f>
        <v>67-DAY</v>
      </c>
      <c r="AY193" s="37"/>
      <c r="AZ193" s="181">
        <f>L193-AD193</f>
        <v>0</v>
      </c>
    </row>
    <row r="194" spans="1:52" ht="15.5" customHeight="1">
      <c r="A194" s="360" t="s">
        <v>372</v>
      </c>
      <c r="B194" s="340">
        <v>46234</v>
      </c>
      <c r="C194" s="181">
        <v>48695</v>
      </c>
      <c r="D194" s="30">
        <v>46233</v>
      </c>
      <c r="E194" s="30">
        <v>46231</v>
      </c>
      <c r="F194" s="30">
        <v>46245</v>
      </c>
      <c r="G194" s="37">
        <v>4420230257</v>
      </c>
      <c r="H194" s="37" t="s">
        <v>373</v>
      </c>
      <c r="I194" s="37">
        <v>9040039404</v>
      </c>
      <c r="J194" s="37" t="s">
        <v>295</v>
      </c>
      <c r="K194" s="325" t="s">
        <v>296</v>
      </c>
      <c r="L194" s="181">
        <v>5</v>
      </c>
      <c r="M194" s="181" t="s">
        <v>375</v>
      </c>
      <c r="N194" s="37" t="s">
        <v>410</v>
      </c>
      <c r="O194" s="31">
        <f>IF(F194&gt;0,F194-AB194,"")</f>
        <v>-1</v>
      </c>
      <c r="P194" s="37" t="str">
        <f>IF(F194&gt;0,IF(AB194="","PLANNING SUPPLY",IF(AB194&lt;=F194,"ONTIME DELIVERY","DELAY")),"")</f>
        <v>DELAY</v>
      </c>
      <c r="Q194" s="181" t="str">
        <f>IFERROR(IF(J194&gt;0,VLOOKUP(J194,#REF!,MATCH($Q$6,#REF!,0),0),""),"")</f>
        <v/>
      </c>
      <c r="R194" s="181" t="str">
        <f>IFERROR(IF(J194&gt;0,VLOOKUP(J194,#REF!,MATCH($R$6,#REF!,0),0),""),"")</f>
        <v/>
      </c>
      <c r="S194" s="181" t="e">
        <f>IF(I197&gt;0,Q194+R194,"")</f>
        <v>#VALUE!</v>
      </c>
      <c r="T194" s="181"/>
      <c r="U194" s="181"/>
      <c r="V194" s="37"/>
      <c r="W194" s="181" t="e">
        <f>IF(I197&gt;0,IF(S194&gt;L194,"READY STOCK",IF(S194=0,"OUT OF STOCK",IF(S194&lt;L194,"LOW STOCK",""))),"")</f>
        <v>#VALUE!</v>
      </c>
      <c r="X194" s="38"/>
      <c r="Y194" s="38"/>
      <c r="Z194" s="38"/>
      <c r="AA194" s="38"/>
      <c r="AB194" s="50">
        <v>46246</v>
      </c>
      <c r="AC194" s="181">
        <v>33593</v>
      </c>
      <c r="AD194" s="51">
        <v>5</v>
      </c>
      <c r="AE194" s="181" t="s">
        <v>387</v>
      </c>
      <c r="AF194" s="37" t="s">
        <v>381</v>
      </c>
      <c r="AG194" s="33" t="str">
        <f>IF(G194&gt;0,IF(AD194&gt;0,IF(AD194=0,"Waiting",IF(AD194&lt;L194,"Partial",IF(AD194=L194,"Full Supply",IF(AD194&gt;L194,"Over Shared")))),"Waiting"),"")</f>
        <v>Full Supply</v>
      </c>
      <c r="AH194" s="37"/>
      <c r="AI194" s="37"/>
      <c r="AJ194" s="181"/>
      <c r="AK194" s="40"/>
      <c r="AL194" s="40"/>
      <c r="AM194" s="40"/>
      <c r="AN194" s="37"/>
      <c r="AO194" s="34"/>
      <c r="AP194" s="37"/>
      <c r="AQ194" s="37"/>
      <c r="AR194" s="37"/>
      <c r="AS194" s="37"/>
      <c r="AT194" s="37">
        <f>AS194-AD194</f>
        <v>-5</v>
      </c>
      <c r="AU194" s="36" t="str">
        <f>IF(AR194=0,"Waiting",IF(AR194&lt;AH194,"Kurang",IF(AR194=AH194,"Sesuai",IF(AR194&gt;AH194,"Over Shared"))))</f>
        <v>Waiting</v>
      </c>
      <c r="AV194" s="37">
        <v>54615</v>
      </c>
      <c r="AW194" s="37" t="str">
        <f>IFERROR(DATEDIF(AH194,AK194,"d"),"0")&amp;"-DAY"</f>
        <v>0-DAY</v>
      </c>
      <c r="AX194" s="37" t="str">
        <f>IFERROR(DATEDIF(B194,AB194,"d"),"0")&amp;"-DAY"</f>
        <v>12-DAY</v>
      </c>
      <c r="AY194" s="37"/>
      <c r="AZ194" s="181">
        <f>L194-AD194</f>
        <v>0</v>
      </c>
    </row>
    <row r="195" spans="1:52" ht="15.5" customHeight="1">
      <c r="A195" s="360" t="s">
        <v>372</v>
      </c>
      <c r="B195" s="340">
        <v>46234</v>
      </c>
      <c r="C195" s="181">
        <v>48695</v>
      </c>
      <c r="D195" s="30">
        <v>46233</v>
      </c>
      <c r="E195" s="30">
        <v>46231</v>
      </c>
      <c r="F195" s="30">
        <v>46245</v>
      </c>
      <c r="G195" s="37">
        <v>4420230257</v>
      </c>
      <c r="H195" s="37" t="s">
        <v>373</v>
      </c>
      <c r="I195" s="37">
        <v>9040040409</v>
      </c>
      <c r="J195" s="37" t="s">
        <v>181</v>
      </c>
      <c r="K195" s="325" t="s">
        <v>182</v>
      </c>
      <c r="L195" s="181">
        <v>5</v>
      </c>
      <c r="M195" s="181" t="s">
        <v>375</v>
      </c>
      <c r="N195" s="37" t="s">
        <v>410</v>
      </c>
      <c r="O195" s="31">
        <f>IF(F195&gt;0,F195-AB195,"")</f>
        <v>-69</v>
      </c>
      <c r="P195" s="37" t="str">
        <f>IF(F195&gt;0,IF(AB195="","PLANNING SUPPLY",IF(AB195&lt;=F195,"ONTIME DELIVERY","DELAY")),"")</f>
        <v>DELAY</v>
      </c>
      <c r="Q195" s="181" t="str">
        <f>IFERROR(IF(J195&gt;0,VLOOKUP(J195,#REF!,MATCH($Q$6,#REF!,0),0),""),"")</f>
        <v/>
      </c>
      <c r="R195" s="181" t="str">
        <f>IFERROR(IF(J195&gt;0,VLOOKUP(J195,#REF!,MATCH($R$6,#REF!,0),0),""),"")</f>
        <v/>
      </c>
      <c r="S195" s="181" t="e">
        <f>IF(I198&gt;0,Q195+R195,"")</f>
        <v>#VALUE!</v>
      </c>
      <c r="T195" s="181"/>
      <c r="U195" s="181"/>
      <c r="V195" s="37"/>
      <c r="W195" s="181" t="e">
        <f>IF(I198&gt;0,IF(S195&gt;L195,"READY STOCK",IF(S195=0,"OUT OF STOCK",IF(S195&lt;L195,"LOW STOCK",""))),"")</f>
        <v>#VALUE!</v>
      </c>
      <c r="X195" s="38"/>
      <c r="Y195" s="38"/>
      <c r="Z195" s="38"/>
      <c r="AA195" s="38"/>
      <c r="AB195" s="50">
        <v>46314</v>
      </c>
      <c r="AC195" s="44" t="s">
        <v>1233</v>
      </c>
      <c r="AD195" s="51">
        <v>5</v>
      </c>
      <c r="AE195" s="181" t="s">
        <v>387</v>
      </c>
      <c r="AF195" s="37" t="s">
        <v>381</v>
      </c>
      <c r="AG195" s="33" t="str">
        <f>IF(G195&gt;0,IF(AD195&gt;0,IF(AD195=0,"Waiting",IF(AD195&lt;L195,"Partial",IF(AD195=L195,"Full Supply",IF(AD195&gt;L195,"Over Shared")))),"Waiting"),"")</f>
        <v>Full Supply</v>
      </c>
      <c r="AH195" s="56">
        <v>46262</v>
      </c>
      <c r="AI195" s="37" t="s">
        <v>538</v>
      </c>
      <c r="AJ195" s="181" t="s">
        <v>539</v>
      </c>
      <c r="AK195" s="40"/>
      <c r="AL195" s="40"/>
      <c r="AM195" s="40"/>
      <c r="AN195" s="227" t="s">
        <v>469</v>
      </c>
      <c r="AO195" s="41">
        <v>46288</v>
      </c>
      <c r="AP195" s="37"/>
      <c r="AQ195" s="37"/>
      <c r="AR195" s="37"/>
      <c r="AS195" s="37"/>
      <c r="AT195" s="37">
        <f>AS195-AD195</f>
        <v>-5</v>
      </c>
      <c r="AU195" s="36" t="str">
        <f>IF(AR195=0,"Waiting",IF(AR195&lt;AH195,"Kurang",IF(AR195=AH195,"Sesuai",IF(AR195&gt;AH195,"Over Shared"))))</f>
        <v>Waiting</v>
      </c>
      <c r="AV195" s="37"/>
      <c r="AW195" s="37" t="str">
        <f>IFERROR(DATEDIF(AH195,AK195,"d"),"0")&amp;"-DAY"</f>
        <v>0-DAY</v>
      </c>
      <c r="AX195" s="37" t="str">
        <f>IFERROR(DATEDIF(B195,AB195,"d"),"0")&amp;"-DAY"</f>
        <v>80-DAY</v>
      </c>
      <c r="AY195" s="37"/>
      <c r="AZ195" s="181">
        <f>L195-AD195</f>
        <v>0</v>
      </c>
    </row>
    <row r="196" spans="1:52" ht="15.5" customHeight="1">
      <c r="A196" s="360" t="s">
        <v>372</v>
      </c>
      <c r="B196" s="340">
        <v>46234</v>
      </c>
      <c r="C196" s="181">
        <v>48695</v>
      </c>
      <c r="D196" s="30">
        <v>46233</v>
      </c>
      <c r="E196" s="30">
        <v>46231</v>
      </c>
      <c r="F196" s="30">
        <v>46245</v>
      </c>
      <c r="G196" s="37">
        <v>4420230257</v>
      </c>
      <c r="H196" s="37" t="s">
        <v>373</v>
      </c>
      <c r="I196" s="37">
        <v>9040054918</v>
      </c>
      <c r="J196" s="37" t="s">
        <v>308</v>
      </c>
      <c r="K196" s="325" t="s">
        <v>309</v>
      </c>
      <c r="L196" s="181">
        <v>5</v>
      </c>
      <c r="M196" s="181" t="s">
        <v>421</v>
      </c>
      <c r="N196" s="37" t="s">
        <v>410</v>
      </c>
      <c r="O196" s="31">
        <f>IF(F196&gt;0,F196-AB196,"")</f>
        <v>-44</v>
      </c>
      <c r="P196" s="37" t="str">
        <f>IF(F196&gt;0,IF(AB196="","PLANNING SUPPLY",IF(AB196&lt;=F196,"ONTIME DELIVERY","DELAY")),"")</f>
        <v>DELAY</v>
      </c>
      <c r="Q196" s="181" t="str">
        <f>IFERROR(IF(J196&gt;0,VLOOKUP(J196,#REF!,MATCH($Q$6,#REF!,0),0),""),"")</f>
        <v/>
      </c>
      <c r="R196" s="181" t="str">
        <f>IFERROR(IF(J196&gt;0,VLOOKUP(J196,#REF!,MATCH($R$6,#REF!,0),0),""),"")</f>
        <v/>
      </c>
      <c r="S196" s="181" t="e">
        <f>IF(I199&gt;0,Q196+R196,"")</f>
        <v>#VALUE!</v>
      </c>
      <c r="T196" s="181"/>
      <c r="U196" s="181"/>
      <c r="V196" s="37"/>
      <c r="W196" s="181" t="e">
        <f>IF(I199&gt;0,IF(S196&gt;L196,"READY STOCK",IF(S196=0,"OUT OF STOCK",IF(S196&lt;L196,"LOW STOCK",""))),"")</f>
        <v>#VALUE!</v>
      </c>
      <c r="X196" s="38"/>
      <c r="Y196" s="38"/>
      <c r="Z196" s="38"/>
      <c r="AA196" s="38"/>
      <c r="AB196" s="50">
        <v>46289</v>
      </c>
      <c r="AC196" s="181">
        <v>34548</v>
      </c>
      <c r="AD196" s="51">
        <v>5</v>
      </c>
      <c r="AE196" s="181" t="s">
        <v>383</v>
      </c>
      <c r="AF196" s="37" t="s">
        <v>381</v>
      </c>
      <c r="AG196" s="33" t="str">
        <f>IF(G196&gt;0,IF(AD196&gt;0,IF(AD196=0,"Waiting",IF(AD196&lt;L196,"Partial",IF(AD196=L196,"Full Supply",IF(AD196&gt;L196,"Over Shared")))),"Waiting"),"")</f>
        <v>Full Supply</v>
      </c>
      <c r="AH196" s="37"/>
      <c r="AI196" s="37"/>
      <c r="AJ196" s="181"/>
      <c r="AK196" s="40"/>
      <c r="AL196" s="40"/>
      <c r="AM196" s="40"/>
      <c r="AN196" s="37"/>
      <c r="AO196" s="34"/>
      <c r="AP196" s="37"/>
      <c r="AQ196" s="37"/>
      <c r="AR196" s="37"/>
      <c r="AS196" s="37"/>
      <c r="AT196" s="37">
        <f>AS196-AD196</f>
        <v>-5</v>
      </c>
      <c r="AU196" s="36" t="str">
        <f>IF(AR196=0,"Waiting",IF(AR196&lt;AH196,"Kurang",IF(AR196=AH196,"Sesuai",IF(AR196&gt;AH196,"Over Shared"))))</f>
        <v>Waiting</v>
      </c>
      <c r="AV196" s="37"/>
      <c r="AW196" s="37" t="str">
        <f>IFERROR(DATEDIF(AH196,AK196,"d"),"0")&amp;"-DAY"</f>
        <v>0-DAY</v>
      </c>
      <c r="AX196" s="37" t="str">
        <f>IFERROR(DATEDIF(B196,AB196,"d"),"0")&amp;"-DAY"</f>
        <v>55-DAY</v>
      </c>
      <c r="AY196" s="37"/>
      <c r="AZ196" s="181">
        <f>L196-AD196</f>
        <v>0</v>
      </c>
    </row>
    <row r="197" spans="1:52" ht="15.5" customHeight="1">
      <c r="A197" s="360" t="s">
        <v>372</v>
      </c>
      <c r="B197" s="340">
        <v>46234</v>
      </c>
      <c r="C197" s="181">
        <v>48698</v>
      </c>
      <c r="D197" s="30">
        <v>46234</v>
      </c>
      <c r="E197" s="30">
        <v>46231</v>
      </c>
      <c r="F197" s="30">
        <v>46233</v>
      </c>
      <c r="G197" s="37">
        <v>4420230248</v>
      </c>
      <c r="H197" s="37" t="s">
        <v>373</v>
      </c>
      <c r="I197" s="37">
        <v>9040040486</v>
      </c>
      <c r="J197" s="37" t="s">
        <v>165</v>
      </c>
      <c r="K197" s="325" t="s">
        <v>166</v>
      </c>
      <c r="L197" s="181">
        <v>9</v>
      </c>
      <c r="M197" s="181" t="s">
        <v>375</v>
      </c>
      <c r="N197" s="37" t="s">
        <v>451</v>
      </c>
      <c r="O197" s="31">
        <f>IF(F197&gt;0,F197-AB197,"")</f>
        <v>-20</v>
      </c>
      <c r="P197" s="37" t="str">
        <f>IF(F197&gt;0,IF(AB197="","PLANNING SUPPLY",IF(AB197&lt;=F197,"ONTIME DELIVERY","DELAY")),"")</f>
        <v>DELAY</v>
      </c>
      <c r="Q197" s="181" t="str">
        <f>IFERROR(IF(J197&gt;0,VLOOKUP(J197,#REF!,MATCH($Q$6,#REF!,0),0),""),"")</f>
        <v/>
      </c>
      <c r="R197" s="181" t="str">
        <f>IFERROR(IF(J197&gt;0,VLOOKUP(J197,#REF!,MATCH($R$6,#REF!,0),0),""),"")</f>
        <v/>
      </c>
      <c r="S197" s="181" t="e">
        <f>IF(I200&gt;0,Q197+R197,"")</f>
        <v>#VALUE!</v>
      </c>
      <c r="T197" s="181"/>
      <c r="U197" s="181"/>
      <c r="V197" s="37"/>
      <c r="W197" s="181" t="e">
        <f>IF(I200&gt;0,IF(S197&gt;L197,"READY STOCK",IF(S197=0,"OUT OF STOCK",IF(S197&lt;L197,"LOW STOCK",""))),"")</f>
        <v>#VALUE!</v>
      </c>
      <c r="X197" s="38"/>
      <c r="Y197" s="38"/>
      <c r="Z197" s="38"/>
      <c r="AA197" s="38"/>
      <c r="AB197" s="50">
        <v>46253</v>
      </c>
      <c r="AC197" s="181">
        <v>33745</v>
      </c>
      <c r="AD197" s="51">
        <v>9</v>
      </c>
      <c r="AE197" s="37" t="s">
        <v>383</v>
      </c>
      <c r="AF197" s="37" t="s">
        <v>381</v>
      </c>
      <c r="AG197" s="33" t="str">
        <f>IF(G197&gt;0,IF(AD197&gt;0,IF(AD197=0,"Waiting",IF(AD197&lt;L197,"Partial",IF(AD197=L197,"Full Supply",IF(AD197&gt;L197,"Over Shared")))),"Waiting"),"")</f>
        <v>Full Supply</v>
      </c>
      <c r="AH197" s="37"/>
      <c r="AI197" s="37"/>
      <c r="AJ197" s="181"/>
      <c r="AK197" s="40"/>
      <c r="AL197" s="40"/>
      <c r="AM197" s="40"/>
      <c r="AN197" s="37"/>
      <c r="AO197" s="34"/>
      <c r="AP197" s="37"/>
      <c r="AQ197" s="37"/>
      <c r="AR197" s="37"/>
      <c r="AS197" s="37"/>
      <c r="AT197" s="37">
        <f>AS197-AD197</f>
        <v>-9</v>
      </c>
      <c r="AU197" s="36" t="str">
        <f>IF(AR197=0,"Waiting",IF(AR197&lt;AH197,"Kurang",IF(AR197=AH197,"Sesuai",IF(AR197&gt;AH197,"Over Shared"))))</f>
        <v>Waiting</v>
      </c>
      <c r="AV197" s="37"/>
      <c r="AW197" s="37" t="str">
        <f>IFERROR(DATEDIF(AH197,AK197,"d"),"0")&amp;"-DAY"</f>
        <v>0-DAY</v>
      </c>
      <c r="AX197" s="37" t="str">
        <f>IFERROR(DATEDIF(B197,AB197,"d"),"0")&amp;"-DAY"</f>
        <v>19-DAY</v>
      </c>
      <c r="AY197" s="37"/>
      <c r="AZ197" s="181">
        <f>L197-AD197</f>
        <v>0</v>
      </c>
    </row>
    <row r="198" spans="1:52" ht="15.5" customHeight="1">
      <c r="A198" s="360" t="s">
        <v>372</v>
      </c>
      <c r="B198" s="340">
        <v>46234</v>
      </c>
      <c r="C198" s="181">
        <v>48698</v>
      </c>
      <c r="D198" s="30">
        <v>46234</v>
      </c>
      <c r="E198" s="30">
        <v>46231</v>
      </c>
      <c r="F198" s="30">
        <v>46233</v>
      </c>
      <c r="G198" s="37">
        <v>4420230248</v>
      </c>
      <c r="H198" s="37" t="s">
        <v>373</v>
      </c>
      <c r="I198" s="37">
        <v>9040040636</v>
      </c>
      <c r="J198" s="37" t="s">
        <v>167</v>
      </c>
      <c r="K198" s="325" t="s">
        <v>168</v>
      </c>
      <c r="L198" s="181">
        <v>18</v>
      </c>
      <c r="M198" s="181" t="s">
        <v>375</v>
      </c>
      <c r="N198" s="37" t="s">
        <v>451</v>
      </c>
      <c r="O198" s="31">
        <f>IF(F198&gt;0,F198-AB198,"")</f>
        <v>-13</v>
      </c>
      <c r="P198" s="37" t="str">
        <f>IF(F198&gt;0,IF(AB198="","PLANNING SUPPLY",IF(AB198&lt;=F198,"ONTIME DELIVERY","DELAY")),"")</f>
        <v>DELAY</v>
      </c>
      <c r="Q198" s="181" t="str">
        <f>IFERROR(IF(J198&gt;0,VLOOKUP(J198,#REF!,MATCH($Q$6,#REF!,0),0),""),"")</f>
        <v/>
      </c>
      <c r="R198" s="181" t="str">
        <f>IFERROR(IF(J198&gt;0,VLOOKUP(J198,#REF!,MATCH($R$6,#REF!,0),0),""),"")</f>
        <v/>
      </c>
      <c r="S198" s="181" t="e">
        <f>IF(I201&gt;0,Q198+R198,"")</f>
        <v>#VALUE!</v>
      </c>
      <c r="T198" s="181"/>
      <c r="U198" s="181"/>
      <c r="V198" s="37"/>
      <c r="W198" s="181" t="e">
        <f>IF(I201&gt;0,IF(S198&gt;L198,"READY STOCK",IF(S198=0,"OUT OF STOCK",IF(S198&lt;L198,"LOW STOCK",""))),"")</f>
        <v>#VALUE!</v>
      </c>
      <c r="X198" s="38"/>
      <c r="Y198" s="38"/>
      <c r="Z198" s="38"/>
      <c r="AA198" s="38"/>
      <c r="AB198" s="50">
        <v>46246</v>
      </c>
      <c r="AC198" s="181">
        <v>33571</v>
      </c>
      <c r="AD198" s="51">
        <v>18</v>
      </c>
      <c r="AE198" s="37" t="s">
        <v>387</v>
      </c>
      <c r="AF198" s="37" t="s">
        <v>381</v>
      </c>
      <c r="AG198" s="33" t="str">
        <f>IF(G198&gt;0,IF(AD198&gt;0,IF(AD198=0,"Waiting",IF(AD198&lt;L198,"Partial",IF(AD198=L198,"Full Supply",IF(AD198&gt;L198,"Over Shared")))),"Waiting"),"")</f>
        <v>Full Supply</v>
      </c>
      <c r="AH198" s="37"/>
      <c r="AI198" s="37"/>
      <c r="AJ198" s="181"/>
      <c r="AK198" s="40"/>
      <c r="AL198" s="40"/>
      <c r="AM198" s="40"/>
      <c r="AN198" s="37"/>
      <c r="AO198" s="34"/>
      <c r="AP198" s="37"/>
      <c r="AQ198" s="37"/>
      <c r="AR198" s="37"/>
      <c r="AS198" s="37"/>
      <c r="AT198" s="37">
        <f>AS198-AD198</f>
        <v>-18</v>
      </c>
      <c r="AU198" s="36" t="str">
        <f>IF(AR198=0,"Waiting",IF(AR198&lt;AH198,"Kurang",IF(AR198=AH198,"Sesuai",IF(AR198&gt;AH198,"Over Shared"))))</f>
        <v>Waiting</v>
      </c>
      <c r="AV198" s="37"/>
      <c r="AW198" s="37" t="str">
        <f>IFERROR(DATEDIF(AH198,AK198,"d"),"0")&amp;"-DAY"</f>
        <v>0-DAY</v>
      </c>
      <c r="AX198" s="37" t="str">
        <f>IFERROR(DATEDIF(B198,AB198,"d"),"0")&amp;"-DAY"</f>
        <v>12-DAY</v>
      </c>
      <c r="AY198" s="37"/>
      <c r="AZ198" s="181">
        <f>L198-AD198</f>
        <v>0</v>
      </c>
    </row>
    <row r="199" spans="1:52" ht="15.5" customHeight="1">
      <c r="A199" s="360" t="s">
        <v>372</v>
      </c>
      <c r="B199" s="340">
        <v>46234</v>
      </c>
      <c r="C199" s="181">
        <v>48699</v>
      </c>
      <c r="D199" s="30">
        <v>46234</v>
      </c>
      <c r="E199" s="30">
        <v>46231</v>
      </c>
      <c r="F199" s="30">
        <v>46250</v>
      </c>
      <c r="G199" s="37">
        <v>4420230184</v>
      </c>
      <c r="H199" s="37" t="s">
        <v>373</v>
      </c>
      <c r="I199" s="37">
        <v>9040129167</v>
      </c>
      <c r="J199" s="37" t="s">
        <v>272</v>
      </c>
      <c r="K199" s="325" t="s">
        <v>273</v>
      </c>
      <c r="L199" s="181">
        <v>2</v>
      </c>
      <c r="M199" s="181" t="s">
        <v>375</v>
      </c>
      <c r="N199" s="37" t="s">
        <v>431</v>
      </c>
      <c r="O199" s="31">
        <f>IF(F199&gt;0,F199-AB199,"")</f>
        <v>13</v>
      </c>
      <c r="P199" s="37" t="str">
        <f>IF(F199&gt;0,IF(AB199="","PLANNING SUPPLY",IF(AB199&lt;=F199,"ONTIME DELIVERY","DELAY")),"")</f>
        <v>ONTIME DELIVERY</v>
      </c>
      <c r="Q199" s="181" t="str">
        <f>IFERROR(IF(J199&gt;0,VLOOKUP(J199,#REF!,MATCH($Q$6,#REF!,0),0),""),"")</f>
        <v/>
      </c>
      <c r="R199" s="181" t="str">
        <f>IFERROR(IF(J199&gt;0,VLOOKUP(J199,#REF!,MATCH($R$6,#REF!,0),0),""),"")</f>
        <v/>
      </c>
      <c r="S199" s="181" t="e">
        <f>IF(I202&gt;0,Q199+R199,"")</f>
        <v>#VALUE!</v>
      </c>
      <c r="T199" s="181"/>
      <c r="U199" s="181"/>
      <c r="V199" s="37"/>
      <c r="W199" s="181" t="e">
        <f>IF(I202&gt;0,IF(S199&gt;L199,"READY STOCK",IF(S199=0,"OUT OF STOCK",IF(S199&lt;L199,"LOW STOCK",""))),"")</f>
        <v>#VALUE!</v>
      </c>
      <c r="X199" s="38"/>
      <c r="Y199" s="38"/>
      <c r="Z199" s="38"/>
      <c r="AA199" s="38"/>
      <c r="AB199" s="50">
        <v>46237</v>
      </c>
      <c r="AC199" s="181">
        <v>33339</v>
      </c>
      <c r="AD199" s="51">
        <v>2</v>
      </c>
      <c r="AE199" s="37" t="s">
        <v>383</v>
      </c>
      <c r="AF199" s="37" t="s">
        <v>381</v>
      </c>
      <c r="AG199" s="33" t="str">
        <f>IF(G199&gt;0,IF(AD199&gt;0,IF(AD199=0,"Waiting",IF(AD199&lt;L199,"Partial",IF(AD199=L199,"Full Supply",IF(AD199&gt;L199,"Over Shared")))),"Waiting"),"")</f>
        <v>Full Supply</v>
      </c>
      <c r="AH199" s="37"/>
      <c r="AI199" s="37"/>
      <c r="AJ199" s="181"/>
      <c r="AK199" s="40"/>
      <c r="AL199" s="40"/>
      <c r="AM199" s="40"/>
      <c r="AN199" s="37"/>
      <c r="AO199" s="34"/>
      <c r="AP199" s="37"/>
      <c r="AQ199" s="37"/>
      <c r="AR199" s="37"/>
      <c r="AS199" s="37"/>
      <c r="AT199" s="37">
        <f>AS199-AD199</f>
        <v>-2</v>
      </c>
      <c r="AU199" s="36" t="str">
        <f>IF(AR199=0,"Waiting",IF(AR199&lt;AH199,"Kurang",IF(AR199=AH199,"Sesuai",IF(AR199&gt;AH199,"Over Shared"))))</f>
        <v>Waiting</v>
      </c>
      <c r="AV199" s="37"/>
      <c r="AW199" s="37" t="str">
        <f>IFERROR(DATEDIF(AH199,AK199,"d"),"0")&amp;"-DAY"</f>
        <v>0-DAY</v>
      </c>
      <c r="AX199" s="37" t="str">
        <f>IFERROR(DATEDIF(B199,AB199,"d"),"0")&amp;"-DAY"</f>
        <v>3-DAY</v>
      </c>
      <c r="AY199" s="37"/>
      <c r="AZ199" s="181">
        <f>L199-AD199</f>
        <v>0</v>
      </c>
    </row>
    <row r="200" spans="1:52" ht="15.5" customHeight="1">
      <c r="A200" s="360" t="s">
        <v>372</v>
      </c>
      <c r="B200" s="340">
        <v>46234</v>
      </c>
      <c r="C200" s="181">
        <v>48706</v>
      </c>
      <c r="D200" s="30">
        <v>46234</v>
      </c>
      <c r="E200" s="30">
        <v>46231</v>
      </c>
      <c r="F200" s="30">
        <v>46241</v>
      </c>
      <c r="G200" s="37">
        <v>4420230188</v>
      </c>
      <c r="H200" s="37" t="s">
        <v>373</v>
      </c>
      <c r="I200" s="37">
        <v>9040040891</v>
      </c>
      <c r="J200" s="37" t="s">
        <v>313</v>
      </c>
      <c r="K200" s="325" t="s">
        <v>314</v>
      </c>
      <c r="L200" s="181">
        <v>1</v>
      </c>
      <c r="M200" s="181" t="s">
        <v>375</v>
      </c>
      <c r="N200" s="37" t="s">
        <v>432</v>
      </c>
      <c r="O200" s="31">
        <f>IF(F200&gt;0,F200-AB200,"")</f>
        <v>-3</v>
      </c>
      <c r="P200" s="37" t="str">
        <f>IF(F200&gt;0,IF(AB200="","PLANNING SUPPLY",IF(AB200&lt;=F200,"ONTIME DELIVERY","DELAY")),"")</f>
        <v>DELAY</v>
      </c>
      <c r="Q200" s="181" t="str">
        <f>IFERROR(IF(J200&gt;0,VLOOKUP(J200,#REF!,MATCH($Q$6,#REF!,0),0),""),"")</f>
        <v/>
      </c>
      <c r="R200" s="181" t="str">
        <f>IFERROR(IF(J200&gt;0,VLOOKUP(J200,#REF!,MATCH($R$6,#REF!,0),0),""),"")</f>
        <v/>
      </c>
      <c r="S200" s="181" t="e">
        <f>IF(I203&gt;0,Q200+R200,"")</f>
        <v>#VALUE!</v>
      </c>
      <c r="T200" s="181"/>
      <c r="U200" s="181"/>
      <c r="V200" s="37"/>
      <c r="W200" s="181" t="e">
        <f>IF(I203&gt;0,IF(S200&gt;L200,"READY STOCK",IF(S200=0,"OUT OF STOCK",IF(S200&lt;L200,"LOW STOCK",""))),"")</f>
        <v>#VALUE!</v>
      </c>
      <c r="X200" s="38"/>
      <c r="Y200" s="38"/>
      <c r="Z200" s="38"/>
      <c r="AA200" s="38"/>
      <c r="AB200" s="50">
        <v>46244</v>
      </c>
      <c r="AC200" s="181">
        <v>33533</v>
      </c>
      <c r="AD200" s="51">
        <v>1</v>
      </c>
      <c r="AE200" s="37" t="s">
        <v>387</v>
      </c>
      <c r="AF200" s="37" t="s">
        <v>381</v>
      </c>
      <c r="AG200" s="33" t="str">
        <f>IF(G200&gt;0,IF(AD200&gt;0,IF(AD200=0,"Waiting",IF(AD200&lt;L200,"Partial",IF(AD200=L200,"Full Supply",IF(AD200&gt;L200,"Over Shared")))),"Waiting"),"")</f>
        <v>Full Supply</v>
      </c>
      <c r="AH200" s="37"/>
      <c r="AI200" s="37"/>
      <c r="AJ200" s="181"/>
      <c r="AK200" s="40"/>
      <c r="AL200" s="40"/>
      <c r="AM200" s="40"/>
      <c r="AN200" s="37"/>
      <c r="AO200" s="34"/>
      <c r="AP200" s="37"/>
      <c r="AQ200" s="37"/>
      <c r="AR200" s="37"/>
      <c r="AS200" s="37"/>
      <c r="AT200" s="37">
        <f>AS200-AD200</f>
        <v>-1</v>
      </c>
      <c r="AU200" s="36" t="str">
        <f>IF(AR200=0,"Waiting",IF(AR200&lt;AH200,"Kurang",IF(AR200=AH200,"Sesuai",IF(AR200&gt;AH200,"Over Shared"))))</f>
        <v>Waiting</v>
      </c>
      <c r="AV200" s="37"/>
      <c r="AW200" s="37" t="str">
        <f>IFERROR(DATEDIF(AH200,AK200,"d"),"0")&amp;"-DAY"</f>
        <v>0-DAY</v>
      </c>
      <c r="AX200" s="37" t="str">
        <f>IFERROR(DATEDIF(B200,AB200,"d"),"0")&amp;"-DAY"</f>
        <v>10-DAY</v>
      </c>
      <c r="AY200" s="37"/>
      <c r="AZ200" s="181">
        <f>L200-AD200</f>
        <v>0</v>
      </c>
    </row>
    <row r="201" spans="1:52" ht="15.5" customHeight="1">
      <c r="A201" s="360" t="s">
        <v>372</v>
      </c>
      <c r="B201" s="340">
        <v>46238</v>
      </c>
      <c r="C201" s="181">
        <v>48957</v>
      </c>
      <c r="D201" s="30">
        <v>46237</v>
      </c>
      <c r="E201" s="30">
        <v>46235</v>
      </c>
      <c r="F201" s="30">
        <v>46241</v>
      </c>
      <c r="G201" s="37">
        <v>4420230513</v>
      </c>
      <c r="H201" s="37" t="s">
        <v>373</v>
      </c>
      <c r="I201" s="37">
        <v>9040076744</v>
      </c>
      <c r="J201" s="37" t="s">
        <v>3</v>
      </c>
      <c r="K201" s="325" t="s">
        <v>4</v>
      </c>
      <c r="L201" s="181">
        <v>2</v>
      </c>
      <c r="M201" s="181" t="s">
        <v>375</v>
      </c>
      <c r="N201" s="37" t="s">
        <v>384</v>
      </c>
      <c r="O201" s="31">
        <f>IF(F201&gt;0,F201-AB201,"")</f>
        <v>2</v>
      </c>
      <c r="P201" s="37" t="str">
        <f>IF(F201&gt;0,IF(AB201="","PLANNING SUPPLY",IF(AB201&lt;=F201,"ONTIME DELIVERY","DELAY")),"")</f>
        <v>ONTIME DELIVERY</v>
      </c>
      <c r="Q201" s="181" t="str">
        <f>IFERROR(IF(J201&gt;0,VLOOKUP(J201,#REF!,MATCH($Q$6,#REF!,0),0),""),"")</f>
        <v/>
      </c>
      <c r="R201" s="181" t="str">
        <f>IFERROR(IF(J201&gt;0,VLOOKUP(J201,#REF!,MATCH($R$6,#REF!,0),0),""),"")</f>
        <v/>
      </c>
      <c r="S201" s="181" t="e">
        <f>IF(I204&gt;0,Q201+R201,"")</f>
        <v>#VALUE!</v>
      </c>
      <c r="T201" s="181"/>
      <c r="U201" s="181"/>
      <c r="V201" s="37"/>
      <c r="W201" s="181" t="e">
        <f>IF(I204&gt;0,IF(S201&gt;L201,"READY STOCK",IF(S201=0,"OUT OF STOCK",IF(S201&lt;L201,"LOW STOCK",""))),"")</f>
        <v>#VALUE!</v>
      </c>
      <c r="X201" s="38"/>
      <c r="Y201" s="38"/>
      <c r="Z201" s="38"/>
      <c r="AA201" s="38"/>
      <c r="AB201" s="50">
        <v>46239</v>
      </c>
      <c r="AC201" s="181">
        <v>33416</v>
      </c>
      <c r="AD201" s="51">
        <v>2</v>
      </c>
      <c r="AE201" s="37" t="s">
        <v>383</v>
      </c>
      <c r="AF201" s="37" t="s">
        <v>381</v>
      </c>
      <c r="AG201" s="33" t="str">
        <f>IF(G201&gt;0,IF(AD201&gt;0,IF(AD201=0,"Waiting",IF(AD201&lt;L201,"Partial",IF(AD201=L201,"Full Supply",IF(AD201&gt;L201,"Over Shared")))),"Waiting"),"")</f>
        <v>Full Supply</v>
      </c>
      <c r="AH201" s="37"/>
      <c r="AI201" s="37"/>
      <c r="AJ201" s="181"/>
      <c r="AK201" s="40"/>
      <c r="AL201" s="40"/>
      <c r="AM201" s="40"/>
      <c r="AN201" s="37"/>
      <c r="AO201" s="34"/>
      <c r="AP201" s="37"/>
      <c r="AQ201" s="37"/>
      <c r="AR201" s="37"/>
      <c r="AS201" s="37"/>
      <c r="AT201" s="37">
        <f>AS201-AD201</f>
        <v>-2</v>
      </c>
      <c r="AU201" s="36" t="str">
        <f>IF(AR201=0,"Waiting",IF(AR201&lt;AH201,"Kurang",IF(AR201=AH201,"Sesuai",IF(AR201&gt;AH201,"Over Shared"))))</f>
        <v>Waiting</v>
      </c>
      <c r="AV201" s="37"/>
      <c r="AW201" s="37" t="str">
        <f>IFERROR(DATEDIF(AH201,AK201,"d"),"0")&amp;"-DAY"</f>
        <v>0-DAY</v>
      </c>
      <c r="AX201" s="37" t="str">
        <f>IFERROR(DATEDIF(B201,AB201,"d"),"0")&amp;"-DAY"</f>
        <v>1-DAY</v>
      </c>
      <c r="AY201" s="37"/>
      <c r="AZ201" s="181">
        <f>L201-AD201</f>
        <v>0</v>
      </c>
    </row>
    <row r="202" spans="1:52" ht="15.5" customHeight="1">
      <c r="A202" s="360" t="s">
        <v>372</v>
      </c>
      <c r="B202" s="340">
        <v>46238</v>
      </c>
      <c r="C202" s="181">
        <v>48957</v>
      </c>
      <c r="D202" s="30">
        <v>46237</v>
      </c>
      <c r="E202" s="30">
        <v>46235</v>
      </c>
      <c r="F202" s="30">
        <v>46241</v>
      </c>
      <c r="G202" s="37">
        <v>4420230513</v>
      </c>
      <c r="H202" s="37" t="s">
        <v>373</v>
      </c>
      <c r="I202" s="37">
        <v>9040054606</v>
      </c>
      <c r="J202" s="37" t="s">
        <v>215</v>
      </c>
      <c r="K202" s="325" t="s">
        <v>216</v>
      </c>
      <c r="L202" s="181">
        <v>100</v>
      </c>
      <c r="M202" s="181" t="s">
        <v>375</v>
      </c>
      <c r="N202" s="37" t="s">
        <v>384</v>
      </c>
      <c r="O202" s="31">
        <f>IF(F202&gt;0,F202-AB202,"")</f>
        <v>-27</v>
      </c>
      <c r="P202" s="37" t="str">
        <f>IF(F202&gt;0,IF(AB202="","PLANNING SUPPLY",IF(AB202&lt;=F202,"ONTIME DELIVERY","DELAY")),"")</f>
        <v>DELAY</v>
      </c>
      <c r="Q202" s="181" t="str">
        <f>IFERROR(IF(J202&gt;0,VLOOKUP(J202,#REF!,MATCH($Q$6,#REF!,0),0),""),"")</f>
        <v/>
      </c>
      <c r="R202" s="181" t="str">
        <f>IFERROR(IF(J202&gt;0,VLOOKUP(J202,#REF!,MATCH($R$6,#REF!,0),0),""),"")</f>
        <v/>
      </c>
      <c r="S202" s="181" t="e">
        <f>IF(I205&gt;0,Q202+R202,"")</f>
        <v>#VALUE!</v>
      </c>
      <c r="T202" s="181"/>
      <c r="U202" s="181"/>
      <c r="V202" s="37"/>
      <c r="W202" s="181" t="e">
        <f>IF(I205&gt;0,IF(S202&gt;L202,"READY STOCK",IF(S202=0,"OUT OF STOCK",IF(S202&lt;L202,"LOW STOCK",""))),"")</f>
        <v>#VALUE!</v>
      </c>
      <c r="X202" s="38"/>
      <c r="Y202" s="38"/>
      <c r="Z202" s="38"/>
      <c r="AA202" s="38"/>
      <c r="AB202" s="50">
        <v>46268</v>
      </c>
      <c r="AC202" s="181">
        <v>34014</v>
      </c>
      <c r="AD202" s="51">
        <v>100</v>
      </c>
      <c r="AE202" s="37" t="s">
        <v>383</v>
      </c>
      <c r="AF202" s="37" t="s">
        <v>381</v>
      </c>
      <c r="AG202" s="33" t="str">
        <f>IF(G202&gt;0,IF(AD202&gt;0,IF(AD202=0,"Waiting",IF(AD202&lt;L202,"Partial",IF(AD202=L202,"Full Supply",IF(AD202&gt;L202,"Over Shared")))),"Waiting"),"")</f>
        <v>Full Supply</v>
      </c>
      <c r="AH202" s="156">
        <v>46239</v>
      </c>
      <c r="AI202" s="37" t="s">
        <v>770</v>
      </c>
      <c r="AJ202" s="181">
        <v>102</v>
      </c>
      <c r="AK202" s="40">
        <v>25646</v>
      </c>
      <c r="AL202" s="218">
        <v>46218</v>
      </c>
      <c r="AM202" s="40">
        <v>300</v>
      </c>
      <c r="AN202" s="212"/>
      <c r="AO202" s="41">
        <v>46254</v>
      </c>
      <c r="AP202" s="37"/>
      <c r="AQ202" s="37"/>
      <c r="AR202" s="37"/>
      <c r="AS202" s="37"/>
      <c r="AT202" s="37">
        <f>AS202-AD202</f>
        <v>-100</v>
      </c>
      <c r="AU202" s="36" t="str">
        <f>IF(AR202=0,"Waiting",IF(AR202&lt;AH202,"Kurang",IF(AR202=AH202,"Sesuai",IF(AR202&gt;AH202,"Over Shared"))))</f>
        <v>Waiting</v>
      </c>
      <c r="AV202" s="37"/>
      <c r="AW202" s="37" t="str">
        <f>IFERROR(DATEDIF(AH202,AK202,"d"),"0")&amp;"-DAY"</f>
        <v>0-DAY</v>
      </c>
      <c r="AX202" s="37" t="str">
        <f>IFERROR(DATEDIF(B202,AB202,"d"),"0")&amp;"-DAY"</f>
        <v>30-DAY</v>
      </c>
      <c r="AY202" s="37"/>
      <c r="AZ202" s="181">
        <f>L202-AD202</f>
        <v>0</v>
      </c>
    </row>
    <row r="203" spans="1:52" ht="15.5" customHeight="1">
      <c r="A203" s="360" t="s">
        <v>372</v>
      </c>
      <c r="B203" s="340">
        <v>46238</v>
      </c>
      <c r="C203" s="181">
        <v>48957</v>
      </c>
      <c r="D203" s="30">
        <v>46237</v>
      </c>
      <c r="E203" s="30">
        <v>46235</v>
      </c>
      <c r="F203" s="30">
        <v>46241</v>
      </c>
      <c r="G203" s="37">
        <v>4420230513</v>
      </c>
      <c r="H203" s="37" t="s">
        <v>373</v>
      </c>
      <c r="I203" s="37">
        <v>9040058616</v>
      </c>
      <c r="J203" s="37" t="s">
        <v>213</v>
      </c>
      <c r="K203" s="325" t="s">
        <v>214</v>
      </c>
      <c r="L203" s="181">
        <v>96</v>
      </c>
      <c r="M203" s="181" t="s">
        <v>375</v>
      </c>
      <c r="N203" s="37" t="s">
        <v>384</v>
      </c>
      <c r="O203" s="31">
        <f>IF(F203&gt;0,F203-AB203,"")</f>
        <v>-27</v>
      </c>
      <c r="P203" s="37" t="str">
        <f>IF(F203&gt;0,IF(AB203="","PLANNING SUPPLY",IF(AB203&lt;=F203,"ONTIME DELIVERY","DELAY")),"")</f>
        <v>DELAY</v>
      </c>
      <c r="Q203" s="181" t="str">
        <f>IFERROR(IF(J203&gt;0,VLOOKUP(J203,#REF!,MATCH($Q$6,#REF!,0),0),""),"")</f>
        <v/>
      </c>
      <c r="R203" s="181" t="str">
        <f>IFERROR(IF(J203&gt;0,VLOOKUP(J203,#REF!,MATCH($R$6,#REF!,0),0),""),"")</f>
        <v/>
      </c>
      <c r="S203" s="181" t="e">
        <f>IF(I206&gt;0,Q203+R203,"")</f>
        <v>#VALUE!</v>
      </c>
      <c r="T203" s="181"/>
      <c r="U203" s="181"/>
      <c r="V203" s="37"/>
      <c r="W203" s="181" t="e">
        <f>IF(I206&gt;0,IF(S203&gt;L203,"READY STOCK",IF(S203=0,"OUT OF STOCK",IF(S203&lt;L203,"LOW STOCK",""))),"")</f>
        <v>#VALUE!</v>
      </c>
      <c r="X203" s="38"/>
      <c r="Y203" s="38"/>
      <c r="Z203" s="38"/>
      <c r="AA203" s="38"/>
      <c r="AB203" s="50">
        <v>46268</v>
      </c>
      <c r="AC203" s="181">
        <v>34014</v>
      </c>
      <c r="AD203" s="51">
        <v>96</v>
      </c>
      <c r="AE203" s="37" t="s">
        <v>383</v>
      </c>
      <c r="AF203" s="37" t="s">
        <v>381</v>
      </c>
      <c r="AG203" s="33" t="str">
        <f>IF(G203&gt;0,IF(AD203&gt;0,IF(AD203=0,"Waiting",IF(AD203&lt;L203,"Partial",IF(AD203=L203,"Full Supply",IF(AD203&gt;L203,"Over Shared")))),"Waiting"),"")</f>
        <v>Full Supply</v>
      </c>
      <c r="AH203" s="156">
        <v>46239</v>
      </c>
      <c r="AI203" s="37" t="s">
        <v>770</v>
      </c>
      <c r="AJ203" s="181">
        <v>96</v>
      </c>
      <c r="AK203" s="40">
        <v>25646</v>
      </c>
      <c r="AL203" s="218">
        <v>46218</v>
      </c>
      <c r="AM203" s="40">
        <v>300</v>
      </c>
      <c r="AN203" s="212"/>
      <c r="AO203" s="41">
        <v>46254</v>
      </c>
      <c r="AP203" s="37"/>
      <c r="AQ203" s="37"/>
      <c r="AR203" s="37"/>
      <c r="AS203" s="37"/>
      <c r="AT203" s="37">
        <f>AS203-AD203</f>
        <v>-96</v>
      </c>
      <c r="AU203" s="36" t="str">
        <f>IF(AR203=0,"Waiting",IF(AR203&lt;AH203,"Kurang",IF(AR203=AH203,"Sesuai",IF(AR203&gt;AH203,"Over Shared"))))</f>
        <v>Waiting</v>
      </c>
      <c r="AV203" s="37"/>
      <c r="AW203" s="37" t="str">
        <f>IFERROR(DATEDIF(AH203,AK203,"d"),"0")&amp;"-DAY"</f>
        <v>0-DAY</v>
      </c>
      <c r="AX203" s="37" t="str">
        <f>IFERROR(DATEDIF(B203,AB203,"d"),"0")&amp;"-DAY"</f>
        <v>30-DAY</v>
      </c>
      <c r="AY203" s="37"/>
      <c r="AZ203" s="181">
        <f>L203-AD203</f>
        <v>0</v>
      </c>
    </row>
    <row r="204" spans="1:52" ht="15.5" customHeight="1">
      <c r="A204" s="360" t="s">
        <v>372</v>
      </c>
      <c r="B204" s="340">
        <v>46238</v>
      </c>
      <c r="C204" s="181">
        <v>48958</v>
      </c>
      <c r="D204" s="30">
        <v>46237</v>
      </c>
      <c r="E204" s="30">
        <v>46234</v>
      </c>
      <c r="F204" s="30">
        <v>46255</v>
      </c>
      <c r="G204" s="37">
        <v>4420230486</v>
      </c>
      <c r="H204" s="37" t="s">
        <v>373</v>
      </c>
      <c r="I204" s="37">
        <v>9040016343</v>
      </c>
      <c r="J204" s="37" t="s">
        <v>211</v>
      </c>
      <c r="K204" s="325" t="s">
        <v>212</v>
      </c>
      <c r="L204" s="181">
        <v>290</v>
      </c>
      <c r="M204" s="181" t="s">
        <v>421</v>
      </c>
      <c r="N204" s="37" t="s">
        <v>451</v>
      </c>
      <c r="O204" s="31">
        <f>IF(F204&gt;0,F204-AB204,"")</f>
        <v>-32</v>
      </c>
      <c r="P204" s="37" t="str">
        <f>IF(F204&gt;0,IF(AB204="","PLANNING SUPPLY",IF(AB204&lt;=F204,"ONTIME DELIVERY","DELAY")),"")</f>
        <v>DELAY</v>
      </c>
      <c r="Q204" s="181" t="str">
        <f>IFERROR(IF(J204&gt;0,VLOOKUP(J204,#REF!,MATCH($Q$6,#REF!,0),0),""),"")</f>
        <v/>
      </c>
      <c r="R204" s="181" t="str">
        <f>IFERROR(IF(J204&gt;0,VLOOKUP(J204,#REF!,MATCH($R$6,#REF!,0),0),""),"")</f>
        <v/>
      </c>
      <c r="S204" s="181" t="e">
        <f>IF(I207&gt;0,Q204+R204,"")</f>
        <v>#VALUE!</v>
      </c>
      <c r="T204" s="181"/>
      <c r="U204" s="181"/>
      <c r="V204" s="37"/>
      <c r="W204" s="181" t="e">
        <f>IF(I207&gt;0,IF(S204&gt;L204,"READY STOCK",IF(S204=0,"OUT OF STOCK",IF(S204&lt;L204,"LOW STOCK",""))),"")</f>
        <v>#VALUE!</v>
      </c>
      <c r="X204" s="38"/>
      <c r="Y204" s="38"/>
      <c r="Z204" s="38"/>
      <c r="AA204" s="38"/>
      <c r="AB204" s="50">
        <v>46287</v>
      </c>
      <c r="AC204" s="181">
        <v>34460</v>
      </c>
      <c r="AD204" s="51">
        <v>253</v>
      </c>
      <c r="AE204" s="37" t="s">
        <v>383</v>
      </c>
      <c r="AF204" s="37" t="s">
        <v>381</v>
      </c>
      <c r="AG204" s="33" t="str">
        <f>IF(G204&gt;0,IF(AD204&gt;0,IF(AD204=0,"Waiting",IF(AD204&lt;L204,"Partial",IF(AD204=L204,"Full Supply",IF(AD204&gt;L204,"Over Shared")))),"Waiting"),"")</f>
        <v>Partial</v>
      </c>
      <c r="AH204" s="156">
        <v>46239</v>
      </c>
      <c r="AI204" s="37" t="s">
        <v>1287</v>
      </c>
      <c r="AJ204" s="181" t="s">
        <v>1288</v>
      </c>
      <c r="AK204" s="40">
        <v>25939</v>
      </c>
      <c r="AL204" s="218">
        <v>46246</v>
      </c>
      <c r="AM204" s="40">
        <v>361</v>
      </c>
      <c r="AN204" s="37"/>
      <c r="AO204" s="48">
        <v>46253</v>
      </c>
      <c r="AP204" s="37"/>
      <c r="AQ204" s="37"/>
      <c r="AR204" s="37"/>
      <c r="AS204" s="37"/>
      <c r="AT204" s="37">
        <f>AS204-AD204</f>
        <v>-253</v>
      </c>
      <c r="AU204" s="36" t="str">
        <f>IF(AR204=0,"Waiting",IF(AR204&lt;AH204,"Kurang",IF(AR204=AH204,"Sesuai",IF(AR204&gt;AH204,"Over Shared"))))</f>
        <v>Waiting</v>
      </c>
      <c r="AV204" s="37"/>
      <c r="AW204" s="37" t="str">
        <f>IFERROR(DATEDIF(AH204,AK204,"d"),"0")&amp;"-DAY"</f>
        <v>0-DAY</v>
      </c>
      <c r="AX204" s="37" t="str">
        <f>IFERROR(DATEDIF(B204,AB204,"d"),"0")&amp;"-DAY"</f>
        <v>49-DAY</v>
      </c>
      <c r="AY204" s="37"/>
      <c r="AZ204" s="181">
        <f>L204-AD204</f>
        <v>37</v>
      </c>
    </row>
    <row r="205" spans="1:52" ht="15.5" customHeight="1">
      <c r="A205" s="360" t="s">
        <v>372</v>
      </c>
      <c r="B205" s="340">
        <v>46238</v>
      </c>
      <c r="C205" s="181">
        <v>48958</v>
      </c>
      <c r="D205" s="30">
        <v>46237</v>
      </c>
      <c r="E205" s="30">
        <v>46234</v>
      </c>
      <c r="F205" s="30">
        <v>46255</v>
      </c>
      <c r="G205" s="37">
        <v>4420230486</v>
      </c>
      <c r="H205" s="37" t="s">
        <v>373</v>
      </c>
      <c r="I205" s="37">
        <v>9040022707</v>
      </c>
      <c r="J205" s="37" t="s">
        <v>79</v>
      </c>
      <c r="K205" s="325" t="s">
        <v>80</v>
      </c>
      <c r="L205" s="181">
        <v>3</v>
      </c>
      <c r="M205" s="181" t="s">
        <v>375</v>
      </c>
      <c r="N205" s="37" t="s">
        <v>451</v>
      </c>
      <c r="O205" s="31">
        <f>IF(F205&gt;0,F205-AB205,"")</f>
        <v>-12</v>
      </c>
      <c r="P205" s="37" t="str">
        <f>IF(F205&gt;0,IF(AB205="","PLANNING SUPPLY",IF(AB205&lt;=F205,"ONTIME DELIVERY","DELAY")),"")</f>
        <v>DELAY</v>
      </c>
      <c r="Q205" s="181" t="str">
        <f>IFERROR(IF(J205&gt;0,VLOOKUP(J205,#REF!,MATCH($Q$6,#REF!,0),0),""),"")</f>
        <v/>
      </c>
      <c r="R205" s="181" t="str">
        <f>IFERROR(IF(J205&gt;0,VLOOKUP(J205,#REF!,MATCH($R$6,#REF!,0),0),""),"")</f>
        <v/>
      </c>
      <c r="S205" s="181" t="e">
        <f>IF(I208&gt;0,Q205+R205,"")</f>
        <v>#VALUE!</v>
      </c>
      <c r="T205" s="181"/>
      <c r="U205" s="181"/>
      <c r="V205" s="37"/>
      <c r="W205" s="181" t="e">
        <f>IF(I208&gt;0,IF(S205&gt;L205,"READY STOCK",IF(S205=0,"OUT OF STOCK",IF(S205&lt;L205,"LOW STOCK",""))),"")</f>
        <v>#VALUE!</v>
      </c>
      <c r="X205" s="38"/>
      <c r="Y205" s="38"/>
      <c r="Z205" s="38"/>
      <c r="AA205" s="38"/>
      <c r="AB205" s="50">
        <v>46267</v>
      </c>
      <c r="AC205" s="181">
        <v>33993</v>
      </c>
      <c r="AD205" s="51">
        <v>3</v>
      </c>
      <c r="AE205" s="37" t="s">
        <v>383</v>
      </c>
      <c r="AF205" s="37" t="s">
        <v>381</v>
      </c>
      <c r="AG205" s="33" t="str">
        <f>IF(G205&gt;0,IF(AD205&gt;0,IF(AD205=0,"Waiting",IF(AD205&lt;L205,"Partial",IF(AD205=L205,"Full Supply",IF(AD205&gt;L205,"Over Shared")))),"Waiting"),"")</f>
        <v>Full Supply</v>
      </c>
      <c r="AH205" s="156">
        <v>46239</v>
      </c>
      <c r="AI205" s="37" t="s">
        <v>770</v>
      </c>
      <c r="AJ205" s="181">
        <v>3</v>
      </c>
      <c r="AK205" s="40">
        <v>25938</v>
      </c>
      <c r="AL205" s="218">
        <v>46246</v>
      </c>
      <c r="AM205" s="40">
        <v>6</v>
      </c>
      <c r="AN205" s="37"/>
      <c r="AO205" s="48">
        <v>46253</v>
      </c>
      <c r="AP205" s="37"/>
      <c r="AQ205" s="37"/>
      <c r="AR205" s="37"/>
      <c r="AS205" s="37"/>
      <c r="AT205" s="37">
        <f>AS205-AD205</f>
        <v>-3</v>
      </c>
      <c r="AU205" s="36" t="str">
        <f>IF(AR205=0,"Waiting",IF(AR205&lt;AH205,"Kurang",IF(AR205=AH205,"Sesuai",IF(AR205&gt;AH205,"Over Shared"))))</f>
        <v>Waiting</v>
      </c>
      <c r="AV205" s="37"/>
      <c r="AW205" s="37" t="str">
        <f>IFERROR(DATEDIF(AH205,AK205,"d"),"0")&amp;"-DAY"</f>
        <v>0-DAY</v>
      </c>
      <c r="AX205" s="37" t="str">
        <f>IFERROR(DATEDIF(B205,AB205,"d"),"0")&amp;"-DAY"</f>
        <v>29-DAY</v>
      </c>
      <c r="AY205" s="37"/>
      <c r="AZ205" s="181">
        <f>L205-AD205</f>
        <v>0</v>
      </c>
    </row>
    <row r="206" spans="1:52" ht="15.5" customHeight="1">
      <c r="A206" s="360" t="s">
        <v>372</v>
      </c>
      <c r="B206" s="340">
        <v>46238</v>
      </c>
      <c r="C206" s="181">
        <v>48958</v>
      </c>
      <c r="D206" s="30">
        <v>46237</v>
      </c>
      <c r="E206" s="30">
        <v>46234</v>
      </c>
      <c r="F206" s="30">
        <v>46255</v>
      </c>
      <c r="G206" s="37">
        <v>4420230486</v>
      </c>
      <c r="H206" s="37" t="s">
        <v>373</v>
      </c>
      <c r="I206" s="37">
        <v>9040040588</v>
      </c>
      <c r="J206" s="37" t="s">
        <v>76</v>
      </c>
      <c r="K206" s="325" t="s">
        <v>77</v>
      </c>
      <c r="L206" s="181">
        <v>36</v>
      </c>
      <c r="M206" s="181" t="s">
        <v>375</v>
      </c>
      <c r="N206" s="37" t="s">
        <v>451</v>
      </c>
      <c r="O206" s="31">
        <f>IF(F206&gt;0,F206-AB206,"")</f>
        <v>-12</v>
      </c>
      <c r="P206" s="37" t="str">
        <f>IF(F206&gt;0,IF(AB206="","PLANNING SUPPLY",IF(AB206&lt;=F206,"ONTIME DELIVERY","DELAY")),"")</f>
        <v>DELAY</v>
      </c>
      <c r="Q206" s="181" t="str">
        <f>IFERROR(IF(J206&gt;0,VLOOKUP(J206,#REF!,MATCH($Q$6,#REF!,0),0),""),"")</f>
        <v/>
      </c>
      <c r="R206" s="181" t="str">
        <f>IFERROR(IF(J206&gt;0,VLOOKUP(J206,#REF!,MATCH($R$6,#REF!,0),0),""),"")</f>
        <v/>
      </c>
      <c r="S206" s="181" t="e">
        <f>IF(I209&gt;0,Q206+R206,"")</f>
        <v>#VALUE!</v>
      </c>
      <c r="T206" s="181"/>
      <c r="U206" s="181"/>
      <c r="V206" s="37"/>
      <c r="W206" s="181" t="e">
        <f>IF(I209&gt;0,IF(S206&gt;L206,"READY STOCK",IF(S206=0,"OUT OF STOCK",IF(S206&lt;L206,"LOW STOCK",""))),"")</f>
        <v>#VALUE!</v>
      </c>
      <c r="X206" s="38"/>
      <c r="Y206" s="38"/>
      <c r="Z206" s="38"/>
      <c r="AA206" s="38"/>
      <c r="AB206" s="50">
        <v>46267</v>
      </c>
      <c r="AC206" s="181">
        <v>33993</v>
      </c>
      <c r="AD206" s="51">
        <v>36</v>
      </c>
      <c r="AE206" s="37" t="s">
        <v>383</v>
      </c>
      <c r="AF206" s="37" t="s">
        <v>381</v>
      </c>
      <c r="AG206" s="33" t="str">
        <f>IF(G206&gt;0,IF(AD206&gt;0,IF(AD206=0,"Waiting",IF(AD206&lt;L206,"Partial",IF(AD206=L206,"Full Supply",IF(AD206&gt;L206,"Over Shared")))),"Waiting"),"")</f>
        <v>Full Supply</v>
      </c>
      <c r="AH206" s="56">
        <v>46247</v>
      </c>
      <c r="AI206" s="37" t="s">
        <v>646</v>
      </c>
      <c r="AJ206" s="181">
        <v>201</v>
      </c>
      <c r="AK206" s="40">
        <v>26391</v>
      </c>
      <c r="AL206" s="42">
        <v>46287</v>
      </c>
      <c r="AM206" s="40">
        <v>201</v>
      </c>
      <c r="AN206" s="37"/>
      <c r="AO206" s="41">
        <v>46295</v>
      </c>
      <c r="AP206" s="37"/>
      <c r="AQ206" s="37"/>
      <c r="AR206" s="37"/>
      <c r="AS206" s="37"/>
      <c r="AT206" s="37">
        <f>AS206-AD206</f>
        <v>-36</v>
      </c>
      <c r="AU206" s="36" t="str">
        <f>IF(AR206=0,"Waiting",IF(AR206&lt;AH206,"Kurang",IF(AR206=AH206,"Sesuai",IF(AR206&gt;AH206,"Over Shared"))))</f>
        <v>Waiting</v>
      </c>
      <c r="AV206" s="37"/>
      <c r="AW206" s="37" t="str">
        <f>IFERROR(DATEDIF(AH206,AK206,"d"),"0")&amp;"-DAY"</f>
        <v>0-DAY</v>
      </c>
      <c r="AX206" s="37" t="str">
        <f>IFERROR(DATEDIF(B206,AB206,"d"),"0")&amp;"-DAY"</f>
        <v>29-DAY</v>
      </c>
      <c r="AY206" s="37"/>
      <c r="AZ206" s="181">
        <f>L206-AD206</f>
        <v>0</v>
      </c>
    </row>
    <row r="207" spans="1:52" ht="15.5" customHeight="1">
      <c r="A207" s="360" t="s">
        <v>372</v>
      </c>
      <c r="B207" s="340">
        <v>46238</v>
      </c>
      <c r="C207" s="181">
        <v>48959</v>
      </c>
      <c r="D207" s="30">
        <v>46237</v>
      </c>
      <c r="E207" s="30">
        <v>46234</v>
      </c>
      <c r="F207" s="30">
        <v>46242</v>
      </c>
      <c r="G207" s="37">
        <v>4420230484</v>
      </c>
      <c r="H207" s="37" t="s">
        <v>373</v>
      </c>
      <c r="I207" s="37">
        <v>9040042224</v>
      </c>
      <c r="J207" s="37" t="s">
        <v>195</v>
      </c>
      <c r="K207" s="325" t="s">
        <v>196</v>
      </c>
      <c r="L207" s="181">
        <v>7</v>
      </c>
      <c r="M207" s="181" t="s">
        <v>421</v>
      </c>
      <c r="N207" s="37" t="s">
        <v>432</v>
      </c>
      <c r="O207" s="31">
        <f>IF(F207&gt;0,F207-AB207,"")</f>
        <v>-30</v>
      </c>
      <c r="P207" s="37" t="str">
        <f>IF(F207&gt;0,IF(AB207="","PLANNING SUPPLY",IF(AB207&lt;=F207,"ONTIME DELIVERY","DELAY")),"")</f>
        <v>DELAY</v>
      </c>
      <c r="Q207" s="181" t="str">
        <f>IFERROR(IF(J207&gt;0,VLOOKUP(J207,#REF!,MATCH($Q$6,#REF!,0),0),""),"")</f>
        <v/>
      </c>
      <c r="R207" s="181" t="str">
        <f>IFERROR(IF(J207&gt;0,VLOOKUP(J207,#REF!,MATCH($R$6,#REF!,0),0),""),"")</f>
        <v/>
      </c>
      <c r="S207" s="181" t="e">
        <f>IF(I210&gt;0,Q207+R207,"")</f>
        <v>#VALUE!</v>
      </c>
      <c r="T207" s="181"/>
      <c r="U207" s="181"/>
      <c r="V207" s="37"/>
      <c r="W207" s="181" t="e">
        <f>IF(I210&gt;0,IF(S207&gt;L207,"READY STOCK",IF(S207=0,"OUT OF STOCK",IF(S207&lt;L207,"LOW STOCK",""))),"")</f>
        <v>#VALUE!</v>
      </c>
      <c r="X207" s="38"/>
      <c r="Y207" s="38"/>
      <c r="Z207" s="38"/>
      <c r="AA207" s="38"/>
      <c r="AB207" s="50">
        <v>46272</v>
      </c>
      <c r="AC207" s="181">
        <v>34078</v>
      </c>
      <c r="AD207" s="51">
        <v>7</v>
      </c>
      <c r="AE207" s="37" t="s">
        <v>383</v>
      </c>
      <c r="AF207" s="37" t="s">
        <v>381</v>
      </c>
      <c r="AG207" s="33" t="str">
        <f>IF(G207&gt;0,IF(AD207&gt;0,IF(AD207=0,"Waiting",IF(AD207&lt;L207,"Partial",IF(AD207=L207,"Full Supply",IF(AD207&gt;L207,"Over Shared")))),"Waiting"),"")</f>
        <v>Full Supply</v>
      </c>
      <c r="AH207" s="156">
        <v>46239</v>
      </c>
      <c r="AI207" s="37" t="s">
        <v>770</v>
      </c>
      <c r="AJ207" s="181">
        <v>148</v>
      </c>
      <c r="AK207" s="40">
        <v>25940</v>
      </c>
      <c r="AL207" s="218">
        <v>46246</v>
      </c>
      <c r="AM207" s="40">
        <v>167</v>
      </c>
      <c r="AN207" s="37"/>
      <c r="AO207" s="48">
        <v>46253</v>
      </c>
      <c r="AP207" s="37"/>
      <c r="AQ207" s="37"/>
      <c r="AR207" s="37"/>
      <c r="AS207" s="37"/>
      <c r="AT207" s="37">
        <f>AS207-AD207</f>
        <v>-7</v>
      </c>
      <c r="AU207" s="36" t="str">
        <f>IF(AR207=0,"Waiting",IF(AR207&lt;AH207,"Kurang",IF(AR207=AH207,"Sesuai",IF(AR207&gt;AH207,"Over Shared"))))</f>
        <v>Waiting</v>
      </c>
      <c r="AV207" s="37"/>
      <c r="AW207" s="37" t="str">
        <f>IFERROR(DATEDIF(AH207,AK207,"d"),"0")&amp;"-DAY"</f>
        <v>0-DAY</v>
      </c>
      <c r="AX207" s="37" t="str">
        <f>IFERROR(DATEDIF(B207,AB207,"d"),"0")&amp;"-DAY"</f>
        <v>34-DAY</v>
      </c>
      <c r="AY207" s="37"/>
      <c r="AZ207" s="181">
        <f>L207-AD207</f>
        <v>0</v>
      </c>
    </row>
    <row r="208" spans="1:52" ht="15.5" customHeight="1">
      <c r="A208" s="360" t="s">
        <v>372</v>
      </c>
      <c r="B208" s="340">
        <v>46238</v>
      </c>
      <c r="C208" s="181">
        <v>48960</v>
      </c>
      <c r="D208" s="30">
        <v>46237</v>
      </c>
      <c r="E208" s="30">
        <v>46233</v>
      </c>
      <c r="F208" s="30">
        <v>46241</v>
      </c>
      <c r="G208" s="37">
        <v>4420230374</v>
      </c>
      <c r="H208" s="37" t="s">
        <v>373</v>
      </c>
      <c r="I208" s="37">
        <v>9040016582</v>
      </c>
      <c r="J208" s="37" t="s">
        <v>183</v>
      </c>
      <c r="K208" s="325" t="s">
        <v>184</v>
      </c>
      <c r="L208" s="181">
        <v>1</v>
      </c>
      <c r="M208" s="181" t="s">
        <v>375</v>
      </c>
      <c r="N208" s="37" t="s">
        <v>695</v>
      </c>
      <c r="O208" s="31">
        <f>IF(F208&gt;0,F208-AB208,"")</f>
        <v>-3</v>
      </c>
      <c r="P208" s="37" t="str">
        <f>IF(F208&gt;0,IF(AB208="","PLANNING SUPPLY",IF(AB208&lt;=F208,"ONTIME DELIVERY","DELAY")),"")</f>
        <v>DELAY</v>
      </c>
      <c r="Q208" s="181" t="str">
        <f>IFERROR(IF(J208&gt;0,VLOOKUP(J208,#REF!,MATCH($Q$6,#REF!,0),0),""),"")</f>
        <v/>
      </c>
      <c r="R208" s="181" t="str">
        <f>IFERROR(IF(J208&gt;0,VLOOKUP(J208,#REF!,MATCH($R$6,#REF!,0),0),""),"")</f>
        <v/>
      </c>
      <c r="S208" s="181" t="e">
        <f>IF(I211&gt;0,Q208+R208,"")</f>
        <v>#VALUE!</v>
      </c>
      <c r="T208" s="181"/>
      <c r="U208" s="181"/>
      <c r="V208" s="37"/>
      <c r="W208" s="181" t="e">
        <f>IF(I211&gt;0,IF(S208&gt;L208,"READY STOCK",IF(S208=0,"OUT OF STOCK",IF(S208&lt;L208,"LOW STOCK",""))),"")</f>
        <v>#VALUE!</v>
      </c>
      <c r="X208" s="38"/>
      <c r="Y208" s="38"/>
      <c r="Z208" s="38"/>
      <c r="AA208" s="38"/>
      <c r="AB208" s="50">
        <v>46244</v>
      </c>
      <c r="AC208" s="181">
        <v>33524</v>
      </c>
      <c r="AD208" s="51">
        <v>1</v>
      </c>
      <c r="AE208" s="37" t="s">
        <v>387</v>
      </c>
      <c r="AF208" s="37" t="s">
        <v>381</v>
      </c>
      <c r="AG208" s="33" t="str">
        <f>IF(G208&gt;0,IF(AD208&gt;0,IF(AD208=0,"Waiting",IF(AD208&lt;L208,"Partial",IF(AD208=L208,"Full Supply",IF(AD208&gt;L208,"Over Shared")))),"Waiting"),"")</f>
        <v>Full Supply</v>
      </c>
      <c r="AH208" s="37"/>
      <c r="AI208" s="37"/>
      <c r="AJ208" s="181"/>
      <c r="AK208" s="40"/>
      <c r="AL208" s="40"/>
      <c r="AM208" s="40"/>
      <c r="AN208" s="37"/>
      <c r="AO208" s="34"/>
      <c r="AP208" s="37"/>
      <c r="AQ208" s="37"/>
      <c r="AR208" s="37"/>
      <c r="AS208" s="37"/>
      <c r="AT208" s="37">
        <f>AS208-AD208</f>
        <v>-1</v>
      </c>
      <c r="AU208" s="36" t="str">
        <f>IF(AR208=0,"Waiting",IF(AR208&lt;AH208,"Kurang",IF(AR208=AH208,"Sesuai",IF(AR208&gt;AH208,"Over Shared"))))</f>
        <v>Waiting</v>
      </c>
      <c r="AV208" s="37"/>
      <c r="AW208" s="37" t="str">
        <f>IFERROR(DATEDIF(AH208,AK208,"d"),"0")&amp;"-DAY"</f>
        <v>0-DAY</v>
      </c>
      <c r="AX208" s="37" t="str">
        <f>IFERROR(DATEDIF(B208,AB208,"d"),"0")&amp;"-DAY"</f>
        <v>6-DAY</v>
      </c>
      <c r="AY208" s="37"/>
      <c r="AZ208" s="181">
        <f>L208-AD208</f>
        <v>0</v>
      </c>
    </row>
    <row r="209" spans="1:52" ht="15.5" customHeight="1">
      <c r="A209" s="360" t="s">
        <v>372</v>
      </c>
      <c r="B209" s="340">
        <v>46238</v>
      </c>
      <c r="C209" s="181">
        <v>48960</v>
      </c>
      <c r="D209" s="30">
        <v>46237</v>
      </c>
      <c r="E209" s="30">
        <v>46233</v>
      </c>
      <c r="F209" s="30">
        <v>46241</v>
      </c>
      <c r="G209" s="37">
        <v>4420230374</v>
      </c>
      <c r="H209" s="37" t="s">
        <v>373</v>
      </c>
      <c r="I209" s="37">
        <v>9040055051</v>
      </c>
      <c r="J209" s="37" t="s">
        <v>10</v>
      </c>
      <c r="K209" s="325" t="s">
        <v>149</v>
      </c>
      <c r="L209" s="181">
        <v>10</v>
      </c>
      <c r="M209" s="181" t="s">
        <v>375</v>
      </c>
      <c r="N209" s="37" t="s">
        <v>695</v>
      </c>
      <c r="O209" s="31">
        <f>IF(F209&gt;0,F209-AB209,"")</f>
        <v>-3</v>
      </c>
      <c r="P209" s="37" t="str">
        <f>IF(F209&gt;0,IF(AB209="","PLANNING SUPPLY",IF(AB209&lt;=F209,"ONTIME DELIVERY","DELAY")),"")</f>
        <v>DELAY</v>
      </c>
      <c r="Q209" s="181" t="str">
        <f>IFERROR(IF(J209&gt;0,VLOOKUP(J209,#REF!,MATCH($Q$6,#REF!,0),0),""),"")</f>
        <v/>
      </c>
      <c r="R209" s="181" t="str">
        <f>IFERROR(IF(J209&gt;0,VLOOKUP(J209,#REF!,MATCH($R$6,#REF!,0),0),""),"")</f>
        <v/>
      </c>
      <c r="S209" s="181" t="e">
        <f>IF(I212&gt;0,Q209+R209,"")</f>
        <v>#VALUE!</v>
      </c>
      <c r="T209" s="181"/>
      <c r="U209" s="181"/>
      <c r="V209" s="37"/>
      <c r="W209" s="181" t="e">
        <f>IF(I212&gt;0,IF(S209&gt;L209,"READY STOCK",IF(S209=0,"OUT OF STOCK",IF(S209&lt;L209,"LOW STOCK",""))),"")</f>
        <v>#VALUE!</v>
      </c>
      <c r="X209" s="38"/>
      <c r="Y209" s="38"/>
      <c r="Z209" s="38"/>
      <c r="AA209" s="38"/>
      <c r="AB209" s="50">
        <v>46244</v>
      </c>
      <c r="AC209" s="181">
        <v>33524</v>
      </c>
      <c r="AD209" s="51">
        <v>10</v>
      </c>
      <c r="AE209" s="37" t="s">
        <v>387</v>
      </c>
      <c r="AF209" s="37" t="s">
        <v>381</v>
      </c>
      <c r="AG209" s="33" t="str">
        <f>IF(G209&gt;0,IF(AD209&gt;0,IF(AD209=0,"Waiting",IF(AD209&lt;L209,"Partial",IF(AD209=L209,"Full Supply",IF(AD209&gt;L209,"Over Shared")))),"Waiting"),"")</f>
        <v>Full Supply</v>
      </c>
      <c r="AH209" s="37"/>
      <c r="AI209" s="37"/>
      <c r="AJ209" s="181"/>
      <c r="AK209" s="40"/>
      <c r="AL209" s="40"/>
      <c r="AM209" s="40"/>
      <c r="AN209" s="37"/>
      <c r="AO209" s="34"/>
      <c r="AP209" s="37"/>
      <c r="AQ209" s="37"/>
      <c r="AR209" s="37"/>
      <c r="AS209" s="37"/>
      <c r="AT209" s="37">
        <f>AS209-AD209</f>
        <v>-10</v>
      </c>
      <c r="AU209" s="36" t="str">
        <f>IF(AR209=0,"Waiting",IF(AR209&lt;AH209,"Kurang",IF(AR209=AH209,"Sesuai",IF(AR209&gt;AH209,"Over Shared"))))</f>
        <v>Waiting</v>
      </c>
      <c r="AV209" s="37"/>
      <c r="AW209" s="37" t="str">
        <f>IFERROR(DATEDIF(AH209,AK209,"d"),"0")&amp;"-DAY"</f>
        <v>0-DAY</v>
      </c>
      <c r="AX209" s="37" t="str">
        <f>IFERROR(DATEDIF(B209,AB209,"d"),"0")&amp;"-DAY"</f>
        <v>6-DAY</v>
      </c>
      <c r="AY209" s="37"/>
      <c r="AZ209" s="181">
        <f>L209-AD209</f>
        <v>0</v>
      </c>
    </row>
    <row r="210" spans="1:52" ht="15.5" customHeight="1">
      <c r="A210" s="360" t="s">
        <v>372</v>
      </c>
      <c r="B210" s="340">
        <v>46238</v>
      </c>
      <c r="C210" s="181">
        <v>48960</v>
      </c>
      <c r="D210" s="30">
        <v>46237</v>
      </c>
      <c r="E210" s="30">
        <v>46233</v>
      </c>
      <c r="F210" s="30">
        <v>46241</v>
      </c>
      <c r="G210" s="37">
        <v>4420230374</v>
      </c>
      <c r="H210" s="37" t="s">
        <v>373</v>
      </c>
      <c r="I210" s="37">
        <v>9040016581</v>
      </c>
      <c r="J210" s="37" t="s">
        <v>185</v>
      </c>
      <c r="K210" s="325" t="s">
        <v>186</v>
      </c>
      <c r="L210" s="181">
        <v>1</v>
      </c>
      <c r="M210" s="181" t="s">
        <v>375</v>
      </c>
      <c r="N210" s="37" t="s">
        <v>695</v>
      </c>
      <c r="O210" s="31">
        <f>IF(F210&gt;0,F210-AB210,"")</f>
        <v>0</v>
      </c>
      <c r="P210" s="37" t="str">
        <f>IF(F210&gt;0,IF(AB210="","PLANNING SUPPLY",IF(AB210&lt;=F210,"ONTIME DELIVERY","DELAY")),"")</f>
        <v>ONTIME DELIVERY</v>
      </c>
      <c r="Q210" s="181" t="str">
        <f>IFERROR(IF(J210&gt;0,VLOOKUP(J210,#REF!,MATCH($Q$6,#REF!,0),0),""),"")</f>
        <v/>
      </c>
      <c r="R210" s="181" t="str">
        <f>IFERROR(IF(J210&gt;0,VLOOKUP(J210,#REF!,MATCH($R$6,#REF!,0),0),""),"")</f>
        <v/>
      </c>
      <c r="S210" s="181" t="e">
        <f>IF(I213&gt;0,Q210+R210,"")</f>
        <v>#VALUE!</v>
      </c>
      <c r="T210" s="181"/>
      <c r="U210" s="181"/>
      <c r="V210" s="37"/>
      <c r="W210" s="181" t="e">
        <f>IF(I213&gt;0,IF(S210&gt;L210,"READY STOCK",IF(S210=0,"OUT OF STOCK",IF(S210&lt;L210,"LOW STOCK",""))),"")</f>
        <v>#VALUE!</v>
      </c>
      <c r="X210" s="38"/>
      <c r="Y210" s="38"/>
      <c r="Z210" s="38"/>
      <c r="AA210" s="38"/>
      <c r="AB210" s="50">
        <v>46241</v>
      </c>
      <c r="AC210" s="181">
        <v>33486</v>
      </c>
      <c r="AD210" s="51">
        <v>1</v>
      </c>
      <c r="AE210" s="37" t="s">
        <v>387</v>
      </c>
      <c r="AF210" s="37" t="s">
        <v>381</v>
      </c>
      <c r="AG210" s="33" t="str">
        <f>IF(G210&gt;0,IF(AD210&gt;0,IF(AD210=0,"Waiting",IF(AD210&lt;L210,"Partial",IF(AD210=L210,"Full Supply",IF(AD210&gt;L210,"Over Shared")))),"Waiting"),"")</f>
        <v>Full Supply</v>
      </c>
      <c r="AH210" s="37"/>
      <c r="AI210" s="37"/>
      <c r="AJ210" s="181"/>
      <c r="AK210" s="40"/>
      <c r="AL210" s="40"/>
      <c r="AM210" s="40"/>
      <c r="AN210" s="37"/>
      <c r="AO210" s="34"/>
      <c r="AP210" s="37"/>
      <c r="AQ210" s="37"/>
      <c r="AR210" s="37"/>
      <c r="AS210" s="37"/>
      <c r="AT210" s="37">
        <f>AS210-AD210</f>
        <v>-1</v>
      </c>
      <c r="AU210" s="36" t="str">
        <f>IF(AR210=0,"Waiting",IF(AR210&lt;AH210,"Kurang",IF(AR210=AH210,"Sesuai",IF(AR210&gt;AH210,"Over Shared"))))</f>
        <v>Waiting</v>
      </c>
      <c r="AV210" s="37"/>
      <c r="AW210" s="37" t="str">
        <f>IFERROR(DATEDIF(AH210,AK210,"d"),"0")&amp;"-DAY"</f>
        <v>0-DAY</v>
      </c>
      <c r="AX210" s="37" t="str">
        <f>IFERROR(DATEDIF(B210,AB210,"d"),"0")&amp;"-DAY"</f>
        <v>3-DAY</v>
      </c>
      <c r="AY210" s="37"/>
      <c r="AZ210" s="181">
        <f>L210-AD210</f>
        <v>0</v>
      </c>
    </row>
    <row r="211" spans="1:52" ht="15.5" customHeight="1">
      <c r="A211" s="360" t="s">
        <v>372</v>
      </c>
      <c r="B211" s="340">
        <v>46238</v>
      </c>
      <c r="C211" s="181">
        <v>48960</v>
      </c>
      <c r="D211" s="30">
        <v>46237</v>
      </c>
      <c r="E211" s="30">
        <v>46233</v>
      </c>
      <c r="F211" s="30">
        <v>46241</v>
      </c>
      <c r="G211" s="37">
        <v>4420230374</v>
      </c>
      <c r="H211" s="37" t="s">
        <v>373</v>
      </c>
      <c r="I211" s="37">
        <v>9040040765</v>
      </c>
      <c r="J211" s="37" t="s">
        <v>3</v>
      </c>
      <c r="K211" s="325" t="s">
        <v>4</v>
      </c>
      <c r="L211" s="181">
        <v>3</v>
      </c>
      <c r="M211" s="181" t="s">
        <v>375</v>
      </c>
      <c r="N211" s="37" t="s">
        <v>695</v>
      </c>
      <c r="O211" s="31">
        <f>IF(F211&gt;0,F211-AB211,"")</f>
        <v>2</v>
      </c>
      <c r="P211" s="37" t="str">
        <f>IF(F211&gt;0,IF(AB211="","PLANNING SUPPLY",IF(AB211&lt;=F211,"ONTIME DELIVERY","DELAY")),"")</f>
        <v>ONTIME DELIVERY</v>
      </c>
      <c r="Q211" s="181" t="str">
        <f>IFERROR(IF(J211&gt;0,VLOOKUP(J211,#REF!,MATCH($Q$6,#REF!,0),0),""),"")</f>
        <v/>
      </c>
      <c r="R211" s="181" t="str">
        <f>IFERROR(IF(J211&gt;0,VLOOKUP(J211,#REF!,MATCH($R$6,#REF!,0),0),""),"")</f>
        <v/>
      </c>
      <c r="S211" s="181" t="e">
        <f>IF(I214&gt;0,Q211+R211,"")</f>
        <v>#VALUE!</v>
      </c>
      <c r="T211" s="181"/>
      <c r="U211" s="181"/>
      <c r="V211" s="37"/>
      <c r="W211" s="181" t="e">
        <f>IF(I214&gt;0,IF(S211&gt;L211,"READY STOCK",IF(S211=0,"OUT OF STOCK",IF(S211&lt;L211,"LOW STOCK",""))),"")</f>
        <v>#VALUE!</v>
      </c>
      <c r="X211" s="38"/>
      <c r="Y211" s="38"/>
      <c r="Z211" s="38"/>
      <c r="AA211" s="38"/>
      <c r="AB211" s="50">
        <v>46239</v>
      </c>
      <c r="AC211" s="181">
        <v>33419</v>
      </c>
      <c r="AD211" s="51">
        <v>3</v>
      </c>
      <c r="AE211" s="37" t="s">
        <v>383</v>
      </c>
      <c r="AF211" s="37" t="s">
        <v>381</v>
      </c>
      <c r="AG211" s="33" t="str">
        <f>IF(G211&gt;0,IF(AD211&gt;0,IF(AD211=0,"Waiting",IF(AD211&lt;L211,"Partial",IF(AD211=L211,"Full Supply",IF(AD211&gt;L211,"Over Shared")))),"Waiting"),"")</f>
        <v>Full Supply</v>
      </c>
      <c r="AH211" s="37"/>
      <c r="AI211" s="37"/>
      <c r="AJ211" s="181"/>
      <c r="AK211" s="40"/>
      <c r="AL211" s="40"/>
      <c r="AM211" s="40"/>
      <c r="AN211" s="37"/>
      <c r="AO211" s="34"/>
      <c r="AP211" s="37"/>
      <c r="AQ211" s="37"/>
      <c r="AR211" s="37"/>
      <c r="AS211" s="37"/>
      <c r="AT211" s="37">
        <f>AS211-AD211</f>
        <v>-3</v>
      </c>
      <c r="AU211" s="36" t="str">
        <f>IF(AR211=0,"Waiting",IF(AR211&lt;AH211,"Kurang",IF(AR211=AH211,"Sesuai",IF(AR211&gt;AH211,"Over Shared"))))</f>
        <v>Waiting</v>
      </c>
      <c r="AV211" s="37"/>
      <c r="AW211" s="37" t="str">
        <f>IFERROR(DATEDIF(AH211,AK211,"d"),"0")&amp;"-DAY"</f>
        <v>0-DAY</v>
      </c>
      <c r="AX211" s="37" t="str">
        <f>IFERROR(DATEDIF(B211,AB211,"d"),"0")&amp;"-DAY"</f>
        <v>1-DAY</v>
      </c>
      <c r="AY211" s="37"/>
      <c r="AZ211" s="181">
        <f>L211-AD211</f>
        <v>0</v>
      </c>
    </row>
    <row r="212" spans="1:52" ht="15.5" customHeight="1">
      <c r="A212" s="360" t="s">
        <v>372</v>
      </c>
      <c r="B212" s="340">
        <v>46238</v>
      </c>
      <c r="C212" s="181">
        <v>48960</v>
      </c>
      <c r="D212" s="30">
        <v>46237</v>
      </c>
      <c r="E212" s="30">
        <v>46233</v>
      </c>
      <c r="F212" s="30">
        <v>46241</v>
      </c>
      <c r="G212" s="37">
        <v>4420230374</v>
      </c>
      <c r="H212" s="37" t="s">
        <v>373</v>
      </c>
      <c r="I212" s="37">
        <v>9040042451</v>
      </c>
      <c r="J212" s="37" t="s">
        <v>295</v>
      </c>
      <c r="K212" s="325" t="s">
        <v>296</v>
      </c>
      <c r="L212" s="181">
        <v>7</v>
      </c>
      <c r="M212" s="181" t="s">
        <v>375</v>
      </c>
      <c r="N212" s="37" t="s">
        <v>695</v>
      </c>
      <c r="O212" s="31">
        <f>IF(F212&gt;0,F212-AB212,"")</f>
        <v>-5</v>
      </c>
      <c r="P212" s="37" t="str">
        <f>IF(F212&gt;0,IF(AB212="","PLANNING SUPPLY",IF(AB212&lt;=F212,"ONTIME DELIVERY","DELAY")),"")</f>
        <v>DELAY</v>
      </c>
      <c r="Q212" s="181" t="str">
        <f>IFERROR(IF(J212&gt;0,VLOOKUP(J212,#REF!,MATCH($Q$6,#REF!,0),0),""),"")</f>
        <v/>
      </c>
      <c r="R212" s="181" t="str">
        <f>IFERROR(IF(J212&gt;0,VLOOKUP(J212,#REF!,MATCH($R$6,#REF!,0),0),""),"")</f>
        <v/>
      </c>
      <c r="S212" s="181" t="e">
        <f>IF(I215&gt;0,Q212+R212,"")</f>
        <v>#VALUE!</v>
      </c>
      <c r="T212" s="181"/>
      <c r="U212" s="181"/>
      <c r="V212" s="37"/>
      <c r="W212" s="181" t="e">
        <f>IF(I215&gt;0,IF(S212&gt;L212,"READY STOCK",IF(S212=0,"OUT OF STOCK",IF(S212&lt;L212,"LOW STOCK",""))),"")</f>
        <v>#VALUE!</v>
      </c>
      <c r="X212" s="38"/>
      <c r="Y212" s="38"/>
      <c r="Z212" s="38"/>
      <c r="AA212" s="38"/>
      <c r="AB212" s="50">
        <v>46246</v>
      </c>
      <c r="AC212" s="181">
        <v>33596</v>
      </c>
      <c r="AD212" s="51">
        <v>7</v>
      </c>
      <c r="AE212" s="37" t="s">
        <v>387</v>
      </c>
      <c r="AF212" s="37" t="s">
        <v>381</v>
      </c>
      <c r="AG212" s="33" t="str">
        <f>IF(G212&gt;0,IF(AD212&gt;0,IF(AD212=0,"Waiting",IF(AD212&lt;L212,"Partial",IF(AD212=L212,"Full Supply",IF(AD212&gt;L212,"Over Shared")))),"Waiting"),"")</f>
        <v>Full Supply</v>
      </c>
      <c r="AH212" s="37"/>
      <c r="AI212" s="37"/>
      <c r="AJ212" s="181"/>
      <c r="AK212" s="40"/>
      <c r="AL212" s="40"/>
      <c r="AM212" s="40"/>
      <c r="AN212" s="37"/>
      <c r="AO212" s="34"/>
      <c r="AP212" s="37"/>
      <c r="AQ212" s="37"/>
      <c r="AR212" s="37"/>
      <c r="AS212" s="37"/>
      <c r="AT212" s="37">
        <f>AS212-AD212</f>
        <v>-7</v>
      </c>
      <c r="AU212" s="36" t="str">
        <f>IF(AR212=0,"Waiting",IF(AR212&lt;AH212,"Kurang",IF(AR212=AH212,"Sesuai",IF(AR212&gt;AH212,"Over Shared"))))</f>
        <v>Waiting</v>
      </c>
      <c r="AV212" s="37"/>
      <c r="AW212" s="37" t="str">
        <f>IFERROR(DATEDIF(AH212,AK212,"d"),"0")&amp;"-DAY"</f>
        <v>0-DAY</v>
      </c>
      <c r="AX212" s="37" t="str">
        <f>IFERROR(DATEDIF(B212,AB212,"d"),"0")&amp;"-DAY"</f>
        <v>8-DAY</v>
      </c>
      <c r="AY212" s="37"/>
      <c r="AZ212" s="181">
        <f>L212-AD212</f>
        <v>0</v>
      </c>
    </row>
    <row r="213" spans="1:52" ht="15.5" customHeight="1">
      <c r="A213" s="360" t="s">
        <v>372</v>
      </c>
      <c r="B213" s="340">
        <v>46238</v>
      </c>
      <c r="C213" s="181">
        <v>48961</v>
      </c>
      <c r="D213" s="30">
        <v>46237</v>
      </c>
      <c r="E213" s="30">
        <v>46233</v>
      </c>
      <c r="F213" s="30">
        <v>46249</v>
      </c>
      <c r="G213" s="37">
        <v>4420230362</v>
      </c>
      <c r="H213" s="37" t="s">
        <v>373</v>
      </c>
      <c r="I213" s="37">
        <v>9040040588</v>
      </c>
      <c r="J213" s="37" t="s">
        <v>76</v>
      </c>
      <c r="K213" s="325" t="s">
        <v>77</v>
      </c>
      <c r="L213" s="181">
        <v>12</v>
      </c>
      <c r="M213" s="181" t="s">
        <v>375</v>
      </c>
      <c r="N213" s="37" t="s">
        <v>399</v>
      </c>
      <c r="O213" s="31">
        <f>IF(F213&gt;0,F213-AB213,"")</f>
        <v>-9</v>
      </c>
      <c r="P213" s="37" t="str">
        <f>IF(F213&gt;0,IF(AB213="","PLANNING SUPPLY",IF(AB213&lt;=F213,"ONTIME DELIVERY","DELAY")),"")</f>
        <v>DELAY</v>
      </c>
      <c r="Q213" s="181" t="str">
        <f>IFERROR(IF(J213&gt;0,VLOOKUP(J213,#REF!,MATCH($Q$6,#REF!,0),0),""),"")</f>
        <v/>
      </c>
      <c r="R213" s="181" t="str">
        <f>IFERROR(IF(J213&gt;0,VLOOKUP(J213,#REF!,MATCH($R$6,#REF!,0),0),""),"")</f>
        <v/>
      </c>
      <c r="S213" s="181" t="e">
        <f>IF(I216&gt;0,Q213+R213,"")</f>
        <v>#VALUE!</v>
      </c>
      <c r="T213" s="181"/>
      <c r="U213" s="181"/>
      <c r="V213" s="37"/>
      <c r="W213" s="181" t="e">
        <f>IF(I216&gt;0,IF(S213&gt;L213,"READY STOCK",IF(S213=0,"OUT OF STOCK",IF(S213&lt;L213,"LOW STOCK",""))),"")</f>
        <v>#VALUE!</v>
      </c>
      <c r="X213" s="38"/>
      <c r="Y213" s="38"/>
      <c r="Z213" s="38"/>
      <c r="AA213" s="38"/>
      <c r="AB213" s="50">
        <v>46258</v>
      </c>
      <c r="AC213" s="181">
        <v>33796</v>
      </c>
      <c r="AD213" s="51">
        <v>12</v>
      </c>
      <c r="AE213" s="37" t="s">
        <v>383</v>
      </c>
      <c r="AF213" s="37" t="s">
        <v>381</v>
      </c>
      <c r="AG213" s="33" t="str">
        <f>IF(G213&gt;0,IF(AD213&gt;0,IF(AD213=0,"Waiting",IF(AD213&lt;L213,"Partial",IF(AD213=L213,"Full Supply",IF(AD213&gt;L213,"Over Shared")))),"Waiting"),"")</f>
        <v>Full Supply</v>
      </c>
      <c r="AH213" s="56">
        <v>46247</v>
      </c>
      <c r="AI213" s="37" t="s">
        <v>646</v>
      </c>
      <c r="AJ213" s="181">
        <v>201</v>
      </c>
      <c r="AK213" s="40">
        <v>26391</v>
      </c>
      <c r="AL213" s="42">
        <v>46287</v>
      </c>
      <c r="AM213" s="40">
        <v>201</v>
      </c>
      <c r="AN213" s="37"/>
      <c r="AO213" s="41">
        <v>46295</v>
      </c>
      <c r="AP213" s="37"/>
      <c r="AQ213" s="37"/>
      <c r="AR213" s="37"/>
      <c r="AS213" s="37"/>
      <c r="AT213" s="37">
        <f>AS213-AD213</f>
        <v>-12</v>
      </c>
      <c r="AU213" s="36" t="str">
        <f>IF(AR213=0,"Waiting",IF(AR213&lt;AH213,"Kurang",IF(AR213=AH213,"Sesuai",IF(AR213&gt;AH213,"Over Shared"))))</f>
        <v>Waiting</v>
      </c>
      <c r="AV213" s="37"/>
      <c r="AW213" s="37" t="str">
        <f>IFERROR(DATEDIF(AH213,AK213,"d"),"0")&amp;"-DAY"</f>
        <v>0-DAY</v>
      </c>
      <c r="AX213" s="37" t="str">
        <f>IFERROR(DATEDIF(B213,AB213,"d"),"0")&amp;"-DAY"</f>
        <v>20-DAY</v>
      </c>
      <c r="AY213" s="37"/>
      <c r="AZ213" s="181">
        <f>L213-AD213</f>
        <v>0</v>
      </c>
    </row>
    <row r="214" spans="1:52" ht="15.5" customHeight="1">
      <c r="A214" s="360" t="s">
        <v>372</v>
      </c>
      <c r="B214" s="340">
        <v>46238</v>
      </c>
      <c r="C214" s="181">
        <v>48961</v>
      </c>
      <c r="D214" s="30">
        <v>46237</v>
      </c>
      <c r="E214" s="30">
        <v>46233</v>
      </c>
      <c r="F214" s="30">
        <v>46249</v>
      </c>
      <c r="G214" s="37">
        <v>4420230362</v>
      </c>
      <c r="H214" s="37" t="s">
        <v>373</v>
      </c>
      <c r="I214" s="37">
        <v>9040042224</v>
      </c>
      <c r="J214" s="37" t="s">
        <v>195</v>
      </c>
      <c r="K214" s="325" t="s">
        <v>196</v>
      </c>
      <c r="L214" s="181">
        <v>103</v>
      </c>
      <c r="M214" s="181" t="s">
        <v>421</v>
      </c>
      <c r="N214" s="37" t="s">
        <v>399</v>
      </c>
      <c r="O214" s="31">
        <f>IF(F214&gt;0,F214-AB214,"")</f>
        <v>-65</v>
      </c>
      <c r="P214" s="37" t="str">
        <f>IF(F214&gt;0,IF(AB214="","PLANNING SUPPLY",IF(AB214&lt;=F214,"ONTIME DELIVERY","DELAY")),"")</f>
        <v>DELAY</v>
      </c>
      <c r="Q214" s="181" t="str">
        <f>IFERROR(IF(J214&gt;0,VLOOKUP(J214,#REF!,MATCH($Q$6,#REF!,0),0),""),"")</f>
        <v/>
      </c>
      <c r="R214" s="181" t="str">
        <f>IFERROR(IF(J214&gt;0,VLOOKUP(J214,#REF!,MATCH($R$6,#REF!,0),0),""),"")</f>
        <v/>
      </c>
      <c r="S214" s="181" t="e">
        <f>IF(I217&gt;0,Q214+R214,"")</f>
        <v>#VALUE!</v>
      </c>
      <c r="T214" s="181"/>
      <c r="U214" s="181"/>
      <c r="V214" s="37"/>
      <c r="W214" s="181" t="e">
        <f>IF(I217&gt;0,IF(S214&gt;L214,"READY STOCK",IF(S214=0,"OUT OF STOCK",IF(S214&lt;L214,"LOW STOCK",""))),"")</f>
        <v>#VALUE!</v>
      </c>
      <c r="X214" s="38"/>
      <c r="Y214" s="38"/>
      <c r="Z214" s="38"/>
      <c r="AA214" s="38"/>
      <c r="AB214" s="50">
        <v>46314</v>
      </c>
      <c r="AC214" s="44" t="s">
        <v>1286</v>
      </c>
      <c r="AD214" s="51">
        <v>87</v>
      </c>
      <c r="AE214" s="37" t="s">
        <v>387</v>
      </c>
      <c r="AF214" s="37" t="s">
        <v>381</v>
      </c>
      <c r="AG214" s="33" t="str">
        <f>IF(G214&gt;0,IF(AD214&gt;0,IF(AD214=0,"Waiting",IF(AD214&lt;L214,"Partial",IF(AD214=L214,"Full Supply",IF(AD214&gt;L214,"Over Shared")))),"Waiting"),"")</f>
        <v>Partial</v>
      </c>
      <c r="AH214" s="156">
        <v>46239</v>
      </c>
      <c r="AI214" s="37" t="s">
        <v>770</v>
      </c>
      <c r="AJ214" s="181">
        <v>148</v>
      </c>
      <c r="AK214" s="40">
        <v>25940</v>
      </c>
      <c r="AL214" s="218">
        <v>46246</v>
      </c>
      <c r="AM214" s="40">
        <v>167</v>
      </c>
      <c r="AN214" s="37"/>
      <c r="AO214" s="48">
        <v>46253</v>
      </c>
      <c r="AP214" s="37"/>
      <c r="AQ214" s="37"/>
      <c r="AR214" s="37"/>
      <c r="AS214" s="37"/>
      <c r="AT214" s="37">
        <f>AS214-AD214</f>
        <v>-87</v>
      </c>
      <c r="AU214" s="36" t="str">
        <f>IF(AR214=0,"Waiting",IF(AR214&lt;AH214,"Kurang",IF(AR214=AH214,"Sesuai",IF(AR214&gt;AH214,"Over Shared"))))</f>
        <v>Waiting</v>
      </c>
      <c r="AV214" s="37"/>
      <c r="AW214" s="37" t="str">
        <f>IFERROR(DATEDIF(AH214,AK214,"d"),"0")&amp;"-DAY"</f>
        <v>0-DAY</v>
      </c>
      <c r="AX214" s="37" t="str">
        <f>IFERROR(DATEDIF(B214,AB214,"d"),"0")&amp;"-DAY"</f>
        <v>76-DAY</v>
      </c>
      <c r="AY214" s="37"/>
      <c r="AZ214" s="181">
        <f>L214-AD214</f>
        <v>16</v>
      </c>
    </row>
    <row r="215" spans="1:52" ht="15.5" customHeight="1">
      <c r="A215" s="360" t="s">
        <v>372</v>
      </c>
      <c r="B215" s="340">
        <v>46238</v>
      </c>
      <c r="C215" s="181">
        <v>48961</v>
      </c>
      <c r="D215" s="30">
        <v>46237</v>
      </c>
      <c r="E215" s="30">
        <v>46233</v>
      </c>
      <c r="F215" s="30">
        <v>46249</v>
      </c>
      <c r="G215" s="37">
        <v>4420230362</v>
      </c>
      <c r="H215" s="37" t="s">
        <v>373</v>
      </c>
      <c r="I215" s="37">
        <v>9040044285</v>
      </c>
      <c r="J215" s="37" t="s">
        <v>100</v>
      </c>
      <c r="K215" s="325" t="s">
        <v>101</v>
      </c>
      <c r="L215" s="181">
        <v>1</v>
      </c>
      <c r="M215" s="181" t="s">
        <v>427</v>
      </c>
      <c r="N215" s="37" t="s">
        <v>399</v>
      </c>
      <c r="O215" s="31">
        <f>IF(F215&gt;0,F215-AB215,"")</f>
        <v>-32</v>
      </c>
      <c r="P215" s="37" t="str">
        <f>IF(F215&gt;0,IF(AB215="","PLANNING SUPPLY",IF(AB215&lt;=F215,"ONTIME DELIVERY","DELAY")),"")</f>
        <v>DELAY</v>
      </c>
      <c r="Q215" s="181" t="str">
        <f>IFERROR(IF(J215&gt;0,VLOOKUP(J215,#REF!,MATCH($Q$6,#REF!,0),0),""),"")</f>
        <v/>
      </c>
      <c r="R215" s="181" t="str">
        <f>IFERROR(IF(J215&gt;0,VLOOKUP(J215,#REF!,MATCH($R$6,#REF!,0),0),""),"")</f>
        <v/>
      </c>
      <c r="S215" s="181" t="e">
        <f>IF(I218&gt;0,Q215+R215,"")</f>
        <v>#VALUE!</v>
      </c>
      <c r="T215" s="181"/>
      <c r="U215" s="181"/>
      <c r="V215" s="37"/>
      <c r="W215" s="181" t="e">
        <f>IF(I218&gt;0,IF(S215&gt;L215,"READY STOCK",IF(S215=0,"OUT OF STOCK",IF(S215&lt;L215,"LOW STOCK",""))),"")</f>
        <v>#VALUE!</v>
      </c>
      <c r="X215" s="38"/>
      <c r="Y215" s="38"/>
      <c r="Z215" s="38"/>
      <c r="AA215" s="38"/>
      <c r="AB215" s="50">
        <v>46281</v>
      </c>
      <c r="AC215" s="181">
        <v>34294</v>
      </c>
      <c r="AD215" s="51">
        <v>1</v>
      </c>
      <c r="AE215" s="37" t="s">
        <v>383</v>
      </c>
      <c r="AF215" s="37" t="s">
        <v>381</v>
      </c>
      <c r="AG215" s="33" t="str">
        <f>IF(G215&gt;0,IF(AD215&gt;0,IF(AD215=0,"Waiting",IF(AD215&lt;L215,"Partial",IF(AD215=L215,"Full Supply",IF(AD215&gt;L215,"Over Shared")))),"Waiting"),"")</f>
        <v>Full Supply</v>
      </c>
      <c r="AH215" s="156">
        <v>46239</v>
      </c>
      <c r="AI215" s="37" t="s">
        <v>770</v>
      </c>
      <c r="AJ215" s="181">
        <v>3</v>
      </c>
      <c r="AK215" s="40">
        <v>25323</v>
      </c>
      <c r="AL215" s="45">
        <v>46256</v>
      </c>
      <c r="AM215" s="40">
        <v>3</v>
      </c>
      <c r="AN215" s="37"/>
      <c r="AO215" s="48">
        <v>46262</v>
      </c>
      <c r="AP215" s="37"/>
      <c r="AQ215" s="37"/>
      <c r="AR215" s="37"/>
      <c r="AS215" s="37"/>
      <c r="AT215" s="37">
        <f>AS215-AD215</f>
        <v>-1</v>
      </c>
      <c r="AU215" s="36" t="str">
        <f>IF(AR215=0,"Waiting",IF(AR215&lt;AH215,"Kurang",IF(AR215=AH215,"Sesuai",IF(AR215&gt;AH215,"Over Shared"))))</f>
        <v>Waiting</v>
      </c>
      <c r="AV215" s="37"/>
      <c r="AW215" s="37" t="str">
        <f>IFERROR(DATEDIF(AH215,AK215,"d"),"0")&amp;"-DAY"</f>
        <v>0-DAY</v>
      </c>
      <c r="AX215" s="37" t="str">
        <f>IFERROR(DATEDIF(B215,AB215,"d"),"0")&amp;"-DAY"</f>
        <v>43-DAY</v>
      </c>
      <c r="AY215" s="37"/>
      <c r="AZ215" s="181">
        <f>L215-AD215</f>
        <v>0</v>
      </c>
    </row>
    <row r="216" spans="1:52" ht="15.5" customHeight="1">
      <c r="A216" s="360" t="s">
        <v>372</v>
      </c>
      <c r="B216" s="340">
        <v>46238</v>
      </c>
      <c r="C216" s="181">
        <v>48961</v>
      </c>
      <c r="D216" s="30">
        <v>46237</v>
      </c>
      <c r="E216" s="30">
        <v>46233</v>
      </c>
      <c r="F216" s="30">
        <v>46249</v>
      </c>
      <c r="G216" s="37">
        <v>4420230362</v>
      </c>
      <c r="H216" s="37" t="s">
        <v>373</v>
      </c>
      <c r="I216" s="37">
        <v>9040016582</v>
      </c>
      <c r="J216" s="37" t="s">
        <v>183</v>
      </c>
      <c r="K216" s="325" t="s">
        <v>184</v>
      </c>
      <c r="L216" s="181">
        <v>12</v>
      </c>
      <c r="M216" s="181" t="s">
        <v>375</v>
      </c>
      <c r="N216" s="37" t="s">
        <v>399</v>
      </c>
      <c r="O216" s="31">
        <f>IF(F216&gt;0,F216-AB216,"")</f>
        <v>2</v>
      </c>
      <c r="P216" s="37" t="str">
        <f>IF(F216&gt;0,IF(AB216="","PLANNING SUPPLY",IF(AB216&lt;=F216,"ONTIME DELIVERY","DELAY")),"")</f>
        <v>ONTIME DELIVERY</v>
      </c>
      <c r="Q216" s="181" t="str">
        <f>IFERROR(IF(J216&gt;0,VLOOKUP(J216,#REF!,MATCH($Q$6,#REF!,0),0),""),"")</f>
        <v/>
      </c>
      <c r="R216" s="181" t="str">
        <f>IFERROR(IF(J216&gt;0,VLOOKUP(J216,#REF!,MATCH($R$6,#REF!,0),0),""),"")</f>
        <v/>
      </c>
      <c r="S216" s="181" t="e">
        <f>IF(I219&gt;0,Q216+R216,"")</f>
        <v>#VALUE!</v>
      </c>
      <c r="T216" s="181"/>
      <c r="U216" s="181"/>
      <c r="V216" s="37"/>
      <c r="W216" s="181" t="e">
        <f>IF(I219&gt;0,IF(S216&gt;L216,"READY STOCK",IF(S216=0,"OUT OF STOCK",IF(S216&lt;L216,"LOW STOCK",""))),"")</f>
        <v>#VALUE!</v>
      </c>
      <c r="X216" s="38"/>
      <c r="Y216" s="38"/>
      <c r="Z216" s="38"/>
      <c r="AA216" s="38"/>
      <c r="AB216" s="50">
        <v>46247</v>
      </c>
      <c r="AC216" s="181">
        <v>33643</v>
      </c>
      <c r="AD216" s="51">
        <v>12</v>
      </c>
      <c r="AE216" s="37" t="s">
        <v>387</v>
      </c>
      <c r="AF216" s="37" t="s">
        <v>381</v>
      </c>
      <c r="AG216" s="33" t="str">
        <f>IF(G216&gt;0,IF(AD216&gt;0,IF(AD216=0,"Waiting",IF(AD216&lt;L216,"Partial",IF(AD216=L216,"Full Supply",IF(AD216&gt;L216,"Over Shared")))),"Waiting"),"")</f>
        <v>Full Supply</v>
      </c>
      <c r="AH216" s="37"/>
      <c r="AI216" s="37"/>
      <c r="AJ216" s="181"/>
      <c r="AK216" s="40"/>
      <c r="AL216" s="40"/>
      <c r="AM216" s="40"/>
      <c r="AN216" s="37"/>
      <c r="AO216" s="34"/>
      <c r="AP216" s="37"/>
      <c r="AQ216" s="37"/>
      <c r="AR216" s="37"/>
      <c r="AS216" s="37"/>
      <c r="AT216" s="37">
        <f>AS216-AD216</f>
        <v>-12</v>
      </c>
      <c r="AU216" s="36" t="str">
        <f>IF(AR216=0,"Waiting",IF(AR216&lt;AH216,"Kurang",IF(AR216=AH216,"Sesuai",IF(AR216&gt;AH216,"Over Shared"))))</f>
        <v>Waiting</v>
      </c>
      <c r="AV216" s="37"/>
      <c r="AW216" s="37" t="str">
        <f>IFERROR(DATEDIF(AH216,AK216,"d"),"0")&amp;"-DAY"</f>
        <v>0-DAY</v>
      </c>
      <c r="AX216" s="37" t="str">
        <f>IFERROR(DATEDIF(B216,AB216,"d"),"0")&amp;"-DAY"</f>
        <v>9-DAY</v>
      </c>
      <c r="AY216" s="37"/>
      <c r="AZ216" s="181">
        <f>L216-AD216</f>
        <v>0</v>
      </c>
    </row>
    <row r="217" spans="1:52" ht="15.5" customHeight="1">
      <c r="A217" s="360" t="s">
        <v>372</v>
      </c>
      <c r="B217" s="340">
        <v>46238</v>
      </c>
      <c r="C217" s="181">
        <v>48962</v>
      </c>
      <c r="D217" s="30">
        <v>46237</v>
      </c>
      <c r="E217" s="30">
        <v>46232</v>
      </c>
      <c r="F217" s="30">
        <v>46241</v>
      </c>
      <c r="G217" s="37">
        <v>4420230292</v>
      </c>
      <c r="H217" s="37" t="s">
        <v>373</v>
      </c>
      <c r="I217" s="37">
        <v>9040016343</v>
      </c>
      <c r="J217" s="37" t="s">
        <v>211</v>
      </c>
      <c r="K217" s="325" t="s">
        <v>212</v>
      </c>
      <c r="L217" s="181">
        <v>12</v>
      </c>
      <c r="M217" s="181" t="s">
        <v>421</v>
      </c>
      <c r="N217" s="37" t="s">
        <v>695</v>
      </c>
      <c r="O217" s="31">
        <f>IF(F217&gt;0,F217-AB217,"")</f>
        <v>-3</v>
      </c>
      <c r="P217" s="37" t="str">
        <f>IF(F217&gt;0,IF(AB217="","PLANNING SUPPLY",IF(AB217&lt;=F217,"ONTIME DELIVERY","DELAY")),"")</f>
        <v>DELAY</v>
      </c>
      <c r="Q217" s="181" t="str">
        <f>IFERROR(IF(J217&gt;0,VLOOKUP(J217,#REF!,MATCH($Q$6,#REF!,0),0),""),"")</f>
        <v/>
      </c>
      <c r="R217" s="181" t="str">
        <f>IFERROR(IF(J217&gt;0,VLOOKUP(J217,#REF!,MATCH($R$6,#REF!,0),0),""),"")</f>
        <v/>
      </c>
      <c r="S217" s="181" t="e">
        <f>IF(I220&gt;0,Q217+R217,"")</f>
        <v>#VALUE!</v>
      </c>
      <c r="T217" s="181"/>
      <c r="U217" s="181"/>
      <c r="V217" s="37"/>
      <c r="W217" s="181" t="e">
        <f>IF(I220&gt;0,IF(S217&gt;L217,"READY STOCK",IF(S217=0,"OUT OF STOCK",IF(S217&lt;L217,"LOW STOCK",""))),"")</f>
        <v>#VALUE!</v>
      </c>
      <c r="X217" s="38"/>
      <c r="Y217" s="38"/>
      <c r="Z217" s="38"/>
      <c r="AA217" s="38"/>
      <c r="AB217" s="50">
        <v>46244</v>
      </c>
      <c r="AC217" s="181">
        <v>33527.340839999997</v>
      </c>
      <c r="AD217" s="51">
        <f>4+8</f>
        <v>12</v>
      </c>
      <c r="AE217" s="37" t="s">
        <v>387</v>
      </c>
      <c r="AF217" s="37" t="s">
        <v>381</v>
      </c>
      <c r="AG217" s="33" t="str">
        <f>IF(G217&gt;0,IF(AD217&gt;0,IF(AD217=0,"Waiting",IF(AD217&lt;L217,"Partial",IF(AD217=L217,"Full Supply",IF(AD217&gt;L217,"Over Shared")))),"Waiting"),"")</f>
        <v>Full Supply</v>
      </c>
      <c r="AH217" s="156">
        <v>46239</v>
      </c>
      <c r="AI217" s="37" t="s">
        <v>770</v>
      </c>
      <c r="AJ217" s="181">
        <v>324</v>
      </c>
      <c r="AK217" s="40">
        <v>25939</v>
      </c>
      <c r="AL217" s="218">
        <v>46246</v>
      </c>
      <c r="AM217" s="40">
        <v>361</v>
      </c>
      <c r="AN217" s="37"/>
      <c r="AO217" s="48">
        <v>46253</v>
      </c>
      <c r="AP217" s="37"/>
      <c r="AQ217" s="37"/>
      <c r="AR217" s="37"/>
      <c r="AS217" s="37"/>
      <c r="AT217" s="37">
        <f>AS217-AD217</f>
        <v>-12</v>
      </c>
      <c r="AU217" s="36" t="str">
        <f>IF(AR217=0,"Waiting",IF(AR217&lt;AH217,"Kurang",IF(AR217=AH217,"Sesuai",IF(AR217&gt;AH217,"Over Shared"))))</f>
        <v>Waiting</v>
      </c>
      <c r="AV217" s="37">
        <v>54590</v>
      </c>
      <c r="AW217" s="37" t="str">
        <f>IFERROR(DATEDIF(AH217,AK217,"d"),"0")&amp;"-DAY"</f>
        <v>0-DAY</v>
      </c>
      <c r="AX217" s="37" t="str">
        <f>IFERROR(DATEDIF(B217,AB217,"d"),"0")&amp;"-DAY"</f>
        <v>6-DAY</v>
      </c>
      <c r="AY217" s="37"/>
      <c r="AZ217" s="181">
        <f>L217-AD217</f>
        <v>0</v>
      </c>
    </row>
    <row r="218" spans="1:52" ht="15.5" customHeight="1">
      <c r="A218" s="360" t="s">
        <v>372</v>
      </c>
      <c r="B218" s="340">
        <v>46238</v>
      </c>
      <c r="C218" s="181">
        <v>48962</v>
      </c>
      <c r="D218" s="30">
        <v>46237</v>
      </c>
      <c r="E218" s="30">
        <v>46232</v>
      </c>
      <c r="F218" s="30">
        <v>46241</v>
      </c>
      <c r="G218" s="37">
        <v>4420230292</v>
      </c>
      <c r="H218" s="37" t="s">
        <v>373</v>
      </c>
      <c r="I218" s="37">
        <v>9040042224</v>
      </c>
      <c r="J218" s="37" t="s">
        <v>195</v>
      </c>
      <c r="K218" s="325" t="s">
        <v>196</v>
      </c>
      <c r="L218" s="181">
        <v>22</v>
      </c>
      <c r="M218" s="181" t="s">
        <v>421</v>
      </c>
      <c r="N218" s="37" t="s">
        <v>695</v>
      </c>
      <c r="O218" s="31">
        <f>IF(F218&gt;0,F218-AB218,"")</f>
        <v>-3</v>
      </c>
      <c r="P218" s="37" t="str">
        <f>IF(F218&gt;0,IF(AB218="","PLANNING SUPPLY",IF(AB218&lt;=F218,"ONTIME DELIVERY","DELAY")),"")</f>
        <v>DELAY</v>
      </c>
      <c r="Q218" s="181" t="str">
        <f>IFERROR(IF(J218&gt;0,VLOOKUP(J218,#REF!,MATCH($Q$6,#REF!,0),0),""),"")</f>
        <v/>
      </c>
      <c r="R218" s="181" t="str">
        <f>IFERROR(IF(J218&gt;0,VLOOKUP(J218,#REF!,MATCH($R$6,#REF!,0),0),""),"")</f>
        <v/>
      </c>
      <c r="S218" s="181" t="e">
        <f>IF(I221&gt;0,Q218+R218,"")</f>
        <v>#VALUE!</v>
      </c>
      <c r="T218" s="181"/>
      <c r="U218" s="181"/>
      <c r="V218" s="37"/>
      <c r="W218" s="181" t="e">
        <f>IF(I221&gt;0,IF(S218&gt;L218,"READY STOCK",IF(S218=0,"OUT OF STOCK",IF(S218&lt;L218,"LOW STOCK",""))),"")</f>
        <v>#VALUE!</v>
      </c>
      <c r="X218" s="38"/>
      <c r="Y218" s="38"/>
      <c r="Z218" s="38"/>
      <c r="AA218" s="38"/>
      <c r="AB218" s="50">
        <v>46244</v>
      </c>
      <c r="AC218" s="181">
        <v>33527.340839999997</v>
      </c>
      <c r="AD218" s="51">
        <f>4+18</f>
        <v>22</v>
      </c>
      <c r="AE218" s="37" t="s">
        <v>387</v>
      </c>
      <c r="AF218" s="37" t="s">
        <v>381</v>
      </c>
      <c r="AG218" s="33" t="str">
        <f>IF(G218&gt;0,IF(AD218&gt;0,IF(AD218=0,"Waiting",IF(AD218&lt;L218,"Partial",IF(AD218=L218,"Full Supply",IF(AD218&gt;L218,"Over Shared")))),"Waiting"),"")</f>
        <v>Full Supply</v>
      </c>
      <c r="AH218" s="156">
        <v>46239</v>
      </c>
      <c r="AI218" s="37" t="s">
        <v>770</v>
      </c>
      <c r="AJ218" s="181">
        <v>148</v>
      </c>
      <c r="AK218" s="40">
        <v>25940</v>
      </c>
      <c r="AL218" s="218">
        <v>46246</v>
      </c>
      <c r="AM218" s="40">
        <v>167</v>
      </c>
      <c r="AN218" s="37"/>
      <c r="AO218" s="48">
        <v>46253</v>
      </c>
      <c r="AP218" s="37"/>
      <c r="AQ218" s="37"/>
      <c r="AR218" s="37"/>
      <c r="AS218" s="37"/>
      <c r="AT218" s="37">
        <f>AS218-AD218</f>
        <v>-22</v>
      </c>
      <c r="AU218" s="36" t="str">
        <f>IF(AR218=0,"Waiting",IF(AR218&lt;AH218,"Kurang",IF(AR218=AH218,"Sesuai",IF(AR218&gt;AH218,"Over Shared"))))</f>
        <v>Waiting</v>
      </c>
      <c r="AV218" s="37">
        <v>54590</v>
      </c>
      <c r="AW218" s="37" t="str">
        <f>IFERROR(DATEDIF(AH218,AK218,"d"),"0")&amp;"-DAY"</f>
        <v>0-DAY</v>
      </c>
      <c r="AX218" s="37" t="str">
        <f>IFERROR(DATEDIF(B218,AB218,"d"),"0")&amp;"-DAY"</f>
        <v>6-DAY</v>
      </c>
      <c r="AY218" s="37"/>
      <c r="AZ218" s="181">
        <f>L218-AD218</f>
        <v>0</v>
      </c>
    </row>
    <row r="219" spans="1:52" ht="15.5" customHeight="1">
      <c r="A219" s="360" t="s">
        <v>372</v>
      </c>
      <c r="B219" s="340">
        <v>46238</v>
      </c>
      <c r="C219" s="181">
        <v>48962</v>
      </c>
      <c r="D219" s="30">
        <v>46237</v>
      </c>
      <c r="E219" s="30">
        <v>46232</v>
      </c>
      <c r="F219" s="30">
        <v>46241</v>
      </c>
      <c r="G219" s="37">
        <v>4420230292</v>
      </c>
      <c r="H219" s="37" t="s">
        <v>373</v>
      </c>
      <c r="I219" s="37">
        <v>9040042451</v>
      </c>
      <c r="J219" s="37" t="s">
        <v>295</v>
      </c>
      <c r="K219" s="325" t="s">
        <v>296</v>
      </c>
      <c r="L219" s="181">
        <v>7</v>
      </c>
      <c r="M219" s="181" t="s">
        <v>375</v>
      </c>
      <c r="N219" s="37" t="s">
        <v>695</v>
      </c>
      <c r="O219" s="31">
        <f>IF(F219&gt;0,F219-AB219,"")</f>
        <v>-5</v>
      </c>
      <c r="P219" s="37" t="str">
        <f>IF(F219&gt;0,IF(AB219="","PLANNING SUPPLY",IF(AB219&lt;=F219,"ONTIME DELIVERY","DELAY")),"")</f>
        <v>DELAY</v>
      </c>
      <c r="Q219" s="181" t="str">
        <f>IFERROR(IF(J219&gt;0,VLOOKUP(J219,#REF!,MATCH($Q$6,#REF!,0),0),""),"")</f>
        <v/>
      </c>
      <c r="R219" s="181" t="str">
        <f>IFERROR(IF(J219&gt;0,VLOOKUP(J219,#REF!,MATCH($R$6,#REF!,0),0),""),"")</f>
        <v/>
      </c>
      <c r="S219" s="181" t="e">
        <f>IF(I222&gt;0,Q219+R219,"")</f>
        <v>#VALUE!</v>
      </c>
      <c r="T219" s="181"/>
      <c r="U219" s="181"/>
      <c r="V219" s="37"/>
      <c r="W219" s="181" t="e">
        <f>IF(I222&gt;0,IF(S219&gt;L219,"READY STOCK",IF(S219=0,"OUT OF STOCK",IF(S219&lt;L219,"LOW STOCK",""))),"")</f>
        <v>#VALUE!</v>
      </c>
      <c r="X219" s="38"/>
      <c r="Y219" s="38"/>
      <c r="Z219" s="38"/>
      <c r="AA219" s="38"/>
      <c r="AB219" s="50">
        <v>46246</v>
      </c>
      <c r="AC219" s="181">
        <v>33595</v>
      </c>
      <c r="AD219" s="51">
        <v>7</v>
      </c>
      <c r="AE219" s="37" t="s">
        <v>387</v>
      </c>
      <c r="AF219" s="37" t="s">
        <v>381</v>
      </c>
      <c r="AG219" s="33" t="str">
        <f>IF(G219&gt;0,IF(AD219&gt;0,IF(AD219=0,"Waiting",IF(AD219&lt;L219,"Partial",IF(AD219=L219,"Full Supply",IF(AD219&gt;L219,"Over Shared")))),"Waiting"),"")</f>
        <v>Full Supply</v>
      </c>
      <c r="AH219" s="37"/>
      <c r="AI219" s="37"/>
      <c r="AJ219" s="181"/>
      <c r="AK219" s="40"/>
      <c r="AL219" s="40"/>
      <c r="AM219" s="40"/>
      <c r="AN219" s="37"/>
      <c r="AO219" s="34"/>
      <c r="AP219" s="37"/>
      <c r="AQ219" s="37"/>
      <c r="AR219" s="37"/>
      <c r="AS219" s="37"/>
      <c r="AT219" s="37">
        <f>AS219-AD219</f>
        <v>-7</v>
      </c>
      <c r="AU219" s="36" t="str">
        <f>IF(AR219=0,"Waiting",IF(AR219&lt;AH219,"Kurang",IF(AR219=AH219,"Sesuai",IF(AR219&gt;AH219,"Over Shared"))))</f>
        <v>Waiting</v>
      </c>
      <c r="AV219" s="37"/>
      <c r="AW219" s="37" t="str">
        <f>IFERROR(DATEDIF(AH219,AK219,"d"),"0")&amp;"-DAY"</f>
        <v>0-DAY</v>
      </c>
      <c r="AX219" s="37" t="str">
        <f>IFERROR(DATEDIF(B219,AB219,"d"),"0")&amp;"-DAY"</f>
        <v>8-DAY</v>
      </c>
      <c r="AY219" s="37"/>
      <c r="AZ219" s="181">
        <f>L219-AD219</f>
        <v>0</v>
      </c>
    </row>
    <row r="220" spans="1:52" ht="15.5" customHeight="1">
      <c r="A220" s="360" t="s">
        <v>372</v>
      </c>
      <c r="B220" s="340">
        <v>46238</v>
      </c>
      <c r="C220" s="181">
        <v>48963</v>
      </c>
      <c r="D220" s="30">
        <v>46237</v>
      </c>
      <c r="E220" s="30">
        <v>46232</v>
      </c>
      <c r="F220" s="30">
        <v>46241</v>
      </c>
      <c r="G220" s="37">
        <v>4420230303</v>
      </c>
      <c r="H220" s="37" t="s">
        <v>373</v>
      </c>
      <c r="I220" s="37">
        <v>9040040445</v>
      </c>
      <c r="J220" s="37" t="s">
        <v>193</v>
      </c>
      <c r="K220" s="325" t="s">
        <v>194</v>
      </c>
      <c r="L220" s="181">
        <v>4</v>
      </c>
      <c r="M220" s="181" t="s">
        <v>421</v>
      </c>
      <c r="N220" s="37" t="s">
        <v>680</v>
      </c>
      <c r="O220" s="31">
        <f>IF(F220&gt;0,F220-AB220,"")</f>
        <v>-3</v>
      </c>
      <c r="P220" s="37" t="str">
        <f>IF(F220&gt;0,IF(AB220="","PLANNING SUPPLY",IF(AB220&lt;=F220,"ONTIME DELIVERY","DELAY")),"")</f>
        <v>DELAY</v>
      </c>
      <c r="Q220" s="181" t="str">
        <f>IFERROR(IF(J220&gt;0,VLOOKUP(J220,#REF!,MATCH($Q$6,#REF!,0),0),""),"")</f>
        <v/>
      </c>
      <c r="R220" s="181" t="str">
        <f>IFERROR(IF(J220&gt;0,VLOOKUP(J220,#REF!,MATCH($R$6,#REF!,0),0),""),"")</f>
        <v/>
      </c>
      <c r="S220" s="181" t="e">
        <f>IF(I223&gt;0,Q220+R220,"")</f>
        <v>#VALUE!</v>
      </c>
      <c r="T220" s="181"/>
      <c r="U220" s="181"/>
      <c r="V220" s="37"/>
      <c r="W220" s="181" t="e">
        <f>IF(I223&gt;0,IF(S220&gt;L220,"READY STOCK",IF(S220=0,"OUT OF STOCK",IF(S220&lt;L220,"LOW STOCK",""))),"")</f>
        <v>#VALUE!</v>
      </c>
      <c r="X220" s="38"/>
      <c r="Y220" s="38"/>
      <c r="Z220" s="38"/>
      <c r="AA220" s="38"/>
      <c r="AB220" s="50">
        <v>46244</v>
      </c>
      <c r="AC220" s="181">
        <v>33530</v>
      </c>
      <c r="AD220" s="51">
        <v>4</v>
      </c>
      <c r="AE220" s="37" t="s">
        <v>387</v>
      </c>
      <c r="AF220" s="37" t="s">
        <v>381</v>
      </c>
      <c r="AG220" s="33" t="str">
        <f>IF(G220&gt;0,IF(AD220&gt;0,IF(AD220=0,"Waiting",IF(AD220&lt;L220,"Partial",IF(AD220=L220,"Full Supply",IF(AD220&gt;L220,"Over Shared")))),"Waiting"),"")</f>
        <v>Full Supply</v>
      </c>
      <c r="AH220" s="37"/>
      <c r="AI220" s="37"/>
      <c r="AJ220" s="181"/>
      <c r="AK220" s="40"/>
      <c r="AL220" s="40"/>
      <c r="AM220" s="40"/>
      <c r="AN220" s="37"/>
      <c r="AO220" s="34"/>
      <c r="AP220" s="37"/>
      <c r="AQ220" s="37"/>
      <c r="AR220" s="37"/>
      <c r="AS220" s="37"/>
      <c r="AT220" s="37">
        <f>AS220-AD220</f>
        <v>-4</v>
      </c>
      <c r="AU220" s="36" t="str">
        <f>IF(AR220=0,"Waiting",IF(AR220&lt;AH220,"Kurang",IF(AR220=AH220,"Sesuai",IF(AR220&gt;AH220,"Over Shared"))))</f>
        <v>Waiting</v>
      </c>
      <c r="AV220" s="37">
        <v>56059</v>
      </c>
      <c r="AW220" s="37" t="str">
        <f>IFERROR(DATEDIF(AH220,AK220,"d"),"0")&amp;"-DAY"</f>
        <v>0-DAY</v>
      </c>
      <c r="AX220" s="37" t="str">
        <f>IFERROR(DATEDIF(B220,AB220,"d"),"0")&amp;"-DAY"</f>
        <v>6-DAY</v>
      </c>
      <c r="AY220" s="37"/>
      <c r="AZ220" s="181">
        <f>L220-AD220</f>
        <v>0</v>
      </c>
    </row>
    <row r="221" spans="1:52" ht="15.5" customHeight="1">
      <c r="A221" s="360" t="s">
        <v>372</v>
      </c>
      <c r="B221" s="340">
        <v>46238</v>
      </c>
      <c r="C221" s="181">
        <v>48963</v>
      </c>
      <c r="D221" s="30">
        <v>46237</v>
      </c>
      <c r="E221" s="30">
        <v>46232</v>
      </c>
      <c r="F221" s="30">
        <v>46241</v>
      </c>
      <c r="G221" s="37">
        <v>4420230303</v>
      </c>
      <c r="H221" s="37" t="s">
        <v>373</v>
      </c>
      <c r="I221" s="37">
        <v>9040042224</v>
      </c>
      <c r="J221" s="37" t="s">
        <v>195</v>
      </c>
      <c r="K221" s="325" t="s">
        <v>196</v>
      </c>
      <c r="L221" s="181">
        <v>11</v>
      </c>
      <c r="M221" s="181" t="s">
        <v>421</v>
      </c>
      <c r="N221" s="37" t="s">
        <v>680</v>
      </c>
      <c r="O221" s="31">
        <f>IF(F221&gt;0,F221-AB221,"")</f>
        <v>-31</v>
      </c>
      <c r="P221" s="37" t="str">
        <f>IF(F221&gt;0,IF(AB221="","PLANNING SUPPLY",IF(AB221&lt;=F221,"ONTIME DELIVERY","DELAY")),"")</f>
        <v>DELAY</v>
      </c>
      <c r="Q221" s="181" t="str">
        <f>IFERROR(IF(J221&gt;0,VLOOKUP(J221,#REF!,MATCH($Q$6,#REF!,0),0),""),"")</f>
        <v/>
      </c>
      <c r="R221" s="181" t="str">
        <f>IFERROR(IF(J221&gt;0,VLOOKUP(J221,#REF!,MATCH($R$6,#REF!,0),0),""),"")</f>
        <v/>
      </c>
      <c r="S221" s="181" t="e">
        <f>IF(I224&gt;0,Q221+R221,"")</f>
        <v>#VALUE!</v>
      </c>
      <c r="T221" s="181"/>
      <c r="U221" s="181"/>
      <c r="V221" s="37"/>
      <c r="W221" s="181" t="e">
        <f>IF(I224&gt;0,IF(S221&gt;L221,"READY STOCK",IF(S221=0,"OUT OF STOCK",IF(S221&lt;L221,"LOW STOCK",""))),"")</f>
        <v>#VALUE!</v>
      </c>
      <c r="X221" s="38"/>
      <c r="Y221" s="38"/>
      <c r="Z221" s="38"/>
      <c r="AA221" s="38"/>
      <c r="AB221" s="50">
        <v>46272</v>
      </c>
      <c r="AC221" s="181">
        <v>34081</v>
      </c>
      <c r="AD221" s="51">
        <v>11</v>
      </c>
      <c r="AE221" s="37" t="s">
        <v>383</v>
      </c>
      <c r="AF221" s="37" t="s">
        <v>381</v>
      </c>
      <c r="AG221" s="33" t="str">
        <f>IF(G221&gt;0,IF(AD221&gt;0,IF(AD221=0,"Waiting",IF(AD221&lt;L221,"Partial",IF(AD221=L221,"Full Supply",IF(AD221&gt;L221,"Over Shared")))),"Waiting"),"")</f>
        <v>Full Supply</v>
      </c>
      <c r="AH221" s="156">
        <v>46239</v>
      </c>
      <c r="AI221" s="37" t="s">
        <v>770</v>
      </c>
      <c r="AJ221" s="181">
        <v>148</v>
      </c>
      <c r="AK221" s="40">
        <v>25940</v>
      </c>
      <c r="AL221" s="218">
        <v>46246</v>
      </c>
      <c r="AM221" s="40">
        <v>167</v>
      </c>
      <c r="AN221" s="37"/>
      <c r="AO221" s="48">
        <v>46253</v>
      </c>
      <c r="AP221" s="37"/>
      <c r="AQ221" s="37"/>
      <c r="AR221" s="37"/>
      <c r="AS221" s="37"/>
      <c r="AT221" s="37">
        <f>AS221-AD221</f>
        <v>-11</v>
      </c>
      <c r="AU221" s="36" t="str">
        <f>IF(AR221=0,"Waiting",IF(AR221&lt;AH221,"Kurang",IF(AR221=AH221,"Sesuai",IF(AR221&gt;AH221,"Over Shared"))))</f>
        <v>Waiting</v>
      </c>
      <c r="AV221" s="37">
        <v>56059</v>
      </c>
      <c r="AW221" s="37" t="str">
        <f>IFERROR(DATEDIF(AH221,AK221,"d"),"0")&amp;"-DAY"</f>
        <v>0-DAY</v>
      </c>
      <c r="AX221" s="37" t="str">
        <f>IFERROR(DATEDIF(B221,AB221,"d"),"0")&amp;"-DAY"</f>
        <v>34-DAY</v>
      </c>
      <c r="AY221" s="37"/>
      <c r="AZ221" s="181">
        <f>L221-AD221</f>
        <v>0</v>
      </c>
    </row>
    <row r="222" spans="1:52" ht="15.5" customHeight="1">
      <c r="A222" s="360" t="s">
        <v>372</v>
      </c>
      <c r="B222" s="340">
        <v>46238</v>
      </c>
      <c r="C222" s="181">
        <v>48963</v>
      </c>
      <c r="D222" s="30">
        <v>46237</v>
      </c>
      <c r="E222" s="30">
        <v>46232</v>
      </c>
      <c r="F222" s="30">
        <v>46241</v>
      </c>
      <c r="G222" s="37">
        <v>4420230303</v>
      </c>
      <c r="H222" s="37" t="s">
        <v>373</v>
      </c>
      <c r="I222" s="37">
        <v>9040016343</v>
      </c>
      <c r="J222" s="37" t="s">
        <v>211</v>
      </c>
      <c r="K222" s="325" t="s">
        <v>212</v>
      </c>
      <c r="L222" s="181">
        <v>4</v>
      </c>
      <c r="M222" s="181" t="s">
        <v>421</v>
      </c>
      <c r="N222" s="37" t="s">
        <v>680</v>
      </c>
      <c r="O222" s="31">
        <f>IF(F222&gt;0,F222-AB222,"")</f>
        <v>-31</v>
      </c>
      <c r="P222" s="37" t="str">
        <f>IF(F222&gt;0,IF(AB222="","PLANNING SUPPLY",IF(AB222&lt;=F222,"ONTIME DELIVERY","DELAY")),"")</f>
        <v>DELAY</v>
      </c>
      <c r="Q222" s="181" t="str">
        <f>IFERROR(IF(J222&gt;0,VLOOKUP(J222,#REF!,MATCH($Q$6,#REF!,0),0),""),"")</f>
        <v/>
      </c>
      <c r="R222" s="181" t="str">
        <f>IFERROR(IF(J222&gt;0,VLOOKUP(J222,#REF!,MATCH($R$6,#REF!,0),0),""),"")</f>
        <v/>
      </c>
      <c r="S222" s="181" t="e">
        <f>IF(I225&gt;0,Q222+R222,"")</f>
        <v>#VALUE!</v>
      </c>
      <c r="T222" s="181"/>
      <c r="U222" s="181"/>
      <c r="V222" s="37"/>
      <c r="W222" s="181" t="e">
        <f>IF(I225&gt;0,IF(S222&gt;L222,"READY STOCK",IF(S222=0,"OUT OF STOCK",IF(S222&lt;L222,"LOW STOCK",""))),"")</f>
        <v>#VALUE!</v>
      </c>
      <c r="X222" s="38"/>
      <c r="Y222" s="38"/>
      <c r="Z222" s="38"/>
      <c r="AA222" s="38"/>
      <c r="AB222" s="50">
        <v>46272</v>
      </c>
      <c r="AC222" s="181">
        <v>34081</v>
      </c>
      <c r="AD222" s="51">
        <v>4</v>
      </c>
      <c r="AE222" s="37" t="s">
        <v>383</v>
      </c>
      <c r="AF222" s="37" t="s">
        <v>381</v>
      </c>
      <c r="AG222" s="33" t="str">
        <f>IF(G222&gt;0,IF(AD222&gt;0,IF(AD222=0,"Waiting",IF(AD222&lt;L222,"Partial",IF(AD222=L222,"Full Supply",IF(AD222&gt;L222,"Over Shared")))),"Waiting"),"")</f>
        <v>Full Supply</v>
      </c>
      <c r="AH222" s="156">
        <v>46239</v>
      </c>
      <c r="AI222" s="37" t="s">
        <v>770</v>
      </c>
      <c r="AJ222" s="181">
        <v>324</v>
      </c>
      <c r="AK222" s="40">
        <v>25939</v>
      </c>
      <c r="AL222" s="218">
        <v>46246</v>
      </c>
      <c r="AM222" s="40">
        <v>361</v>
      </c>
      <c r="AN222" s="37"/>
      <c r="AO222" s="48">
        <v>46253</v>
      </c>
      <c r="AP222" s="37"/>
      <c r="AQ222" s="37"/>
      <c r="AR222" s="37"/>
      <c r="AS222" s="37"/>
      <c r="AT222" s="37">
        <f>AS222-AD222</f>
        <v>-4</v>
      </c>
      <c r="AU222" s="36" t="str">
        <f>IF(AR222=0,"Waiting",IF(AR222&lt;AH222,"Kurang",IF(AR222=AH222,"Sesuai",IF(AR222&gt;AH222,"Over Shared"))))</f>
        <v>Waiting</v>
      </c>
      <c r="AV222" s="37">
        <v>56059</v>
      </c>
      <c r="AW222" s="37" t="str">
        <f>IFERROR(DATEDIF(AH222,AK222,"d"),"0")&amp;"-DAY"</f>
        <v>0-DAY</v>
      </c>
      <c r="AX222" s="37" t="str">
        <f>IFERROR(DATEDIF(B222,AB222,"d"),"0")&amp;"-DAY"</f>
        <v>34-DAY</v>
      </c>
      <c r="AY222" s="37"/>
      <c r="AZ222" s="181">
        <f>L222-AD222</f>
        <v>0</v>
      </c>
    </row>
    <row r="223" spans="1:52" ht="15.5" customHeight="1">
      <c r="A223" s="360" t="s">
        <v>372</v>
      </c>
      <c r="B223" s="340">
        <v>46238</v>
      </c>
      <c r="C223" s="181">
        <v>48964</v>
      </c>
      <c r="D223" s="30">
        <v>46237</v>
      </c>
      <c r="E223" s="30">
        <v>46232</v>
      </c>
      <c r="F223" s="30">
        <v>46241</v>
      </c>
      <c r="G223" s="37">
        <v>4420230286</v>
      </c>
      <c r="H223" s="37" t="s">
        <v>373</v>
      </c>
      <c r="I223" s="37">
        <v>9040014955</v>
      </c>
      <c r="J223" s="37" t="s">
        <v>27</v>
      </c>
      <c r="K223" s="325" t="s">
        <v>28</v>
      </c>
      <c r="L223" s="181">
        <v>2</v>
      </c>
      <c r="M223" s="181" t="s">
        <v>375</v>
      </c>
      <c r="N223" s="37" t="s">
        <v>432</v>
      </c>
      <c r="O223" s="31">
        <f>IF(F223&gt;0,F223-AB223,"")</f>
        <v>-12</v>
      </c>
      <c r="P223" s="37" t="str">
        <f>IF(F223&gt;0,IF(AB223="","PLANNING SUPPLY",IF(AB223&lt;=F223,"ONTIME DELIVERY","DELAY")),"")</f>
        <v>DELAY</v>
      </c>
      <c r="Q223" s="181" t="str">
        <f>IFERROR(IF(J223&gt;0,VLOOKUP(J223,#REF!,MATCH($Q$6,#REF!,0),0),""),"")</f>
        <v/>
      </c>
      <c r="R223" s="181" t="str">
        <f>IFERROR(IF(J223&gt;0,VLOOKUP(J223,#REF!,MATCH($R$6,#REF!,0),0),""),"")</f>
        <v/>
      </c>
      <c r="S223" s="181" t="e">
        <f>IF(I226&gt;0,Q223+R223,"")</f>
        <v>#VALUE!</v>
      </c>
      <c r="T223" s="181"/>
      <c r="U223" s="181"/>
      <c r="V223" s="37"/>
      <c r="W223" s="181" t="e">
        <f>IF(I226&gt;0,IF(S223&gt;L223,"READY STOCK",IF(S223=0,"OUT OF STOCK",IF(S223&lt;L223,"LOW STOCK",""))),"")</f>
        <v>#VALUE!</v>
      </c>
      <c r="X223" s="38"/>
      <c r="Y223" s="38"/>
      <c r="Z223" s="38"/>
      <c r="AA223" s="38"/>
      <c r="AB223" s="50">
        <v>46253</v>
      </c>
      <c r="AC223" s="181">
        <v>33755</v>
      </c>
      <c r="AD223" s="51">
        <v>2</v>
      </c>
      <c r="AE223" s="37" t="s">
        <v>383</v>
      </c>
      <c r="AF223" s="37" t="s">
        <v>381</v>
      </c>
      <c r="AG223" s="33" t="str">
        <f>IF(G223&gt;0,IF(AD223&gt;0,IF(AD223=0,"Waiting",IF(AD223&lt;L223,"Partial",IF(AD223=L223,"Full Supply",IF(AD223&gt;L223,"Over Shared")))),"Waiting"),"")</f>
        <v>Full Supply</v>
      </c>
      <c r="AH223" s="37"/>
      <c r="AI223" s="37"/>
      <c r="AJ223" s="181"/>
      <c r="AK223" s="40"/>
      <c r="AL223" s="40"/>
      <c r="AM223" s="40"/>
      <c r="AN223" s="37"/>
      <c r="AO223" s="34"/>
      <c r="AP223" s="37"/>
      <c r="AQ223" s="37"/>
      <c r="AR223" s="37"/>
      <c r="AS223" s="37"/>
      <c r="AT223" s="37">
        <f>AS223-AD223</f>
        <v>-2</v>
      </c>
      <c r="AU223" s="36" t="str">
        <f>IF(AR223=0,"Waiting",IF(AR223&lt;AH223,"Kurang",IF(AR223=AH223,"Sesuai",IF(AR223&gt;AH223,"Over Shared"))))</f>
        <v>Waiting</v>
      </c>
      <c r="AV223" s="37"/>
      <c r="AW223" s="37" t="str">
        <f>IFERROR(DATEDIF(AH223,AK223,"d"),"0")&amp;"-DAY"</f>
        <v>0-DAY</v>
      </c>
      <c r="AX223" s="37" t="str">
        <f>IFERROR(DATEDIF(B223,AB223,"d"),"0")&amp;"-DAY"</f>
        <v>15-DAY</v>
      </c>
      <c r="AY223" s="37"/>
      <c r="AZ223" s="181">
        <f>L223-AD223</f>
        <v>0</v>
      </c>
    </row>
    <row r="224" spans="1:52" ht="15.5" customHeight="1">
      <c r="A224" s="360" t="s">
        <v>372</v>
      </c>
      <c r="B224" s="340">
        <v>46238</v>
      </c>
      <c r="C224" s="181">
        <v>48964</v>
      </c>
      <c r="D224" s="30">
        <v>46237</v>
      </c>
      <c r="E224" s="30">
        <v>46232</v>
      </c>
      <c r="F224" s="30">
        <v>46241</v>
      </c>
      <c r="G224" s="37">
        <v>4420230286</v>
      </c>
      <c r="H224" s="37" t="s">
        <v>373</v>
      </c>
      <c r="I224" s="37">
        <v>9040016343</v>
      </c>
      <c r="J224" s="37" t="s">
        <v>211</v>
      </c>
      <c r="K224" s="325" t="s">
        <v>212</v>
      </c>
      <c r="L224" s="181">
        <v>18</v>
      </c>
      <c r="M224" s="181" t="s">
        <v>421</v>
      </c>
      <c r="N224" s="37" t="s">
        <v>432</v>
      </c>
      <c r="O224" s="31">
        <f>IF(F224&gt;0,F224-AB224,"")</f>
        <v>-68</v>
      </c>
      <c r="P224" s="37" t="str">
        <f>IF(F224&gt;0,IF(AB224="","PLANNING SUPPLY",IF(AB224&lt;=F224,"ONTIME DELIVERY","DELAY")),"")</f>
        <v>DELAY</v>
      </c>
      <c r="Q224" s="181" t="str">
        <f>IFERROR(IF(J224&gt;0,VLOOKUP(J224,#REF!,MATCH($Q$6,#REF!,0),0),""),"")</f>
        <v/>
      </c>
      <c r="R224" s="181" t="str">
        <f>IFERROR(IF(J224&gt;0,VLOOKUP(J224,#REF!,MATCH($R$6,#REF!,0),0),""),"")</f>
        <v/>
      </c>
      <c r="S224" s="181" t="e">
        <f>IF(I227&gt;0,Q224+R224,"")</f>
        <v>#VALUE!</v>
      </c>
      <c r="T224" s="181"/>
      <c r="U224" s="181"/>
      <c r="V224" s="37"/>
      <c r="W224" s="181" t="e">
        <f>IF(I227&gt;0,IF(S224&gt;L224,"READY STOCK",IF(S224=0,"OUT OF STOCK",IF(S224&lt;L224,"LOW STOCK",""))),"")</f>
        <v>#VALUE!</v>
      </c>
      <c r="X224" s="38"/>
      <c r="Y224" s="38"/>
      <c r="Z224" s="38"/>
      <c r="AA224" s="38"/>
      <c r="AB224" s="50">
        <v>46309</v>
      </c>
      <c r="AC224" s="181" t="s">
        <v>1282</v>
      </c>
      <c r="AD224" s="51">
        <f>1+17</f>
        <v>18</v>
      </c>
      <c r="AE224" s="37" t="s">
        <v>471</v>
      </c>
      <c r="AF224" s="37" t="s">
        <v>381</v>
      </c>
      <c r="AG224" s="33" t="str">
        <f>IF(G224&gt;0,IF(AD224&gt;0,IF(AD224=0,"Waiting",IF(AD224&lt;L224,"Partial",IF(AD224=L224,"Full Supply",IF(AD224&gt;L224,"Over Shared")))),"Waiting"),"")</f>
        <v>Full Supply</v>
      </c>
      <c r="AH224" s="156">
        <v>46239</v>
      </c>
      <c r="AI224" s="37" t="s">
        <v>770</v>
      </c>
      <c r="AJ224" s="181">
        <v>324</v>
      </c>
      <c r="AK224" s="40">
        <v>25939</v>
      </c>
      <c r="AL224" s="218">
        <v>46246</v>
      </c>
      <c r="AM224" s="40">
        <v>361</v>
      </c>
      <c r="AN224" s="37"/>
      <c r="AO224" s="48">
        <v>46253</v>
      </c>
      <c r="AP224" s="37"/>
      <c r="AQ224" s="37"/>
      <c r="AR224" s="37"/>
      <c r="AS224" s="37"/>
      <c r="AT224" s="37">
        <f>AS224-AD224</f>
        <v>-18</v>
      </c>
      <c r="AU224" s="36" t="str">
        <f>IF(AR224=0,"Waiting",IF(AR224&lt;AH224,"Kurang",IF(AR224=AH224,"Sesuai",IF(AR224&gt;AH224,"Over Shared"))))</f>
        <v>Waiting</v>
      </c>
      <c r="AV224" s="37"/>
      <c r="AW224" s="37" t="str">
        <f>IFERROR(DATEDIF(AH224,AK224,"d"),"0")&amp;"-DAY"</f>
        <v>0-DAY</v>
      </c>
      <c r="AX224" s="37" t="str">
        <f>IFERROR(DATEDIF(B224,AB224,"d"),"0")&amp;"-DAY"</f>
        <v>71-DAY</v>
      </c>
      <c r="AY224" s="37"/>
      <c r="AZ224" s="181">
        <f>L224-AD224</f>
        <v>0</v>
      </c>
    </row>
    <row r="225" spans="1:52" ht="15.5" customHeight="1">
      <c r="A225" s="360" t="s">
        <v>372</v>
      </c>
      <c r="B225" s="340">
        <v>46238</v>
      </c>
      <c r="C225" s="181">
        <v>48964</v>
      </c>
      <c r="D225" s="30">
        <v>46237</v>
      </c>
      <c r="E225" s="30">
        <v>46232</v>
      </c>
      <c r="F225" s="30">
        <v>46241</v>
      </c>
      <c r="G225" s="37">
        <v>4420230286</v>
      </c>
      <c r="H225" s="37" t="s">
        <v>373</v>
      </c>
      <c r="I225" s="37">
        <v>9040042224</v>
      </c>
      <c r="J225" s="37" t="s">
        <v>195</v>
      </c>
      <c r="K225" s="325" t="s">
        <v>196</v>
      </c>
      <c r="L225" s="181">
        <v>5</v>
      </c>
      <c r="M225" s="181" t="s">
        <v>421</v>
      </c>
      <c r="N225" s="37" t="s">
        <v>432</v>
      </c>
      <c r="O225" s="31">
        <f>IF(F225&gt;0,F225-AB225,"")</f>
        <v>-31</v>
      </c>
      <c r="P225" s="37" t="str">
        <f>IF(F225&gt;0,IF(AB225="","PLANNING SUPPLY",IF(AB225&lt;=F225,"ONTIME DELIVERY","DELAY")),"")</f>
        <v>DELAY</v>
      </c>
      <c r="Q225" s="181" t="str">
        <f>IFERROR(IF(J225&gt;0,VLOOKUP(J225,#REF!,MATCH($Q$6,#REF!,0),0),""),"")</f>
        <v/>
      </c>
      <c r="R225" s="181" t="str">
        <f>IFERROR(IF(J225&gt;0,VLOOKUP(J225,#REF!,MATCH($R$6,#REF!,0),0),""),"")</f>
        <v/>
      </c>
      <c r="S225" s="181" t="e">
        <f>IF(I228&gt;0,Q225+R225,"")</f>
        <v>#VALUE!</v>
      </c>
      <c r="T225" s="181"/>
      <c r="U225" s="181"/>
      <c r="V225" s="37"/>
      <c r="W225" s="181" t="e">
        <f>IF(I228&gt;0,IF(S225&gt;L225,"READY STOCK",IF(S225=0,"OUT OF STOCK",IF(S225&lt;L225,"LOW STOCK",""))),"")</f>
        <v>#VALUE!</v>
      </c>
      <c r="X225" s="38"/>
      <c r="Y225" s="38"/>
      <c r="Z225" s="38"/>
      <c r="AA225" s="38"/>
      <c r="AB225" s="50">
        <v>46272</v>
      </c>
      <c r="AC225" s="181">
        <v>34037</v>
      </c>
      <c r="AD225" s="51">
        <v>5</v>
      </c>
      <c r="AE225" s="37" t="s">
        <v>383</v>
      </c>
      <c r="AF225" s="37" t="s">
        <v>381</v>
      </c>
      <c r="AG225" s="33" t="str">
        <f>IF(G225&gt;0,IF(AD225&gt;0,IF(AD225=0,"Waiting",IF(AD225&lt;L225,"Partial",IF(AD225=L225,"Full Supply",IF(AD225&gt;L225,"Over Shared")))),"Waiting"),"")</f>
        <v>Full Supply</v>
      </c>
      <c r="AH225" s="156">
        <v>46239</v>
      </c>
      <c r="AI225" s="37" t="s">
        <v>770</v>
      </c>
      <c r="AJ225" s="181">
        <v>148</v>
      </c>
      <c r="AK225" s="40">
        <v>25940</v>
      </c>
      <c r="AL225" s="218">
        <v>46246</v>
      </c>
      <c r="AM225" s="40">
        <v>167</v>
      </c>
      <c r="AN225" s="37"/>
      <c r="AO225" s="48">
        <v>46253</v>
      </c>
      <c r="AP225" s="37"/>
      <c r="AQ225" s="37"/>
      <c r="AR225" s="37"/>
      <c r="AS225" s="37"/>
      <c r="AT225" s="37">
        <f>AS225-AD225</f>
        <v>-5</v>
      </c>
      <c r="AU225" s="36" t="str">
        <f>IF(AR225=0,"Waiting",IF(AR225&lt;AH225,"Kurang",IF(AR225=AH225,"Sesuai",IF(AR225&gt;AH225,"Over Shared"))))</f>
        <v>Waiting</v>
      </c>
      <c r="AV225" s="37"/>
      <c r="AW225" s="37" t="str">
        <f>IFERROR(DATEDIF(AH225,AK225,"d"),"0")&amp;"-DAY"</f>
        <v>0-DAY</v>
      </c>
      <c r="AX225" s="37" t="str">
        <f>IFERROR(DATEDIF(B225,AB225,"d"),"0")&amp;"-DAY"</f>
        <v>34-DAY</v>
      </c>
      <c r="AY225" s="37"/>
      <c r="AZ225" s="181">
        <f>L225-AD225</f>
        <v>0</v>
      </c>
    </row>
    <row r="226" spans="1:52" ht="15.5" customHeight="1">
      <c r="A226" s="360" t="s">
        <v>372</v>
      </c>
      <c r="B226" s="340">
        <v>46238</v>
      </c>
      <c r="C226" s="181">
        <v>48964</v>
      </c>
      <c r="D226" s="30">
        <v>46237</v>
      </c>
      <c r="E226" s="30">
        <v>46232</v>
      </c>
      <c r="F226" s="30">
        <v>46241</v>
      </c>
      <c r="G226" s="37">
        <v>4420230286</v>
      </c>
      <c r="H226" s="37" t="s">
        <v>373</v>
      </c>
      <c r="I226" s="37">
        <v>9040040486</v>
      </c>
      <c r="J226" s="37" t="s">
        <v>165</v>
      </c>
      <c r="K226" s="325" t="s">
        <v>166</v>
      </c>
      <c r="L226" s="181">
        <v>4</v>
      </c>
      <c r="M226" s="181" t="s">
        <v>375</v>
      </c>
      <c r="N226" s="37" t="s">
        <v>432</v>
      </c>
      <c r="O226" s="31">
        <f>IF(F226&gt;0,F226-AB226,"")</f>
        <v>-3</v>
      </c>
      <c r="P226" s="37" t="str">
        <f>IF(F226&gt;0,IF(AB226="","PLANNING SUPPLY",IF(AB226&lt;=F226,"ONTIME DELIVERY","DELAY")),"")</f>
        <v>DELAY</v>
      </c>
      <c r="Q226" s="181" t="str">
        <f>IFERROR(IF(J226&gt;0,VLOOKUP(J226,#REF!,MATCH($Q$6,#REF!,0),0),""),"")</f>
        <v/>
      </c>
      <c r="R226" s="181" t="str">
        <f>IFERROR(IF(J226&gt;0,VLOOKUP(J226,#REF!,MATCH($R$6,#REF!,0),0),""),"")</f>
        <v/>
      </c>
      <c r="S226" s="181" t="e">
        <f>IF(I229&gt;0,Q226+R226,"")</f>
        <v>#VALUE!</v>
      </c>
      <c r="T226" s="181"/>
      <c r="U226" s="181"/>
      <c r="V226" s="37"/>
      <c r="W226" s="181" t="e">
        <f>IF(I229&gt;0,IF(S226&gt;L226,"READY STOCK",IF(S226=0,"OUT OF STOCK",IF(S226&lt;L226,"LOW STOCK",""))),"")</f>
        <v>#VALUE!</v>
      </c>
      <c r="X226" s="38"/>
      <c r="Y226" s="38"/>
      <c r="Z226" s="38"/>
      <c r="AA226" s="38"/>
      <c r="AB226" s="50">
        <v>46244</v>
      </c>
      <c r="AC226" s="181">
        <v>33528</v>
      </c>
      <c r="AD226" s="51">
        <v>4</v>
      </c>
      <c r="AE226" s="37" t="s">
        <v>387</v>
      </c>
      <c r="AF226" s="37" t="s">
        <v>381</v>
      </c>
      <c r="AG226" s="33" t="str">
        <f>IF(G226&gt;0,IF(AD226&gt;0,IF(AD226=0,"Waiting",IF(AD226&lt;L226,"Partial",IF(AD226=L226,"Full Supply",IF(AD226&gt;L226,"Over Shared")))),"Waiting"),"")</f>
        <v>Full Supply</v>
      </c>
      <c r="AH226" s="37"/>
      <c r="AI226" s="37"/>
      <c r="AJ226" s="181"/>
      <c r="AK226" s="40"/>
      <c r="AL226" s="40"/>
      <c r="AM226" s="40"/>
      <c r="AN226" s="37"/>
      <c r="AO226" s="34"/>
      <c r="AP226" s="37"/>
      <c r="AQ226" s="37"/>
      <c r="AR226" s="37"/>
      <c r="AS226" s="37"/>
      <c r="AT226" s="37">
        <f>AS226-AD226</f>
        <v>-4</v>
      </c>
      <c r="AU226" s="36" t="str">
        <f>IF(AR226=0,"Waiting",IF(AR226&lt;AH226,"Kurang",IF(AR226=AH226,"Sesuai",IF(AR226&gt;AH226,"Over Shared"))))</f>
        <v>Waiting</v>
      </c>
      <c r="AV226" s="37"/>
      <c r="AW226" s="37" t="str">
        <f>IFERROR(DATEDIF(AH226,AK226,"d"),"0")&amp;"-DAY"</f>
        <v>0-DAY</v>
      </c>
      <c r="AX226" s="37" t="str">
        <f>IFERROR(DATEDIF(B226,AB226,"d"),"0")&amp;"-DAY"</f>
        <v>6-DAY</v>
      </c>
      <c r="AY226" s="37"/>
      <c r="AZ226" s="181">
        <f>L226-AD226</f>
        <v>0</v>
      </c>
    </row>
    <row r="227" spans="1:52" ht="15.5" customHeight="1">
      <c r="A227" s="360" t="s">
        <v>372</v>
      </c>
      <c r="B227" s="340">
        <v>46238</v>
      </c>
      <c r="C227" s="181">
        <v>48964</v>
      </c>
      <c r="D227" s="30">
        <v>46237</v>
      </c>
      <c r="E227" s="30">
        <v>46232</v>
      </c>
      <c r="F227" s="30">
        <v>46241</v>
      </c>
      <c r="G227" s="37">
        <v>4420230286</v>
      </c>
      <c r="H227" s="37" t="s">
        <v>373</v>
      </c>
      <c r="I227" s="37">
        <v>9040052369</v>
      </c>
      <c r="J227" s="37" t="s">
        <v>199</v>
      </c>
      <c r="K227" s="325" t="s">
        <v>200</v>
      </c>
      <c r="L227" s="181">
        <v>88</v>
      </c>
      <c r="M227" s="181" t="s">
        <v>375</v>
      </c>
      <c r="N227" s="37" t="s">
        <v>432</v>
      </c>
      <c r="O227" s="31">
        <f>IF(F227&gt;0,F227-AB227,"")</f>
        <v>-3</v>
      </c>
      <c r="P227" s="37" t="str">
        <f>IF(F227&gt;0,IF(AB227="","PLANNING SUPPLY",IF(AB227&lt;=F227,"ONTIME DELIVERY","DELAY")),"")</f>
        <v>DELAY</v>
      </c>
      <c r="Q227" s="181" t="str">
        <f>IFERROR(IF(J227&gt;0,VLOOKUP(J227,#REF!,MATCH($Q$6,#REF!,0),0),""),"")</f>
        <v/>
      </c>
      <c r="R227" s="181" t="str">
        <f>IFERROR(IF(J227&gt;0,VLOOKUP(J227,#REF!,MATCH($R$6,#REF!,0),0),""),"")</f>
        <v/>
      </c>
      <c r="S227" s="181" t="e">
        <f>IF(I230&gt;0,Q227+R227,"")</f>
        <v>#VALUE!</v>
      </c>
      <c r="T227" s="181"/>
      <c r="U227" s="181"/>
      <c r="V227" s="37"/>
      <c r="W227" s="181" t="e">
        <f>IF(I230&gt;0,IF(S227&gt;L227,"READY STOCK",IF(S227=0,"OUT OF STOCK",IF(S227&lt;L227,"LOW STOCK",""))),"")</f>
        <v>#VALUE!</v>
      </c>
      <c r="X227" s="38"/>
      <c r="Y227" s="38"/>
      <c r="Z227" s="38"/>
      <c r="AA227" s="38"/>
      <c r="AB227" s="50">
        <v>46244</v>
      </c>
      <c r="AC227" s="181">
        <v>33529</v>
      </c>
      <c r="AD227" s="51">
        <v>88</v>
      </c>
      <c r="AE227" s="37" t="s">
        <v>387</v>
      </c>
      <c r="AF227" s="37" t="s">
        <v>381</v>
      </c>
      <c r="AG227" s="33" t="str">
        <f>IF(G227&gt;0,IF(AD227&gt;0,IF(AD227=0,"Waiting",IF(AD227&lt;L227,"Partial",IF(AD227=L227,"Full Supply",IF(AD227&gt;L227,"Over Shared")))),"Waiting"),"")</f>
        <v>Full Supply</v>
      </c>
      <c r="AH227" s="37"/>
      <c r="AI227" s="37"/>
      <c r="AJ227" s="181"/>
      <c r="AK227" s="40"/>
      <c r="AL227" s="40"/>
      <c r="AM227" s="40"/>
      <c r="AN227" s="37"/>
      <c r="AO227" s="34"/>
      <c r="AP227" s="37"/>
      <c r="AQ227" s="37"/>
      <c r="AR227" s="37"/>
      <c r="AS227" s="37"/>
      <c r="AT227" s="37">
        <f>AS227-AD227</f>
        <v>-88</v>
      </c>
      <c r="AU227" s="36" t="str">
        <f>IF(AR227=0,"Waiting",IF(AR227&lt;AH227,"Kurang",IF(AR227=AH227,"Sesuai",IF(AR227&gt;AH227,"Over Shared"))))</f>
        <v>Waiting</v>
      </c>
      <c r="AV227" s="37"/>
      <c r="AW227" s="37" t="str">
        <f>IFERROR(DATEDIF(AH227,AK227,"d"),"0")&amp;"-DAY"</f>
        <v>0-DAY</v>
      </c>
      <c r="AX227" s="37" t="str">
        <f>IFERROR(DATEDIF(B227,AB227,"d"),"0")&amp;"-DAY"</f>
        <v>6-DAY</v>
      </c>
      <c r="AY227" s="37"/>
      <c r="AZ227" s="181">
        <f>L227-AD227</f>
        <v>0</v>
      </c>
    </row>
    <row r="228" spans="1:52" ht="15.5" customHeight="1">
      <c r="A228" s="360" t="s">
        <v>372</v>
      </c>
      <c r="B228" s="340">
        <v>46239</v>
      </c>
      <c r="C228" s="181">
        <v>48975</v>
      </c>
      <c r="D228" s="30">
        <v>46239</v>
      </c>
      <c r="E228" s="30">
        <v>46237</v>
      </c>
      <c r="F228" s="30">
        <v>46264</v>
      </c>
      <c r="G228" s="37">
        <v>4420230602</v>
      </c>
      <c r="H228" s="37" t="s">
        <v>373</v>
      </c>
      <c r="I228" s="37">
        <v>9040051091</v>
      </c>
      <c r="J228" s="37" t="s">
        <v>87</v>
      </c>
      <c r="K228" s="325" t="s">
        <v>88</v>
      </c>
      <c r="L228" s="181">
        <v>3</v>
      </c>
      <c r="M228" s="181" t="s">
        <v>375</v>
      </c>
      <c r="N228" s="37" t="s">
        <v>382</v>
      </c>
      <c r="O228" s="31">
        <f>IF(F228&gt;0,F228-AB228,"")</f>
        <v>-50</v>
      </c>
      <c r="P228" s="37" t="str">
        <f>IF(F228&gt;0,IF(AB228="","PLANNING SUPPLY",IF(AB228&lt;=F228,"ONTIME DELIVERY","DELAY")),"")</f>
        <v>DELAY</v>
      </c>
      <c r="Q228" s="181" t="str">
        <f>IFERROR(IF(J228&gt;0,VLOOKUP(J228,#REF!,MATCH($Q$6,#REF!,0),0),""),"")</f>
        <v/>
      </c>
      <c r="R228" s="181" t="str">
        <f>IFERROR(IF(J228&gt;0,VLOOKUP(J228,#REF!,MATCH($R$6,#REF!,0),0),""),"")</f>
        <v/>
      </c>
      <c r="S228" s="181" t="e">
        <f>IF(I231&gt;0,Q228+R228,"")</f>
        <v>#VALUE!</v>
      </c>
      <c r="T228" s="181"/>
      <c r="U228" s="181"/>
      <c r="V228" s="37"/>
      <c r="W228" s="181" t="e">
        <f>IF(I231&gt;0,IF(S228&gt;L228,"READY STOCK",IF(S228=0,"OUT OF STOCK",IF(S228&lt;L228,"LOW STOCK",""))),"")</f>
        <v>#VALUE!</v>
      </c>
      <c r="X228" s="38"/>
      <c r="Y228" s="38"/>
      <c r="Z228" s="38"/>
      <c r="AA228" s="38"/>
      <c r="AB228" s="50">
        <v>46314</v>
      </c>
      <c r="AC228" s="44" t="s">
        <v>1293</v>
      </c>
      <c r="AD228" s="51">
        <v>3</v>
      </c>
      <c r="AE228" s="37" t="s">
        <v>387</v>
      </c>
      <c r="AF228" s="37" t="s">
        <v>381</v>
      </c>
      <c r="AG228" s="33" t="str">
        <f>IF(G228&gt;0,IF(AD228&gt;0,IF(AD228=0,"Waiting",IF(AD228&lt;L228,"Partial",IF(AD228=L228,"Full Supply",IF(AD228&gt;L228,"Over Shared")))),"Waiting"),"")</f>
        <v>Full Supply</v>
      </c>
      <c r="AH228" s="156">
        <v>46239</v>
      </c>
      <c r="AI228" s="37" t="s">
        <v>770</v>
      </c>
      <c r="AJ228" s="181">
        <v>3</v>
      </c>
      <c r="AK228" s="40">
        <v>25941</v>
      </c>
      <c r="AL228" s="218">
        <v>46246</v>
      </c>
      <c r="AM228" s="40">
        <v>3</v>
      </c>
      <c r="AN228" s="37"/>
      <c r="AO228" s="213">
        <v>46253</v>
      </c>
      <c r="AP228" s="37"/>
      <c r="AQ228" s="37"/>
      <c r="AR228" s="37"/>
      <c r="AS228" s="37"/>
      <c r="AT228" s="37">
        <f>AS228-AD228</f>
        <v>-3</v>
      </c>
      <c r="AU228" s="36" t="str">
        <f>IF(AR228=0,"Waiting",IF(AR228&lt;AH228,"Kurang",IF(AR228=AH228,"Sesuai",IF(AR228&gt;AH228,"Over Shared"))))</f>
        <v>Waiting</v>
      </c>
      <c r="AV228" s="37"/>
      <c r="AW228" s="37" t="str">
        <f>IFERROR(DATEDIF(AH228,AK228,"d"),"0")&amp;"-DAY"</f>
        <v>0-DAY</v>
      </c>
      <c r="AX228" s="37" t="str">
        <f>IFERROR(DATEDIF(B228,AB228,"d"),"0")&amp;"-DAY"</f>
        <v>75-DAY</v>
      </c>
      <c r="AY228" s="37"/>
      <c r="AZ228" s="181">
        <f>L228-AD228</f>
        <v>0</v>
      </c>
    </row>
    <row r="229" spans="1:52" ht="15.5" customHeight="1">
      <c r="A229" s="360" t="s">
        <v>372</v>
      </c>
      <c r="B229" s="340">
        <v>46239</v>
      </c>
      <c r="C229" s="181">
        <v>48975</v>
      </c>
      <c r="D229" s="30">
        <v>46239</v>
      </c>
      <c r="E229" s="30">
        <v>46237</v>
      </c>
      <c r="F229" s="30">
        <v>46264</v>
      </c>
      <c r="G229" s="37">
        <v>4420230602</v>
      </c>
      <c r="H229" s="37" t="s">
        <v>373</v>
      </c>
      <c r="I229" s="37">
        <v>9040051092</v>
      </c>
      <c r="J229" s="37" t="s">
        <v>89</v>
      </c>
      <c r="K229" s="325" t="s">
        <v>90</v>
      </c>
      <c r="L229" s="181">
        <v>6</v>
      </c>
      <c r="M229" s="181" t="s">
        <v>375</v>
      </c>
      <c r="N229" s="37" t="s">
        <v>382</v>
      </c>
      <c r="O229" s="31">
        <f>IF(F229&gt;0,F229-AB229,"")</f>
        <v>-18</v>
      </c>
      <c r="P229" s="37" t="str">
        <f>IF(F229&gt;0,IF(AB229="","PLANNING SUPPLY",IF(AB229&lt;=F229,"ONTIME DELIVERY","DELAY")),"")</f>
        <v>DELAY</v>
      </c>
      <c r="Q229" s="181" t="str">
        <f>IFERROR(IF(J229&gt;0,VLOOKUP(J229,#REF!,MATCH($Q$6,#REF!,0),0),""),"")</f>
        <v/>
      </c>
      <c r="R229" s="181" t="str">
        <f>IFERROR(IF(J229&gt;0,VLOOKUP(J229,#REF!,MATCH($R$6,#REF!,0),0),""),"")</f>
        <v/>
      </c>
      <c r="S229" s="181" t="e">
        <f>IF(I232&gt;0,Q229+R229,"")</f>
        <v>#VALUE!</v>
      </c>
      <c r="T229" s="181"/>
      <c r="U229" s="181"/>
      <c r="V229" s="37"/>
      <c r="W229" s="181" t="e">
        <f>IF(I232&gt;0,IF(S229&gt;L229,"READY STOCK",IF(S229=0,"OUT OF STOCK",IF(S229&lt;L229,"LOW STOCK",""))),"")</f>
        <v>#VALUE!</v>
      </c>
      <c r="X229" s="38"/>
      <c r="Y229" s="38"/>
      <c r="Z229" s="38"/>
      <c r="AA229" s="38"/>
      <c r="AB229" s="50">
        <v>46282</v>
      </c>
      <c r="AC229" s="181">
        <v>34386</v>
      </c>
      <c r="AD229" s="51">
        <v>6</v>
      </c>
      <c r="AE229" s="37" t="s">
        <v>387</v>
      </c>
      <c r="AF229" s="37" t="s">
        <v>381</v>
      </c>
      <c r="AG229" s="33" t="str">
        <f>IF(G229&gt;0,IF(AD229&gt;0,IF(AD229=0,"Waiting",IF(AD229&lt;L229,"Partial",IF(AD229=L229,"Full Supply",IF(AD229&gt;L229,"Over Shared")))),"Waiting"),"")</f>
        <v>Full Supply</v>
      </c>
      <c r="AH229" s="56">
        <v>46247</v>
      </c>
      <c r="AI229" s="37" t="s">
        <v>646</v>
      </c>
      <c r="AJ229" s="181">
        <v>18</v>
      </c>
      <c r="AK229" s="40">
        <v>26191</v>
      </c>
      <c r="AL229" s="189">
        <v>46269</v>
      </c>
      <c r="AM229" s="40">
        <v>16</v>
      </c>
      <c r="AN229" s="37"/>
      <c r="AO229" s="214">
        <v>46275</v>
      </c>
      <c r="AP229" s="37"/>
      <c r="AQ229" s="37"/>
      <c r="AR229" s="37"/>
      <c r="AS229" s="37"/>
      <c r="AT229" s="37">
        <f>AS229-AD229</f>
        <v>-6</v>
      </c>
      <c r="AU229" s="36" t="str">
        <f>IF(AR229=0,"Waiting",IF(AR229&lt;AH229,"Kurang",IF(AR229=AH229,"Sesuai",IF(AR229&gt;AH229,"Over Shared"))))</f>
        <v>Waiting</v>
      </c>
      <c r="AV229" s="37"/>
      <c r="AW229" s="37" t="str">
        <f>IFERROR(DATEDIF(AH229,AK229,"d"),"0")&amp;"-DAY"</f>
        <v>0-DAY</v>
      </c>
      <c r="AX229" s="37" t="str">
        <f>IFERROR(DATEDIF(B229,AB229,"d"),"0")&amp;"-DAY"</f>
        <v>43-DAY</v>
      </c>
      <c r="AY229" s="37"/>
      <c r="AZ229" s="181">
        <f>L229-AD229</f>
        <v>0</v>
      </c>
    </row>
    <row r="230" spans="1:52" ht="15.5" customHeight="1">
      <c r="A230" s="360" t="s">
        <v>372</v>
      </c>
      <c r="B230" s="340">
        <v>46239</v>
      </c>
      <c r="C230" s="181">
        <v>48975</v>
      </c>
      <c r="D230" s="30">
        <v>46239</v>
      </c>
      <c r="E230" s="30">
        <v>46237</v>
      </c>
      <c r="F230" s="30">
        <v>46264</v>
      </c>
      <c r="G230" s="37">
        <v>4420230602</v>
      </c>
      <c r="H230" s="37" t="s">
        <v>373</v>
      </c>
      <c r="I230" s="37">
        <v>9040073264</v>
      </c>
      <c r="J230" s="37" t="s">
        <v>85</v>
      </c>
      <c r="K230" s="325" t="s">
        <v>86</v>
      </c>
      <c r="L230" s="181">
        <v>3</v>
      </c>
      <c r="M230" s="181" t="s">
        <v>375</v>
      </c>
      <c r="N230" s="37" t="s">
        <v>382</v>
      </c>
      <c r="O230" s="31">
        <f>IF(F230&gt;0,F230-AB230,"")</f>
        <v>-18</v>
      </c>
      <c r="P230" s="37" t="str">
        <f>IF(F230&gt;0,IF(AB230="","PLANNING SUPPLY",IF(AB230&lt;=F230,"ONTIME DELIVERY","DELAY")),"")</f>
        <v>DELAY</v>
      </c>
      <c r="Q230" s="181" t="str">
        <f>IFERROR(IF(J230&gt;0,VLOOKUP(J230,#REF!,MATCH($Q$6,#REF!,0),0),""),"")</f>
        <v/>
      </c>
      <c r="R230" s="181" t="str">
        <f>IFERROR(IF(J230&gt;0,VLOOKUP(J230,#REF!,MATCH($R$6,#REF!,0),0),""),"")</f>
        <v/>
      </c>
      <c r="S230" s="181" t="e">
        <f>IF(I233&gt;0,Q230+R230,"")</f>
        <v>#VALUE!</v>
      </c>
      <c r="T230" s="181"/>
      <c r="U230" s="181"/>
      <c r="V230" s="37"/>
      <c r="W230" s="181" t="e">
        <f>IF(I233&gt;0,IF(S230&gt;L230,"READY STOCK",IF(S230=0,"OUT OF STOCK",IF(S230&lt;L230,"LOW STOCK",""))),"")</f>
        <v>#VALUE!</v>
      </c>
      <c r="X230" s="38"/>
      <c r="Y230" s="38"/>
      <c r="Z230" s="38"/>
      <c r="AA230" s="38"/>
      <c r="AB230" s="50">
        <v>46282</v>
      </c>
      <c r="AC230" s="181">
        <v>34381</v>
      </c>
      <c r="AD230" s="51">
        <v>3</v>
      </c>
      <c r="AE230" s="37" t="s">
        <v>387</v>
      </c>
      <c r="AF230" s="37" t="s">
        <v>381</v>
      </c>
      <c r="AG230" s="33" t="str">
        <f>IF(G230&gt;0,IF(AD230&gt;0,IF(AD230=0,"Waiting",IF(AD230&lt;L230,"Partial",IF(AD230=L230,"Full Supply",IF(AD230&gt;L230,"Over Shared")))),"Waiting"),"")</f>
        <v>Full Supply</v>
      </c>
      <c r="AH230" s="56">
        <v>46247</v>
      </c>
      <c r="AI230" s="37" t="s">
        <v>646</v>
      </c>
      <c r="AJ230" s="181">
        <v>5</v>
      </c>
      <c r="AK230" s="40">
        <v>26191</v>
      </c>
      <c r="AL230" s="189">
        <v>46269</v>
      </c>
      <c r="AM230" s="40">
        <v>8</v>
      </c>
      <c r="AN230" s="37"/>
      <c r="AO230" s="214">
        <v>46275</v>
      </c>
      <c r="AP230" s="37"/>
      <c r="AQ230" s="37"/>
      <c r="AR230" s="37"/>
      <c r="AS230" s="37"/>
      <c r="AT230" s="37">
        <f>AS230-AD230</f>
        <v>-3</v>
      </c>
      <c r="AU230" s="36" t="str">
        <f>IF(AR230=0,"Waiting",IF(AR230&lt;AH230,"Kurang",IF(AR230=AH230,"Sesuai",IF(AR230&gt;AH230,"Over Shared"))))</f>
        <v>Waiting</v>
      </c>
      <c r="AV230" s="37"/>
      <c r="AW230" s="37" t="str">
        <f>IFERROR(DATEDIF(AH230,AK230,"d"),"0")&amp;"-DAY"</f>
        <v>0-DAY</v>
      </c>
      <c r="AX230" s="37" t="str">
        <f>IFERROR(DATEDIF(B230,AB230,"d"),"0")&amp;"-DAY"</f>
        <v>43-DAY</v>
      </c>
      <c r="AY230" s="37"/>
      <c r="AZ230" s="181">
        <f>L230-AD230</f>
        <v>0</v>
      </c>
    </row>
    <row r="231" spans="1:52" ht="15.5" customHeight="1">
      <c r="A231" s="360" t="s">
        <v>372</v>
      </c>
      <c r="B231" s="340">
        <v>46239</v>
      </c>
      <c r="C231" s="181">
        <v>48975</v>
      </c>
      <c r="D231" s="30">
        <v>46239</v>
      </c>
      <c r="E231" s="30">
        <v>46237</v>
      </c>
      <c r="F231" s="30">
        <v>46264</v>
      </c>
      <c r="G231" s="37">
        <v>4420230602</v>
      </c>
      <c r="H231" s="37" t="s">
        <v>373</v>
      </c>
      <c r="I231" s="37">
        <v>9040024721</v>
      </c>
      <c r="J231" s="37" t="s">
        <v>239</v>
      </c>
      <c r="K231" s="325" t="s">
        <v>240</v>
      </c>
      <c r="L231" s="181">
        <v>2</v>
      </c>
      <c r="M231" s="181" t="s">
        <v>389</v>
      </c>
      <c r="N231" s="37" t="s">
        <v>382</v>
      </c>
      <c r="O231" s="31">
        <f>IF(F231&gt;0,F231-AB231,"")</f>
        <v>46264</v>
      </c>
      <c r="P231" s="37" t="str">
        <f>IF(F231&gt;0,IF(AB231="","PLANNING SUPPLY",IF(AB231&lt;=F231,"ONTIME DELIVERY","DELAY")),"")</f>
        <v>PLANNING SUPPLY</v>
      </c>
      <c r="Q231" s="181" t="str">
        <f>IFERROR(IF(J231&gt;0,VLOOKUP(J231,#REF!,MATCH($Q$6,#REF!,0),0),""),"")</f>
        <v/>
      </c>
      <c r="R231" s="181" t="str">
        <f>IFERROR(IF(J231&gt;0,VLOOKUP(J231,#REF!,MATCH($R$6,#REF!,0),0),""),"")</f>
        <v/>
      </c>
      <c r="S231" s="181" t="e">
        <f>IF(I234&gt;0,Q231+R231,"")</f>
        <v>#VALUE!</v>
      </c>
      <c r="T231" s="181"/>
      <c r="U231" s="181"/>
      <c r="V231" s="37"/>
      <c r="W231" s="181" t="e">
        <f>IF(I234&gt;0,IF(S231&gt;L231,"READY STOCK",IF(S231=0,"OUT OF STOCK",IF(S231&lt;L231,"LOW STOCK",""))),"")</f>
        <v>#VALUE!</v>
      </c>
      <c r="X231" s="38"/>
      <c r="Y231" s="38"/>
      <c r="Z231" s="38"/>
      <c r="AA231" s="38"/>
      <c r="AB231" s="50"/>
      <c r="AC231" s="181"/>
      <c r="AD231" s="51"/>
      <c r="AE231" s="37"/>
      <c r="AF231" s="37"/>
      <c r="AG231" s="33" t="str">
        <f>IF(G231&gt;0,IF(AD231&gt;0,IF(AD231=0,"Waiting",IF(AD231&lt;L231,"Partial",IF(AD231=L231,"Full Supply",IF(AD231&gt;L231,"Over Shared")))),"Waiting"),"")</f>
        <v>Waiting</v>
      </c>
      <c r="AH231" s="56">
        <v>46268</v>
      </c>
      <c r="AI231" s="37" t="s">
        <v>1294</v>
      </c>
      <c r="AJ231" s="181">
        <v>21</v>
      </c>
      <c r="AK231" s="40">
        <v>26396</v>
      </c>
      <c r="AL231" s="42">
        <v>46287</v>
      </c>
      <c r="AM231" s="40">
        <v>21</v>
      </c>
      <c r="AN231" s="37"/>
      <c r="AO231" s="232"/>
      <c r="AP231" s="37"/>
      <c r="AQ231" s="37"/>
      <c r="AR231" s="37"/>
      <c r="AS231" s="37"/>
      <c r="AT231" s="37">
        <f>AS231-AD231</f>
        <v>0</v>
      </c>
      <c r="AU231" s="36" t="str">
        <f>IF(AR231=0,"Waiting",IF(AR231&lt;AH231,"Kurang",IF(AR231=AH231,"Sesuai",IF(AR231&gt;AH231,"Over Shared"))))</f>
        <v>Waiting</v>
      </c>
      <c r="AV231" s="37"/>
      <c r="AW231" s="37" t="str">
        <f>IFERROR(DATEDIF(AH231,AK231,"d"),"0")&amp;"-DAY"</f>
        <v>0-DAY</v>
      </c>
      <c r="AX231" s="37" t="str">
        <f>IFERROR(DATEDIF(B231,AB231,"d"),"0")&amp;"-DAY"</f>
        <v>0-DAY</v>
      </c>
      <c r="AY231" s="37"/>
      <c r="AZ231" s="181">
        <f>L231-AD231</f>
        <v>2</v>
      </c>
    </row>
    <row r="232" spans="1:52" ht="15.5" customHeight="1">
      <c r="A232" s="360" t="s">
        <v>372</v>
      </c>
      <c r="B232" s="340">
        <v>46239</v>
      </c>
      <c r="C232" s="181">
        <v>48975</v>
      </c>
      <c r="D232" s="30">
        <v>46239</v>
      </c>
      <c r="E232" s="30">
        <v>46237</v>
      </c>
      <c r="F232" s="30">
        <v>46264</v>
      </c>
      <c r="G232" s="37">
        <v>4420230602</v>
      </c>
      <c r="H232" s="37" t="s">
        <v>373</v>
      </c>
      <c r="I232" s="37">
        <v>9040044154</v>
      </c>
      <c r="J232" s="37" t="s">
        <v>301</v>
      </c>
      <c r="K232" s="325" t="s">
        <v>302</v>
      </c>
      <c r="L232" s="181">
        <v>5</v>
      </c>
      <c r="M232" s="181" t="s">
        <v>375</v>
      </c>
      <c r="N232" s="37" t="s">
        <v>382</v>
      </c>
      <c r="O232" s="31">
        <f>IF(F232&gt;0,F232-AB232,"")</f>
        <v>17</v>
      </c>
      <c r="P232" s="37" t="str">
        <f>IF(F232&gt;0,IF(AB232="","PLANNING SUPPLY",IF(AB232&lt;=F232,"ONTIME DELIVERY","DELAY")),"")</f>
        <v>ONTIME DELIVERY</v>
      </c>
      <c r="Q232" s="181" t="str">
        <f>IFERROR(IF(J232&gt;0,VLOOKUP(J232,#REF!,MATCH($Q$6,#REF!,0),0),""),"")</f>
        <v/>
      </c>
      <c r="R232" s="181" t="str">
        <f>IFERROR(IF(J232&gt;0,VLOOKUP(J232,#REF!,MATCH($R$6,#REF!,0),0),""),"")</f>
        <v/>
      </c>
      <c r="S232" s="181" t="e">
        <f>IF(I235&gt;0,Q232+R232,"")</f>
        <v>#VALUE!</v>
      </c>
      <c r="T232" s="181"/>
      <c r="U232" s="181"/>
      <c r="V232" s="37"/>
      <c r="W232" s="181" t="e">
        <f>IF(I235&gt;0,IF(S232&gt;L232,"READY STOCK",IF(S232=0,"OUT OF STOCK",IF(S232&lt;L232,"LOW STOCK",""))),"")</f>
        <v>#VALUE!</v>
      </c>
      <c r="X232" s="38"/>
      <c r="Y232" s="38"/>
      <c r="Z232" s="38"/>
      <c r="AA232" s="38"/>
      <c r="AB232" s="50">
        <v>46247</v>
      </c>
      <c r="AC232" s="181">
        <v>33640</v>
      </c>
      <c r="AD232" s="51">
        <v>5</v>
      </c>
      <c r="AE232" s="37" t="s">
        <v>383</v>
      </c>
      <c r="AF232" s="37" t="s">
        <v>381</v>
      </c>
      <c r="AG232" s="33" t="str">
        <f>IF(G232&gt;0,IF(AD232&gt;0,IF(AD232=0,"Waiting",IF(AD232&lt;L232,"Partial",IF(AD232=L232,"Full Supply",IF(AD232&gt;L232,"Over Shared")))),"Waiting"),"")</f>
        <v>Full Supply</v>
      </c>
      <c r="AH232" s="37"/>
      <c r="AI232" s="37"/>
      <c r="AJ232" s="181"/>
      <c r="AK232" s="40"/>
      <c r="AL232" s="40"/>
      <c r="AM232" s="40"/>
      <c r="AN232" s="37"/>
      <c r="AO232" s="34"/>
      <c r="AP232" s="37"/>
      <c r="AQ232" s="37"/>
      <c r="AR232" s="37"/>
      <c r="AS232" s="37"/>
      <c r="AT232" s="37">
        <f>AS232-AD232</f>
        <v>-5</v>
      </c>
      <c r="AU232" s="36" t="str">
        <f>IF(AR232=0,"Waiting",IF(AR232&lt;AH232,"Kurang",IF(AR232=AH232,"Sesuai",IF(AR232&gt;AH232,"Over Shared"))))</f>
        <v>Waiting</v>
      </c>
      <c r="AV232" s="37"/>
      <c r="AW232" s="37" t="str">
        <f>IFERROR(DATEDIF(AH232,AK232,"d"),"0")&amp;"-DAY"</f>
        <v>0-DAY</v>
      </c>
      <c r="AX232" s="37" t="str">
        <f>IFERROR(DATEDIF(B232,AB232,"d"),"0")&amp;"-DAY"</f>
        <v>8-DAY</v>
      </c>
      <c r="AY232" s="37"/>
      <c r="AZ232" s="181">
        <f>L232-AD232</f>
        <v>0</v>
      </c>
    </row>
    <row r="233" spans="1:52" ht="15.5" customHeight="1">
      <c r="A233" s="360" t="s">
        <v>372</v>
      </c>
      <c r="B233" s="340">
        <v>46239</v>
      </c>
      <c r="C233" s="181">
        <v>48975</v>
      </c>
      <c r="D233" s="30">
        <v>46239</v>
      </c>
      <c r="E233" s="30">
        <v>46237</v>
      </c>
      <c r="F233" s="30">
        <v>46264</v>
      </c>
      <c r="G233" s="37">
        <v>4420230602</v>
      </c>
      <c r="H233" s="37" t="s">
        <v>373</v>
      </c>
      <c r="I233" s="37">
        <v>9040054606</v>
      </c>
      <c r="J233" s="37" t="s">
        <v>215</v>
      </c>
      <c r="K233" s="325" t="s">
        <v>216</v>
      </c>
      <c r="L233" s="181">
        <v>2</v>
      </c>
      <c r="M233" s="181" t="s">
        <v>375</v>
      </c>
      <c r="N233" s="37" t="s">
        <v>382</v>
      </c>
      <c r="O233" s="31">
        <f>IF(F233&gt;0,F233-AB233,"")</f>
        <v>-24</v>
      </c>
      <c r="P233" s="37" t="str">
        <f>IF(F233&gt;0,IF(AB233="","PLANNING SUPPLY",IF(AB233&lt;=F233,"ONTIME DELIVERY","DELAY")),"")</f>
        <v>DELAY</v>
      </c>
      <c r="Q233" s="181" t="str">
        <f>IFERROR(IF(J233&gt;0,VLOOKUP(J233,#REF!,MATCH($Q$6,#REF!,0),0),""),"")</f>
        <v/>
      </c>
      <c r="R233" s="181" t="str">
        <f>IFERROR(IF(J233&gt;0,VLOOKUP(J233,#REF!,MATCH($R$6,#REF!,0),0),""),"")</f>
        <v/>
      </c>
      <c r="S233" s="181" t="e">
        <f>IF(I236&gt;0,Q233+R233,"")</f>
        <v>#VALUE!</v>
      </c>
      <c r="T233" s="181"/>
      <c r="U233" s="181"/>
      <c r="V233" s="37"/>
      <c r="W233" s="181" t="e">
        <f>IF(I236&gt;0,IF(S233&gt;L233,"READY STOCK",IF(S233=0,"OUT OF STOCK",IF(S233&lt;L233,"LOW STOCK",""))),"")</f>
        <v>#VALUE!</v>
      </c>
      <c r="X233" s="38"/>
      <c r="Y233" s="38"/>
      <c r="Z233" s="38"/>
      <c r="AA233" s="181"/>
      <c r="AB233" s="50">
        <v>46288</v>
      </c>
      <c r="AC233" s="246">
        <v>34456</v>
      </c>
      <c r="AD233" s="51">
        <v>2</v>
      </c>
      <c r="AE233" s="37" t="s">
        <v>387</v>
      </c>
      <c r="AF233" s="37" t="s">
        <v>381</v>
      </c>
      <c r="AG233" s="33" t="str">
        <f>IF(G233&gt;0,IF(AD233&gt;0,IF(AD233=0,"Waiting",IF(AD233&lt;L233,"Partial",IF(AD233=L233,"Full Supply",IF(AD233&gt;L233,"Over Shared")))),"Waiting"),"")</f>
        <v>Full Supply</v>
      </c>
      <c r="AH233" s="156">
        <v>46239</v>
      </c>
      <c r="AI233" s="37" t="s">
        <v>770</v>
      </c>
      <c r="AJ233" s="181">
        <v>102</v>
      </c>
      <c r="AK233" s="40">
        <v>25646</v>
      </c>
      <c r="AL233" s="218">
        <v>46218</v>
      </c>
      <c r="AM233" s="40">
        <v>300</v>
      </c>
      <c r="AN233" s="212"/>
      <c r="AO233" s="41">
        <v>46254</v>
      </c>
      <c r="AP233" s="37"/>
      <c r="AQ233" s="37"/>
      <c r="AR233" s="37"/>
      <c r="AS233" s="37"/>
      <c r="AT233" s="37">
        <f>AS233-AD233</f>
        <v>-2</v>
      </c>
      <c r="AU233" s="36" t="str">
        <f>IF(AR233=0,"Waiting",IF(AR233&lt;AH233,"Kurang",IF(AR233=AH233,"Sesuai",IF(AR233&gt;AH233,"Over Shared"))))</f>
        <v>Waiting</v>
      </c>
      <c r="AV233" s="37"/>
      <c r="AW233" s="37" t="str">
        <f>IFERROR(DATEDIF(AH233,AK233,"d"),"0")&amp;"-DAY"</f>
        <v>0-DAY</v>
      </c>
      <c r="AX233" s="37" t="str">
        <f>IFERROR(DATEDIF(B233,AB233,"d"),"0")&amp;"-DAY"</f>
        <v>49-DAY</v>
      </c>
      <c r="AY233" s="37"/>
      <c r="AZ233" s="181">
        <f>L233-AD233</f>
        <v>0</v>
      </c>
    </row>
    <row r="234" spans="1:52" ht="15.5" customHeight="1">
      <c r="A234" s="360" t="s">
        <v>372</v>
      </c>
      <c r="B234" s="340">
        <v>46239</v>
      </c>
      <c r="C234" s="181">
        <v>48976</v>
      </c>
      <c r="D234" s="30">
        <v>46239</v>
      </c>
      <c r="E234" s="30">
        <v>46236</v>
      </c>
      <c r="F234" s="30">
        <v>46255</v>
      </c>
      <c r="G234" s="37">
        <v>4420230561</v>
      </c>
      <c r="H234" s="37" t="s">
        <v>373</v>
      </c>
      <c r="I234" s="37">
        <v>9040040636</v>
      </c>
      <c r="J234" s="37" t="s">
        <v>167</v>
      </c>
      <c r="K234" s="325" t="s">
        <v>168</v>
      </c>
      <c r="L234" s="181">
        <v>35</v>
      </c>
      <c r="M234" s="181" t="s">
        <v>375</v>
      </c>
      <c r="N234" s="37" t="s">
        <v>451</v>
      </c>
      <c r="O234" s="31">
        <f>IF(F234&gt;0,F234-AB234,"")</f>
        <v>2</v>
      </c>
      <c r="P234" s="37" t="str">
        <f>IF(F234&gt;0,IF(AB234="","PLANNING SUPPLY",IF(AB234&lt;=F234,"ONTIME DELIVERY","DELAY")),"")</f>
        <v>ONTIME DELIVERY</v>
      </c>
      <c r="Q234" s="181" t="str">
        <f>IFERROR(IF(J234&gt;0,VLOOKUP(J234,#REF!,MATCH($Q$6,#REF!,0),0),""),"")</f>
        <v/>
      </c>
      <c r="R234" s="181" t="str">
        <f>IFERROR(IF(J234&gt;0,VLOOKUP(J234,#REF!,MATCH($R$6,#REF!,0),0),""),"")</f>
        <v/>
      </c>
      <c r="S234" s="181" t="e">
        <f>IF(I237&gt;0,Q234+R234,"")</f>
        <v>#VALUE!</v>
      </c>
      <c r="T234" s="181"/>
      <c r="U234" s="181"/>
      <c r="V234" s="37"/>
      <c r="W234" s="181" t="e">
        <f>IF(I237&gt;0,IF(S234&gt;L234,"READY STOCK",IF(S234=0,"OUT OF STOCK",IF(S234&lt;L234,"LOW STOCK",""))),"")</f>
        <v>#VALUE!</v>
      </c>
      <c r="X234" s="38"/>
      <c r="Y234" s="38"/>
      <c r="Z234" s="38"/>
      <c r="AA234" s="38"/>
      <c r="AB234" s="50">
        <v>46253</v>
      </c>
      <c r="AC234" s="181">
        <v>33757</v>
      </c>
      <c r="AD234" s="51">
        <v>35</v>
      </c>
      <c r="AE234" s="37" t="s">
        <v>383</v>
      </c>
      <c r="AF234" s="37" t="s">
        <v>381</v>
      </c>
      <c r="AG234" s="33" t="str">
        <f>IF(G234&gt;0,IF(AD234&gt;0,IF(AD234=0,"Waiting",IF(AD234&lt;L234,"Partial",IF(AD234=L234,"Full Supply",IF(AD234&gt;L234,"Over Shared")))),"Waiting"),"")</f>
        <v>Full Supply</v>
      </c>
      <c r="AH234" s="37"/>
      <c r="AI234" s="37"/>
      <c r="AJ234" s="181"/>
      <c r="AK234" s="40"/>
      <c r="AL234" s="40"/>
      <c r="AM234" s="40"/>
      <c r="AN234" s="37"/>
      <c r="AO234" s="34"/>
      <c r="AP234" s="37"/>
      <c r="AQ234" s="37"/>
      <c r="AR234" s="37"/>
      <c r="AS234" s="37"/>
      <c r="AT234" s="37">
        <f>AS234-AD234</f>
        <v>-35</v>
      </c>
      <c r="AU234" s="36" t="str">
        <f>IF(AR234=0,"Waiting",IF(AR234&lt;AH234,"Kurang",IF(AR234=AH234,"Sesuai",IF(AR234&gt;AH234,"Over Shared"))))</f>
        <v>Waiting</v>
      </c>
      <c r="AV234" s="37"/>
      <c r="AW234" s="37" t="str">
        <f>IFERROR(DATEDIF(AH234,AK234,"d"),"0")&amp;"-DAY"</f>
        <v>0-DAY</v>
      </c>
      <c r="AX234" s="37" t="str">
        <f>IFERROR(DATEDIF(B234,AB234,"d"),"0")&amp;"-DAY"</f>
        <v>14-DAY</v>
      </c>
      <c r="AY234" s="37"/>
      <c r="AZ234" s="181">
        <f>L234-AD234</f>
        <v>0</v>
      </c>
    </row>
    <row r="235" spans="1:52" ht="15.5" customHeight="1">
      <c r="A235" s="360" t="s">
        <v>372</v>
      </c>
      <c r="B235" s="340">
        <v>46239</v>
      </c>
      <c r="C235" s="181">
        <v>48976</v>
      </c>
      <c r="D235" s="30">
        <v>46239</v>
      </c>
      <c r="E235" s="30">
        <v>46236</v>
      </c>
      <c r="F235" s="30">
        <v>46255</v>
      </c>
      <c r="G235" s="37">
        <v>4420230561</v>
      </c>
      <c r="H235" s="37" t="s">
        <v>373</v>
      </c>
      <c r="I235" s="37">
        <v>9040009397</v>
      </c>
      <c r="J235" s="37" t="s">
        <v>287</v>
      </c>
      <c r="K235" s="325" t="s">
        <v>288</v>
      </c>
      <c r="L235" s="181">
        <v>7</v>
      </c>
      <c r="M235" s="181" t="s">
        <v>421</v>
      </c>
      <c r="N235" s="37" t="s">
        <v>451</v>
      </c>
      <c r="O235" s="31">
        <f>IF(F235&gt;0,F235-AB235,"")</f>
        <v>7</v>
      </c>
      <c r="P235" s="37" t="str">
        <f>IF(F235&gt;0,IF(AB235="","PLANNING SUPPLY",IF(AB235&lt;=F235,"ONTIME DELIVERY","DELAY")),"")</f>
        <v>ONTIME DELIVERY</v>
      </c>
      <c r="Q235" s="181" t="str">
        <f>IFERROR(IF(J235&gt;0,VLOOKUP(J235,#REF!,MATCH($Q$6,#REF!,0),0),""),"")</f>
        <v/>
      </c>
      <c r="R235" s="181" t="str">
        <f>IFERROR(IF(J235&gt;0,VLOOKUP(J235,#REF!,MATCH($R$6,#REF!,0),0),""),"")</f>
        <v/>
      </c>
      <c r="S235" s="181" t="e">
        <f>IF(I238&gt;0,Q235+R235,"")</f>
        <v>#VALUE!</v>
      </c>
      <c r="T235" s="181"/>
      <c r="U235" s="181"/>
      <c r="V235" s="37"/>
      <c r="W235" s="181" t="e">
        <f>IF(I238&gt;0,IF(S235&gt;L235,"READY STOCK",IF(S235=0,"OUT OF STOCK",IF(S235&lt;L235,"LOW STOCK",""))),"")</f>
        <v>#VALUE!</v>
      </c>
      <c r="X235" s="38"/>
      <c r="Y235" s="38"/>
      <c r="Z235" s="38"/>
      <c r="AA235" s="38"/>
      <c r="AB235" s="50">
        <v>46248</v>
      </c>
      <c r="AC235" s="181">
        <v>33694</v>
      </c>
      <c r="AD235" s="51">
        <v>7</v>
      </c>
      <c r="AE235" s="37" t="s">
        <v>387</v>
      </c>
      <c r="AF235" s="37" t="s">
        <v>381</v>
      </c>
      <c r="AG235" s="33" t="str">
        <f>IF(G235&gt;0,IF(AD235&gt;0,IF(AD235=0,"Waiting",IF(AD235&lt;L235,"Partial",IF(AD235=L235,"Full Supply",IF(AD235&gt;L235,"Over Shared")))),"Waiting"),"")</f>
        <v>Full Supply</v>
      </c>
      <c r="AH235" s="156">
        <v>46239</v>
      </c>
      <c r="AI235" s="37" t="s">
        <v>770</v>
      </c>
      <c r="AJ235" s="181">
        <v>9</v>
      </c>
      <c r="AK235" s="40">
        <v>26041</v>
      </c>
      <c r="AL235" s="218">
        <v>46253</v>
      </c>
      <c r="AM235" s="40">
        <v>9</v>
      </c>
      <c r="AN235" s="37"/>
      <c r="AO235" s="48">
        <v>46255</v>
      </c>
      <c r="AP235" s="37"/>
      <c r="AQ235" s="37"/>
      <c r="AR235" s="37"/>
      <c r="AS235" s="37"/>
      <c r="AT235" s="37">
        <f>AS235-AD235</f>
        <v>-7</v>
      </c>
      <c r="AU235" s="36" t="str">
        <f>IF(AR235=0,"Waiting",IF(AR235&lt;AH235,"Kurang",IF(AR235=AH235,"Sesuai",IF(AR235&gt;AH235,"Over Shared"))))</f>
        <v>Waiting</v>
      </c>
      <c r="AV235" s="37"/>
      <c r="AW235" s="37" t="str">
        <f>IFERROR(DATEDIF(AH235,AK235,"d"),"0")&amp;"-DAY"</f>
        <v>0-DAY</v>
      </c>
      <c r="AX235" s="37" t="str">
        <f>IFERROR(DATEDIF(B235,AB235,"d"),"0")&amp;"-DAY"</f>
        <v>9-DAY</v>
      </c>
      <c r="AY235" s="37"/>
      <c r="AZ235" s="181">
        <f>L235-AD235</f>
        <v>0</v>
      </c>
    </row>
    <row r="236" spans="1:52" ht="15.5" customHeight="1">
      <c r="A236" s="360" t="s">
        <v>372</v>
      </c>
      <c r="B236" s="340">
        <v>46239</v>
      </c>
      <c r="C236" s="181">
        <v>48976</v>
      </c>
      <c r="D236" s="30">
        <v>46239</v>
      </c>
      <c r="E236" s="30">
        <v>46236</v>
      </c>
      <c r="F236" s="30">
        <v>46255</v>
      </c>
      <c r="G236" s="37">
        <v>4420230561</v>
      </c>
      <c r="H236" s="37" t="s">
        <v>373</v>
      </c>
      <c r="I236" s="212">
        <v>9040009398</v>
      </c>
      <c r="J236" s="37" t="s">
        <v>282</v>
      </c>
      <c r="K236" s="325" t="s">
        <v>283</v>
      </c>
      <c r="L236" s="181">
        <v>2</v>
      </c>
      <c r="M236" s="181" t="s">
        <v>421</v>
      </c>
      <c r="N236" s="37" t="s">
        <v>451</v>
      </c>
      <c r="O236" s="31">
        <f>IF(F236&gt;0,F236-AB236,"")</f>
        <v>2</v>
      </c>
      <c r="P236" s="37" t="str">
        <f>IF(F236&gt;0,IF(AB236="","PLANNING SUPPLY",IF(AB236&lt;=F236,"ONTIME DELIVERY","DELAY")),"")</f>
        <v>ONTIME DELIVERY</v>
      </c>
      <c r="Q236" s="181" t="str">
        <f>IFERROR(IF(J236&gt;0,VLOOKUP(J236,#REF!,MATCH($Q$6,#REF!,0),0),""),"")</f>
        <v/>
      </c>
      <c r="R236" s="181" t="str">
        <f>IFERROR(IF(J236&gt;0,VLOOKUP(J236,#REF!,MATCH($R$6,#REF!,0),0),""),"")</f>
        <v/>
      </c>
      <c r="S236" s="181" t="e">
        <f>IF(#REF!&gt;0,Q236+R236,"")</f>
        <v>#REF!</v>
      </c>
      <c r="T236" s="181"/>
      <c r="U236" s="181"/>
      <c r="V236" s="37"/>
      <c r="W236" s="181" t="e">
        <f>IF(#REF!&gt;0,IF(S236&gt;L236,"READY STOCK",IF(S236=0,"OUT OF STOCK",IF(S236&lt;L236,"LOW STOCK",""))),"")</f>
        <v>#REF!</v>
      </c>
      <c r="X236" s="38"/>
      <c r="Y236" s="38"/>
      <c r="Z236" s="38"/>
      <c r="AA236" s="38"/>
      <c r="AB236" s="50">
        <v>46253</v>
      </c>
      <c r="AC236" s="181">
        <v>33757</v>
      </c>
      <c r="AD236" s="51">
        <v>2</v>
      </c>
      <c r="AE236" s="37" t="s">
        <v>383</v>
      </c>
      <c r="AF236" s="37" t="s">
        <v>381</v>
      </c>
      <c r="AG236" s="33" t="str">
        <f>IF(G236&gt;0,IF(AD236&gt;0,IF(AD236=0,"Waiting",IF(AD236&lt;L236,"Partial",IF(AD236=L236,"Full Supply",IF(AD236&gt;L236,"Over Shared")))),"Waiting"),"")</f>
        <v>Full Supply</v>
      </c>
      <c r="AH236" s="37"/>
      <c r="AI236" s="37"/>
      <c r="AJ236" s="181"/>
      <c r="AK236" s="40"/>
      <c r="AL236" s="40"/>
      <c r="AM236" s="40"/>
      <c r="AN236" s="37"/>
      <c r="AO236" s="34"/>
      <c r="AP236" s="37"/>
      <c r="AQ236" s="37"/>
      <c r="AR236" s="37"/>
      <c r="AS236" s="37"/>
      <c r="AT236" s="37">
        <f>AS236-AD236</f>
        <v>-2</v>
      </c>
      <c r="AU236" s="36" t="str">
        <f>IF(AR236=0,"Waiting",IF(AR236&lt;AH236,"Kurang",IF(AR236=AH236,"Sesuai",IF(AR236&gt;AH236,"Over Shared"))))</f>
        <v>Waiting</v>
      </c>
      <c r="AV236" s="37"/>
      <c r="AW236" s="37" t="str">
        <f>IFERROR(DATEDIF(AH236,AK236,"d"),"0")&amp;"-DAY"</f>
        <v>0-DAY</v>
      </c>
      <c r="AX236" s="37" t="str">
        <f>IFERROR(DATEDIF(B236,AB236,"d"),"0")&amp;"-DAY"</f>
        <v>14-DAY</v>
      </c>
      <c r="AY236" s="37"/>
      <c r="AZ236" s="181">
        <f>L236-AD236</f>
        <v>0</v>
      </c>
    </row>
    <row r="237" spans="1:52" ht="15.5" customHeight="1">
      <c r="A237" s="360" t="s">
        <v>372</v>
      </c>
      <c r="B237" s="340">
        <v>46239</v>
      </c>
      <c r="C237" s="181">
        <v>48976</v>
      </c>
      <c r="D237" s="30">
        <v>46239</v>
      </c>
      <c r="E237" s="30">
        <v>46236</v>
      </c>
      <c r="F237" s="30">
        <v>46255</v>
      </c>
      <c r="G237" s="37">
        <v>4420230561</v>
      </c>
      <c r="H237" s="37" t="s">
        <v>373</v>
      </c>
      <c r="I237" s="37">
        <v>9040044075</v>
      </c>
      <c r="J237" s="37" t="s">
        <v>223</v>
      </c>
      <c r="K237" s="325" t="s">
        <v>224</v>
      </c>
      <c r="L237" s="181">
        <v>2</v>
      </c>
      <c r="M237" s="181" t="s">
        <v>389</v>
      </c>
      <c r="N237" s="37" t="s">
        <v>451</v>
      </c>
      <c r="O237" s="31">
        <f>IF(F237&gt;0,F237-AB237,"")</f>
        <v>-33</v>
      </c>
      <c r="P237" s="37" t="str">
        <f>IF(F237&gt;0,IF(AB237="","PLANNING SUPPLY",IF(AB237&lt;=F237,"ONTIME DELIVERY","DELAY")),"")</f>
        <v>DELAY</v>
      </c>
      <c r="Q237" s="181" t="str">
        <f>IFERROR(IF(J237&gt;0,VLOOKUP(J237,#REF!,MATCH($Q$6,#REF!,0),0),""),"")</f>
        <v/>
      </c>
      <c r="R237" s="181" t="str">
        <f>IFERROR(IF(J237&gt;0,VLOOKUP(J237,#REF!,MATCH($R$6,#REF!,0),0),""),"")</f>
        <v/>
      </c>
      <c r="S237" s="181" t="e">
        <f>IF(I240&gt;0,Q237+R237,"")</f>
        <v>#VALUE!</v>
      </c>
      <c r="T237" s="181"/>
      <c r="U237" s="181"/>
      <c r="V237" s="37"/>
      <c r="W237" s="181" t="e">
        <f>IF(I240&gt;0,IF(S237&gt;L237,"READY STOCK",IF(S237=0,"OUT OF STOCK",IF(S237&lt;L237,"LOW STOCK",""))),"")</f>
        <v>#VALUE!</v>
      </c>
      <c r="X237" s="38"/>
      <c r="Y237" s="38"/>
      <c r="Z237" s="38"/>
      <c r="AA237" s="38"/>
      <c r="AB237" s="50">
        <v>46288</v>
      </c>
      <c r="AC237" s="181">
        <v>34494</v>
      </c>
      <c r="AD237" s="51">
        <v>2</v>
      </c>
      <c r="AE237" s="37" t="s">
        <v>383</v>
      </c>
      <c r="AF237" s="37" t="s">
        <v>381</v>
      </c>
      <c r="AG237" s="33" t="str">
        <f>IF(G237&gt;0,IF(AD237&gt;0,IF(AD237=0,"Waiting",IF(AD237&lt;L237,"Partial",IF(AD237=L237,"Full Supply",IF(AD237&gt;L237,"Over Shared")))),"Waiting"),"")</f>
        <v>Full Supply</v>
      </c>
      <c r="AH237" s="56"/>
      <c r="AI237" s="37"/>
      <c r="AJ237" s="181"/>
      <c r="AK237" s="40"/>
      <c r="AL237" s="40"/>
      <c r="AM237" s="40"/>
      <c r="AN237" s="212" t="s">
        <v>1291</v>
      </c>
      <c r="AO237" s="34"/>
      <c r="AP237" s="37"/>
      <c r="AQ237" s="37"/>
      <c r="AR237" s="37"/>
      <c r="AS237" s="37"/>
      <c r="AT237" s="37">
        <f>AS237-AD237</f>
        <v>-2</v>
      </c>
      <c r="AU237" s="36" t="str">
        <f>IF(AR237=0,"Waiting",IF(AR237&lt;AH237,"Kurang",IF(AR237=AH237,"Sesuai",IF(AR237&gt;AH237,"Over Shared"))))</f>
        <v>Waiting</v>
      </c>
      <c r="AV237" s="37"/>
      <c r="AW237" s="37" t="str">
        <f>IFERROR(DATEDIF(AH237,AK237,"d"),"0")&amp;"-DAY"</f>
        <v>0-DAY</v>
      </c>
      <c r="AX237" s="37" t="str">
        <f>IFERROR(DATEDIF(B237,AB237,"d"),"0")&amp;"-DAY"</f>
        <v>49-DAY</v>
      </c>
      <c r="AY237" s="37"/>
      <c r="AZ237" s="181">
        <f>L237-AD237</f>
        <v>0</v>
      </c>
    </row>
    <row r="238" spans="1:52" ht="15.5" customHeight="1">
      <c r="A238" s="360" t="s">
        <v>372</v>
      </c>
      <c r="B238" s="340">
        <v>46239</v>
      </c>
      <c r="C238" s="181">
        <v>48976</v>
      </c>
      <c r="D238" s="30">
        <v>46239</v>
      </c>
      <c r="E238" s="30">
        <v>46236</v>
      </c>
      <c r="F238" s="30">
        <v>46255</v>
      </c>
      <c r="G238" s="37">
        <v>4420230561</v>
      </c>
      <c r="H238" s="37" t="s">
        <v>373</v>
      </c>
      <c r="I238" s="37">
        <v>9040044080</v>
      </c>
      <c r="J238" s="37" t="s">
        <v>70</v>
      </c>
      <c r="K238" s="325" t="s">
        <v>71</v>
      </c>
      <c r="L238" s="181">
        <v>5</v>
      </c>
      <c r="M238" s="181" t="s">
        <v>375</v>
      </c>
      <c r="N238" s="37" t="s">
        <v>451</v>
      </c>
      <c r="O238" s="31">
        <f>IF(F238&gt;0,F238-AB238,"")</f>
        <v>46255</v>
      </c>
      <c r="P238" s="37" t="str">
        <f>IF(F238&gt;0,IF(AB238="","PLANNING SUPPLY",IF(AB238&lt;=F238,"ONTIME DELIVERY","DELAY")),"")</f>
        <v>PLANNING SUPPLY</v>
      </c>
      <c r="Q238" s="181" t="str">
        <f>IFERROR(IF(I238&gt;0,VLOOKUP(I238,#REF!,MATCH($Q$6,#REF!,0),0),""),"")</f>
        <v/>
      </c>
      <c r="R238" s="181" t="str">
        <f>IFERROR(IF(I238&gt;0,VLOOKUP(I238,#REF!,MATCH($R$6,#REF!,0),0),""),"")</f>
        <v/>
      </c>
      <c r="S238" s="181" t="e">
        <f>IF(I241&gt;0,Q238+R238,"")</f>
        <v>#VALUE!</v>
      </c>
      <c r="T238" s="181"/>
      <c r="U238" s="181"/>
      <c r="V238" s="37"/>
      <c r="W238" s="181" t="e">
        <f>IF(I241&gt;0,IF(S238&gt;L238,"READY STOCK",IF(S238=0,"OUT OF STOCK",IF(S238&lt;L238,"LOW STOCK",""))),"")</f>
        <v>#VALUE!</v>
      </c>
      <c r="X238" s="38"/>
      <c r="Y238" s="38"/>
      <c r="Z238" s="38"/>
      <c r="AA238" s="38"/>
      <c r="AB238" s="50"/>
      <c r="AC238" s="181"/>
      <c r="AD238" s="51"/>
      <c r="AE238" s="37"/>
      <c r="AF238" s="37"/>
      <c r="AG238" s="33" t="str">
        <f>IF(G238&gt;0,IF(AD238&gt;0,IF(AD238=0,"Waiting",IF(AD238&lt;L238,"Partial",IF(AD238=L238,"Full Supply",IF(AD238&gt;L238,"Over Shared")))),"Waiting"),"")</f>
        <v>Waiting</v>
      </c>
      <c r="AH238" s="156"/>
      <c r="AI238" s="37"/>
      <c r="AJ238" s="181"/>
      <c r="AK238" s="40"/>
      <c r="AL238" s="40"/>
      <c r="AM238" s="40"/>
      <c r="AN238" s="212" t="s">
        <v>1292</v>
      </c>
      <c r="AO238" s="34"/>
      <c r="AP238" s="37"/>
      <c r="AQ238" s="37"/>
      <c r="AR238" s="37"/>
      <c r="AS238" s="37"/>
      <c r="AT238" s="37">
        <f>AS238-AD238</f>
        <v>0</v>
      </c>
      <c r="AU238" s="36" t="str">
        <f>IF(AR238=0,"Waiting",IF(AR238&lt;AH238,"Kurang",IF(AR238=AH238,"Sesuai",IF(AR238&gt;AH238,"Over Shared"))))</f>
        <v>Waiting</v>
      </c>
      <c r="AV238" s="37"/>
      <c r="AW238" s="37" t="str">
        <f>IFERROR(DATEDIF(AH238,AK238,"d"),"0")&amp;"-DAY"</f>
        <v>0-DAY</v>
      </c>
      <c r="AX238" s="37" t="str">
        <f>IFERROR(DATEDIF(B238,AB238,"d"),"0")&amp;"-DAY"</f>
        <v>0-DAY</v>
      </c>
      <c r="AY238" s="37"/>
      <c r="AZ238" s="181">
        <f>L238-AD238</f>
        <v>5</v>
      </c>
    </row>
    <row r="239" spans="1:52" ht="15.5" customHeight="1">
      <c r="A239" s="360" t="s">
        <v>372</v>
      </c>
      <c r="B239" s="340">
        <v>46239</v>
      </c>
      <c r="C239" s="181">
        <v>48976</v>
      </c>
      <c r="D239" s="30">
        <v>46239</v>
      </c>
      <c r="E239" s="30">
        <v>46236</v>
      </c>
      <c r="F239" s="30">
        <v>46255</v>
      </c>
      <c r="G239" s="37">
        <v>4420230561</v>
      </c>
      <c r="H239" s="37" t="s">
        <v>373</v>
      </c>
      <c r="I239" s="37">
        <v>9040044154</v>
      </c>
      <c r="J239" s="37" t="s">
        <v>301</v>
      </c>
      <c r="K239" s="325" t="s">
        <v>302</v>
      </c>
      <c r="L239" s="181">
        <v>2</v>
      </c>
      <c r="M239" s="181" t="s">
        <v>375</v>
      </c>
      <c r="N239" s="37" t="s">
        <v>451</v>
      </c>
      <c r="O239" s="31">
        <f>IF(F239&gt;0,F239-AB239,"")</f>
        <v>8</v>
      </c>
      <c r="P239" s="37" t="str">
        <f>IF(F239&gt;0,IF(AB239="","PLANNING SUPPLY",IF(AB239&lt;=F239,"ONTIME DELIVERY","DELAY")),"")</f>
        <v>ONTIME DELIVERY</v>
      </c>
      <c r="Q239" s="181" t="str">
        <f>IFERROR(IF(J239&gt;0,VLOOKUP(J239,#REF!,MATCH($Q$6,#REF!,0),0),""),"")</f>
        <v/>
      </c>
      <c r="R239" s="181" t="str">
        <f>IFERROR(IF(J239&gt;0,VLOOKUP(J239,#REF!,MATCH($R$6,#REF!,0),0),""),"")</f>
        <v/>
      </c>
      <c r="S239" s="181" t="e">
        <f>IF(I242&gt;0,Q239+R239,"")</f>
        <v>#VALUE!</v>
      </c>
      <c r="T239" s="181"/>
      <c r="U239" s="181"/>
      <c r="V239" s="37"/>
      <c r="W239" s="181" t="e">
        <f>IF(I242&gt;0,IF(S239&gt;L239,"READY STOCK",IF(S239=0,"OUT OF STOCK",IF(S239&lt;L239,"LOW STOCK",""))),"")</f>
        <v>#VALUE!</v>
      </c>
      <c r="X239" s="38"/>
      <c r="Y239" s="38"/>
      <c r="Z239" s="38"/>
      <c r="AA239" s="38"/>
      <c r="AB239" s="50">
        <v>46247</v>
      </c>
      <c r="AC239" s="181">
        <v>33641</v>
      </c>
      <c r="AD239" s="51">
        <v>2</v>
      </c>
      <c r="AE239" s="37" t="s">
        <v>387</v>
      </c>
      <c r="AF239" s="37" t="s">
        <v>381</v>
      </c>
      <c r="AG239" s="33" t="str">
        <f>IF(G239&gt;0,IF(AD239&gt;0,IF(AD239=0,"Waiting",IF(AD239&lt;L239,"Partial",IF(AD239=L239,"Full Supply",IF(AD239&gt;L239,"Over Shared")))),"Waiting"),"")</f>
        <v>Full Supply</v>
      </c>
      <c r="AH239" s="37"/>
      <c r="AI239" s="37"/>
      <c r="AJ239" s="181"/>
      <c r="AK239" s="40"/>
      <c r="AL239" s="40"/>
      <c r="AM239" s="40"/>
      <c r="AN239" s="37"/>
      <c r="AO239" s="34"/>
      <c r="AP239" s="37"/>
      <c r="AQ239" s="37"/>
      <c r="AR239" s="37"/>
      <c r="AS239" s="37"/>
      <c r="AT239" s="37">
        <f>AS239-AD239</f>
        <v>-2</v>
      </c>
      <c r="AU239" s="36" t="str">
        <f>IF(AR239=0,"Waiting",IF(AR239&lt;AH239,"Kurang",IF(AR239=AH239,"Sesuai",IF(AR239&gt;AH239,"Over Shared"))))</f>
        <v>Waiting</v>
      </c>
      <c r="AV239" s="37"/>
      <c r="AW239" s="37" t="str">
        <f>IFERROR(DATEDIF(AH239,AK239,"d"),"0")&amp;"-DAY"</f>
        <v>0-DAY</v>
      </c>
      <c r="AX239" s="37" t="str">
        <f>IFERROR(DATEDIF(B239,AB239,"d"),"0")&amp;"-DAY"</f>
        <v>8-DAY</v>
      </c>
      <c r="AY239" s="37"/>
      <c r="AZ239" s="181">
        <f>L239-AD239</f>
        <v>0</v>
      </c>
    </row>
    <row r="240" spans="1:52" ht="15.5" customHeight="1">
      <c r="A240" s="360" t="s">
        <v>372</v>
      </c>
      <c r="B240" s="340">
        <v>46239</v>
      </c>
      <c r="C240" s="181">
        <v>48976</v>
      </c>
      <c r="D240" s="30">
        <v>46239</v>
      </c>
      <c r="E240" s="30">
        <v>46236</v>
      </c>
      <c r="F240" s="30">
        <v>46255</v>
      </c>
      <c r="G240" s="37">
        <v>4420230561</v>
      </c>
      <c r="H240" s="37" t="s">
        <v>373</v>
      </c>
      <c r="I240" s="37">
        <v>9040044211</v>
      </c>
      <c r="J240" s="37" t="s">
        <v>268</v>
      </c>
      <c r="K240" s="325" t="s">
        <v>269</v>
      </c>
      <c r="L240" s="181">
        <v>2</v>
      </c>
      <c r="M240" s="181" t="s">
        <v>375</v>
      </c>
      <c r="N240" s="37" t="s">
        <v>451</v>
      </c>
      <c r="O240" s="31">
        <f>IF(F240&gt;0,F240-AB240,"")</f>
        <v>8</v>
      </c>
      <c r="P240" s="37" t="str">
        <f>IF(F240&gt;0,IF(AB240="","PLANNING SUPPLY",IF(AB240&lt;=F240,"ONTIME DELIVERY","DELAY")),"")</f>
        <v>ONTIME DELIVERY</v>
      </c>
      <c r="Q240" s="181" t="str">
        <f>IFERROR(IF(J240&gt;0,VLOOKUP(J240,#REF!,MATCH($Q$6,#REF!,0),0),""),"")</f>
        <v/>
      </c>
      <c r="R240" s="181" t="str">
        <f>IFERROR(IF(J240&gt;0,VLOOKUP(J240,#REF!,MATCH($R$6,#REF!,0),0),""),"")</f>
        <v/>
      </c>
      <c r="S240" s="181" t="e">
        <f>IF(I243&gt;0,Q240+R240,"")</f>
        <v>#VALUE!</v>
      </c>
      <c r="T240" s="181"/>
      <c r="U240" s="181"/>
      <c r="V240" s="37"/>
      <c r="W240" s="181" t="e">
        <f>IF(I243&gt;0,IF(S240&gt;L240,"READY STOCK",IF(S240=0,"OUT OF STOCK",IF(S240&lt;L240,"LOW STOCK",""))),"")</f>
        <v>#VALUE!</v>
      </c>
      <c r="X240" s="38"/>
      <c r="Y240" s="38"/>
      <c r="Z240" s="38"/>
      <c r="AA240" s="38"/>
      <c r="AB240" s="50">
        <v>46247</v>
      </c>
      <c r="AC240" s="181">
        <v>33627</v>
      </c>
      <c r="AD240" s="51">
        <v>2</v>
      </c>
      <c r="AE240" s="37" t="s">
        <v>387</v>
      </c>
      <c r="AF240" s="37" t="s">
        <v>381</v>
      </c>
      <c r="AG240" s="33" t="str">
        <f>IF(G240&gt;0,IF(AD240&gt;0,IF(AD240=0,"Waiting",IF(AD240&lt;L240,"Partial",IF(AD240=L240,"Full Supply",IF(AD240&gt;L240,"Over Shared")))),"Waiting"),"")</f>
        <v>Full Supply</v>
      </c>
      <c r="AH240" s="37"/>
      <c r="AI240" s="37"/>
      <c r="AJ240" s="181"/>
      <c r="AK240" s="40"/>
      <c r="AL240" s="40"/>
      <c r="AM240" s="40"/>
      <c r="AN240" s="37"/>
      <c r="AO240" s="34"/>
      <c r="AP240" s="37"/>
      <c r="AQ240" s="37"/>
      <c r="AR240" s="37"/>
      <c r="AS240" s="37"/>
      <c r="AT240" s="37">
        <f>AS240-AD240</f>
        <v>-2</v>
      </c>
      <c r="AU240" s="36" t="str">
        <f>IF(AR240=0,"Waiting",IF(AR240&lt;AH240,"Kurang",IF(AR240=AH240,"Sesuai",IF(AR240&gt;AH240,"Over Shared"))))</f>
        <v>Waiting</v>
      </c>
      <c r="AV240" s="37"/>
      <c r="AW240" s="37" t="str">
        <f>IFERROR(DATEDIF(AH240,AK240,"d"),"0")&amp;"-DAY"</f>
        <v>0-DAY</v>
      </c>
      <c r="AX240" s="37" t="str">
        <f>IFERROR(DATEDIF(B240,AB240,"d"),"0")&amp;"-DAY"</f>
        <v>8-DAY</v>
      </c>
      <c r="AY240" s="37"/>
      <c r="AZ240" s="181">
        <f>L240-AD240</f>
        <v>0</v>
      </c>
    </row>
    <row r="241" spans="1:52" ht="15.5" customHeight="1">
      <c r="A241" s="360" t="s">
        <v>372</v>
      </c>
      <c r="B241" s="340">
        <v>46239</v>
      </c>
      <c r="C241" s="181">
        <v>48976</v>
      </c>
      <c r="D241" s="30">
        <v>46239</v>
      </c>
      <c r="E241" s="30">
        <v>46236</v>
      </c>
      <c r="F241" s="30">
        <v>46255</v>
      </c>
      <c r="G241" s="37">
        <v>4420230561</v>
      </c>
      <c r="H241" s="37" t="s">
        <v>373</v>
      </c>
      <c r="I241" s="37">
        <v>9040059642</v>
      </c>
      <c r="J241" s="37" t="s">
        <v>122</v>
      </c>
      <c r="K241" s="325" t="s">
        <v>319</v>
      </c>
      <c r="L241" s="181">
        <v>1</v>
      </c>
      <c r="M241" s="181" t="s">
        <v>375</v>
      </c>
      <c r="N241" s="37" t="s">
        <v>451</v>
      </c>
      <c r="O241" s="31">
        <f>IF(F241&gt;0,F241-AB241,"")</f>
        <v>2</v>
      </c>
      <c r="P241" s="37" t="str">
        <f>IF(F241&gt;0,IF(AB241="","PLANNING SUPPLY",IF(AB241&lt;=F241,"ONTIME DELIVERY","DELAY")),"")</f>
        <v>ONTIME DELIVERY</v>
      </c>
      <c r="Q241" s="181" t="str">
        <f>IFERROR(IF(J241&gt;0,VLOOKUP(J241,#REF!,MATCH($Q$6,#REF!,0),0),""),"")</f>
        <v/>
      </c>
      <c r="R241" s="181" t="str">
        <f>IFERROR(IF(J241&gt;0,VLOOKUP(J241,#REF!,MATCH($R$6,#REF!,0),0),""),"")</f>
        <v/>
      </c>
      <c r="S241" s="181" t="e">
        <f>IF(I244&gt;0,Q241+R241,"")</f>
        <v>#VALUE!</v>
      </c>
      <c r="T241" s="181"/>
      <c r="U241" s="181"/>
      <c r="V241" s="37"/>
      <c r="W241" s="181" t="e">
        <f>IF(I244&gt;0,IF(S241&gt;L241,"READY STOCK",IF(S241=0,"OUT OF STOCK",IF(S241&lt;L241,"LOW STOCK",""))),"")</f>
        <v>#VALUE!</v>
      </c>
      <c r="X241" s="38"/>
      <c r="Y241" s="38"/>
      <c r="Z241" s="38"/>
      <c r="AA241" s="38"/>
      <c r="AB241" s="50">
        <v>46253</v>
      </c>
      <c r="AC241" s="181">
        <v>33757</v>
      </c>
      <c r="AD241" s="51">
        <v>1</v>
      </c>
      <c r="AE241" s="37" t="s">
        <v>383</v>
      </c>
      <c r="AF241" s="37" t="s">
        <v>381</v>
      </c>
      <c r="AG241" s="33" t="str">
        <f>IF(G241&gt;0,IF(AD241&gt;0,IF(AD241=0,"Waiting",IF(AD241&lt;L241,"Partial",IF(AD241=L241,"Full Supply",IF(AD241&gt;L241,"Over Shared")))),"Waiting"),"")</f>
        <v>Full Supply</v>
      </c>
      <c r="AH241" s="37"/>
      <c r="AI241" s="37"/>
      <c r="AJ241" s="181"/>
      <c r="AK241" s="40"/>
      <c r="AL241" s="40"/>
      <c r="AM241" s="40"/>
      <c r="AN241" s="37"/>
      <c r="AO241" s="34"/>
      <c r="AP241" s="37"/>
      <c r="AQ241" s="37"/>
      <c r="AR241" s="37"/>
      <c r="AS241" s="37"/>
      <c r="AT241" s="37">
        <f>AS241-AD241</f>
        <v>-1</v>
      </c>
      <c r="AU241" s="36" t="str">
        <f>IF(AR241=0,"Waiting",IF(AR241&lt;AH241,"Kurang",IF(AR241=AH241,"Sesuai",IF(AR241&gt;AH241,"Over Shared"))))</f>
        <v>Waiting</v>
      </c>
      <c r="AV241" s="37"/>
      <c r="AW241" s="37" t="str">
        <f>IFERROR(DATEDIF(AH241,AK241,"d"),"0")&amp;"-DAY"</f>
        <v>0-DAY</v>
      </c>
      <c r="AX241" s="37" t="str">
        <f>IFERROR(DATEDIF(B241,AB241,"d"),"0")&amp;"-DAY"</f>
        <v>14-DAY</v>
      </c>
      <c r="AY241" s="37"/>
      <c r="AZ241" s="181">
        <f>L241-AD241</f>
        <v>0</v>
      </c>
    </row>
    <row r="242" spans="1:52" ht="15.5" customHeight="1">
      <c r="A242" s="360" t="s">
        <v>372</v>
      </c>
      <c r="B242" s="340">
        <v>46239</v>
      </c>
      <c r="C242" s="181">
        <v>48976</v>
      </c>
      <c r="D242" s="30">
        <v>46239</v>
      </c>
      <c r="E242" s="30">
        <v>46236</v>
      </c>
      <c r="F242" s="30">
        <v>46255</v>
      </c>
      <c r="G242" s="37">
        <v>4420230561</v>
      </c>
      <c r="H242" s="37" t="s">
        <v>373</v>
      </c>
      <c r="I242" s="37">
        <v>9040044285</v>
      </c>
      <c r="J242" s="37" t="s">
        <v>100</v>
      </c>
      <c r="K242" s="325" t="s">
        <v>101</v>
      </c>
      <c r="L242" s="181">
        <v>2</v>
      </c>
      <c r="M242" s="181" t="s">
        <v>427</v>
      </c>
      <c r="N242" s="37" t="s">
        <v>451</v>
      </c>
      <c r="O242" s="31">
        <f>IF(F242&gt;0,F242-AB242,"")</f>
        <v>-26</v>
      </c>
      <c r="P242" s="37" t="str">
        <f>IF(F242&gt;0,IF(AB242="","PLANNING SUPPLY",IF(AB242&lt;=F242,"ONTIME DELIVERY","DELAY")),"")</f>
        <v>DELAY</v>
      </c>
      <c r="Q242" s="181" t="str">
        <f>IFERROR(IF(J242&gt;0,VLOOKUP(J242,#REF!,MATCH($Q$6,#REF!,0),0),""),"")</f>
        <v/>
      </c>
      <c r="R242" s="181" t="str">
        <f>IFERROR(IF(J242&gt;0,VLOOKUP(J242,#REF!,MATCH($R$6,#REF!,0),0),""),"")</f>
        <v/>
      </c>
      <c r="S242" s="181" t="e">
        <f>IF(I245&gt;0,Q242+R242,"")</f>
        <v>#VALUE!</v>
      </c>
      <c r="T242" s="181"/>
      <c r="U242" s="181"/>
      <c r="V242" s="37"/>
      <c r="W242" s="181" t="e">
        <f>IF(I245&gt;0,IF(S242&gt;L242,"READY STOCK",IF(S242=0,"OUT OF STOCK",IF(S242&lt;L242,"LOW STOCK",""))),"")</f>
        <v>#VALUE!</v>
      </c>
      <c r="X242" s="38"/>
      <c r="Y242" s="38"/>
      <c r="Z242" s="38"/>
      <c r="AA242" s="38"/>
      <c r="AB242" s="50">
        <v>46281</v>
      </c>
      <c r="AC242" s="181">
        <v>34292</v>
      </c>
      <c r="AD242" s="51">
        <v>2</v>
      </c>
      <c r="AE242" s="37" t="s">
        <v>383</v>
      </c>
      <c r="AF242" s="37" t="s">
        <v>381</v>
      </c>
      <c r="AG242" s="33" t="str">
        <f>IF(G242&gt;0,IF(AD242&gt;0,IF(AD242=0,"Waiting",IF(AD242&lt;L242,"Partial",IF(AD242=L242,"Full Supply",IF(AD242&gt;L242,"Over Shared")))),"Waiting"),"")</f>
        <v>Full Supply</v>
      </c>
      <c r="AH242" s="156">
        <v>46239</v>
      </c>
      <c r="AI242" s="37" t="s">
        <v>770</v>
      </c>
      <c r="AJ242" s="181">
        <v>3</v>
      </c>
      <c r="AK242" s="40">
        <v>25323</v>
      </c>
      <c r="AL242" s="45">
        <v>46256</v>
      </c>
      <c r="AM242" s="40">
        <v>3</v>
      </c>
      <c r="AN242" s="37"/>
      <c r="AO242" s="48">
        <v>46262</v>
      </c>
      <c r="AP242" s="37"/>
      <c r="AQ242" s="37"/>
      <c r="AR242" s="37"/>
      <c r="AS242" s="37"/>
      <c r="AT242" s="37">
        <f>AS242-AD242</f>
        <v>-2</v>
      </c>
      <c r="AU242" s="36" t="str">
        <f>IF(AR242=0,"Waiting",IF(AR242&lt;AH242,"Kurang",IF(AR242=AH242,"Sesuai",IF(AR242&gt;AH242,"Over Shared"))))</f>
        <v>Waiting</v>
      </c>
      <c r="AV242" s="37"/>
      <c r="AW242" s="37" t="str">
        <f>IFERROR(DATEDIF(AH242,AK242,"d"),"0")&amp;"-DAY"</f>
        <v>0-DAY</v>
      </c>
      <c r="AX242" s="37" t="str">
        <f>IFERROR(DATEDIF(B242,AB242,"d"),"0")&amp;"-DAY"</f>
        <v>42-DAY</v>
      </c>
      <c r="AY242" s="37"/>
      <c r="AZ242" s="181">
        <f>L242-AD242</f>
        <v>0</v>
      </c>
    </row>
    <row r="243" spans="1:52" ht="15.5" customHeight="1">
      <c r="A243" s="360" t="s">
        <v>372</v>
      </c>
      <c r="B243" s="340">
        <v>46239</v>
      </c>
      <c r="C243" s="181">
        <v>48976</v>
      </c>
      <c r="D243" s="30">
        <v>46239</v>
      </c>
      <c r="E243" s="30">
        <v>46236</v>
      </c>
      <c r="F243" s="30">
        <v>46255</v>
      </c>
      <c r="G243" s="37">
        <v>4420230561</v>
      </c>
      <c r="H243" s="37" t="s">
        <v>373</v>
      </c>
      <c r="I243" s="37">
        <v>9040042096</v>
      </c>
      <c r="J243" s="37" t="s">
        <v>159</v>
      </c>
      <c r="K243" s="325" t="s">
        <v>160</v>
      </c>
      <c r="L243" s="181">
        <v>29</v>
      </c>
      <c r="M243" s="181" t="s">
        <v>375</v>
      </c>
      <c r="N243" s="37" t="s">
        <v>451</v>
      </c>
      <c r="O243" s="31">
        <f>IF(F243&gt;0,F243-AB243,"")</f>
        <v>7</v>
      </c>
      <c r="P243" s="37" t="str">
        <f>IF(F243&gt;0,IF(AB243="","PLANNING SUPPLY",IF(AB243&lt;=F243,"ONTIME DELIVERY","DELAY")),"")</f>
        <v>ONTIME DELIVERY</v>
      </c>
      <c r="Q243" s="181" t="str">
        <f>IFERROR(IF(J243&gt;0,VLOOKUP(J243,#REF!,MATCH($Q$6,#REF!,0),0),""),"")</f>
        <v/>
      </c>
      <c r="R243" s="181" t="str">
        <f>IFERROR(IF(J243&gt;0,VLOOKUP(J243,#REF!,MATCH($R$6,#REF!,0),0),""),"")</f>
        <v/>
      </c>
      <c r="S243" s="181" t="e">
        <f>IF(I246&gt;0,Q243+R243,"")</f>
        <v>#VALUE!</v>
      </c>
      <c r="T243" s="181"/>
      <c r="U243" s="181"/>
      <c r="V243" s="37"/>
      <c r="W243" s="181" t="e">
        <f>IF(I246&gt;0,IF(S243&gt;L243,"READY STOCK",IF(S243=0,"OUT OF STOCK",IF(S243&lt;L243,"LOW STOCK",""))),"")</f>
        <v>#VALUE!</v>
      </c>
      <c r="X243" s="38"/>
      <c r="Y243" s="38"/>
      <c r="Z243" s="38"/>
      <c r="AA243" s="38"/>
      <c r="AB243" s="50">
        <v>46248</v>
      </c>
      <c r="AC243" s="181">
        <v>33688</v>
      </c>
      <c r="AD243" s="51">
        <v>29</v>
      </c>
      <c r="AE243" s="37" t="s">
        <v>387</v>
      </c>
      <c r="AF243" s="37" t="s">
        <v>381</v>
      </c>
      <c r="AG243" s="33" t="str">
        <f>IF(G243&gt;0,IF(AD243&gt;0,IF(AD243=0,"Waiting",IF(AD243&lt;L243,"Partial",IF(AD243=L243,"Full Supply",IF(AD243&gt;L243,"Over Shared")))),"Waiting"),"")</f>
        <v>Full Supply</v>
      </c>
      <c r="AH243" s="37"/>
      <c r="AI243" s="37"/>
      <c r="AJ243" s="181"/>
      <c r="AK243" s="40"/>
      <c r="AL243" s="40"/>
      <c r="AM243" s="40"/>
      <c r="AN243" s="37"/>
      <c r="AO243" s="34"/>
      <c r="AP243" s="37"/>
      <c r="AQ243" s="37"/>
      <c r="AR243" s="37"/>
      <c r="AS243" s="37"/>
      <c r="AT243" s="37">
        <f>AS243-AD243</f>
        <v>-29</v>
      </c>
      <c r="AU243" s="36" t="str">
        <f>IF(AR243=0,"Waiting",IF(AR243&lt;AH243,"Kurang",IF(AR243=AH243,"Sesuai",IF(AR243&gt;AH243,"Over Shared"))))</f>
        <v>Waiting</v>
      </c>
      <c r="AV243" s="37"/>
      <c r="AW243" s="37" t="str">
        <f>IFERROR(DATEDIF(AH243,AK243,"d"),"0")&amp;"-DAY"</f>
        <v>0-DAY</v>
      </c>
      <c r="AX243" s="37" t="str">
        <f>IFERROR(DATEDIF(B243,AB243,"d"),"0")&amp;"-DAY"</f>
        <v>9-DAY</v>
      </c>
      <c r="AY243" s="37"/>
      <c r="AZ243" s="181">
        <f>L243-AD243</f>
        <v>0</v>
      </c>
    </row>
    <row r="244" spans="1:52" ht="15.5" customHeight="1">
      <c r="A244" s="360" t="s">
        <v>372</v>
      </c>
      <c r="B244" s="340">
        <v>46239</v>
      </c>
      <c r="C244" s="181">
        <v>48977</v>
      </c>
      <c r="D244" s="30">
        <v>46239</v>
      </c>
      <c r="E244" s="30">
        <v>46237</v>
      </c>
      <c r="F244" s="30">
        <v>46248</v>
      </c>
      <c r="G244" s="37">
        <v>4420230615</v>
      </c>
      <c r="H244" s="37" t="s">
        <v>373</v>
      </c>
      <c r="I244" s="37">
        <v>9040040636</v>
      </c>
      <c r="J244" s="37" t="s">
        <v>167</v>
      </c>
      <c r="K244" s="325" t="s">
        <v>168</v>
      </c>
      <c r="L244" s="181">
        <v>10</v>
      </c>
      <c r="M244" s="181" t="s">
        <v>375</v>
      </c>
      <c r="N244" s="37" t="s">
        <v>410</v>
      </c>
      <c r="O244" s="31">
        <f>IF(F244&gt;0,F244-AB244,"")</f>
        <v>-5</v>
      </c>
      <c r="P244" s="37" t="str">
        <f>IF(F244&gt;0,IF(AB244="","PLANNING SUPPLY",IF(AB244&lt;=F244,"ONTIME DELIVERY","DELAY")),"")</f>
        <v>DELAY</v>
      </c>
      <c r="Q244" s="181" t="str">
        <f>IFERROR(IF(J244&gt;0,VLOOKUP(J244,#REF!,MATCH($Q$6,#REF!,0),0),""),"")</f>
        <v/>
      </c>
      <c r="R244" s="181" t="str">
        <f>IFERROR(IF(J244&gt;0,VLOOKUP(J244,#REF!,MATCH($R$6,#REF!,0),0),""),"")</f>
        <v/>
      </c>
      <c r="S244" s="181" t="e">
        <f>IF(I247&gt;0,Q244+R244,"")</f>
        <v>#VALUE!</v>
      </c>
      <c r="T244" s="181"/>
      <c r="U244" s="181"/>
      <c r="V244" s="37"/>
      <c r="W244" s="181" t="e">
        <f>IF(I247&gt;0,IF(S244&gt;L244,"READY STOCK",IF(S244=0,"OUT OF STOCK",IF(S244&lt;L244,"LOW STOCK",""))),"")</f>
        <v>#VALUE!</v>
      </c>
      <c r="X244" s="38"/>
      <c r="Y244" s="38"/>
      <c r="Z244" s="38"/>
      <c r="AA244" s="38"/>
      <c r="AB244" s="50">
        <v>46253</v>
      </c>
      <c r="AC244" s="181">
        <v>33758</v>
      </c>
      <c r="AD244" s="51">
        <v>10</v>
      </c>
      <c r="AE244" s="37" t="s">
        <v>383</v>
      </c>
      <c r="AF244" s="37" t="s">
        <v>381</v>
      </c>
      <c r="AG244" s="33" t="str">
        <f>IF(G244&gt;0,IF(AD244&gt;0,IF(AD244=0,"Waiting",IF(AD244&lt;L244,"Partial",IF(AD244=L244,"Full Supply",IF(AD244&gt;L244,"Over Shared")))),"Waiting"),"")</f>
        <v>Full Supply</v>
      </c>
      <c r="AH244" s="37"/>
      <c r="AI244" s="37"/>
      <c r="AJ244" s="181"/>
      <c r="AK244" s="40"/>
      <c r="AL244" s="40"/>
      <c r="AM244" s="40"/>
      <c r="AN244" s="37"/>
      <c r="AO244" s="34"/>
      <c r="AP244" s="37"/>
      <c r="AQ244" s="37"/>
      <c r="AR244" s="37"/>
      <c r="AS244" s="37"/>
      <c r="AT244" s="37">
        <f>AS244-AD244</f>
        <v>-10</v>
      </c>
      <c r="AU244" s="36" t="str">
        <f>IF(AR244=0,"Waiting",IF(AR244&lt;AH244,"Kurang",IF(AR244=AH244,"Sesuai",IF(AR244&gt;AH244,"Over Shared"))))</f>
        <v>Waiting</v>
      </c>
      <c r="AV244" s="37"/>
      <c r="AW244" s="37" t="str">
        <f>IFERROR(DATEDIF(AH244,AK244,"d"),"0")&amp;"-DAY"</f>
        <v>0-DAY</v>
      </c>
      <c r="AX244" s="37" t="str">
        <f>IFERROR(DATEDIF(B244,AB244,"d"),"0")&amp;"-DAY"</f>
        <v>14-DAY</v>
      </c>
      <c r="AY244" s="37"/>
      <c r="AZ244" s="181">
        <f>L244-AD244</f>
        <v>0</v>
      </c>
    </row>
    <row r="245" spans="1:52" ht="15.5" customHeight="1">
      <c r="A245" s="360" t="s">
        <v>372</v>
      </c>
      <c r="B245" s="340">
        <v>46239</v>
      </c>
      <c r="C245" s="181">
        <v>48978</v>
      </c>
      <c r="D245" s="30">
        <v>46239</v>
      </c>
      <c r="E245" s="30">
        <v>46238</v>
      </c>
      <c r="F245" s="30">
        <v>46248</v>
      </c>
      <c r="G245" s="37">
        <v>4420230713</v>
      </c>
      <c r="H245" s="37" t="s">
        <v>373</v>
      </c>
      <c r="I245" s="37">
        <v>9040016582</v>
      </c>
      <c r="J245" s="37" t="s">
        <v>183</v>
      </c>
      <c r="K245" s="325" t="s">
        <v>184</v>
      </c>
      <c r="L245" s="181">
        <v>11</v>
      </c>
      <c r="M245" s="181" t="s">
        <v>375</v>
      </c>
      <c r="N245" s="37" t="s">
        <v>400</v>
      </c>
      <c r="O245" s="31">
        <f>IF(F245&gt;0,F245-AB245,"")</f>
        <v>1</v>
      </c>
      <c r="P245" s="37" t="str">
        <f>IF(F245&gt;0,IF(AB245="","PLANNING SUPPLY",IF(AB245&lt;=F245,"ONTIME DELIVERY","DELAY")),"")</f>
        <v>ONTIME DELIVERY</v>
      </c>
      <c r="Q245" s="181" t="str">
        <f>IFERROR(IF(J245&gt;0,VLOOKUP(J245,#REF!,MATCH($Q$6,#REF!,0),0),""),"")</f>
        <v/>
      </c>
      <c r="R245" s="181" t="str">
        <f>IFERROR(IF(J245&gt;0,VLOOKUP(J245,#REF!,MATCH($R$6,#REF!,0),0),""),"")</f>
        <v/>
      </c>
      <c r="S245" s="181" t="e">
        <f>IF(I248&gt;0,Q245+R245,"")</f>
        <v>#VALUE!</v>
      </c>
      <c r="T245" s="181"/>
      <c r="U245" s="181"/>
      <c r="V245" s="37"/>
      <c r="W245" s="181" t="e">
        <f>IF(I248&gt;0,IF(S245&gt;L245,"READY STOCK",IF(S245=0,"OUT OF STOCK",IF(S245&lt;L245,"LOW STOCK",""))),"")</f>
        <v>#VALUE!</v>
      </c>
      <c r="X245" s="38"/>
      <c r="Y245" s="38"/>
      <c r="Z245" s="38"/>
      <c r="AA245" s="38"/>
      <c r="AB245" s="50">
        <v>46247</v>
      </c>
      <c r="AC245" s="181">
        <v>33635</v>
      </c>
      <c r="AD245" s="51">
        <v>11</v>
      </c>
      <c r="AE245" s="37" t="s">
        <v>383</v>
      </c>
      <c r="AF245" s="37" t="s">
        <v>381</v>
      </c>
      <c r="AG245" s="33" t="str">
        <f>IF(G245&gt;0,IF(AD245&gt;0,IF(AD245=0,"Waiting",IF(AD245&lt;L245,"Partial",IF(AD245=L245,"Full Supply",IF(AD245&gt;L245,"Over Shared")))),"Waiting"),"")</f>
        <v>Full Supply</v>
      </c>
      <c r="AH245" s="37"/>
      <c r="AI245" s="37"/>
      <c r="AJ245" s="181"/>
      <c r="AK245" s="40"/>
      <c r="AL245" s="40"/>
      <c r="AM245" s="40"/>
      <c r="AN245" s="37"/>
      <c r="AO245" s="34"/>
      <c r="AP245" s="37"/>
      <c r="AQ245" s="37"/>
      <c r="AR245" s="37"/>
      <c r="AS245" s="37"/>
      <c r="AT245" s="37">
        <f>AS245-AD245</f>
        <v>-11</v>
      </c>
      <c r="AU245" s="36" t="str">
        <f>IF(AR245=0,"Waiting",IF(AR245&lt;AH245,"Kurang",IF(AR245=AH245,"Sesuai",IF(AR245&gt;AH245,"Over Shared"))))</f>
        <v>Waiting</v>
      </c>
      <c r="AV245" s="37"/>
      <c r="AW245" s="37" t="str">
        <f>IFERROR(DATEDIF(AH245,AK245,"d"),"0")&amp;"-DAY"</f>
        <v>0-DAY</v>
      </c>
      <c r="AX245" s="37" t="str">
        <f>IFERROR(DATEDIF(B245,AB245,"d"),"0")&amp;"-DAY"</f>
        <v>8-DAY</v>
      </c>
      <c r="AY245" s="37"/>
      <c r="AZ245" s="181">
        <f>L245-AD245</f>
        <v>0</v>
      </c>
    </row>
    <row r="246" spans="1:52" ht="15.5" customHeight="1">
      <c r="A246" s="360" t="s">
        <v>372</v>
      </c>
      <c r="B246" s="340">
        <v>46239</v>
      </c>
      <c r="C246" s="181">
        <v>48978</v>
      </c>
      <c r="D246" s="30">
        <v>46239</v>
      </c>
      <c r="E246" s="30">
        <v>46238</v>
      </c>
      <c r="F246" s="30">
        <v>46248</v>
      </c>
      <c r="G246" s="37">
        <v>4420230713</v>
      </c>
      <c r="H246" s="37" t="s">
        <v>373</v>
      </c>
      <c r="I246" s="37">
        <v>9040017584</v>
      </c>
      <c r="J246" s="37" t="s">
        <v>37</v>
      </c>
      <c r="K246" s="325" t="s">
        <v>38</v>
      </c>
      <c r="L246" s="181">
        <v>4</v>
      </c>
      <c r="M246" s="181" t="s">
        <v>375</v>
      </c>
      <c r="N246" s="37" t="s">
        <v>400</v>
      </c>
      <c r="O246" s="31">
        <f>IF(F246&gt;0,F246-AB246,"")</f>
        <v>-5</v>
      </c>
      <c r="P246" s="37" t="str">
        <f>IF(F246&gt;0,IF(AB246="","PLANNING SUPPLY",IF(AB246&lt;=F246,"ONTIME DELIVERY","DELAY")),"")</f>
        <v>DELAY</v>
      </c>
      <c r="Q246" s="181" t="str">
        <f>IFERROR(IF(J246&gt;0,VLOOKUP(J246,#REF!,MATCH($Q$6,#REF!,0),0),""),"")</f>
        <v/>
      </c>
      <c r="R246" s="181" t="str">
        <f>IFERROR(IF(J246&gt;0,VLOOKUP(J246,#REF!,MATCH($R$6,#REF!,0),0),""),"")</f>
        <v/>
      </c>
      <c r="S246" s="181" t="e">
        <f>IF(I249&gt;0,Q246+R246,"")</f>
        <v>#VALUE!</v>
      </c>
      <c r="T246" s="181"/>
      <c r="U246" s="181"/>
      <c r="V246" s="37"/>
      <c r="W246" s="181" t="e">
        <f>IF(I249&gt;0,IF(S246&gt;L246,"READY STOCK",IF(S246=0,"OUT OF STOCK",IF(S246&lt;L246,"LOW STOCK",""))),"")</f>
        <v>#VALUE!</v>
      </c>
      <c r="X246" s="38"/>
      <c r="Y246" s="38"/>
      <c r="Z246" s="38"/>
      <c r="AA246" s="38"/>
      <c r="AB246" s="50">
        <v>46253</v>
      </c>
      <c r="AC246" s="181">
        <v>33747</v>
      </c>
      <c r="AD246" s="51">
        <v>4</v>
      </c>
      <c r="AE246" s="37" t="s">
        <v>383</v>
      </c>
      <c r="AF246" s="37" t="s">
        <v>381</v>
      </c>
      <c r="AG246" s="33" t="str">
        <f>IF(G246&gt;0,IF(AD246&gt;0,IF(AD246=0,"Waiting",IF(AD246&lt;L246,"Partial",IF(AD246=L246,"Full Supply",IF(AD246&gt;L246,"Over Shared")))),"Waiting"),"")</f>
        <v>Full Supply</v>
      </c>
      <c r="AH246" s="37"/>
      <c r="AI246" s="37"/>
      <c r="AJ246" s="181"/>
      <c r="AK246" s="40"/>
      <c r="AL246" s="40"/>
      <c r="AM246" s="40"/>
      <c r="AN246" s="37"/>
      <c r="AO246" s="34"/>
      <c r="AP246" s="37"/>
      <c r="AQ246" s="37"/>
      <c r="AR246" s="37"/>
      <c r="AS246" s="37"/>
      <c r="AT246" s="37">
        <f>AS246-AD246</f>
        <v>-4</v>
      </c>
      <c r="AU246" s="36" t="str">
        <f>IF(AR246=0,"Waiting",IF(AR246&lt;AH246,"Kurang",IF(AR246=AH246,"Sesuai",IF(AR246&gt;AH246,"Over Shared"))))</f>
        <v>Waiting</v>
      </c>
      <c r="AV246" s="37"/>
      <c r="AW246" s="37" t="str">
        <f>IFERROR(DATEDIF(AH246,AK246,"d"),"0")&amp;"-DAY"</f>
        <v>0-DAY</v>
      </c>
      <c r="AX246" s="37" t="str">
        <f>IFERROR(DATEDIF(B246,AB246,"d"),"0")&amp;"-DAY"</f>
        <v>14-DAY</v>
      </c>
      <c r="AY246" s="37"/>
      <c r="AZ246" s="181">
        <f>L246-AD246</f>
        <v>0</v>
      </c>
    </row>
    <row r="247" spans="1:52" ht="15.5" customHeight="1">
      <c r="A247" s="360" t="s">
        <v>372</v>
      </c>
      <c r="B247" s="340">
        <v>46239</v>
      </c>
      <c r="C247" s="181">
        <v>48978</v>
      </c>
      <c r="D247" s="30">
        <v>46239</v>
      </c>
      <c r="E247" s="30">
        <v>46238</v>
      </c>
      <c r="F247" s="30">
        <v>46248</v>
      </c>
      <c r="G247" s="37">
        <v>4420230713</v>
      </c>
      <c r="H247" s="37" t="s">
        <v>373</v>
      </c>
      <c r="I247" s="37">
        <v>9040017179</v>
      </c>
      <c r="J247" s="37" t="s">
        <v>91</v>
      </c>
      <c r="K247" s="325" t="s">
        <v>92</v>
      </c>
      <c r="L247" s="181">
        <v>3</v>
      </c>
      <c r="M247" s="181" t="s">
        <v>375</v>
      </c>
      <c r="N247" s="37" t="s">
        <v>400</v>
      </c>
      <c r="O247" s="31">
        <f>IF(F247&gt;0,F247-AB247,"")</f>
        <v>2</v>
      </c>
      <c r="P247" s="37" t="str">
        <f>IF(F247&gt;0,IF(AB247="","PLANNING SUPPLY",IF(AB247&lt;=F247,"ONTIME DELIVERY","DELAY")),"")</f>
        <v>ONTIME DELIVERY</v>
      </c>
      <c r="Q247" s="181" t="str">
        <f>IFERROR(IF(J247&gt;0,VLOOKUP(J247,#REF!,MATCH($Q$6,#REF!,0),0),""),"")</f>
        <v/>
      </c>
      <c r="R247" s="181" t="str">
        <f>IFERROR(IF(J247&gt;0,VLOOKUP(J247,#REF!,MATCH($R$6,#REF!,0),0),""),"")</f>
        <v/>
      </c>
      <c r="S247" s="181" t="e">
        <f>IF(I250&gt;0,Q247+R247,"")</f>
        <v>#VALUE!</v>
      </c>
      <c r="T247" s="181"/>
      <c r="U247" s="181"/>
      <c r="V247" s="37"/>
      <c r="W247" s="181" t="e">
        <f>IF(I250&gt;0,IF(S247&gt;L247,"READY STOCK",IF(S247=0,"OUT OF STOCK",IF(S247&lt;L247,"LOW STOCK",""))),"")</f>
        <v>#VALUE!</v>
      </c>
      <c r="X247" s="38"/>
      <c r="Y247" s="38"/>
      <c r="Z247" s="38"/>
      <c r="AA247" s="38"/>
      <c r="AB247" s="50">
        <v>46246</v>
      </c>
      <c r="AC247" s="181">
        <v>33574</v>
      </c>
      <c r="AD247" s="51">
        <v>3</v>
      </c>
      <c r="AE247" s="37" t="s">
        <v>387</v>
      </c>
      <c r="AF247" s="37" t="s">
        <v>381</v>
      </c>
      <c r="AG247" s="33" t="str">
        <f>IF(G247&gt;0,IF(AD247&gt;0,IF(AD247=0,"Waiting",IF(AD247&lt;L247,"Partial",IF(AD247=L247,"Full Supply",IF(AD247&gt;L247,"Over Shared")))),"Waiting"),"")</f>
        <v>Full Supply</v>
      </c>
      <c r="AH247" s="37"/>
      <c r="AI247" s="37"/>
      <c r="AJ247" s="181"/>
      <c r="AK247" s="40"/>
      <c r="AL247" s="40"/>
      <c r="AM247" s="40"/>
      <c r="AN247" s="37"/>
      <c r="AO247" s="34"/>
      <c r="AP247" s="37"/>
      <c r="AQ247" s="37"/>
      <c r="AR247" s="37"/>
      <c r="AS247" s="37"/>
      <c r="AT247" s="37">
        <f>AS247-AD247</f>
        <v>-3</v>
      </c>
      <c r="AU247" s="36" t="str">
        <f>IF(AR247=0,"Waiting",IF(AR247&lt;AH247,"Kurang",IF(AR247=AH247,"Sesuai",IF(AR247&gt;AH247,"Over Shared"))))</f>
        <v>Waiting</v>
      </c>
      <c r="AV247" s="37"/>
      <c r="AW247" s="37" t="str">
        <f>IFERROR(DATEDIF(AH247,AK247,"d"),"0")&amp;"-DAY"</f>
        <v>0-DAY</v>
      </c>
      <c r="AX247" s="37" t="str">
        <f>IFERROR(DATEDIF(B247,AB247,"d"),"0")&amp;"-DAY"</f>
        <v>7-DAY</v>
      </c>
      <c r="AY247" s="37"/>
      <c r="AZ247" s="181">
        <f>L247-AD247</f>
        <v>0</v>
      </c>
    </row>
    <row r="248" spans="1:52" ht="15.5" customHeight="1">
      <c r="A248" s="360" t="s">
        <v>372</v>
      </c>
      <c r="B248" s="340">
        <v>46239</v>
      </c>
      <c r="C248" s="181">
        <v>48978</v>
      </c>
      <c r="D248" s="30">
        <v>46239</v>
      </c>
      <c r="E248" s="30">
        <v>46238</v>
      </c>
      <c r="F248" s="30">
        <v>46248</v>
      </c>
      <c r="G248" s="37">
        <v>4420230713</v>
      </c>
      <c r="H248" s="37" t="s">
        <v>373</v>
      </c>
      <c r="I248" s="37">
        <v>9040042285</v>
      </c>
      <c r="J248" s="37" t="s">
        <v>58</v>
      </c>
      <c r="K248" s="325" t="s">
        <v>59</v>
      </c>
      <c r="L248" s="181">
        <v>5</v>
      </c>
      <c r="M248" s="181" t="s">
        <v>375</v>
      </c>
      <c r="N248" s="37" t="s">
        <v>400</v>
      </c>
      <c r="O248" s="31">
        <f>IF(F248&gt;0,F248-AB248,"")</f>
        <v>0</v>
      </c>
      <c r="P248" s="37" t="str">
        <f>IF(F248&gt;0,IF(AB248="","PLANNING SUPPLY",IF(AB248&lt;=F248,"ONTIME DELIVERY","DELAY")),"")</f>
        <v>ONTIME DELIVERY</v>
      </c>
      <c r="Q248" s="181" t="str">
        <f>IFERROR(IF(J248&gt;0,VLOOKUP(J248,#REF!,MATCH($Q$6,#REF!,0),0),""),"")</f>
        <v/>
      </c>
      <c r="R248" s="181" t="str">
        <f>IFERROR(IF(J248&gt;0,VLOOKUP(J248,#REF!,MATCH($R$6,#REF!,0),0),""),"")</f>
        <v/>
      </c>
      <c r="S248" s="181" t="e">
        <f>IF(I251&gt;0,Q248+R248,"")</f>
        <v>#VALUE!</v>
      </c>
      <c r="T248" s="181"/>
      <c r="U248" s="181"/>
      <c r="V248" s="37"/>
      <c r="W248" s="181" t="e">
        <f>IF(I251&gt;0,IF(S248&gt;L248,"READY STOCK",IF(S248=0,"OUT OF STOCK",IF(S248&lt;L248,"LOW STOCK",""))),"")</f>
        <v>#VALUE!</v>
      </c>
      <c r="X248" s="38"/>
      <c r="Y248" s="38"/>
      <c r="Z248" s="38"/>
      <c r="AA248" s="38"/>
      <c r="AB248" s="50">
        <v>46248</v>
      </c>
      <c r="AC248" s="181">
        <v>33693</v>
      </c>
      <c r="AD248" s="51">
        <v>5</v>
      </c>
      <c r="AE248" s="37" t="s">
        <v>383</v>
      </c>
      <c r="AF248" s="37" t="s">
        <v>381</v>
      </c>
      <c r="AG248" s="33" t="str">
        <f>IF(G248&gt;0,IF(AD248&gt;0,IF(AD248=0,"Waiting",IF(AD248&lt;L248,"Partial",IF(AD248=L248,"Full Supply",IF(AD248&gt;L248,"Over Shared")))),"Waiting"),"")</f>
        <v>Full Supply</v>
      </c>
      <c r="AH248" s="37"/>
      <c r="AI248" s="37"/>
      <c r="AJ248" s="181"/>
      <c r="AK248" s="40"/>
      <c r="AL248" s="40"/>
      <c r="AM248" s="40"/>
      <c r="AN248" s="37"/>
      <c r="AO248" s="34"/>
      <c r="AP248" s="37"/>
      <c r="AQ248" s="37"/>
      <c r="AR248" s="37"/>
      <c r="AS248" s="37"/>
      <c r="AT248" s="37">
        <f>AS248-AD248</f>
        <v>-5</v>
      </c>
      <c r="AU248" s="36" t="str">
        <f>IF(AR248=0,"Waiting",IF(AR248&lt;AH248,"Kurang",IF(AR248=AH248,"Sesuai",IF(AR248&gt;AH248,"Over Shared"))))</f>
        <v>Waiting</v>
      </c>
      <c r="AV248" s="37"/>
      <c r="AW248" s="37" t="str">
        <f>IFERROR(DATEDIF(AH248,AK248,"d"),"0")&amp;"-DAY"</f>
        <v>0-DAY</v>
      </c>
      <c r="AX248" s="37" t="str">
        <f>IFERROR(DATEDIF(B248,AB248,"d"),"0")&amp;"-DAY"</f>
        <v>9-DAY</v>
      </c>
      <c r="AY248" s="37"/>
      <c r="AZ248" s="181">
        <f>L248-AD248</f>
        <v>0</v>
      </c>
    </row>
    <row r="249" spans="1:52" ht="15.5" customHeight="1">
      <c r="A249" s="360" t="s">
        <v>372</v>
      </c>
      <c r="B249" s="340">
        <v>46239</v>
      </c>
      <c r="C249" s="181">
        <v>48978</v>
      </c>
      <c r="D249" s="30">
        <v>46239</v>
      </c>
      <c r="E249" s="30">
        <v>46238</v>
      </c>
      <c r="F249" s="30">
        <v>46248</v>
      </c>
      <c r="G249" s="37">
        <v>4420230713</v>
      </c>
      <c r="H249" s="37" t="s">
        <v>373</v>
      </c>
      <c r="I249" s="37">
        <v>9040040486</v>
      </c>
      <c r="J249" s="37" t="s">
        <v>165</v>
      </c>
      <c r="K249" s="325" t="s">
        <v>166</v>
      </c>
      <c r="L249" s="181">
        <v>12</v>
      </c>
      <c r="M249" s="181" t="s">
        <v>375</v>
      </c>
      <c r="N249" s="37" t="s">
        <v>400</v>
      </c>
      <c r="O249" s="31">
        <f>IF(F249&gt;0,F249-AB249,"")</f>
        <v>-5</v>
      </c>
      <c r="P249" s="37" t="str">
        <f>IF(F249&gt;0,IF(AB249="","PLANNING SUPPLY",IF(AB249&lt;=F249,"ONTIME DELIVERY","DELAY")),"")</f>
        <v>DELAY</v>
      </c>
      <c r="Q249" s="181" t="str">
        <f>IFERROR(IF(J249&gt;0,VLOOKUP(J249,#REF!,MATCH($Q$6,#REF!,0),0),""),"")</f>
        <v/>
      </c>
      <c r="R249" s="181" t="str">
        <f>IFERROR(IF(J249&gt;0,VLOOKUP(J249,#REF!,MATCH($R$6,#REF!,0),0),""),"")</f>
        <v/>
      </c>
      <c r="S249" s="181" t="e">
        <f>IF(I252&gt;0,Q249+R249,"")</f>
        <v>#VALUE!</v>
      </c>
      <c r="T249" s="181"/>
      <c r="U249" s="181"/>
      <c r="V249" s="37"/>
      <c r="W249" s="181" t="e">
        <f>IF(I252&gt;0,IF(S249&gt;L249,"READY STOCK",IF(S249=0,"OUT OF STOCK",IF(S249&lt;L249,"LOW STOCK",""))),"")</f>
        <v>#VALUE!</v>
      </c>
      <c r="X249" s="38"/>
      <c r="Y249" s="38"/>
      <c r="Z249" s="38"/>
      <c r="AA249" s="38"/>
      <c r="AB249" s="50">
        <v>46253</v>
      </c>
      <c r="AC249" s="181">
        <v>33747</v>
      </c>
      <c r="AD249" s="51">
        <v>12</v>
      </c>
      <c r="AE249" s="37" t="s">
        <v>383</v>
      </c>
      <c r="AF249" s="37" t="s">
        <v>381</v>
      </c>
      <c r="AG249" s="33" t="str">
        <f>IF(G249&gt;0,IF(AD249&gt;0,IF(AD249=0,"Waiting",IF(AD249&lt;L249,"Partial",IF(AD249=L249,"Full Supply",IF(AD249&gt;L249,"Over Shared")))),"Waiting"),"")</f>
        <v>Full Supply</v>
      </c>
      <c r="AH249" s="37"/>
      <c r="AI249" s="37"/>
      <c r="AJ249" s="181"/>
      <c r="AK249" s="40"/>
      <c r="AL249" s="40"/>
      <c r="AM249" s="40"/>
      <c r="AN249" s="37"/>
      <c r="AO249" s="34"/>
      <c r="AP249" s="37"/>
      <c r="AQ249" s="37"/>
      <c r="AR249" s="37"/>
      <c r="AS249" s="37"/>
      <c r="AT249" s="37">
        <f>AS249-AD249</f>
        <v>-12</v>
      </c>
      <c r="AU249" s="36" t="str">
        <f>IF(AR249=0,"Waiting",IF(AR249&lt;AH249,"Kurang",IF(AR249=AH249,"Sesuai",IF(AR249&gt;AH249,"Over Shared"))))</f>
        <v>Waiting</v>
      </c>
      <c r="AV249" s="37"/>
      <c r="AW249" s="37" t="str">
        <f>IFERROR(DATEDIF(AH249,AK249,"d"),"0")&amp;"-DAY"</f>
        <v>0-DAY</v>
      </c>
      <c r="AX249" s="37" t="str">
        <f>IFERROR(DATEDIF(B249,AB249,"d"),"0")&amp;"-DAY"</f>
        <v>14-DAY</v>
      </c>
      <c r="AY249" s="37"/>
      <c r="AZ249" s="181">
        <f>L249-AD249</f>
        <v>0</v>
      </c>
    </row>
    <row r="250" spans="1:52" ht="15.5" customHeight="1">
      <c r="A250" s="360" t="s">
        <v>372</v>
      </c>
      <c r="B250" s="340">
        <v>46239</v>
      </c>
      <c r="C250" s="181">
        <v>48978</v>
      </c>
      <c r="D250" s="30">
        <v>46239</v>
      </c>
      <c r="E250" s="30">
        <v>46238</v>
      </c>
      <c r="F250" s="30">
        <v>46248</v>
      </c>
      <c r="G250" s="37">
        <v>4420230713</v>
      </c>
      <c r="H250" s="37" t="s">
        <v>373</v>
      </c>
      <c r="I250" s="37">
        <v>9040044285</v>
      </c>
      <c r="J250" s="37" t="s">
        <v>100</v>
      </c>
      <c r="K250" s="325" t="s">
        <v>101</v>
      </c>
      <c r="L250" s="181">
        <v>3</v>
      </c>
      <c r="M250" s="181" t="s">
        <v>427</v>
      </c>
      <c r="N250" s="37" t="s">
        <v>400</v>
      </c>
      <c r="O250" s="31">
        <f>IF(F250&gt;0,F250-AB250,"")</f>
        <v>-5</v>
      </c>
      <c r="P250" s="37" t="str">
        <f>IF(F250&gt;0,IF(AB250="","PLANNING SUPPLY",IF(AB250&lt;=F250,"ONTIME DELIVERY","DELAY")),"")</f>
        <v>DELAY</v>
      </c>
      <c r="Q250" s="181" t="str">
        <f>IFERROR(IF(J250&gt;0,VLOOKUP(J250,#REF!,MATCH($Q$6,#REF!,0),0),""),"")</f>
        <v/>
      </c>
      <c r="R250" s="181" t="str">
        <f>IFERROR(IF(J250&gt;0,VLOOKUP(J250,#REF!,MATCH($R$6,#REF!,0),0),""),"")</f>
        <v/>
      </c>
      <c r="S250" s="181" t="e">
        <f>IF(I253&gt;0,Q250+R250,"")</f>
        <v>#VALUE!</v>
      </c>
      <c r="T250" s="181"/>
      <c r="U250" s="181"/>
      <c r="V250" s="37"/>
      <c r="W250" s="181" t="e">
        <f>IF(I253&gt;0,IF(S250&gt;L250,"READY STOCK",IF(S250=0,"OUT OF STOCK",IF(S250&lt;L250,"LOW STOCK",""))),"")</f>
        <v>#VALUE!</v>
      </c>
      <c r="X250" s="38"/>
      <c r="Y250" s="38"/>
      <c r="Z250" s="38"/>
      <c r="AA250" s="38"/>
      <c r="AB250" s="50">
        <v>46253</v>
      </c>
      <c r="AC250" s="181">
        <v>33747</v>
      </c>
      <c r="AD250" s="51">
        <v>3</v>
      </c>
      <c r="AE250" s="37" t="s">
        <v>383</v>
      </c>
      <c r="AF250" s="37" t="s">
        <v>381</v>
      </c>
      <c r="AG250" s="33" t="str">
        <f>IF(G250&gt;0,IF(AD250&gt;0,IF(AD250=0,"Waiting",IF(AD250&lt;L250,"Partial",IF(AD250=L250,"Full Supply",IF(AD250&gt;L250,"Over Shared")))),"Waiting"),"")</f>
        <v>Full Supply</v>
      </c>
      <c r="AH250" s="156"/>
      <c r="AI250" s="37"/>
      <c r="AJ250" s="181"/>
      <c r="AK250" s="40"/>
      <c r="AL250" s="40"/>
      <c r="AM250" s="40"/>
      <c r="AN250" s="39" t="s">
        <v>480</v>
      </c>
      <c r="AO250" s="34"/>
      <c r="AP250" s="37"/>
      <c r="AQ250" s="37"/>
      <c r="AR250" s="37"/>
      <c r="AS250" s="37"/>
      <c r="AT250" s="37">
        <f>AS250-AD250</f>
        <v>-3</v>
      </c>
      <c r="AU250" s="36" t="str">
        <f>IF(AR250=0,"Waiting",IF(AR250&lt;AH250,"Kurang",IF(AR250=AH250,"Sesuai",IF(AR250&gt;AH250,"Over Shared"))))</f>
        <v>Waiting</v>
      </c>
      <c r="AV250" s="37"/>
      <c r="AW250" s="37" t="str">
        <f>IFERROR(DATEDIF(AH250,AK250,"d"),"0")&amp;"-DAY"</f>
        <v>0-DAY</v>
      </c>
      <c r="AX250" s="37" t="str">
        <f>IFERROR(DATEDIF(B250,AB250,"d"),"0")&amp;"-DAY"</f>
        <v>14-DAY</v>
      </c>
      <c r="AY250" s="37"/>
      <c r="AZ250" s="181">
        <f>L250-AD250</f>
        <v>0</v>
      </c>
    </row>
    <row r="251" spans="1:52" ht="15.5" customHeight="1">
      <c r="A251" s="360" t="s">
        <v>372</v>
      </c>
      <c r="B251" s="340">
        <v>46239</v>
      </c>
      <c r="C251" s="181">
        <v>48978</v>
      </c>
      <c r="D251" s="30">
        <v>46239</v>
      </c>
      <c r="E251" s="30">
        <v>46238</v>
      </c>
      <c r="F251" s="30">
        <v>46248</v>
      </c>
      <c r="G251" s="37">
        <v>4420230713</v>
      </c>
      <c r="H251" s="37" t="s">
        <v>373</v>
      </c>
      <c r="I251" s="37">
        <v>9040040588</v>
      </c>
      <c r="J251" s="37" t="s">
        <v>76</v>
      </c>
      <c r="K251" s="325" t="s">
        <v>77</v>
      </c>
      <c r="L251" s="181">
        <v>19</v>
      </c>
      <c r="M251" s="181" t="s">
        <v>375</v>
      </c>
      <c r="N251" s="37" t="s">
        <v>400</v>
      </c>
      <c r="O251" s="31">
        <f>IF(F251&gt;0,F251-AB251,"")</f>
        <v>-10</v>
      </c>
      <c r="P251" s="37" t="str">
        <f>IF(F251&gt;0,IF(AB251="","PLANNING SUPPLY",IF(AB251&lt;=F251,"ONTIME DELIVERY","DELAY")),"")</f>
        <v>DELAY</v>
      </c>
      <c r="Q251" s="181" t="str">
        <f>IFERROR(IF(J251&gt;0,VLOOKUP(J251,#REF!,MATCH($Q$6,#REF!,0),0),""),"")</f>
        <v/>
      </c>
      <c r="R251" s="181" t="str">
        <f>IFERROR(IF(J251&gt;0,VLOOKUP(J251,#REF!,MATCH($R$6,#REF!,0),0),""),"")</f>
        <v/>
      </c>
      <c r="S251" s="181" t="e">
        <f>IF(I254&gt;0,Q251+R251,"")</f>
        <v>#VALUE!</v>
      </c>
      <c r="T251" s="181"/>
      <c r="U251" s="181"/>
      <c r="V251" s="37"/>
      <c r="W251" s="181" t="e">
        <f>IF(I254&gt;0,IF(S251&gt;L251,"READY STOCK",IF(S251=0,"OUT OF STOCK",IF(S251&lt;L251,"LOW STOCK",""))),"")</f>
        <v>#VALUE!</v>
      </c>
      <c r="X251" s="38"/>
      <c r="Y251" s="38"/>
      <c r="Z251" s="38"/>
      <c r="AA251" s="38"/>
      <c r="AB251" s="50">
        <v>46258</v>
      </c>
      <c r="AC251" s="181">
        <v>33859</v>
      </c>
      <c r="AD251" s="51">
        <v>19</v>
      </c>
      <c r="AE251" s="37" t="s">
        <v>383</v>
      </c>
      <c r="AF251" s="37" t="s">
        <v>381</v>
      </c>
      <c r="AG251" s="33" t="str">
        <f>IF(G251&gt;0,IF(AD251&gt;0,IF(AD251=0,"Waiting",IF(AD251&lt;L251,"Partial",IF(AD251=L251,"Full Supply",IF(AD251&gt;L251,"Over Shared")))),"Waiting"),"")</f>
        <v>Full Supply</v>
      </c>
      <c r="AH251" s="56">
        <v>46247</v>
      </c>
      <c r="AI251" s="37" t="s">
        <v>646</v>
      </c>
      <c r="AJ251" s="181">
        <v>201</v>
      </c>
      <c r="AK251" s="40">
        <v>26391</v>
      </c>
      <c r="AL251" s="42">
        <v>46287</v>
      </c>
      <c r="AM251" s="40">
        <v>201</v>
      </c>
      <c r="AN251" s="37"/>
      <c r="AO251" s="41">
        <v>46295</v>
      </c>
      <c r="AP251" s="37"/>
      <c r="AQ251" s="37"/>
      <c r="AR251" s="37"/>
      <c r="AS251" s="37"/>
      <c r="AT251" s="37">
        <f>AS251-AD251</f>
        <v>-19</v>
      </c>
      <c r="AU251" s="36" t="str">
        <f>IF(AR251=0,"Waiting",IF(AR251&lt;AH251,"Kurang",IF(AR251=AH251,"Sesuai",IF(AR251&gt;AH251,"Over Shared"))))</f>
        <v>Waiting</v>
      </c>
      <c r="AV251" s="37"/>
      <c r="AW251" s="37" t="str">
        <f>IFERROR(DATEDIF(AH251,AK251,"d"),"0")&amp;"-DAY"</f>
        <v>0-DAY</v>
      </c>
      <c r="AX251" s="37" t="str">
        <f>IFERROR(DATEDIF(B251,AB251,"d"),"0")&amp;"-DAY"</f>
        <v>19-DAY</v>
      </c>
      <c r="AY251" s="37"/>
      <c r="AZ251" s="181">
        <f>L251-AD251</f>
        <v>0</v>
      </c>
    </row>
    <row r="252" spans="1:52" ht="15.5" customHeight="1">
      <c r="A252" s="360" t="s">
        <v>372</v>
      </c>
      <c r="B252" s="340">
        <v>46239</v>
      </c>
      <c r="C252" s="181">
        <v>48979</v>
      </c>
      <c r="D252" s="30">
        <v>46239</v>
      </c>
      <c r="E252" s="30">
        <v>46238</v>
      </c>
      <c r="F252" s="30">
        <v>46264</v>
      </c>
      <c r="G252" s="37">
        <v>4420230770</v>
      </c>
      <c r="H252" s="37" t="s">
        <v>373</v>
      </c>
      <c r="I252" s="37">
        <v>9040024657</v>
      </c>
      <c r="J252" s="37" t="s">
        <v>252</v>
      </c>
      <c r="K252" s="325" t="s">
        <v>253</v>
      </c>
      <c r="L252" s="181">
        <v>7</v>
      </c>
      <c r="M252" s="181" t="s">
        <v>375</v>
      </c>
      <c r="N252" s="37" t="s">
        <v>408</v>
      </c>
      <c r="O252" s="31">
        <f>IF(F252&gt;0,F252-AB252,"")</f>
        <v>23</v>
      </c>
      <c r="P252" s="37" t="str">
        <f>IF(F252&gt;0,IF(AB252="","PLANNING SUPPLY",IF(AB252&lt;=F252,"ONTIME DELIVERY","DELAY")),"")</f>
        <v>ONTIME DELIVERY</v>
      </c>
      <c r="Q252" s="181" t="str">
        <f>IFERROR(IF(J252&gt;0,VLOOKUP(J252,#REF!,MATCH($Q$6,#REF!,0),0),""),"")</f>
        <v/>
      </c>
      <c r="R252" s="181" t="str">
        <f>IFERROR(IF(J252&gt;0,VLOOKUP(J252,#REF!,MATCH($R$6,#REF!,0),0),""),"")</f>
        <v/>
      </c>
      <c r="S252" s="181" t="e">
        <f>IF(I255&gt;0,Q252+R252,"")</f>
        <v>#VALUE!</v>
      </c>
      <c r="T252" s="181"/>
      <c r="U252" s="181"/>
      <c r="V252" s="37"/>
      <c r="W252" s="181" t="e">
        <f>IF(I255&gt;0,IF(S252&gt;L252,"READY STOCK",IF(S252=0,"OUT OF STOCK",IF(S252&lt;L252,"LOW STOCK",""))),"")</f>
        <v>#VALUE!</v>
      </c>
      <c r="X252" s="38"/>
      <c r="Y252" s="38"/>
      <c r="Z252" s="38"/>
      <c r="AA252" s="38"/>
      <c r="AB252" s="50">
        <v>46241</v>
      </c>
      <c r="AC252" s="181">
        <v>33482</v>
      </c>
      <c r="AD252" s="53">
        <v>7</v>
      </c>
      <c r="AE252" s="37" t="s">
        <v>387</v>
      </c>
      <c r="AF252" s="37" t="s">
        <v>381</v>
      </c>
      <c r="AG252" s="33" t="str">
        <f>IF(G252&gt;0,IF(AD252&gt;0,IF(AD252=0,"Waiting",IF(AD252&lt;L252,"Partial",IF(AD252=L252,"Full Supply",IF(AD252&gt;L252,"Over Shared")))),"Waiting"),"")</f>
        <v>Full Supply</v>
      </c>
      <c r="AH252" s="37"/>
      <c r="AI252" s="37"/>
      <c r="AJ252" s="181"/>
      <c r="AK252" s="40"/>
      <c r="AL252" s="40"/>
      <c r="AM252" s="40"/>
      <c r="AN252" s="37"/>
      <c r="AO252" s="34"/>
      <c r="AP252" s="37"/>
      <c r="AQ252" s="37"/>
      <c r="AR252" s="37"/>
      <c r="AS252" s="37"/>
      <c r="AT252" s="37">
        <f>AS252-AD252</f>
        <v>-7</v>
      </c>
      <c r="AU252" s="36" t="str">
        <f>IF(AR252=0,"Waiting",IF(AR252&lt;AH252,"Kurang",IF(AR252=AH252,"Sesuai",IF(AR252&gt;AH252,"Over Shared"))))</f>
        <v>Waiting</v>
      </c>
      <c r="AV252" s="37"/>
      <c r="AW252" s="37" t="str">
        <f>IFERROR(DATEDIF(AH252,AK252,"d"),"0")&amp;"-DAY"</f>
        <v>0-DAY</v>
      </c>
      <c r="AX252" s="37" t="str">
        <f>IFERROR(DATEDIF(B252,AB252,"d"),"0")&amp;"-DAY"</f>
        <v>2-DAY</v>
      </c>
      <c r="AY252" s="37"/>
      <c r="AZ252" s="181">
        <f>L252-AD252</f>
        <v>0</v>
      </c>
    </row>
    <row r="253" spans="1:52" ht="15.5" customHeight="1">
      <c r="A253" s="360" t="s">
        <v>372</v>
      </c>
      <c r="B253" s="340">
        <v>46239</v>
      </c>
      <c r="C253" s="181">
        <v>48979</v>
      </c>
      <c r="D253" s="30">
        <v>46239</v>
      </c>
      <c r="E253" s="30">
        <v>46238</v>
      </c>
      <c r="F253" s="30">
        <v>46264</v>
      </c>
      <c r="G253" s="37">
        <v>4420230770</v>
      </c>
      <c r="H253" s="37" t="s">
        <v>373</v>
      </c>
      <c r="I253" s="37">
        <v>9040040446</v>
      </c>
      <c r="J253" s="37" t="s">
        <v>189</v>
      </c>
      <c r="K253" s="325" t="s">
        <v>190</v>
      </c>
      <c r="L253" s="181">
        <v>8</v>
      </c>
      <c r="M253" s="181" t="s">
        <v>421</v>
      </c>
      <c r="N253" s="37" t="s">
        <v>408</v>
      </c>
      <c r="O253" s="31">
        <f>IF(F253&gt;0,F253-AB253,"")</f>
        <v>23</v>
      </c>
      <c r="P253" s="37" t="str">
        <f>IF(F253&gt;0,IF(AB253="","PLANNING SUPPLY",IF(AB253&lt;=F253,"ONTIME DELIVERY","DELAY")),"")</f>
        <v>ONTIME DELIVERY</v>
      </c>
      <c r="Q253" s="181" t="str">
        <f>IFERROR(IF(J253&gt;0,VLOOKUP(J253,#REF!,MATCH($Q$6,#REF!,0),0),""),"")</f>
        <v/>
      </c>
      <c r="R253" s="181" t="str">
        <f>IFERROR(IF(J253&gt;0,VLOOKUP(J253,#REF!,MATCH($R$6,#REF!,0),0),""),"")</f>
        <v/>
      </c>
      <c r="S253" s="181" t="e">
        <f>IF(I256&gt;0,Q253+R253,"")</f>
        <v>#VALUE!</v>
      </c>
      <c r="T253" s="181"/>
      <c r="U253" s="181"/>
      <c r="V253" s="37"/>
      <c r="W253" s="181" t="e">
        <f>IF(I256&gt;0,IF(S253&gt;L253,"READY STOCK",IF(S253=0,"OUT OF STOCK",IF(S253&lt;L253,"LOW STOCK",""))),"")</f>
        <v>#VALUE!</v>
      </c>
      <c r="X253" s="38"/>
      <c r="Y253" s="38"/>
      <c r="Z253" s="38"/>
      <c r="AA253" s="38"/>
      <c r="AB253" s="50">
        <v>46241</v>
      </c>
      <c r="AC253" s="181">
        <v>33482</v>
      </c>
      <c r="AD253" s="53">
        <v>8</v>
      </c>
      <c r="AE253" s="37" t="s">
        <v>387</v>
      </c>
      <c r="AF253" s="37" t="s">
        <v>381</v>
      </c>
      <c r="AG253" s="33" t="str">
        <f>IF(G253&gt;0,IF(AD253&gt;0,IF(AD253=0,"Waiting",IF(AD253&lt;L253,"Partial",IF(AD253=L253,"Full Supply",IF(AD253&gt;L253,"Over Shared")))),"Waiting"),"")</f>
        <v>Full Supply</v>
      </c>
      <c r="AH253" s="37"/>
      <c r="AI253" s="37"/>
      <c r="AJ253" s="181"/>
      <c r="AK253" s="40"/>
      <c r="AL253" s="40"/>
      <c r="AM253" s="40"/>
      <c r="AN253" s="37"/>
      <c r="AO253" s="34"/>
      <c r="AP253" s="37"/>
      <c r="AQ253" s="37"/>
      <c r="AR253" s="37"/>
      <c r="AS253" s="37"/>
      <c r="AT253" s="37">
        <f>AS253-AD253</f>
        <v>-8</v>
      </c>
      <c r="AU253" s="36" t="str">
        <f>IF(AR253=0,"Waiting",IF(AR253&lt;AH253,"Kurang",IF(AR253=AH253,"Sesuai",IF(AR253&gt;AH253,"Over Shared"))))</f>
        <v>Waiting</v>
      </c>
      <c r="AV253" s="37"/>
      <c r="AW253" s="37" t="str">
        <f>IFERROR(DATEDIF(AH253,AK253,"d"),"0")&amp;"-DAY"</f>
        <v>0-DAY</v>
      </c>
      <c r="AX253" s="37" t="str">
        <f>IFERROR(DATEDIF(B253,AB253,"d"),"0")&amp;"-DAY"</f>
        <v>2-DAY</v>
      </c>
      <c r="AY253" s="37"/>
      <c r="AZ253" s="181">
        <f>L253-AD253</f>
        <v>0</v>
      </c>
    </row>
    <row r="254" spans="1:52" ht="15.5" customHeight="1">
      <c r="A254" s="360" t="s">
        <v>372</v>
      </c>
      <c r="B254" s="340">
        <v>46239</v>
      </c>
      <c r="C254" s="181">
        <v>48979</v>
      </c>
      <c r="D254" s="30">
        <v>46239</v>
      </c>
      <c r="E254" s="30">
        <v>46238</v>
      </c>
      <c r="F254" s="30">
        <v>46264</v>
      </c>
      <c r="G254" s="37">
        <v>4420230770</v>
      </c>
      <c r="H254" s="37" t="s">
        <v>373</v>
      </c>
      <c r="I254" s="37">
        <v>9040016581</v>
      </c>
      <c r="J254" s="37" t="s">
        <v>185</v>
      </c>
      <c r="K254" s="325" t="s">
        <v>186</v>
      </c>
      <c r="L254" s="181">
        <v>12</v>
      </c>
      <c r="M254" s="181" t="s">
        <v>375</v>
      </c>
      <c r="N254" s="37" t="s">
        <v>408</v>
      </c>
      <c r="O254" s="31">
        <f>IF(F254&gt;0,F254-AB254,"")</f>
        <v>17</v>
      </c>
      <c r="P254" s="37" t="str">
        <f>IF(F254&gt;0,IF(AB254="","PLANNING SUPPLY",IF(AB254&lt;=F254,"ONTIME DELIVERY","DELAY")),"")</f>
        <v>ONTIME DELIVERY</v>
      </c>
      <c r="Q254" s="181" t="str">
        <f>IFERROR(IF(J254&gt;0,VLOOKUP(J254,#REF!,MATCH($Q$6,#REF!,0),0),""),"")</f>
        <v/>
      </c>
      <c r="R254" s="181" t="str">
        <f>IFERROR(IF(J254&gt;0,VLOOKUP(J254,#REF!,MATCH($R$6,#REF!,0),0),""),"")</f>
        <v/>
      </c>
      <c r="S254" s="181" t="e">
        <f>IF(I257&gt;0,Q254+R254,"")</f>
        <v>#VALUE!</v>
      </c>
      <c r="T254" s="181"/>
      <c r="U254" s="181"/>
      <c r="V254" s="37"/>
      <c r="W254" s="181" t="e">
        <f>IF(I257&gt;0,IF(S254&gt;L254,"READY STOCK",IF(S254=0,"OUT OF STOCK",IF(S254&lt;L254,"LOW STOCK",""))),"")</f>
        <v>#VALUE!</v>
      </c>
      <c r="X254" s="38"/>
      <c r="Y254" s="38"/>
      <c r="Z254" s="38"/>
      <c r="AA254" s="38"/>
      <c r="AB254" s="50">
        <v>46247</v>
      </c>
      <c r="AC254" s="181">
        <v>33634</v>
      </c>
      <c r="AD254" s="51">
        <v>12</v>
      </c>
      <c r="AE254" s="37" t="s">
        <v>383</v>
      </c>
      <c r="AF254" s="37" t="s">
        <v>381</v>
      </c>
      <c r="AG254" s="33" t="str">
        <f>IF(G254&gt;0,IF(AD254&gt;0,IF(AD254=0,"Waiting",IF(AD254&lt;L254,"Partial",IF(AD254=L254,"Full Supply",IF(AD254&gt;L254,"Over Shared")))),"Waiting"),"")</f>
        <v>Full Supply</v>
      </c>
      <c r="AH254" s="37"/>
      <c r="AI254" s="37"/>
      <c r="AJ254" s="181"/>
      <c r="AK254" s="40"/>
      <c r="AL254" s="40"/>
      <c r="AM254" s="40"/>
      <c r="AN254" s="37"/>
      <c r="AO254" s="34"/>
      <c r="AP254" s="37"/>
      <c r="AQ254" s="37"/>
      <c r="AR254" s="37"/>
      <c r="AS254" s="37"/>
      <c r="AT254" s="37">
        <f>AS254-AD254</f>
        <v>-12</v>
      </c>
      <c r="AU254" s="36" t="str">
        <f>IF(AR254=0,"Waiting",IF(AR254&lt;AH254,"Kurang",IF(AR254=AH254,"Sesuai",IF(AR254&gt;AH254,"Over Shared"))))</f>
        <v>Waiting</v>
      </c>
      <c r="AV254" s="37"/>
      <c r="AW254" s="37" t="str">
        <f>IFERROR(DATEDIF(AH254,AK254,"d"),"0")&amp;"-DAY"</f>
        <v>0-DAY</v>
      </c>
      <c r="AX254" s="37" t="str">
        <f>IFERROR(DATEDIF(B254,AB254,"d"),"0")&amp;"-DAY"</f>
        <v>8-DAY</v>
      </c>
      <c r="AY254" s="37"/>
      <c r="AZ254" s="181">
        <f>L254-AD254</f>
        <v>0</v>
      </c>
    </row>
    <row r="255" spans="1:52" ht="15.5" customHeight="1">
      <c r="A255" s="360" t="s">
        <v>372</v>
      </c>
      <c r="B255" s="340">
        <v>46239</v>
      </c>
      <c r="C255" s="181">
        <v>48979</v>
      </c>
      <c r="D255" s="30">
        <v>46239</v>
      </c>
      <c r="E255" s="30">
        <v>46238</v>
      </c>
      <c r="F255" s="30">
        <v>46264</v>
      </c>
      <c r="G255" s="37">
        <v>4420230770</v>
      </c>
      <c r="H255" s="37" t="s">
        <v>373</v>
      </c>
      <c r="I255" s="37">
        <v>9040020554</v>
      </c>
      <c r="J255" s="37" t="s">
        <v>297</v>
      </c>
      <c r="K255" s="325" t="s">
        <v>298</v>
      </c>
      <c r="L255" s="181">
        <v>5</v>
      </c>
      <c r="M255" s="181" t="s">
        <v>375</v>
      </c>
      <c r="N255" s="37" t="s">
        <v>408</v>
      </c>
      <c r="O255" s="31">
        <f>IF(F255&gt;0,F255-AB255,"")</f>
        <v>-18</v>
      </c>
      <c r="P255" s="37" t="str">
        <f>IF(F255&gt;0,IF(AB255="","PLANNING SUPPLY",IF(AB255&lt;=F255,"ONTIME DELIVERY","DELAY")),"")</f>
        <v>DELAY</v>
      </c>
      <c r="Q255" s="181" t="str">
        <f>IFERROR(IF(J255&gt;0,VLOOKUP(J255,#REF!,MATCH($Q$6,#REF!,0),0),""),"")</f>
        <v/>
      </c>
      <c r="R255" s="181" t="str">
        <f>IFERROR(IF(J255&gt;0,VLOOKUP(J255,#REF!,MATCH($R$6,#REF!,0),0),""),"")</f>
        <v/>
      </c>
      <c r="S255" s="181" t="e">
        <f>IF(I258&gt;0,Q255+R255,"")</f>
        <v>#VALUE!</v>
      </c>
      <c r="T255" s="181"/>
      <c r="U255" s="181"/>
      <c r="V255" s="37"/>
      <c r="W255" s="181" t="e">
        <f>IF(I258&gt;0,IF(S255&gt;L255,"READY STOCK",IF(S255=0,"OUT OF STOCK",IF(S255&lt;L255,"LOW STOCK",""))),"")</f>
        <v>#VALUE!</v>
      </c>
      <c r="X255" s="38"/>
      <c r="Y255" s="38"/>
      <c r="Z255" s="38"/>
      <c r="AA255" s="38"/>
      <c r="AB255" s="50">
        <v>46282</v>
      </c>
      <c r="AC255" s="181">
        <v>34332</v>
      </c>
      <c r="AD255" s="51">
        <v>5</v>
      </c>
      <c r="AE255" s="37" t="s">
        <v>383</v>
      </c>
      <c r="AF255" s="37" t="s">
        <v>381</v>
      </c>
      <c r="AG255" s="33" t="str">
        <f>IF(G255&gt;0,IF(AD255&gt;0,IF(AD255=0,"Waiting",IF(AD255&lt;L255,"Partial",IF(AD255=L255,"Full Supply",IF(AD255&gt;L255,"Over Shared")))),"Waiting"),"")</f>
        <v>Full Supply</v>
      </c>
      <c r="AH255" s="37"/>
      <c r="AI255" s="37"/>
      <c r="AJ255" s="181"/>
      <c r="AK255" s="40"/>
      <c r="AL255" s="40"/>
      <c r="AM255" s="40"/>
      <c r="AN255" s="37"/>
      <c r="AO255" s="34"/>
      <c r="AP255" s="37"/>
      <c r="AQ255" s="37"/>
      <c r="AR255" s="37"/>
      <c r="AS255" s="37"/>
      <c r="AT255" s="37">
        <f>AS255-AD255</f>
        <v>-5</v>
      </c>
      <c r="AU255" s="36" t="str">
        <f>IF(AR255=0,"Waiting",IF(AR255&lt;AH255,"Kurang",IF(AR255=AH255,"Sesuai",IF(AR255&gt;AH255,"Over Shared"))))</f>
        <v>Waiting</v>
      </c>
      <c r="AV255" s="37"/>
      <c r="AW255" s="37" t="str">
        <f>IFERROR(DATEDIF(AH255,AK255,"d"),"0")&amp;"-DAY"</f>
        <v>0-DAY</v>
      </c>
      <c r="AX255" s="37" t="str">
        <f>IFERROR(DATEDIF(B255,AB255,"d"),"0")&amp;"-DAY"</f>
        <v>43-DAY</v>
      </c>
      <c r="AY255" s="37"/>
      <c r="AZ255" s="181">
        <f>L255-AD255</f>
        <v>0</v>
      </c>
    </row>
    <row r="256" spans="1:52" ht="15.5" customHeight="1">
      <c r="A256" s="360" t="s">
        <v>372</v>
      </c>
      <c r="B256" s="340">
        <v>46239</v>
      </c>
      <c r="C256" s="181">
        <v>48979</v>
      </c>
      <c r="D256" s="30">
        <v>46239</v>
      </c>
      <c r="E256" s="30">
        <v>46238</v>
      </c>
      <c r="F256" s="30">
        <v>46264</v>
      </c>
      <c r="G256" s="37">
        <v>4420230770</v>
      </c>
      <c r="H256" s="37" t="s">
        <v>373</v>
      </c>
      <c r="I256" s="37">
        <v>9040021297</v>
      </c>
      <c r="J256" s="37" t="s">
        <v>108</v>
      </c>
      <c r="K256" s="325" t="s">
        <v>109</v>
      </c>
      <c r="L256" s="181">
        <v>4</v>
      </c>
      <c r="M256" s="181" t="s">
        <v>375</v>
      </c>
      <c r="N256" s="37" t="s">
        <v>408</v>
      </c>
      <c r="O256" s="31">
        <f>IF(F256&gt;0,F256-AB256,"")</f>
        <v>-25</v>
      </c>
      <c r="P256" s="37" t="str">
        <f>IF(F256&gt;0,IF(AB256="","PLANNING SUPPLY",IF(AB256&lt;=F256,"ONTIME DELIVERY","DELAY")),"")</f>
        <v>DELAY</v>
      </c>
      <c r="Q256" s="181" t="str">
        <f>IFERROR(IF(J256&gt;0,VLOOKUP(J256,#REF!,MATCH($Q$6,#REF!,0),0),""),"")</f>
        <v/>
      </c>
      <c r="R256" s="181" t="str">
        <f>IFERROR(IF(J256&gt;0,VLOOKUP(J256,#REF!,MATCH($R$6,#REF!,0),0),""),"")</f>
        <v/>
      </c>
      <c r="S256" s="181" t="e">
        <f>IF(I259&gt;0,Q256+R256,"")</f>
        <v>#VALUE!</v>
      </c>
      <c r="T256" s="181"/>
      <c r="U256" s="181"/>
      <c r="V256" s="37"/>
      <c r="W256" s="181" t="e">
        <f>IF(I259&gt;0,IF(S256&gt;L256,"READY STOCK",IF(S256=0,"OUT OF STOCK",IF(S256&lt;L256,"LOW STOCK",""))),"")</f>
        <v>#VALUE!</v>
      </c>
      <c r="X256" s="38"/>
      <c r="Y256" s="38"/>
      <c r="Z256" s="38"/>
      <c r="AA256" s="38"/>
      <c r="AB256" s="50">
        <v>46289</v>
      </c>
      <c r="AC256" s="181">
        <v>34571</v>
      </c>
      <c r="AD256" s="51">
        <v>4</v>
      </c>
      <c r="AE256" s="37" t="s">
        <v>2</v>
      </c>
      <c r="AF256" s="37" t="s">
        <v>1295</v>
      </c>
      <c r="AG256" s="33" t="str">
        <f>IF(G256&gt;0,IF(AD256&gt;0,IF(AD256=0,"Waiting",IF(AD256&lt;L256,"Partial",IF(AD256=L256,"Full Supply",IF(AD256&gt;L256,"Over Shared")))),"Waiting"),"")</f>
        <v>Full Supply</v>
      </c>
      <c r="AH256" s="156">
        <v>46246</v>
      </c>
      <c r="AI256" s="37" t="s">
        <v>1283</v>
      </c>
      <c r="AJ256" s="181">
        <v>8</v>
      </c>
      <c r="AK256" s="40">
        <v>26492</v>
      </c>
      <c r="AL256" s="45">
        <v>46295</v>
      </c>
      <c r="AM256" s="40">
        <v>8</v>
      </c>
      <c r="AN256" s="39" t="s">
        <v>1296</v>
      </c>
      <c r="AO256" s="46">
        <v>46294</v>
      </c>
      <c r="AP256" s="37"/>
      <c r="AQ256" s="37"/>
      <c r="AR256" s="37"/>
      <c r="AS256" s="37"/>
      <c r="AT256" s="37">
        <f>AS256-AD256</f>
        <v>-4</v>
      </c>
      <c r="AU256" s="36" t="str">
        <f>IF(AR256=0,"Waiting",IF(AR256&lt;AH256,"Kurang",IF(AR256=AH256,"Sesuai",IF(AR256&gt;AH256,"Over Shared"))))</f>
        <v>Waiting</v>
      </c>
      <c r="AV256" s="37"/>
      <c r="AW256" s="37" t="str">
        <f>IFERROR(DATEDIF(AH256,AK256,"d"),"0")&amp;"-DAY"</f>
        <v>0-DAY</v>
      </c>
      <c r="AX256" s="37" t="str">
        <f>IFERROR(DATEDIF(B256,AB256,"d"),"0")&amp;"-DAY"</f>
        <v>50-DAY</v>
      </c>
      <c r="AY256" s="37"/>
      <c r="AZ256" s="181">
        <f>L256-AD256</f>
        <v>0</v>
      </c>
    </row>
    <row r="257" spans="1:52" ht="15.5" customHeight="1">
      <c r="A257" s="360" t="s">
        <v>372</v>
      </c>
      <c r="B257" s="340">
        <v>46239</v>
      </c>
      <c r="C257" s="181">
        <v>48979</v>
      </c>
      <c r="D257" s="30">
        <v>46239</v>
      </c>
      <c r="E257" s="30">
        <v>46238</v>
      </c>
      <c r="F257" s="30">
        <v>46264</v>
      </c>
      <c r="G257" s="37">
        <v>4420230770</v>
      </c>
      <c r="H257" s="37" t="s">
        <v>373</v>
      </c>
      <c r="I257" s="37">
        <v>9040039404</v>
      </c>
      <c r="J257" s="37" t="s">
        <v>295</v>
      </c>
      <c r="K257" s="325" t="s">
        <v>296</v>
      </c>
      <c r="L257" s="181">
        <v>9</v>
      </c>
      <c r="M257" s="181" t="s">
        <v>375</v>
      </c>
      <c r="N257" s="37" t="s">
        <v>408</v>
      </c>
      <c r="O257" s="31">
        <f>IF(F257&gt;0,F257-AB257,"")</f>
        <v>18</v>
      </c>
      <c r="P257" s="37" t="str">
        <f>IF(F257&gt;0,IF(AB257="","PLANNING SUPPLY",IF(AB257&lt;=F257,"ONTIME DELIVERY","DELAY")),"")</f>
        <v>ONTIME DELIVERY</v>
      </c>
      <c r="Q257" s="181" t="str">
        <f>IFERROR(IF(J257&gt;0,VLOOKUP(J257,#REF!,MATCH($Q$6,#REF!,0),0),""),"")</f>
        <v/>
      </c>
      <c r="R257" s="181" t="str">
        <f>IFERROR(IF(J257&gt;0,VLOOKUP(J257,#REF!,MATCH($R$6,#REF!,0),0),""),"")</f>
        <v/>
      </c>
      <c r="S257" s="181" t="e">
        <f>IF(I260&gt;0,Q257+R257,"")</f>
        <v>#VALUE!</v>
      </c>
      <c r="T257" s="181"/>
      <c r="U257" s="181"/>
      <c r="V257" s="37"/>
      <c r="W257" s="181" t="e">
        <f>IF(I260&gt;0,IF(S257&gt;L257,"READY STOCK",IF(S257=0,"OUT OF STOCK",IF(S257&lt;L257,"LOW STOCK",""))),"")</f>
        <v>#VALUE!</v>
      </c>
      <c r="X257" s="38"/>
      <c r="Y257" s="38"/>
      <c r="Z257" s="38"/>
      <c r="AA257" s="38"/>
      <c r="AB257" s="50">
        <v>46246</v>
      </c>
      <c r="AC257" s="181">
        <v>33598</v>
      </c>
      <c r="AD257" s="51">
        <v>9</v>
      </c>
      <c r="AE257" s="37" t="s">
        <v>387</v>
      </c>
      <c r="AF257" s="37" t="s">
        <v>381</v>
      </c>
      <c r="AG257" s="33" t="str">
        <f>IF(G257&gt;0,IF(AD257&gt;0,IF(AD257=0,"Waiting",IF(AD257&lt;L257,"Partial",IF(AD257=L257,"Full Supply",IF(AD257&gt;L257,"Over Shared")))),"Waiting"),"")</f>
        <v>Full Supply</v>
      </c>
      <c r="AH257" s="37"/>
      <c r="AI257" s="37"/>
      <c r="AJ257" s="181"/>
      <c r="AK257" s="40"/>
      <c r="AL257" s="40"/>
      <c r="AM257" s="40"/>
      <c r="AN257" s="37"/>
      <c r="AO257" s="34"/>
      <c r="AP257" s="37"/>
      <c r="AQ257" s="37"/>
      <c r="AR257" s="37"/>
      <c r="AS257" s="37"/>
      <c r="AT257" s="37">
        <f>AS257-AD257</f>
        <v>-9</v>
      </c>
      <c r="AU257" s="36" t="str">
        <f>IF(AR257=0,"Waiting",IF(AR257&lt;AH257,"Kurang",IF(AR257=AH257,"Sesuai",IF(AR257&gt;AH257,"Over Shared"))))</f>
        <v>Waiting</v>
      </c>
      <c r="AV257" s="37"/>
      <c r="AW257" s="37" t="str">
        <f>IFERROR(DATEDIF(AH257,AK257,"d"),"0")&amp;"-DAY"</f>
        <v>0-DAY</v>
      </c>
      <c r="AX257" s="37" t="str">
        <f>IFERROR(DATEDIF(B257,AB257,"d"),"0")&amp;"-DAY"</f>
        <v>7-DAY</v>
      </c>
      <c r="AY257" s="37"/>
      <c r="AZ257" s="181">
        <f>L257-AD257</f>
        <v>0</v>
      </c>
    </row>
    <row r="258" spans="1:52" ht="15.5" customHeight="1">
      <c r="A258" s="360" t="s">
        <v>372</v>
      </c>
      <c r="B258" s="340">
        <v>46239</v>
      </c>
      <c r="C258" s="181">
        <v>48979</v>
      </c>
      <c r="D258" s="30">
        <v>46239</v>
      </c>
      <c r="E258" s="30">
        <v>46238</v>
      </c>
      <c r="F258" s="30">
        <v>46264</v>
      </c>
      <c r="G258" s="37">
        <v>4420230770</v>
      </c>
      <c r="H258" s="37" t="s">
        <v>373</v>
      </c>
      <c r="I258" s="37">
        <v>9040040390</v>
      </c>
      <c r="J258" s="37" t="s">
        <v>209</v>
      </c>
      <c r="K258" s="325" t="s">
        <v>210</v>
      </c>
      <c r="L258" s="181">
        <v>15</v>
      </c>
      <c r="M258" s="181" t="s">
        <v>421</v>
      </c>
      <c r="N258" s="37" t="s">
        <v>408</v>
      </c>
      <c r="O258" s="31">
        <f>IF(F258&gt;0,F258-AB258,"")</f>
        <v>-3</v>
      </c>
      <c r="P258" s="37" t="str">
        <f>IF(F258&gt;0,IF(AB258="","PLANNING SUPPLY",IF(AB258&lt;=F258,"ONTIME DELIVERY","DELAY")),"")</f>
        <v>DELAY</v>
      </c>
      <c r="Q258" s="181" t="str">
        <f>IFERROR(IF(J258&gt;0,VLOOKUP(J258,#REF!,MATCH($Q$6,#REF!,0),0),""),"")</f>
        <v/>
      </c>
      <c r="R258" s="181" t="str">
        <f>IFERROR(IF(J258&gt;0,VLOOKUP(J258,#REF!,MATCH($R$6,#REF!,0),0),""),"")</f>
        <v/>
      </c>
      <c r="S258" s="181" t="e">
        <f>IF(I261&gt;0,Q258+R258,"")</f>
        <v>#VALUE!</v>
      </c>
      <c r="T258" s="181"/>
      <c r="U258" s="181"/>
      <c r="V258" s="37"/>
      <c r="W258" s="181" t="e">
        <f>IF(I261&gt;0,IF(S258&gt;L258,"READY STOCK",IF(S258=0,"OUT OF STOCK",IF(S258&lt;L258,"LOW STOCK",""))),"")</f>
        <v>#VALUE!</v>
      </c>
      <c r="X258" s="38"/>
      <c r="Y258" s="38"/>
      <c r="Z258" s="38"/>
      <c r="AA258" s="38"/>
      <c r="AB258" s="50">
        <v>46267</v>
      </c>
      <c r="AC258" s="181">
        <v>33977</v>
      </c>
      <c r="AD258" s="51">
        <v>15</v>
      </c>
      <c r="AE258" s="37" t="s">
        <v>383</v>
      </c>
      <c r="AF258" s="37" t="s">
        <v>381</v>
      </c>
      <c r="AG258" s="33" t="str">
        <f>IF(G258&gt;0,IF(AD258&gt;0,IF(AD258=0,"Waiting",IF(AD258&lt;L258,"Partial",IF(AD258=L258,"Full Supply",IF(AD258&gt;L258,"Over Shared")))),"Waiting"),"")</f>
        <v>Full Supply</v>
      </c>
      <c r="AH258" s="156">
        <v>46246</v>
      </c>
      <c r="AI258" s="37" t="s">
        <v>1283</v>
      </c>
      <c r="AJ258" s="181">
        <v>28</v>
      </c>
      <c r="AK258" s="40">
        <v>26063</v>
      </c>
      <c r="AL258" s="45">
        <v>46255</v>
      </c>
      <c r="AM258" s="40">
        <v>28</v>
      </c>
      <c r="AN258" s="37"/>
      <c r="AO258" s="41">
        <v>46255</v>
      </c>
      <c r="AP258" s="37"/>
      <c r="AQ258" s="37"/>
      <c r="AR258" s="37"/>
      <c r="AS258" s="37"/>
      <c r="AT258" s="37">
        <f>AS258-AD258</f>
        <v>-15</v>
      </c>
      <c r="AU258" s="36" t="str">
        <f>IF(AR258=0,"Waiting",IF(AR258&lt;AH258,"Kurang",IF(AR258=AH258,"Sesuai",IF(AR258&gt;AH258,"Over Shared"))))</f>
        <v>Waiting</v>
      </c>
      <c r="AV258" s="37"/>
      <c r="AW258" s="37" t="str">
        <f>IFERROR(DATEDIF(AH258,AK258,"d"),"0")&amp;"-DAY"</f>
        <v>0-DAY</v>
      </c>
      <c r="AX258" s="37" t="str">
        <f>IFERROR(DATEDIF(B258,AB258,"d"),"0")&amp;"-DAY"</f>
        <v>28-DAY</v>
      </c>
      <c r="AY258" s="37"/>
      <c r="AZ258" s="181">
        <f>L258-AD258</f>
        <v>0</v>
      </c>
    </row>
    <row r="259" spans="1:52" ht="15.5" customHeight="1">
      <c r="A259" s="360" t="s">
        <v>372</v>
      </c>
      <c r="B259" s="340">
        <v>46239</v>
      </c>
      <c r="C259" s="181">
        <v>48979</v>
      </c>
      <c r="D259" s="30">
        <v>46239</v>
      </c>
      <c r="E259" s="30">
        <v>46238</v>
      </c>
      <c r="F259" s="30">
        <v>46264</v>
      </c>
      <c r="G259" s="37">
        <v>4420230770</v>
      </c>
      <c r="H259" s="37" t="s">
        <v>373</v>
      </c>
      <c r="I259" s="37">
        <v>9040040420</v>
      </c>
      <c r="J259" s="37" t="s">
        <v>219</v>
      </c>
      <c r="K259" s="325" t="s">
        <v>220</v>
      </c>
      <c r="L259" s="181">
        <v>5</v>
      </c>
      <c r="M259" s="181" t="s">
        <v>389</v>
      </c>
      <c r="N259" s="37" t="s">
        <v>408</v>
      </c>
      <c r="O259" s="31">
        <f>IF(F259&gt;0,F259-AB259,"")</f>
        <v>-3</v>
      </c>
      <c r="P259" s="37" t="str">
        <f>IF(F259&gt;0,IF(AB259="","PLANNING SUPPLY",IF(AB259&lt;=F259,"ONTIME DELIVERY","DELAY")),"")</f>
        <v>DELAY</v>
      </c>
      <c r="Q259" s="181" t="str">
        <f>IFERROR(IF(J259&gt;0,VLOOKUP(J259,#REF!,MATCH($Q$6,#REF!,0),0),""),"")</f>
        <v/>
      </c>
      <c r="R259" s="181" t="str">
        <f>IFERROR(IF(J259&gt;0,VLOOKUP(J259,#REF!,MATCH($R$6,#REF!,0),0),""),"")</f>
        <v/>
      </c>
      <c r="S259" s="181" t="e">
        <f>IF(I262&gt;0,Q259+R259,"")</f>
        <v>#VALUE!</v>
      </c>
      <c r="T259" s="181"/>
      <c r="U259" s="181"/>
      <c r="V259" s="37"/>
      <c r="W259" s="181" t="e">
        <f>IF(I262&gt;0,IF(S259&gt;L259,"READY STOCK",IF(S259=0,"OUT OF STOCK",IF(S259&lt;L259,"LOW STOCK",""))),"")</f>
        <v>#VALUE!</v>
      </c>
      <c r="X259" s="38"/>
      <c r="Y259" s="38"/>
      <c r="Z259" s="38"/>
      <c r="AA259" s="38"/>
      <c r="AB259" s="50">
        <v>46267</v>
      </c>
      <c r="AC259" s="181">
        <v>33977</v>
      </c>
      <c r="AD259" s="51">
        <v>5</v>
      </c>
      <c r="AE259" s="37" t="s">
        <v>383</v>
      </c>
      <c r="AF259" s="37" t="s">
        <v>381</v>
      </c>
      <c r="AG259" s="33" t="str">
        <f>IF(G259&gt;0,IF(AD259&gt;0,IF(AD259=0,"Waiting",IF(AD259&lt;L259,"Partial",IF(AD259=L259,"Full Supply",IF(AD259&gt;L259,"Over Shared")))),"Waiting"),"")</f>
        <v>Full Supply</v>
      </c>
      <c r="AH259" s="156">
        <v>46246</v>
      </c>
      <c r="AI259" s="37" t="s">
        <v>1283</v>
      </c>
      <c r="AJ259" s="181">
        <v>11</v>
      </c>
      <c r="AK259" s="40">
        <v>26385</v>
      </c>
      <c r="AL259" s="42">
        <v>46287</v>
      </c>
      <c r="AM259" s="40"/>
      <c r="AN259" s="37"/>
      <c r="AO259" s="41">
        <v>46294</v>
      </c>
      <c r="AP259" s="37"/>
      <c r="AQ259" s="37"/>
      <c r="AR259" s="37"/>
      <c r="AS259" s="37"/>
      <c r="AT259" s="37">
        <f>AS259-AD259</f>
        <v>-5</v>
      </c>
      <c r="AU259" s="36" t="str">
        <f>IF(AR259=0,"Waiting",IF(AR259&lt;AH259,"Kurang",IF(AR259=AH259,"Sesuai",IF(AR259&gt;AH259,"Over Shared"))))</f>
        <v>Waiting</v>
      </c>
      <c r="AV259" s="37"/>
      <c r="AW259" s="37" t="str">
        <f>IFERROR(DATEDIF(AH259,AK259,"d"),"0")&amp;"-DAY"</f>
        <v>0-DAY</v>
      </c>
      <c r="AX259" s="37" t="str">
        <f>IFERROR(DATEDIF(B259,AB259,"d"),"0")&amp;"-DAY"</f>
        <v>28-DAY</v>
      </c>
      <c r="AY259" s="37"/>
      <c r="AZ259" s="181">
        <f>L259-AD259</f>
        <v>0</v>
      </c>
    </row>
    <row r="260" spans="1:52" ht="15.5" customHeight="1">
      <c r="A260" s="360" t="s">
        <v>372</v>
      </c>
      <c r="B260" s="340">
        <v>46239</v>
      </c>
      <c r="C260" s="181">
        <v>48979</v>
      </c>
      <c r="D260" s="30">
        <v>46239</v>
      </c>
      <c r="E260" s="30">
        <v>46238</v>
      </c>
      <c r="F260" s="30">
        <v>46264</v>
      </c>
      <c r="G260" s="37">
        <v>4420230770</v>
      </c>
      <c r="H260" s="37" t="s">
        <v>373</v>
      </c>
      <c r="I260" s="37">
        <v>9040042224</v>
      </c>
      <c r="J260" s="37" t="s">
        <v>195</v>
      </c>
      <c r="K260" s="325" t="s">
        <v>196</v>
      </c>
      <c r="L260" s="181">
        <v>10</v>
      </c>
      <c r="M260" s="181" t="s">
        <v>421</v>
      </c>
      <c r="N260" s="37" t="s">
        <v>408</v>
      </c>
      <c r="O260" s="31">
        <f>IF(F260&gt;0,F260-AB260,"")</f>
        <v>-3</v>
      </c>
      <c r="P260" s="37" t="str">
        <f>IF(F260&gt;0,IF(AB260="","PLANNING SUPPLY",IF(AB260&lt;=F260,"ONTIME DELIVERY","DELAY")),"")</f>
        <v>DELAY</v>
      </c>
      <c r="Q260" s="181" t="str">
        <f>IFERROR(IF(J260&gt;0,VLOOKUP(J260,#REF!,MATCH($Q$6,#REF!,0),0),""),"")</f>
        <v/>
      </c>
      <c r="R260" s="181" t="str">
        <f>IFERROR(IF(J260&gt;0,VLOOKUP(J260,#REF!,MATCH($R$6,#REF!,0),0),""),"")</f>
        <v/>
      </c>
      <c r="S260" s="181" t="e">
        <f>IF(I263&gt;0,Q260+R260,"")</f>
        <v>#VALUE!</v>
      </c>
      <c r="T260" s="181"/>
      <c r="U260" s="181"/>
      <c r="V260" s="37"/>
      <c r="W260" s="181" t="e">
        <f>IF(I263&gt;0,IF(S260&gt;L260,"READY STOCK",IF(S260=0,"OUT OF STOCK",IF(S260&lt;L260,"LOW STOCK",""))),"")</f>
        <v>#VALUE!</v>
      </c>
      <c r="X260" s="38"/>
      <c r="Y260" s="38"/>
      <c r="Z260" s="38"/>
      <c r="AA260" s="38"/>
      <c r="AB260" s="50">
        <v>46267</v>
      </c>
      <c r="AC260" s="181">
        <v>33977</v>
      </c>
      <c r="AD260" s="51">
        <v>10</v>
      </c>
      <c r="AE260" s="37" t="s">
        <v>383</v>
      </c>
      <c r="AF260" s="37" t="s">
        <v>381</v>
      </c>
      <c r="AG260" s="33" t="str">
        <f>IF(G260&gt;0,IF(AD260&gt;0,IF(AD260=0,"Waiting",IF(AD260&lt;L260,"Partial",IF(AD260=L260,"Full Supply",IF(AD260&gt;L260,"Over Shared")))),"Waiting"),"")</f>
        <v>Full Supply</v>
      </c>
      <c r="AH260" s="156">
        <v>46246</v>
      </c>
      <c r="AI260" s="37" t="s">
        <v>1283</v>
      </c>
      <c r="AJ260" s="181">
        <v>20</v>
      </c>
      <c r="AK260" s="40">
        <v>26064</v>
      </c>
      <c r="AL260" s="189">
        <v>46266</v>
      </c>
      <c r="AM260" s="40">
        <v>20</v>
      </c>
      <c r="AN260" s="37"/>
      <c r="AO260" s="190">
        <v>46296</v>
      </c>
      <c r="AP260" s="37"/>
      <c r="AQ260" s="37"/>
      <c r="AR260" s="37"/>
      <c r="AS260" s="37"/>
      <c r="AT260" s="37">
        <f>AS260-AD260</f>
        <v>-10</v>
      </c>
      <c r="AU260" s="36" t="str">
        <f>IF(AR260=0,"Waiting",IF(AR260&lt;AH260,"Kurang",IF(AR260=AH260,"Sesuai",IF(AR260&gt;AH260,"Over Shared"))))</f>
        <v>Waiting</v>
      </c>
      <c r="AV260" s="37"/>
      <c r="AW260" s="37" t="str">
        <f>IFERROR(DATEDIF(AH260,AK260,"d"),"0")&amp;"-DAY"</f>
        <v>0-DAY</v>
      </c>
      <c r="AX260" s="37" t="str">
        <f>IFERROR(DATEDIF(B260,AB260,"d"),"0")&amp;"-DAY"</f>
        <v>28-DAY</v>
      </c>
      <c r="AY260" s="37"/>
      <c r="AZ260" s="181">
        <f>L260-AD260</f>
        <v>0</v>
      </c>
    </row>
    <row r="261" spans="1:52" ht="15.5" customHeight="1">
      <c r="A261" s="360" t="s">
        <v>372</v>
      </c>
      <c r="B261" s="340">
        <v>46239</v>
      </c>
      <c r="C261" s="181">
        <v>48979</v>
      </c>
      <c r="D261" s="30">
        <v>46239</v>
      </c>
      <c r="E261" s="30">
        <v>46238</v>
      </c>
      <c r="F261" s="30">
        <v>46264</v>
      </c>
      <c r="G261" s="37">
        <v>4420230770</v>
      </c>
      <c r="H261" s="37" t="s">
        <v>373</v>
      </c>
      <c r="I261" s="37">
        <v>9040044075</v>
      </c>
      <c r="J261" s="37" t="s">
        <v>223</v>
      </c>
      <c r="K261" s="325" t="s">
        <v>224</v>
      </c>
      <c r="L261" s="181">
        <v>2</v>
      </c>
      <c r="M261" s="181" t="s">
        <v>389</v>
      </c>
      <c r="N261" s="37" t="s">
        <v>408</v>
      </c>
      <c r="O261" s="31">
        <f>IF(F261&gt;0,F261-AB261,"")</f>
        <v>-24</v>
      </c>
      <c r="P261" s="37" t="str">
        <f>IF(F261&gt;0,IF(AB261="","PLANNING SUPPLY",IF(AB261&lt;=F261,"ONTIME DELIVERY","DELAY")),"")</f>
        <v>DELAY</v>
      </c>
      <c r="Q261" s="181" t="str">
        <f>IFERROR(IF(J261&gt;0,VLOOKUP(J261,#REF!,MATCH($Q$6,#REF!,0),0),""),"")</f>
        <v/>
      </c>
      <c r="R261" s="181" t="str">
        <f>IFERROR(IF(J261&gt;0,VLOOKUP(J261,#REF!,MATCH($R$6,#REF!,0),0),""),"")</f>
        <v/>
      </c>
      <c r="S261" s="181" t="e">
        <f>IF(I264&gt;0,Q261+R261,"")</f>
        <v>#VALUE!</v>
      </c>
      <c r="T261" s="181"/>
      <c r="U261" s="181"/>
      <c r="V261" s="37"/>
      <c r="W261" s="181" t="e">
        <f>IF(I264&gt;0,IF(S261&gt;L261,"READY STOCK",IF(S261=0,"OUT OF STOCK",IF(S261&lt;L261,"LOW STOCK",""))),"")</f>
        <v>#VALUE!</v>
      </c>
      <c r="X261" s="38"/>
      <c r="Y261" s="38"/>
      <c r="Z261" s="38"/>
      <c r="AA261" s="38"/>
      <c r="AB261" s="50">
        <v>46288</v>
      </c>
      <c r="AC261" s="181">
        <v>34495</v>
      </c>
      <c r="AD261" s="51">
        <v>2</v>
      </c>
      <c r="AE261" s="37" t="s">
        <v>383</v>
      </c>
      <c r="AF261" s="37" t="s">
        <v>381</v>
      </c>
      <c r="AG261" s="33" t="str">
        <f>IF(G261&gt;0,IF(AD261&gt;0,IF(AD261=0,"Waiting",IF(AD261&lt;L261,"Partial",IF(AD261=L261,"Full Supply",IF(AD261&gt;L261,"Over Shared")))),"Waiting"),"")</f>
        <v>Full Supply</v>
      </c>
      <c r="AH261" s="56"/>
      <c r="AI261" s="37"/>
      <c r="AJ261" s="181"/>
      <c r="AK261" s="40"/>
      <c r="AL261" s="40"/>
      <c r="AM261" s="40"/>
      <c r="AN261" s="212" t="s">
        <v>1291</v>
      </c>
      <c r="AO261" s="34"/>
      <c r="AP261" s="37"/>
      <c r="AQ261" s="37"/>
      <c r="AR261" s="37"/>
      <c r="AS261" s="37"/>
      <c r="AT261" s="37">
        <f>AS261-AD261</f>
        <v>-2</v>
      </c>
      <c r="AU261" s="36" t="str">
        <f>IF(AR261=0,"Waiting",IF(AR261&lt;AH261,"Kurang",IF(AR261=AH261,"Sesuai",IF(AR261&gt;AH261,"Over Shared"))))</f>
        <v>Waiting</v>
      </c>
      <c r="AV261" s="37"/>
      <c r="AW261" s="37" t="str">
        <f>IFERROR(DATEDIF(AH261,AK261,"d"),"0")&amp;"-DAY"</f>
        <v>0-DAY</v>
      </c>
      <c r="AX261" s="37" t="str">
        <f>IFERROR(DATEDIF(B261,AB261,"d"),"0")&amp;"-DAY"</f>
        <v>49-DAY</v>
      </c>
      <c r="AY261" s="37"/>
      <c r="AZ261" s="181">
        <f>L261-AD261</f>
        <v>0</v>
      </c>
    </row>
    <row r="262" spans="1:52" ht="15.5" customHeight="1">
      <c r="A262" s="360" t="s">
        <v>372</v>
      </c>
      <c r="B262" s="340">
        <v>46240</v>
      </c>
      <c r="C262" s="181">
        <v>48983</v>
      </c>
      <c r="D262" s="30">
        <v>46240</v>
      </c>
      <c r="E262" s="30">
        <v>46235</v>
      </c>
      <c r="F262" s="30">
        <v>46245</v>
      </c>
      <c r="G262" s="37">
        <v>4420230540</v>
      </c>
      <c r="H262" s="37" t="s">
        <v>373</v>
      </c>
      <c r="I262" s="37">
        <v>9040015386</v>
      </c>
      <c r="J262" s="37" t="s">
        <v>122</v>
      </c>
      <c r="K262" s="325" t="s">
        <v>319</v>
      </c>
      <c r="L262" s="181">
        <v>6</v>
      </c>
      <c r="M262" s="181" t="s">
        <v>375</v>
      </c>
      <c r="N262" s="37" t="s">
        <v>449</v>
      </c>
      <c r="O262" s="31">
        <f>IF(F262&gt;0,F262-AB262,"")</f>
        <v>-13</v>
      </c>
      <c r="P262" s="37" t="str">
        <f>IF(F262&gt;0,IF(AB262="","PLANNING SUPPLY",IF(AB262&lt;=F262,"ONTIME DELIVERY","DELAY")),"")</f>
        <v>DELAY</v>
      </c>
      <c r="Q262" s="181" t="str">
        <f>IFERROR(IF(J262&gt;0,VLOOKUP(J262,#REF!,MATCH($Q$6,#REF!,0),0),""),"")</f>
        <v/>
      </c>
      <c r="R262" s="181" t="str">
        <f>IFERROR(IF(J262&gt;0,VLOOKUP(J262,#REF!,MATCH($R$6,#REF!,0),0),""),"")</f>
        <v/>
      </c>
      <c r="S262" s="181" t="e">
        <f>IF(I265&gt;0,Q262+R262,"")</f>
        <v>#VALUE!</v>
      </c>
      <c r="T262" s="181"/>
      <c r="U262" s="181"/>
      <c r="V262" s="37"/>
      <c r="W262" s="181" t="e">
        <f>IF(I265&gt;0,IF(S262&gt;L262,"READY STOCK",IF(S262=0,"OUT OF STOCK",IF(S262&lt;L262,"LOW STOCK",""))),"")</f>
        <v>#VALUE!</v>
      </c>
      <c r="X262" s="38"/>
      <c r="Y262" s="38"/>
      <c r="Z262" s="38"/>
      <c r="AA262" s="38"/>
      <c r="AB262" s="50">
        <v>46258</v>
      </c>
      <c r="AC262" s="181">
        <v>33797</v>
      </c>
      <c r="AD262" s="51">
        <v>6</v>
      </c>
      <c r="AE262" s="37" t="s">
        <v>383</v>
      </c>
      <c r="AF262" s="37" t="s">
        <v>381</v>
      </c>
      <c r="AG262" s="33" t="str">
        <f>IF(G262&gt;0,IF(AD262&gt;0,IF(AD262=0,"Waiting",IF(AD262&lt;L262,"Partial",IF(AD262=L262,"Full Supply",IF(AD262&gt;L262,"Over Shared")))),"Waiting"),"")</f>
        <v>Full Supply</v>
      </c>
      <c r="AH262" s="37"/>
      <c r="AI262" s="37"/>
      <c r="AJ262" s="181"/>
      <c r="AK262" s="40"/>
      <c r="AL262" s="40"/>
      <c r="AM262" s="40"/>
      <c r="AN262" s="37"/>
      <c r="AO262" s="34"/>
      <c r="AP262" s="37"/>
      <c r="AQ262" s="37"/>
      <c r="AR262" s="37"/>
      <c r="AS262" s="37"/>
      <c r="AT262" s="37">
        <f>AS262-AD262</f>
        <v>-6</v>
      </c>
      <c r="AU262" s="36" t="str">
        <f>IF(AR262=0,"Waiting",IF(AR262&lt;AH262,"Kurang",IF(AR262=AH262,"Sesuai",IF(AR262&gt;AH262,"Over Shared"))))</f>
        <v>Waiting</v>
      </c>
      <c r="AV262" s="37"/>
      <c r="AW262" s="37" t="str">
        <f>IFERROR(DATEDIF(AH262,AK262,"d"),"0")&amp;"-DAY"</f>
        <v>0-DAY</v>
      </c>
      <c r="AX262" s="37" t="str">
        <f>IFERROR(DATEDIF(B262,AB262,"d"),"0")&amp;"-DAY"</f>
        <v>18-DAY</v>
      </c>
      <c r="AY262" s="37"/>
      <c r="AZ262" s="181">
        <f>L262-AD262</f>
        <v>0</v>
      </c>
    </row>
    <row r="263" spans="1:52" ht="15.5" customHeight="1">
      <c r="A263" s="360" t="s">
        <v>372</v>
      </c>
      <c r="B263" s="340">
        <v>46240</v>
      </c>
      <c r="C263" s="181">
        <v>48987</v>
      </c>
      <c r="D263" s="30">
        <v>46240</v>
      </c>
      <c r="E263" s="30">
        <v>46235</v>
      </c>
      <c r="F263" s="30">
        <v>46245</v>
      </c>
      <c r="G263" s="37">
        <v>4420230539</v>
      </c>
      <c r="H263" s="37" t="s">
        <v>373</v>
      </c>
      <c r="I263" s="37">
        <v>9040031134</v>
      </c>
      <c r="J263" s="37" t="s">
        <v>254</v>
      </c>
      <c r="K263" s="325" t="s">
        <v>255</v>
      </c>
      <c r="L263" s="181">
        <v>15</v>
      </c>
      <c r="M263" s="181" t="s">
        <v>375</v>
      </c>
      <c r="N263" s="37" t="s">
        <v>428</v>
      </c>
      <c r="O263" s="31">
        <f>IF(F263&gt;0,F263-AB263,"")</f>
        <v>-1</v>
      </c>
      <c r="P263" s="37" t="str">
        <f>IF(F263&gt;0,IF(AB263="","PLANNING SUPPLY",IF(AB263&lt;=F263,"ONTIME DELIVERY","DELAY")),"")</f>
        <v>DELAY</v>
      </c>
      <c r="Q263" s="181" t="str">
        <f>IFERROR(IF(J263&gt;0,VLOOKUP(J263,#REF!,MATCH($Q$6,#REF!,0),0),""),"")</f>
        <v/>
      </c>
      <c r="R263" s="181" t="str">
        <f>IFERROR(IF(J263&gt;0,VLOOKUP(J263,#REF!,MATCH($R$6,#REF!,0),0),""),"")</f>
        <v/>
      </c>
      <c r="S263" s="181" t="e">
        <f>IF(I266&gt;0,Q263+R263,"")</f>
        <v>#VALUE!</v>
      </c>
      <c r="T263" s="181"/>
      <c r="U263" s="181"/>
      <c r="V263" s="37"/>
      <c r="W263" s="181" t="e">
        <f>IF(I266&gt;0,IF(S263&gt;L263,"READY STOCK",IF(S263=0,"OUT OF STOCK",IF(S263&lt;L263,"LOW STOCK",""))),"")</f>
        <v>#VALUE!</v>
      </c>
      <c r="X263" s="38"/>
      <c r="Y263" s="38"/>
      <c r="Z263" s="38"/>
      <c r="AA263" s="38"/>
      <c r="AB263" s="50">
        <v>46246</v>
      </c>
      <c r="AC263" s="181">
        <v>33584</v>
      </c>
      <c r="AD263" s="51">
        <v>15</v>
      </c>
      <c r="AE263" s="37" t="s">
        <v>387</v>
      </c>
      <c r="AF263" s="37" t="s">
        <v>381</v>
      </c>
      <c r="AG263" s="33" t="str">
        <f>IF(G263&gt;0,IF(AD263&gt;0,IF(AD263=0,"Waiting",IF(AD263&lt;L263,"Partial",IF(AD263=L263,"Full Supply",IF(AD263&gt;L263,"Over Shared")))),"Waiting"),"")</f>
        <v>Full Supply</v>
      </c>
      <c r="AH263" s="37"/>
      <c r="AI263" s="37"/>
      <c r="AJ263" s="181"/>
      <c r="AK263" s="40"/>
      <c r="AL263" s="40"/>
      <c r="AM263" s="40"/>
      <c r="AN263" s="37"/>
      <c r="AO263" s="34"/>
      <c r="AP263" s="37"/>
      <c r="AQ263" s="37"/>
      <c r="AR263" s="37"/>
      <c r="AS263" s="37"/>
      <c r="AT263" s="37">
        <f>AS263-AD263</f>
        <v>-15</v>
      </c>
      <c r="AU263" s="36" t="str">
        <f>IF(AR263=0,"Waiting",IF(AR263&lt;AH263,"Kurang",IF(AR263=AH263,"Sesuai",IF(AR263&gt;AH263,"Over Shared"))))</f>
        <v>Waiting</v>
      </c>
      <c r="AV263" s="37"/>
      <c r="AW263" s="37" t="str">
        <f>IFERROR(DATEDIF(AH263,AK263,"d"),"0")&amp;"-DAY"</f>
        <v>0-DAY</v>
      </c>
      <c r="AX263" s="37" t="str">
        <f>IFERROR(DATEDIF(B263,AB263,"d"),"0")&amp;"-DAY"</f>
        <v>6-DAY</v>
      </c>
      <c r="AY263" s="37"/>
      <c r="AZ263" s="181">
        <f>L263-AD263</f>
        <v>0</v>
      </c>
    </row>
    <row r="264" spans="1:52" ht="15.5" customHeight="1">
      <c r="A264" s="360" t="s">
        <v>372</v>
      </c>
      <c r="B264" s="340">
        <v>46240</v>
      </c>
      <c r="C264" s="181">
        <v>48987</v>
      </c>
      <c r="D264" s="30">
        <v>46240</v>
      </c>
      <c r="E264" s="30">
        <v>46235</v>
      </c>
      <c r="F264" s="30">
        <v>46245</v>
      </c>
      <c r="G264" s="37">
        <v>4420230539</v>
      </c>
      <c r="H264" s="37" t="s">
        <v>373</v>
      </c>
      <c r="I264" s="37">
        <v>9040040699</v>
      </c>
      <c r="J264" s="37" t="s">
        <v>27</v>
      </c>
      <c r="K264" s="325" t="s">
        <v>28</v>
      </c>
      <c r="L264" s="181">
        <v>2</v>
      </c>
      <c r="M264" s="181" t="s">
        <v>375</v>
      </c>
      <c r="N264" s="37" t="s">
        <v>428</v>
      </c>
      <c r="O264" s="31">
        <f>IF(F264&gt;0,F264-AB264,"")</f>
        <v>-16</v>
      </c>
      <c r="P264" s="37" t="str">
        <f>IF(F264&gt;0,IF(AB264="","PLANNING SUPPLY",IF(AB264&lt;=F264,"ONTIME DELIVERY","DELAY")),"")</f>
        <v>DELAY</v>
      </c>
      <c r="Q264" s="181" t="str">
        <f>IFERROR(IF(J264&gt;0,VLOOKUP(J264,#REF!,MATCH($Q$6,#REF!,0),0),""),"")</f>
        <v/>
      </c>
      <c r="R264" s="181" t="str">
        <f>IFERROR(IF(J264&gt;0,VLOOKUP(J264,#REF!,MATCH($R$6,#REF!,0),0),""),"")</f>
        <v/>
      </c>
      <c r="S264" s="181" t="e">
        <f>IF(I267&gt;0,Q264+R264,"")</f>
        <v>#VALUE!</v>
      </c>
      <c r="T264" s="181"/>
      <c r="U264" s="181"/>
      <c r="V264" s="37"/>
      <c r="W264" s="181" t="e">
        <f>IF(I267&gt;0,IF(S264&gt;L264,"READY STOCK",IF(S264=0,"OUT OF STOCK",IF(S264&lt;L264,"LOW STOCK",""))),"")</f>
        <v>#VALUE!</v>
      </c>
      <c r="X264" s="38"/>
      <c r="Y264" s="38"/>
      <c r="Z264" s="38"/>
      <c r="AA264" s="38"/>
      <c r="AB264" s="50">
        <v>46261</v>
      </c>
      <c r="AC264" s="181">
        <v>33884</v>
      </c>
      <c r="AD264" s="51">
        <v>2</v>
      </c>
      <c r="AE264" s="37" t="s">
        <v>383</v>
      </c>
      <c r="AF264" s="37" t="s">
        <v>381</v>
      </c>
      <c r="AG264" s="33" t="str">
        <f>IF(G264&gt;0,IF(AD264&gt;0,IF(AD264=0,"Waiting",IF(AD264&lt;L264,"Partial",IF(AD264=L264,"Full Supply",IF(AD264&gt;L264,"Over Shared")))),"Waiting"),"")</f>
        <v>Full Supply</v>
      </c>
      <c r="AH264" s="37"/>
      <c r="AI264" s="37"/>
      <c r="AJ264" s="181"/>
      <c r="AK264" s="40"/>
      <c r="AL264" s="40"/>
      <c r="AM264" s="40"/>
      <c r="AN264" s="37"/>
      <c r="AO264" s="34"/>
      <c r="AP264" s="37"/>
      <c r="AQ264" s="37"/>
      <c r="AR264" s="37"/>
      <c r="AS264" s="37"/>
      <c r="AT264" s="37">
        <f>AS264-AD264</f>
        <v>-2</v>
      </c>
      <c r="AU264" s="36" t="str">
        <f>IF(AR264=0,"Waiting",IF(AR264&lt;AH264,"Kurang",IF(AR264=AH264,"Sesuai",IF(AR264&gt;AH264,"Over Shared"))))</f>
        <v>Waiting</v>
      </c>
      <c r="AV264" s="37"/>
      <c r="AW264" s="37" t="str">
        <f>IFERROR(DATEDIF(AH264,AK264,"d"),"0")&amp;"-DAY"</f>
        <v>0-DAY</v>
      </c>
      <c r="AX264" s="37" t="str">
        <f>IFERROR(DATEDIF(B264,AB264,"d"),"0")&amp;"-DAY"</f>
        <v>21-DAY</v>
      </c>
      <c r="AY264" s="37"/>
      <c r="AZ264" s="181">
        <f>L264-AD264</f>
        <v>0</v>
      </c>
    </row>
    <row r="265" spans="1:52" ht="15.5" customHeight="1">
      <c r="A265" s="360" t="s">
        <v>372</v>
      </c>
      <c r="B265" s="340">
        <v>46240</v>
      </c>
      <c r="C265" s="181">
        <v>48987</v>
      </c>
      <c r="D265" s="30">
        <v>46240</v>
      </c>
      <c r="E265" s="30">
        <v>46235</v>
      </c>
      <c r="F265" s="30">
        <v>46245</v>
      </c>
      <c r="G265" s="37">
        <v>4420230539</v>
      </c>
      <c r="H265" s="37" t="s">
        <v>373</v>
      </c>
      <c r="I265" s="37">
        <v>9040055051</v>
      </c>
      <c r="J265" s="37" t="s">
        <v>10</v>
      </c>
      <c r="K265" s="325" t="s">
        <v>149</v>
      </c>
      <c r="L265" s="181">
        <v>20</v>
      </c>
      <c r="M265" s="181" t="s">
        <v>375</v>
      </c>
      <c r="N265" s="37" t="s">
        <v>428</v>
      </c>
      <c r="O265" s="31">
        <f>IF(F265&gt;0,F265-AB265,"")</f>
        <v>-36</v>
      </c>
      <c r="P265" s="37" t="str">
        <f>IF(F265&gt;0,IF(AB265="","PLANNING SUPPLY",IF(AB265&lt;=F265,"ONTIME DELIVERY","DELAY")),"")</f>
        <v>DELAY</v>
      </c>
      <c r="Q265" s="181" t="str">
        <f>IFERROR(IF(J265&gt;0,VLOOKUP(J265,#REF!,MATCH($Q$6,#REF!,0),0),""),"")</f>
        <v/>
      </c>
      <c r="R265" s="181" t="str">
        <f>IFERROR(IF(J265&gt;0,VLOOKUP(J265,#REF!,MATCH($R$6,#REF!,0),0),""),"")</f>
        <v/>
      </c>
      <c r="S265" s="181" t="e">
        <f>IF(I268&gt;0,Q265+R265,"")</f>
        <v>#VALUE!</v>
      </c>
      <c r="T265" s="181"/>
      <c r="U265" s="181"/>
      <c r="V265" s="37"/>
      <c r="W265" s="181" t="e">
        <f>IF(I268&gt;0,IF(S265&gt;L265,"READY STOCK",IF(S265=0,"OUT OF STOCK",IF(S265&lt;L265,"LOW STOCK",""))),"")</f>
        <v>#VALUE!</v>
      </c>
      <c r="X265" s="38"/>
      <c r="Y265" s="38"/>
      <c r="Z265" s="38"/>
      <c r="AA265" s="38"/>
      <c r="AB265" s="50">
        <v>46281</v>
      </c>
      <c r="AC265" s="181">
        <v>34269</v>
      </c>
      <c r="AD265" s="51">
        <v>20</v>
      </c>
      <c r="AE265" s="37" t="s">
        <v>383</v>
      </c>
      <c r="AF265" s="37" t="s">
        <v>381</v>
      </c>
      <c r="AG265" s="33" t="str">
        <f>IF(G265&gt;0,IF(AD265&gt;0,IF(AD265=0,"Waiting",IF(AD265&lt;L265,"Partial",IF(AD265=L265,"Full Supply",IF(AD265&gt;L265,"Over Shared")))),"Waiting"),"")</f>
        <v>Full Supply</v>
      </c>
      <c r="AH265" s="37"/>
      <c r="AI265" s="37"/>
      <c r="AJ265" s="181"/>
      <c r="AK265" s="40"/>
      <c r="AL265" s="40"/>
      <c r="AM265" s="40"/>
      <c r="AN265" s="37"/>
      <c r="AO265" s="34"/>
      <c r="AP265" s="37"/>
      <c r="AQ265" s="37"/>
      <c r="AR265" s="37"/>
      <c r="AS265" s="37"/>
      <c r="AT265" s="37">
        <f>AS265-AD265</f>
        <v>-20</v>
      </c>
      <c r="AU265" s="36" t="str">
        <f>IF(AR265=0,"Waiting",IF(AR265&lt;AH265,"Kurang",IF(AR265=AH265,"Sesuai",IF(AR265&gt;AH265,"Over Shared"))))</f>
        <v>Waiting</v>
      </c>
      <c r="AV265" s="37"/>
      <c r="AW265" s="37" t="str">
        <f>IFERROR(DATEDIF(AH265,AK265,"d"),"0")&amp;"-DAY"</f>
        <v>0-DAY</v>
      </c>
      <c r="AX265" s="37" t="str">
        <f>IFERROR(DATEDIF(B265,AB265,"d"),"0")&amp;"-DAY"</f>
        <v>41-DAY</v>
      </c>
      <c r="AY265" s="37"/>
      <c r="AZ265" s="181">
        <f>L265-AD265</f>
        <v>0</v>
      </c>
    </row>
    <row r="266" spans="1:52" ht="15.5" customHeight="1">
      <c r="A266" s="360" t="s">
        <v>372</v>
      </c>
      <c r="B266" s="340">
        <v>46240</v>
      </c>
      <c r="C266" s="181">
        <v>48987</v>
      </c>
      <c r="D266" s="30">
        <v>46240</v>
      </c>
      <c r="E266" s="30">
        <v>46235</v>
      </c>
      <c r="F266" s="30">
        <v>46245</v>
      </c>
      <c r="G266" s="37">
        <v>4420230539</v>
      </c>
      <c r="H266" s="37" t="s">
        <v>373</v>
      </c>
      <c r="I266" s="37">
        <v>9040026724</v>
      </c>
      <c r="J266" s="37" t="s">
        <v>104</v>
      </c>
      <c r="K266" s="325" t="s">
        <v>105</v>
      </c>
      <c r="L266" s="181">
        <v>5</v>
      </c>
      <c r="M266" s="181" t="s">
        <v>375</v>
      </c>
      <c r="N266" s="37" t="s">
        <v>428</v>
      </c>
      <c r="O266" s="31">
        <f>IF(F266&gt;0,F266-AB266,"")</f>
        <v>-36</v>
      </c>
      <c r="P266" s="37" t="str">
        <f>IF(F266&gt;0,IF(AB266="","PLANNING SUPPLY",IF(AB266&lt;=F266,"ONTIME DELIVERY","DELAY")),"")</f>
        <v>DELAY</v>
      </c>
      <c r="Q266" s="181" t="str">
        <f>IFERROR(IF(J266&gt;0,VLOOKUP(J266,#REF!,MATCH($Q$6,#REF!,0),0),""),"")</f>
        <v/>
      </c>
      <c r="R266" s="181" t="str">
        <f>IFERROR(IF(J266&gt;0,VLOOKUP(J266,#REF!,MATCH($R$6,#REF!,0),0),""),"")</f>
        <v/>
      </c>
      <c r="S266" s="181" t="e">
        <f>IF(I269&gt;0,Q266+R266,"")</f>
        <v>#VALUE!</v>
      </c>
      <c r="T266" s="181"/>
      <c r="U266" s="181"/>
      <c r="V266" s="37"/>
      <c r="W266" s="181" t="e">
        <f>IF(I269&gt;0,IF(S266&gt;L266,"READY STOCK",IF(S266=0,"OUT OF STOCK",IF(S266&lt;L266,"LOW STOCK",""))),"")</f>
        <v>#VALUE!</v>
      </c>
      <c r="X266" s="38"/>
      <c r="Y266" s="38"/>
      <c r="Z266" s="38"/>
      <c r="AA266" s="38"/>
      <c r="AB266" s="50">
        <v>46281</v>
      </c>
      <c r="AC266" s="181">
        <v>34269</v>
      </c>
      <c r="AD266" s="51">
        <v>5</v>
      </c>
      <c r="AE266" s="37" t="s">
        <v>383</v>
      </c>
      <c r="AF266" s="37" t="s">
        <v>381</v>
      </c>
      <c r="AG266" s="33" t="str">
        <f>IF(G266&gt;0,IF(AD266&gt;0,IF(AD266=0,"Waiting",IF(AD266&lt;L266,"Partial",IF(AD266=L266,"Full Supply",IF(AD266&gt;L266,"Over Shared")))),"Waiting"),"")</f>
        <v>Full Supply</v>
      </c>
      <c r="AH266" s="156">
        <v>46246</v>
      </c>
      <c r="AI266" s="37" t="s">
        <v>1283</v>
      </c>
      <c r="AJ266" s="181">
        <v>5</v>
      </c>
      <c r="AK266" s="40">
        <v>26065</v>
      </c>
      <c r="AL266" s="45">
        <v>46255</v>
      </c>
      <c r="AM266" s="40">
        <v>5</v>
      </c>
      <c r="AN266" s="37"/>
      <c r="AO266" s="48">
        <v>46261</v>
      </c>
      <c r="AP266" s="37"/>
      <c r="AQ266" s="37"/>
      <c r="AR266" s="37"/>
      <c r="AS266" s="37"/>
      <c r="AT266" s="37">
        <f>AS266-AD266</f>
        <v>-5</v>
      </c>
      <c r="AU266" s="36" t="str">
        <f>IF(AR266=0,"Waiting",IF(AR266&lt;AH266,"Kurang",IF(AR266=AH266,"Sesuai",IF(AR266&gt;AH266,"Over Shared"))))</f>
        <v>Waiting</v>
      </c>
      <c r="AV266" s="37"/>
      <c r="AW266" s="37" t="str">
        <f>IFERROR(DATEDIF(AH266,AK266,"d"),"0")&amp;"-DAY"</f>
        <v>0-DAY</v>
      </c>
      <c r="AX266" s="37" t="str">
        <f>IFERROR(DATEDIF(B266,AB266,"d"),"0")&amp;"-DAY"</f>
        <v>41-DAY</v>
      </c>
      <c r="AY266" s="37"/>
      <c r="AZ266" s="181">
        <f>L266-AD266</f>
        <v>0</v>
      </c>
    </row>
    <row r="267" spans="1:52" ht="15.5" customHeight="1">
      <c r="A267" s="360" t="s">
        <v>372</v>
      </c>
      <c r="B267" s="340">
        <v>46240</v>
      </c>
      <c r="C267" s="181">
        <v>48987</v>
      </c>
      <c r="D267" s="30">
        <v>46240</v>
      </c>
      <c r="E267" s="30">
        <v>46235</v>
      </c>
      <c r="F267" s="30">
        <v>46245</v>
      </c>
      <c r="G267" s="37">
        <v>4420230539</v>
      </c>
      <c r="H267" s="37" t="s">
        <v>373</v>
      </c>
      <c r="I267" s="37">
        <v>9040021297</v>
      </c>
      <c r="J267" s="37" t="s">
        <v>108</v>
      </c>
      <c r="K267" s="325" t="s">
        <v>109</v>
      </c>
      <c r="L267" s="181">
        <v>4</v>
      </c>
      <c r="M267" s="181" t="s">
        <v>375</v>
      </c>
      <c r="N267" s="37" t="s">
        <v>428</v>
      </c>
      <c r="O267" s="31">
        <f>IF(F267&gt;0,F267-AB267,"")</f>
        <v>-64</v>
      </c>
      <c r="P267" s="37" t="str">
        <f>IF(F267&gt;0,IF(AB267="","PLANNING SUPPLY",IF(AB267&lt;=F267,"ONTIME DELIVERY","DELAY")),"")</f>
        <v>DELAY</v>
      </c>
      <c r="Q267" s="181" t="str">
        <f>IFERROR(IF(J267&gt;0,VLOOKUP(J267,#REF!,MATCH($Q$6,#REF!,0),0),""),"")</f>
        <v/>
      </c>
      <c r="R267" s="181" t="str">
        <f>IFERROR(IF(J267&gt;0,VLOOKUP(J267,#REF!,MATCH($R$6,#REF!,0),0),""),"")</f>
        <v/>
      </c>
      <c r="S267" s="181" t="e">
        <f>IF(I270&gt;0,Q267+R267,"")</f>
        <v>#VALUE!</v>
      </c>
      <c r="T267" s="181"/>
      <c r="U267" s="181"/>
      <c r="V267" s="37"/>
      <c r="W267" s="181" t="e">
        <f>IF(I270&gt;0,IF(S267&gt;L267,"READY STOCK",IF(S267=0,"OUT OF STOCK",IF(S267&lt;L267,"LOW STOCK",""))),"")</f>
        <v>#VALUE!</v>
      </c>
      <c r="X267" s="38"/>
      <c r="Y267" s="38"/>
      <c r="Z267" s="38"/>
      <c r="AA267" s="38"/>
      <c r="AB267" s="50">
        <v>46309</v>
      </c>
      <c r="AC267" s="44">
        <v>35043</v>
      </c>
      <c r="AD267" s="51">
        <v>4</v>
      </c>
      <c r="AE267" s="37" t="s">
        <v>387</v>
      </c>
      <c r="AF267" s="37" t="s">
        <v>381</v>
      </c>
      <c r="AG267" s="33" t="str">
        <f>IF(G267&gt;0,IF(AD267&gt;0,IF(AD267=0,"Waiting",IF(AD267&lt;L267,"Partial",IF(AD267=L267,"Full Supply",IF(AD267&gt;L267,"Over Shared")))),"Waiting"),"")</f>
        <v>Full Supply</v>
      </c>
      <c r="AH267" s="49">
        <v>46261</v>
      </c>
      <c r="AI267" s="37" t="s">
        <v>467</v>
      </c>
      <c r="AJ267" s="181">
        <v>8</v>
      </c>
      <c r="AK267" s="40" t="s">
        <v>1289</v>
      </c>
      <c r="AL267" s="45">
        <v>46286</v>
      </c>
      <c r="AM267" s="40">
        <v>8</v>
      </c>
      <c r="AN267" s="37"/>
      <c r="AO267" s="241">
        <v>46283</v>
      </c>
      <c r="AP267" s="37"/>
      <c r="AQ267" s="37"/>
      <c r="AR267" s="37"/>
      <c r="AS267" s="37"/>
      <c r="AT267" s="37">
        <f>AS267-AD267</f>
        <v>-4</v>
      </c>
      <c r="AU267" s="36" t="str">
        <f>IF(AR267=0,"Waiting",IF(AR267&lt;AH267,"Kurang",IF(AR267=AH267,"Sesuai",IF(AR267&gt;AH267,"Over Shared"))))</f>
        <v>Waiting</v>
      </c>
      <c r="AV267" s="37"/>
      <c r="AW267" s="37" t="str">
        <f>IFERROR(DATEDIF(AH267,AK267,"d"),"0")&amp;"-DAY"</f>
        <v>0-DAY</v>
      </c>
      <c r="AX267" s="37" t="str">
        <f>IFERROR(DATEDIF(B267,AB267,"d"),"0")&amp;"-DAY"</f>
        <v>69-DAY</v>
      </c>
      <c r="AY267" s="37"/>
      <c r="AZ267" s="181">
        <f>L267-AD267</f>
        <v>0</v>
      </c>
    </row>
    <row r="268" spans="1:52" ht="15.5" customHeight="1">
      <c r="A268" s="360" t="s">
        <v>372</v>
      </c>
      <c r="B268" s="340">
        <v>46240</v>
      </c>
      <c r="C268" s="181">
        <v>48987</v>
      </c>
      <c r="D268" s="30">
        <v>46240</v>
      </c>
      <c r="E268" s="30">
        <v>46235</v>
      </c>
      <c r="F268" s="30">
        <v>46245</v>
      </c>
      <c r="G268" s="37">
        <v>4420230539</v>
      </c>
      <c r="H268" s="37" t="s">
        <v>373</v>
      </c>
      <c r="I268" s="37">
        <v>9040028877</v>
      </c>
      <c r="J268" s="37" t="s">
        <v>199</v>
      </c>
      <c r="K268" s="325" t="s">
        <v>200</v>
      </c>
      <c r="L268" s="181">
        <v>25</v>
      </c>
      <c r="M268" s="181" t="s">
        <v>375</v>
      </c>
      <c r="N268" s="37" t="s">
        <v>428</v>
      </c>
      <c r="O268" s="31">
        <f>IF(F268&gt;0,F268-AB268,"")</f>
        <v>-16</v>
      </c>
      <c r="P268" s="37" t="str">
        <f>IF(F268&gt;0,IF(AB268="","PLANNING SUPPLY",IF(AB268&lt;=F268,"ONTIME DELIVERY","DELAY")),"")</f>
        <v>DELAY</v>
      </c>
      <c r="Q268" s="181" t="str">
        <f>IFERROR(IF(J268&gt;0,VLOOKUP(J268,#REF!,MATCH($Q$6,#REF!,0),0),""),"")</f>
        <v/>
      </c>
      <c r="R268" s="181" t="str">
        <f>IFERROR(IF(J268&gt;0,VLOOKUP(J268,#REF!,MATCH($R$6,#REF!,0),0),""),"")</f>
        <v/>
      </c>
      <c r="S268" s="181" t="e">
        <f>IF(I271&gt;0,Q268+R268,"")</f>
        <v>#VALUE!</v>
      </c>
      <c r="T268" s="181"/>
      <c r="U268" s="181"/>
      <c r="V268" s="37"/>
      <c r="W268" s="181" t="e">
        <f>IF(I271&gt;0,IF(S268&gt;L268,"READY STOCK",IF(S268=0,"OUT OF STOCK",IF(S268&lt;L268,"LOW STOCK",""))),"")</f>
        <v>#VALUE!</v>
      </c>
      <c r="X268" s="38"/>
      <c r="Y268" s="38"/>
      <c r="Z268" s="38"/>
      <c r="AA268" s="38"/>
      <c r="AB268" s="50">
        <v>46261</v>
      </c>
      <c r="AC268" s="181">
        <v>33884</v>
      </c>
      <c r="AD268" s="51">
        <v>25</v>
      </c>
      <c r="AE268" s="37" t="s">
        <v>383</v>
      </c>
      <c r="AF268" s="37" t="s">
        <v>381</v>
      </c>
      <c r="AG268" s="33" t="str">
        <f>IF(G268&gt;0,IF(AD268&gt;0,IF(AD268=0,"Waiting",IF(AD268&lt;L268,"Partial",IF(AD268=L268,"Full Supply",IF(AD268&gt;L268,"Over Shared")))),"Waiting"),"")</f>
        <v>Full Supply</v>
      </c>
      <c r="AH268" s="37"/>
      <c r="AI268" s="37"/>
      <c r="AJ268" s="181"/>
      <c r="AK268" s="40"/>
      <c r="AL268" s="40"/>
      <c r="AM268" s="40"/>
      <c r="AN268" s="37"/>
      <c r="AO268" s="34"/>
      <c r="AP268" s="37"/>
      <c r="AQ268" s="37"/>
      <c r="AR268" s="37"/>
      <c r="AS268" s="37"/>
      <c r="AT268" s="37">
        <f>AS268-AD268</f>
        <v>-25</v>
      </c>
      <c r="AU268" s="36" t="str">
        <f>IF(AR268=0,"Waiting",IF(AR268&lt;AH268,"Kurang",IF(AR268=AH268,"Sesuai",IF(AR268&gt;AH268,"Over Shared"))))</f>
        <v>Waiting</v>
      </c>
      <c r="AV268" s="37"/>
      <c r="AW268" s="37" t="str">
        <f>IFERROR(DATEDIF(AH268,AK268,"d"),"0")&amp;"-DAY"</f>
        <v>0-DAY</v>
      </c>
      <c r="AX268" s="37" t="str">
        <f>IFERROR(DATEDIF(B268,AB268,"d"),"0")&amp;"-DAY"</f>
        <v>21-DAY</v>
      </c>
      <c r="AY268" s="37"/>
      <c r="AZ268" s="181">
        <f>L268-AD268</f>
        <v>0</v>
      </c>
    </row>
    <row r="269" spans="1:52" ht="15.5" customHeight="1">
      <c r="A269" s="360" t="s">
        <v>372</v>
      </c>
      <c r="B269" s="340">
        <v>46240</v>
      </c>
      <c r="C269" s="181">
        <v>48987</v>
      </c>
      <c r="D269" s="30">
        <v>46240</v>
      </c>
      <c r="E269" s="30">
        <v>46235</v>
      </c>
      <c r="F269" s="30">
        <v>46245</v>
      </c>
      <c r="G269" s="37">
        <v>4420230539</v>
      </c>
      <c r="H269" s="37" t="s">
        <v>373</v>
      </c>
      <c r="I269" s="37">
        <v>9040040486</v>
      </c>
      <c r="J269" s="37" t="s">
        <v>165</v>
      </c>
      <c r="K269" s="325" t="s">
        <v>166</v>
      </c>
      <c r="L269" s="181">
        <v>40</v>
      </c>
      <c r="M269" s="181" t="s">
        <v>375</v>
      </c>
      <c r="N269" s="37" t="s">
        <v>428</v>
      </c>
      <c r="O269" s="31">
        <f>IF(F269&gt;0,F269-AB269,"")</f>
        <v>-8</v>
      </c>
      <c r="P269" s="37" t="str">
        <f>IF(F269&gt;0,IF(AB269="","PLANNING SUPPLY",IF(AB269&lt;=F269,"ONTIME DELIVERY","DELAY")),"")</f>
        <v>DELAY</v>
      </c>
      <c r="Q269" s="181" t="str">
        <f>IFERROR(IF(J269&gt;0,VLOOKUP(J269,#REF!,MATCH($Q$6,#REF!,0),0),""),"")</f>
        <v/>
      </c>
      <c r="R269" s="181" t="str">
        <f>IFERROR(IF(J269&gt;0,VLOOKUP(J269,#REF!,MATCH($R$6,#REF!,0),0),""),"")</f>
        <v/>
      </c>
      <c r="S269" s="181" t="e">
        <f>IF(I272&gt;0,Q269+R269,"")</f>
        <v>#VALUE!</v>
      </c>
      <c r="T269" s="181"/>
      <c r="U269" s="181"/>
      <c r="V269" s="37"/>
      <c r="W269" s="181" t="e">
        <f>IF(I272&gt;0,IF(S269&gt;L269,"READY STOCK",IF(S269=0,"OUT OF STOCK",IF(S269&lt;L269,"LOW STOCK",""))),"")</f>
        <v>#VALUE!</v>
      </c>
      <c r="X269" s="38"/>
      <c r="Y269" s="38"/>
      <c r="Z269" s="38"/>
      <c r="AA269" s="38"/>
      <c r="AB269" s="50">
        <v>46253</v>
      </c>
      <c r="AC269" s="181">
        <v>33755</v>
      </c>
      <c r="AD269" s="51">
        <v>40</v>
      </c>
      <c r="AE269" s="37" t="s">
        <v>383</v>
      </c>
      <c r="AF269" s="37" t="s">
        <v>381</v>
      </c>
      <c r="AG269" s="33" t="str">
        <f>IF(G269&gt;0,IF(AD269&gt;0,IF(AD269=0,"Waiting",IF(AD269&lt;L269,"Partial",IF(AD269=L269,"Full Supply",IF(AD269&gt;L269,"Over Shared")))),"Waiting"),"")</f>
        <v>Full Supply</v>
      </c>
      <c r="AH269" s="37"/>
      <c r="AI269" s="37"/>
      <c r="AJ269" s="181"/>
      <c r="AK269" s="40"/>
      <c r="AL269" s="40"/>
      <c r="AM269" s="40"/>
      <c r="AN269" s="37"/>
      <c r="AO269" s="34"/>
      <c r="AP269" s="37"/>
      <c r="AQ269" s="37"/>
      <c r="AR269" s="37"/>
      <c r="AS269" s="37"/>
      <c r="AT269" s="37">
        <f>AS269-AD269</f>
        <v>-40</v>
      </c>
      <c r="AU269" s="36" t="str">
        <f>IF(AR269=0,"Waiting",IF(AR269&lt;AH269,"Kurang",IF(AR269=AH269,"Sesuai",IF(AR269&gt;AH269,"Over Shared"))))</f>
        <v>Waiting</v>
      </c>
      <c r="AV269" s="37"/>
      <c r="AW269" s="37" t="str">
        <f>IFERROR(DATEDIF(AH269,AK269,"d"),"0")&amp;"-DAY"</f>
        <v>0-DAY</v>
      </c>
      <c r="AX269" s="37" t="str">
        <f>IFERROR(DATEDIF(B269,AB269,"d"),"0")&amp;"-DAY"</f>
        <v>13-DAY</v>
      </c>
      <c r="AY269" s="37"/>
      <c r="AZ269" s="181">
        <f>L269-AD269</f>
        <v>0</v>
      </c>
    </row>
    <row r="270" spans="1:52" ht="15.5" customHeight="1">
      <c r="A270" s="360" t="s">
        <v>372</v>
      </c>
      <c r="B270" s="340">
        <v>46240</v>
      </c>
      <c r="C270" s="181">
        <v>48987</v>
      </c>
      <c r="D270" s="30">
        <v>46240</v>
      </c>
      <c r="E270" s="30">
        <v>46235</v>
      </c>
      <c r="F270" s="30">
        <v>46245</v>
      </c>
      <c r="G270" s="37">
        <v>4420230539</v>
      </c>
      <c r="H270" s="37" t="s">
        <v>373</v>
      </c>
      <c r="I270" s="37">
        <v>9040042096</v>
      </c>
      <c r="J270" s="37" t="s">
        <v>159</v>
      </c>
      <c r="K270" s="325" t="s">
        <v>160</v>
      </c>
      <c r="L270" s="181">
        <v>20</v>
      </c>
      <c r="M270" s="181" t="s">
        <v>375</v>
      </c>
      <c r="N270" s="37" t="s">
        <v>428</v>
      </c>
      <c r="O270" s="31">
        <f>IF(F270&gt;0,F270-AB270,"")</f>
        <v>-3</v>
      </c>
      <c r="P270" s="37" t="str">
        <f>IF(F270&gt;0,IF(AB270="","PLANNING SUPPLY",IF(AB270&lt;=F270,"ONTIME DELIVERY","DELAY")),"")</f>
        <v>DELAY</v>
      </c>
      <c r="Q270" s="181" t="str">
        <f>IFERROR(IF(J270&gt;0,VLOOKUP(J270,#REF!,MATCH($Q$6,#REF!,0),0),""),"")</f>
        <v/>
      </c>
      <c r="R270" s="181" t="str">
        <f>IFERROR(IF(J270&gt;0,VLOOKUP(J270,#REF!,MATCH($R$6,#REF!,0),0),""),"")</f>
        <v/>
      </c>
      <c r="S270" s="181" t="e">
        <f>IF(I273&gt;0,Q270+R270,"")</f>
        <v>#VALUE!</v>
      </c>
      <c r="T270" s="181"/>
      <c r="U270" s="181"/>
      <c r="V270" s="37"/>
      <c r="W270" s="181" t="e">
        <f>IF(I273&gt;0,IF(S270&gt;L270,"READY STOCK",IF(S270=0,"OUT OF STOCK",IF(S270&lt;L270,"LOW STOCK",""))),"")</f>
        <v>#VALUE!</v>
      </c>
      <c r="X270" s="38"/>
      <c r="Y270" s="38"/>
      <c r="Z270" s="38"/>
      <c r="AA270" s="38"/>
      <c r="AB270" s="50">
        <v>46248</v>
      </c>
      <c r="AC270" s="181">
        <v>33687</v>
      </c>
      <c r="AD270" s="51">
        <v>20</v>
      </c>
      <c r="AE270" s="37" t="s">
        <v>387</v>
      </c>
      <c r="AF270" s="37" t="s">
        <v>381</v>
      </c>
      <c r="AG270" s="33" t="str">
        <f>IF(G270&gt;0,IF(AD270&gt;0,IF(AD270=0,"Waiting",IF(AD270&lt;L270,"Partial",IF(AD270=L270,"Full Supply",IF(AD270&gt;L270,"Over Shared")))),"Waiting"),"")</f>
        <v>Full Supply</v>
      </c>
      <c r="AH270" s="37"/>
      <c r="AI270" s="37"/>
      <c r="AJ270" s="181"/>
      <c r="AK270" s="40"/>
      <c r="AL270" s="40"/>
      <c r="AM270" s="40"/>
      <c r="AN270" s="37"/>
      <c r="AO270" s="34"/>
      <c r="AP270" s="37"/>
      <c r="AQ270" s="37"/>
      <c r="AR270" s="37"/>
      <c r="AS270" s="37"/>
      <c r="AT270" s="37">
        <f>AS270-AD270</f>
        <v>-20</v>
      </c>
      <c r="AU270" s="36" t="str">
        <f>IF(AR270=0,"Waiting",IF(AR270&lt;AH270,"Kurang",IF(AR270=AH270,"Sesuai",IF(AR270&gt;AH270,"Over Shared"))))</f>
        <v>Waiting</v>
      </c>
      <c r="AV270" s="37">
        <v>54586</v>
      </c>
      <c r="AW270" s="37" t="str">
        <f>IFERROR(DATEDIF(AH270,AK270,"d"),"0")&amp;"-DAY"</f>
        <v>0-DAY</v>
      </c>
      <c r="AX270" s="37" t="str">
        <f>IFERROR(DATEDIF(B270,AB270,"d"),"0")&amp;"-DAY"</f>
        <v>8-DAY</v>
      </c>
      <c r="AY270" s="37"/>
      <c r="AZ270" s="181">
        <f>L270-AD270</f>
        <v>0</v>
      </c>
    </row>
    <row r="271" spans="1:52" ht="15.5" customHeight="1">
      <c r="A271" s="360" t="s">
        <v>372</v>
      </c>
      <c r="B271" s="340">
        <v>46240</v>
      </c>
      <c r="C271" s="181">
        <v>48987</v>
      </c>
      <c r="D271" s="30">
        <v>46240</v>
      </c>
      <c r="E271" s="30">
        <v>46235</v>
      </c>
      <c r="F271" s="30">
        <v>46245</v>
      </c>
      <c r="G271" s="37">
        <v>4420230539</v>
      </c>
      <c r="H271" s="37" t="s">
        <v>373</v>
      </c>
      <c r="I271" s="37">
        <v>9040009495</v>
      </c>
      <c r="J271" s="37" t="s">
        <v>320</v>
      </c>
      <c r="K271" s="325" t="s">
        <v>321</v>
      </c>
      <c r="L271" s="181">
        <v>7</v>
      </c>
      <c r="M271" s="181" t="s">
        <v>375</v>
      </c>
      <c r="N271" s="37" t="s">
        <v>428</v>
      </c>
      <c r="O271" s="31">
        <f>IF(F271&gt;0,F271-AB271,"")</f>
        <v>-55</v>
      </c>
      <c r="P271" s="37" t="str">
        <f>IF(F271&gt;0,IF(AB271="","PLANNING SUPPLY",IF(AB271&lt;=F271,"ONTIME DELIVERY","DELAY")),"")</f>
        <v>DELAY</v>
      </c>
      <c r="Q271" s="181" t="str">
        <f>IFERROR(IF(J271&gt;0,VLOOKUP(J271,#REF!,MATCH($Q$6,#REF!,0),0),""),"")</f>
        <v/>
      </c>
      <c r="R271" s="181" t="str">
        <f>IFERROR(IF(J271&gt;0,VLOOKUP(J271,#REF!,MATCH($R$6,#REF!,0),0),""),"")</f>
        <v/>
      </c>
      <c r="S271" s="181" t="e">
        <f>IF(I274&gt;0,Q271+R271,"")</f>
        <v>#VALUE!</v>
      </c>
      <c r="T271" s="181"/>
      <c r="U271" s="181"/>
      <c r="V271" s="37"/>
      <c r="W271" s="181" t="e">
        <f>IF(I274&gt;0,IF(S271&gt;L271,"READY STOCK",IF(S271=0,"OUT OF STOCK",IF(S271&lt;L271,"LOW STOCK",""))),"")</f>
        <v>#VALUE!</v>
      </c>
      <c r="X271" s="38"/>
      <c r="Y271" s="38"/>
      <c r="Z271" s="38"/>
      <c r="AA271" s="38"/>
      <c r="AB271" s="50">
        <v>46300</v>
      </c>
      <c r="AC271" s="44">
        <v>34708</v>
      </c>
      <c r="AD271" s="51">
        <v>7</v>
      </c>
      <c r="AE271" s="37" t="s">
        <v>387</v>
      </c>
      <c r="AF271" s="37" t="s">
        <v>381</v>
      </c>
      <c r="AG271" s="33" t="str">
        <f>IF(G271&gt;0,IF(AD271&gt;0,IF(AD271=0,"Waiting",IF(AD271&lt;L271,"Partial",IF(AD271=L271,"Full Supply",IF(AD271&gt;L271,"Over Shared")))),"Waiting"),"")</f>
        <v>Full Supply</v>
      </c>
      <c r="AH271" s="156"/>
      <c r="AI271" s="37"/>
      <c r="AJ271" s="181"/>
      <c r="AK271" s="40"/>
      <c r="AL271" s="40"/>
      <c r="AM271" s="40"/>
      <c r="AN271" s="216"/>
      <c r="AO271" s="34"/>
      <c r="AP271" s="37"/>
      <c r="AQ271" s="37"/>
      <c r="AR271" s="37"/>
      <c r="AS271" s="37"/>
      <c r="AT271" s="37">
        <f>AS271-AD271</f>
        <v>-7</v>
      </c>
      <c r="AU271" s="36" t="str">
        <f>IF(AR271=0,"Waiting",IF(AR271&lt;AH271,"Kurang",IF(AR271=AH271,"Sesuai",IF(AR271&gt;AH271,"Over Shared"))))</f>
        <v>Waiting</v>
      </c>
      <c r="AV271" s="37"/>
      <c r="AW271" s="37" t="str">
        <f>IFERROR(DATEDIF(AH271,AK271,"d"),"0")&amp;"-DAY"</f>
        <v>0-DAY</v>
      </c>
      <c r="AX271" s="37" t="str">
        <f>IFERROR(DATEDIF(B271,AB271,"d"),"0")&amp;"-DAY"</f>
        <v>60-DAY</v>
      </c>
      <c r="AY271" s="37"/>
      <c r="AZ271" s="181">
        <f>L271-AD271</f>
        <v>0</v>
      </c>
    </row>
    <row r="272" spans="1:52" ht="15.5" customHeight="1">
      <c r="A272" s="360" t="s">
        <v>372</v>
      </c>
      <c r="B272" s="340">
        <v>46240</v>
      </c>
      <c r="C272" s="181">
        <v>48987</v>
      </c>
      <c r="D272" s="30">
        <v>46240</v>
      </c>
      <c r="E272" s="30">
        <v>46235</v>
      </c>
      <c r="F272" s="30">
        <v>46245</v>
      </c>
      <c r="G272" s="37">
        <v>4420230539</v>
      </c>
      <c r="H272" s="37" t="s">
        <v>373</v>
      </c>
      <c r="I272" s="37">
        <v>9040040933</v>
      </c>
      <c r="J272" s="37" t="s">
        <v>295</v>
      </c>
      <c r="K272" s="325" t="s">
        <v>296</v>
      </c>
      <c r="L272" s="181">
        <v>3</v>
      </c>
      <c r="M272" s="181" t="s">
        <v>375</v>
      </c>
      <c r="N272" s="37" t="s">
        <v>428</v>
      </c>
      <c r="O272" s="31">
        <f>IF(F272&gt;0,F272-AB272,"")</f>
        <v>-1</v>
      </c>
      <c r="P272" s="37" t="str">
        <f>IF(F272&gt;0,IF(AB272="","PLANNING SUPPLY",IF(AB272&lt;=F272,"ONTIME DELIVERY","DELAY")),"")</f>
        <v>DELAY</v>
      </c>
      <c r="Q272" s="181" t="str">
        <f>IFERROR(IF(J272&gt;0,VLOOKUP(J272,#REF!,MATCH($Q$6,#REF!,0),0),""),"")</f>
        <v/>
      </c>
      <c r="R272" s="181" t="str">
        <f>IFERROR(IF(J272&gt;0,VLOOKUP(J272,#REF!,MATCH($R$6,#REF!,0),0),""),"")</f>
        <v/>
      </c>
      <c r="S272" s="181" t="e">
        <f>IF(I275&gt;0,Q272+R272,"")</f>
        <v>#VALUE!</v>
      </c>
      <c r="T272" s="181"/>
      <c r="U272" s="181"/>
      <c r="V272" s="37"/>
      <c r="W272" s="181" t="e">
        <f>IF(I275&gt;0,IF(S272&gt;L272,"READY STOCK",IF(S272=0,"OUT OF STOCK",IF(S272&lt;L272,"LOW STOCK",""))),"")</f>
        <v>#VALUE!</v>
      </c>
      <c r="X272" s="38"/>
      <c r="Y272" s="38"/>
      <c r="Z272" s="38"/>
      <c r="AA272" s="38"/>
      <c r="AB272" s="50">
        <v>46246</v>
      </c>
      <c r="AC272" s="181">
        <v>33597</v>
      </c>
      <c r="AD272" s="51">
        <v>3</v>
      </c>
      <c r="AE272" s="37" t="s">
        <v>387</v>
      </c>
      <c r="AF272" s="37" t="s">
        <v>381</v>
      </c>
      <c r="AG272" s="33" t="str">
        <f>IF(G272&gt;0,IF(AD272&gt;0,IF(AD272=0,"Waiting",IF(AD272&lt;L272,"Partial",IF(AD272=L272,"Full Supply",IF(AD272&gt;L272,"Over Shared")))),"Waiting"),"")</f>
        <v>Full Supply</v>
      </c>
      <c r="AH272" s="37"/>
      <c r="AI272" s="37"/>
      <c r="AJ272" s="181"/>
      <c r="AK272" s="40"/>
      <c r="AL272" s="40"/>
      <c r="AM272" s="40"/>
      <c r="AN272" s="37"/>
      <c r="AO272" s="34"/>
      <c r="AP272" s="37"/>
      <c r="AQ272" s="37"/>
      <c r="AR272" s="37"/>
      <c r="AS272" s="37"/>
      <c r="AT272" s="37">
        <f>AS272-AD272</f>
        <v>-3</v>
      </c>
      <c r="AU272" s="36" t="str">
        <f>IF(AR272=0,"Waiting",IF(AR272&lt;AH272,"Kurang",IF(AR272=AH272,"Sesuai",IF(AR272&gt;AH272,"Over Shared"))))</f>
        <v>Waiting</v>
      </c>
      <c r="AV272" s="37">
        <v>54586</v>
      </c>
      <c r="AW272" s="37" t="str">
        <f>IFERROR(DATEDIF(AH272,AK272,"d"),"0")&amp;"-DAY"</f>
        <v>0-DAY</v>
      </c>
      <c r="AX272" s="37" t="str">
        <f>IFERROR(DATEDIF(B272,AB272,"d"),"0")&amp;"-DAY"</f>
        <v>6-DAY</v>
      </c>
      <c r="AY272" s="37"/>
      <c r="AZ272" s="181">
        <f>L272-AD272</f>
        <v>0</v>
      </c>
    </row>
    <row r="273" spans="1:52" ht="15.5" customHeight="1">
      <c r="A273" s="360" t="s">
        <v>372</v>
      </c>
      <c r="B273" s="340">
        <v>46240</v>
      </c>
      <c r="C273" s="181">
        <v>48987</v>
      </c>
      <c r="D273" s="30">
        <v>46240</v>
      </c>
      <c r="E273" s="30">
        <v>46235</v>
      </c>
      <c r="F273" s="30">
        <v>46245</v>
      </c>
      <c r="G273" s="37">
        <v>4420230539</v>
      </c>
      <c r="H273" s="37" t="s">
        <v>373</v>
      </c>
      <c r="I273" s="37">
        <v>9040044285</v>
      </c>
      <c r="J273" s="37" t="s">
        <v>100</v>
      </c>
      <c r="K273" s="325" t="s">
        <v>101</v>
      </c>
      <c r="L273" s="181">
        <v>5</v>
      </c>
      <c r="M273" s="181" t="s">
        <v>427</v>
      </c>
      <c r="N273" s="37" t="s">
        <v>428</v>
      </c>
      <c r="O273" s="31">
        <f>IF(F273&gt;0,F273-AB273,"")</f>
        <v>-44</v>
      </c>
      <c r="P273" s="37" t="str">
        <f>IF(F273&gt;0,IF(AB273="","PLANNING SUPPLY",IF(AB273&lt;=F273,"ONTIME DELIVERY","DELAY")),"")</f>
        <v>DELAY</v>
      </c>
      <c r="Q273" s="181" t="str">
        <f>IFERROR(IF(J273&gt;0,VLOOKUP(J273,#REF!,MATCH($Q$6,#REF!,0),0),""),"")</f>
        <v/>
      </c>
      <c r="R273" s="181" t="str">
        <f>IFERROR(IF(J273&gt;0,VLOOKUP(J273,#REF!,MATCH($R$6,#REF!,0),0),""),"")</f>
        <v/>
      </c>
      <c r="S273" s="181" t="e">
        <f>IF(I276&gt;0,Q273+R273,"")</f>
        <v>#VALUE!</v>
      </c>
      <c r="T273" s="181"/>
      <c r="U273" s="181"/>
      <c r="V273" s="37"/>
      <c r="W273" s="181" t="e">
        <f>IF(I276&gt;0,IF(S273&gt;L273,"READY STOCK",IF(S273=0,"OUT OF STOCK",IF(S273&lt;L273,"LOW STOCK",""))),"")</f>
        <v>#VALUE!</v>
      </c>
      <c r="X273" s="38"/>
      <c r="Y273" s="38"/>
      <c r="Z273" s="38"/>
      <c r="AA273" s="38"/>
      <c r="AB273" s="50">
        <v>46289</v>
      </c>
      <c r="AC273" s="181">
        <v>34544</v>
      </c>
      <c r="AD273" s="51">
        <v>5</v>
      </c>
      <c r="AE273" s="37" t="s">
        <v>387</v>
      </c>
      <c r="AF273" s="37" t="s">
        <v>381</v>
      </c>
      <c r="AG273" s="33" t="str">
        <f>IF(G273&gt;0,IF(AD273&gt;0,IF(AD273=0,"Waiting",IF(AD273&lt;L273,"Partial",IF(AD273=L273,"Full Supply",IF(AD273&gt;L273,"Over Shared")))),"Waiting"),"")</f>
        <v>Full Supply</v>
      </c>
      <c r="AH273" s="156">
        <v>46261</v>
      </c>
      <c r="AI273" s="37" t="s">
        <v>467</v>
      </c>
      <c r="AJ273" s="181">
        <v>5</v>
      </c>
      <c r="AK273" s="40">
        <v>26178</v>
      </c>
      <c r="AL273" s="189">
        <v>46269</v>
      </c>
      <c r="AM273" s="40">
        <v>5</v>
      </c>
      <c r="AN273" s="37"/>
      <c r="AO273" s="239">
        <v>46298</v>
      </c>
      <c r="AP273" s="37"/>
      <c r="AQ273" s="37"/>
      <c r="AR273" s="37"/>
      <c r="AS273" s="37"/>
      <c r="AT273" s="37">
        <f>AS273-AD273</f>
        <v>-5</v>
      </c>
      <c r="AU273" s="36" t="str">
        <f>IF(AR273=0,"Waiting",IF(AR273&lt;AH273,"Kurang",IF(AR273=AH273,"Sesuai",IF(AR273&gt;AH273,"Over Shared"))))</f>
        <v>Waiting</v>
      </c>
      <c r="AV273" s="37"/>
      <c r="AW273" s="37" t="str">
        <f>IFERROR(DATEDIF(AH273,AK273,"d"),"0")&amp;"-DAY"</f>
        <v>0-DAY</v>
      </c>
      <c r="AX273" s="37" t="str">
        <f>IFERROR(DATEDIF(B273,AB273,"d"),"0")&amp;"-DAY"</f>
        <v>49-DAY</v>
      </c>
      <c r="AY273" s="37"/>
      <c r="AZ273" s="181">
        <f>L273-AD273</f>
        <v>0</v>
      </c>
    </row>
    <row r="274" spans="1:52" ht="15.5" customHeight="1">
      <c r="A274" s="360" t="s">
        <v>372</v>
      </c>
      <c r="B274" s="340">
        <v>46240</v>
      </c>
      <c r="C274" s="181">
        <v>48987</v>
      </c>
      <c r="D274" s="30">
        <v>46240</v>
      </c>
      <c r="E274" s="30">
        <v>46235</v>
      </c>
      <c r="F274" s="30">
        <v>46245</v>
      </c>
      <c r="G274" s="37">
        <v>4420230539</v>
      </c>
      <c r="H274" s="37" t="s">
        <v>373</v>
      </c>
      <c r="I274" s="37">
        <v>9040044304</v>
      </c>
      <c r="J274" s="37" t="s">
        <v>290</v>
      </c>
      <c r="K274" s="325" t="s">
        <v>291</v>
      </c>
      <c r="L274" s="181">
        <v>5</v>
      </c>
      <c r="M274" s="181" t="s">
        <v>375</v>
      </c>
      <c r="N274" s="37" t="s">
        <v>428</v>
      </c>
      <c r="O274" s="31">
        <f>IF(F274&gt;0,F274-AB274,"")</f>
        <v>46245</v>
      </c>
      <c r="P274" s="37" t="str">
        <f>IF(F274&gt;0,IF(AB274="","PLANNING SUPPLY",IF(AB274&lt;=F274,"ONTIME DELIVERY","DELAY")),"")</f>
        <v>PLANNING SUPPLY</v>
      </c>
      <c r="Q274" s="181" t="str">
        <f>IFERROR(IF(J274&gt;0,VLOOKUP(J274,#REF!,MATCH($Q$6,#REF!,0),0),""),"")</f>
        <v/>
      </c>
      <c r="R274" s="181" t="str">
        <f>IFERROR(IF(J274&gt;0,VLOOKUP(J274,#REF!,MATCH($R$6,#REF!,0),0),""),"")</f>
        <v/>
      </c>
      <c r="S274" s="181" t="e">
        <f>IF(I277&gt;0,Q274+R274,"")</f>
        <v>#VALUE!</v>
      </c>
      <c r="T274" s="181"/>
      <c r="U274" s="181"/>
      <c r="V274" s="37"/>
      <c r="W274" s="181" t="e">
        <f>IF(I277&gt;0,IF(S274&gt;L274,"READY STOCK",IF(S274=0,"OUT OF STOCK",IF(S274&lt;L274,"LOW STOCK",""))),"")</f>
        <v>#VALUE!</v>
      </c>
      <c r="X274" s="38"/>
      <c r="Y274" s="38"/>
      <c r="Z274" s="38"/>
      <c r="AA274" s="38"/>
      <c r="AB274" s="50"/>
      <c r="AC274" s="181"/>
      <c r="AD274" s="51"/>
      <c r="AE274" s="37"/>
      <c r="AF274" s="37"/>
      <c r="AG274" s="33" t="str">
        <f>IF(G274&gt;0,IF(AD274&gt;0,IF(AD274=0,"Waiting",IF(AD274&lt;L274,"Partial",IF(AD274=L274,"Full Supply",IF(AD274&gt;L274,"Over Shared")))),"Waiting"),"")</f>
        <v>Waiting</v>
      </c>
      <c r="AH274" s="56">
        <v>46247</v>
      </c>
      <c r="AI274" s="37" t="s">
        <v>646</v>
      </c>
      <c r="AJ274" s="181">
        <v>5</v>
      </c>
      <c r="AK274" s="40">
        <v>26497</v>
      </c>
      <c r="AL274" s="42">
        <v>46295</v>
      </c>
      <c r="AM274" s="40">
        <v>5</v>
      </c>
      <c r="AN274" s="40" t="s">
        <v>1290</v>
      </c>
      <c r="AO274" s="46">
        <v>46296</v>
      </c>
      <c r="AP274" s="37"/>
      <c r="AQ274" s="37"/>
      <c r="AR274" s="37"/>
      <c r="AS274" s="37"/>
      <c r="AT274" s="37">
        <f>AS274-AD274</f>
        <v>0</v>
      </c>
      <c r="AU274" s="36" t="str">
        <f>IF(AR274=0,"Waiting",IF(AR274&lt;AH274,"Kurang",IF(AR274=AH274,"Sesuai",IF(AR274&gt;AH274,"Over Shared"))))</f>
        <v>Waiting</v>
      </c>
      <c r="AV274" s="37"/>
      <c r="AW274" s="37" t="str">
        <f>IFERROR(DATEDIF(AH274,AK274,"d"),"0")&amp;"-DAY"</f>
        <v>0-DAY</v>
      </c>
      <c r="AX274" s="37" t="str">
        <f>IFERROR(DATEDIF(B274,AB274,"d"),"0")&amp;"-DAY"</f>
        <v>0-DAY</v>
      </c>
      <c r="AY274" s="37"/>
      <c r="AZ274" s="181">
        <f>L274-AD274</f>
        <v>5</v>
      </c>
    </row>
    <row r="275" spans="1:52" ht="15.5" customHeight="1">
      <c r="A275" s="360" t="s">
        <v>372</v>
      </c>
      <c r="B275" s="340">
        <v>46240</v>
      </c>
      <c r="C275" s="181">
        <v>48987</v>
      </c>
      <c r="D275" s="30">
        <v>46240</v>
      </c>
      <c r="E275" s="30">
        <v>46235</v>
      </c>
      <c r="F275" s="30">
        <v>46245</v>
      </c>
      <c r="G275" s="37">
        <v>4420230539</v>
      </c>
      <c r="H275" s="37" t="s">
        <v>373</v>
      </c>
      <c r="I275" s="37">
        <v>9040009391</v>
      </c>
      <c r="J275" s="37" t="s">
        <v>293</v>
      </c>
      <c r="K275" s="325" t="s">
        <v>294</v>
      </c>
      <c r="L275" s="181">
        <v>17</v>
      </c>
      <c r="M275" s="181" t="s">
        <v>375</v>
      </c>
      <c r="N275" s="37" t="s">
        <v>428</v>
      </c>
      <c r="O275" s="31">
        <f>IF(F275&gt;0,F275-AB275,"")</f>
        <v>4</v>
      </c>
      <c r="P275" s="37" t="str">
        <f>IF(F275&gt;0,IF(AB275="","PLANNING SUPPLY",IF(AB275&lt;=F275,"ONTIME DELIVERY","DELAY")),"")</f>
        <v>ONTIME DELIVERY</v>
      </c>
      <c r="Q275" s="181" t="str">
        <f>IFERROR(IF(J275&gt;0,VLOOKUP(J275,#REF!,MATCH($Q$6,#REF!,0),0),""),"")</f>
        <v/>
      </c>
      <c r="R275" s="181" t="str">
        <f>IFERROR(IF(J275&gt;0,VLOOKUP(J275,#REF!,MATCH($R$6,#REF!,0),0),""),"")</f>
        <v/>
      </c>
      <c r="S275" s="181" t="e">
        <f>IF(I278&gt;0,Q275+R275,"")</f>
        <v>#VALUE!</v>
      </c>
      <c r="T275" s="181"/>
      <c r="U275" s="181"/>
      <c r="V275" s="37"/>
      <c r="W275" s="181" t="e">
        <f>IF(I278&gt;0,IF(S275&gt;L275,"READY STOCK",IF(S275=0,"OUT OF STOCK",IF(S275&lt;L275,"LOW STOCK",""))),"")</f>
        <v>#VALUE!</v>
      </c>
      <c r="X275" s="38"/>
      <c r="Y275" s="38"/>
      <c r="Z275" s="38"/>
      <c r="AA275" s="38"/>
      <c r="AB275" s="50">
        <v>46241</v>
      </c>
      <c r="AC275" s="181">
        <v>33481</v>
      </c>
      <c r="AD275" s="51">
        <v>17</v>
      </c>
      <c r="AE275" s="37" t="s">
        <v>387</v>
      </c>
      <c r="AF275" s="37" t="s">
        <v>381</v>
      </c>
      <c r="AG275" s="33" t="str">
        <f>IF(G275&gt;0,IF(AD275&gt;0,IF(AD275=0,"Waiting",IF(AD275&lt;L275,"Partial",IF(AD275=L275,"Full Supply",IF(AD275&gt;L275,"Over Shared")))),"Waiting"),"")</f>
        <v>Full Supply</v>
      </c>
      <c r="AH275" s="37"/>
      <c r="AI275" s="37"/>
      <c r="AJ275" s="181"/>
      <c r="AK275" s="40"/>
      <c r="AL275" s="40"/>
      <c r="AM275" s="40"/>
      <c r="AN275" s="37"/>
      <c r="AO275" s="34"/>
      <c r="AP275" s="37"/>
      <c r="AQ275" s="37"/>
      <c r="AR275" s="37"/>
      <c r="AS275" s="37"/>
      <c r="AT275" s="37">
        <f>AS275-AD275</f>
        <v>-17</v>
      </c>
      <c r="AU275" s="36" t="str">
        <f>IF(AR275=0,"Waiting",IF(AR275&lt;AH275,"Kurang",IF(AR275=AH275,"Sesuai",IF(AR275&gt;AH275,"Over Shared"))))</f>
        <v>Waiting</v>
      </c>
      <c r="AV275" s="37"/>
      <c r="AW275" s="37" t="str">
        <f>IFERROR(DATEDIF(AH275,AK275,"d"),"0")&amp;"-DAY"</f>
        <v>0-DAY</v>
      </c>
      <c r="AX275" s="37" t="str">
        <f>IFERROR(DATEDIF(B275,AB275,"d"),"0")&amp;"-DAY"</f>
        <v>1-DAY</v>
      </c>
      <c r="AY275" s="37"/>
      <c r="AZ275" s="181">
        <f>L275-AD275</f>
        <v>0</v>
      </c>
    </row>
    <row r="276" spans="1:52" ht="15.5" customHeight="1">
      <c r="A276" s="360" t="s">
        <v>372</v>
      </c>
      <c r="B276" s="340">
        <v>46240</v>
      </c>
      <c r="C276" s="181">
        <v>48987</v>
      </c>
      <c r="D276" s="30">
        <v>46240</v>
      </c>
      <c r="E276" s="30">
        <v>46235</v>
      </c>
      <c r="F276" s="30">
        <v>46245</v>
      </c>
      <c r="G276" s="37">
        <v>4420230539</v>
      </c>
      <c r="H276" s="37" t="s">
        <v>373</v>
      </c>
      <c r="I276" s="37">
        <v>9040044191</v>
      </c>
      <c r="J276" s="37" t="s">
        <v>187</v>
      </c>
      <c r="K276" s="325" t="s">
        <v>188</v>
      </c>
      <c r="L276" s="181">
        <v>15</v>
      </c>
      <c r="M276" s="181" t="s">
        <v>375</v>
      </c>
      <c r="N276" s="37" t="s">
        <v>428</v>
      </c>
      <c r="O276" s="31">
        <f>IF(F276&gt;0,F276-AB276,"")</f>
        <v>4</v>
      </c>
      <c r="P276" s="37" t="str">
        <f>IF(F276&gt;0,IF(AB276="","PLANNING SUPPLY",IF(AB276&lt;=F276,"ONTIME DELIVERY","DELAY")),"")</f>
        <v>ONTIME DELIVERY</v>
      </c>
      <c r="Q276" s="181" t="str">
        <f>IFERROR(IF(J276&gt;0,VLOOKUP(J276,#REF!,MATCH($Q$6,#REF!,0),0),""),"")</f>
        <v/>
      </c>
      <c r="R276" s="181" t="str">
        <f>IFERROR(IF(J276&gt;0,VLOOKUP(J276,#REF!,MATCH($R$6,#REF!,0),0),""),"")</f>
        <v/>
      </c>
      <c r="S276" s="181" t="e">
        <f>IF(I279&gt;0,Q276+R276,"")</f>
        <v>#VALUE!</v>
      </c>
      <c r="T276" s="181"/>
      <c r="U276" s="181"/>
      <c r="V276" s="37"/>
      <c r="W276" s="181" t="e">
        <f>IF(I279&gt;0,IF(S276&gt;L276,"READY STOCK",IF(S276=0,"OUT OF STOCK",IF(S276&lt;L276,"LOW STOCK",""))),"")</f>
        <v>#VALUE!</v>
      </c>
      <c r="X276" s="38"/>
      <c r="Y276" s="38"/>
      <c r="Z276" s="38"/>
      <c r="AA276" s="38"/>
      <c r="AB276" s="50">
        <v>46241</v>
      </c>
      <c r="AC276" s="181">
        <v>33481</v>
      </c>
      <c r="AD276" s="51">
        <v>15</v>
      </c>
      <c r="AE276" s="37" t="s">
        <v>387</v>
      </c>
      <c r="AF276" s="37" t="s">
        <v>381</v>
      </c>
      <c r="AG276" s="33" t="str">
        <f>IF(G276&gt;0,IF(AD276&gt;0,IF(AD276=0,"Waiting",IF(AD276&lt;L276,"Partial",IF(AD276=L276,"Full Supply",IF(AD276&gt;L276,"Over Shared")))),"Waiting"),"")</f>
        <v>Full Supply</v>
      </c>
      <c r="AH276" s="37"/>
      <c r="AI276" s="37"/>
      <c r="AJ276" s="181"/>
      <c r="AK276" s="40"/>
      <c r="AL276" s="40"/>
      <c r="AM276" s="40"/>
      <c r="AN276" s="37"/>
      <c r="AO276" s="34"/>
      <c r="AP276" s="37"/>
      <c r="AQ276" s="37"/>
      <c r="AR276" s="37"/>
      <c r="AS276" s="37"/>
      <c r="AT276" s="37">
        <f>AS276-AD276</f>
        <v>-15</v>
      </c>
      <c r="AU276" s="36" t="str">
        <f>IF(AR276=0,"Waiting",IF(AR276&lt;AH276,"Kurang",IF(AR276=AH276,"Sesuai",IF(AR276&gt;AH276,"Over Shared"))))</f>
        <v>Waiting</v>
      </c>
      <c r="AV276" s="37">
        <v>54586</v>
      </c>
      <c r="AW276" s="37" t="str">
        <f>IFERROR(DATEDIF(AH276,AK276,"d"),"0")&amp;"-DAY"</f>
        <v>0-DAY</v>
      </c>
      <c r="AX276" s="37" t="str">
        <f>IFERROR(DATEDIF(B276,AB276,"d"),"0")&amp;"-DAY"</f>
        <v>1-DAY</v>
      </c>
      <c r="AY276" s="37"/>
      <c r="AZ276" s="181">
        <f>L276-AD276</f>
        <v>0</v>
      </c>
    </row>
    <row r="277" spans="1:52" ht="15.5" customHeight="1">
      <c r="A277" s="360" t="s">
        <v>372</v>
      </c>
      <c r="B277" s="340">
        <v>46240</v>
      </c>
      <c r="C277" s="181">
        <v>48987</v>
      </c>
      <c r="D277" s="30">
        <v>46240</v>
      </c>
      <c r="E277" s="30">
        <v>46235</v>
      </c>
      <c r="F277" s="30">
        <v>46245</v>
      </c>
      <c r="G277" s="37">
        <v>4420230539</v>
      </c>
      <c r="H277" s="37" t="s">
        <v>373</v>
      </c>
      <c r="I277" s="37">
        <v>9040044349</v>
      </c>
      <c r="J277" s="37" t="s">
        <v>157</v>
      </c>
      <c r="K277" s="325" t="s">
        <v>158</v>
      </c>
      <c r="L277" s="181">
        <v>50</v>
      </c>
      <c r="M277" s="181" t="s">
        <v>375</v>
      </c>
      <c r="N277" s="37" t="s">
        <v>428</v>
      </c>
      <c r="O277" s="31">
        <f>IF(F277&gt;0,F277-AB277,"")</f>
        <v>4</v>
      </c>
      <c r="P277" s="37" t="str">
        <f>IF(F277&gt;0,IF(AB277="","PLANNING SUPPLY",IF(AB277&lt;=F277,"ONTIME DELIVERY","DELAY")),"")</f>
        <v>ONTIME DELIVERY</v>
      </c>
      <c r="Q277" s="181" t="str">
        <f>IFERROR(IF(J277&gt;0,VLOOKUP(J277,#REF!,MATCH($Q$6,#REF!,0),0),""),"")</f>
        <v/>
      </c>
      <c r="R277" s="181" t="str">
        <f>IFERROR(IF(J277&gt;0,VLOOKUP(J277,#REF!,MATCH($R$6,#REF!,0),0),""),"")</f>
        <v/>
      </c>
      <c r="S277" s="181" t="e">
        <f>IF(I280&gt;0,Q277+R277,"")</f>
        <v>#VALUE!</v>
      </c>
      <c r="T277" s="181"/>
      <c r="U277" s="181"/>
      <c r="V277" s="37"/>
      <c r="W277" s="181" t="e">
        <f>IF(I280&gt;0,IF(S277&gt;L277,"READY STOCK",IF(S277=0,"OUT OF STOCK",IF(S277&lt;L277,"LOW STOCK",""))),"")</f>
        <v>#VALUE!</v>
      </c>
      <c r="X277" s="38"/>
      <c r="Y277" s="38"/>
      <c r="Z277" s="38"/>
      <c r="AA277" s="38"/>
      <c r="AB277" s="50">
        <v>46241</v>
      </c>
      <c r="AC277" s="181">
        <v>33481</v>
      </c>
      <c r="AD277" s="51">
        <v>50</v>
      </c>
      <c r="AE277" s="37" t="s">
        <v>387</v>
      </c>
      <c r="AF277" s="37" t="s">
        <v>381</v>
      </c>
      <c r="AG277" s="33" t="str">
        <f>IF(G277&gt;0,IF(AD277&gt;0,IF(AD277=0,"Waiting",IF(AD277&lt;L277,"Partial",IF(AD277=L277,"Full Supply",IF(AD277&gt;L277,"Over Shared")))),"Waiting"),"")</f>
        <v>Full Supply</v>
      </c>
      <c r="AH277" s="37"/>
      <c r="AI277" s="37"/>
      <c r="AJ277" s="181"/>
      <c r="AK277" s="40"/>
      <c r="AL277" s="40"/>
      <c r="AM277" s="40"/>
      <c r="AN277" s="37"/>
      <c r="AO277" s="34"/>
      <c r="AP277" s="37"/>
      <c r="AQ277" s="37"/>
      <c r="AR277" s="37"/>
      <c r="AS277" s="37"/>
      <c r="AT277" s="37">
        <f>AS277-AD277</f>
        <v>-50</v>
      </c>
      <c r="AU277" s="36" t="str">
        <f>IF(AR277=0,"Waiting",IF(AR277&lt;AH277,"Kurang",IF(AR277=AH277,"Sesuai",IF(AR277&gt;AH277,"Over Shared"))))</f>
        <v>Waiting</v>
      </c>
      <c r="AV277" s="37">
        <v>54586</v>
      </c>
      <c r="AW277" s="37" t="str">
        <f>IFERROR(DATEDIF(AH277,AK277,"d"),"0")&amp;"-DAY"</f>
        <v>0-DAY</v>
      </c>
      <c r="AX277" s="37" t="str">
        <f>IFERROR(DATEDIF(B277,AB277,"d"),"0")&amp;"-DAY"</f>
        <v>1-DAY</v>
      </c>
      <c r="AY277" s="37"/>
      <c r="AZ277" s="181">
        <f>L277-AD277</f>
        <v>0</v>
      </c>
    </row>
    <row r="278" spans="1:52" ht="15.5" customHeight="1">
      <c r="A278" s="360" t="s">
        <v>372</v>
      </c>
      <c r="B278" s="340">
        <v>46240</v>
      </c>
      <c r="C278" s="181">
        <v>48987</v>
      </c>
      <c r="D278" s="30">
        <v>46240</v>
      </c>
      <c r="E278" s="30">
        <v>46235</v>
      </c>
      <c r="F278" s="30">
        <v>46245</v>
      </c>
      <c r="G278" s="37">
        <v>4420230539</v>
      </c>
      <c r="H278" s="37" t="s">
        <v>373</v>
      </c>
      <c r="I278" s="37">
        <v>9040029517</v>
      </c>
      <c r="J278" s="37" t="s">
        <v>197</v>
      </c>
      <c r="K278" s="325" t="s">
        <v>198</v>
      </c>
      <c r="L278" s="181">
        <v>15</v>
      </c>
      <c r="M278" s="181" t="s">
        <v>375</v>
      </c>
      <c r="N278" s="37" t="s">
        <v>428</v>
      </c>
      <c r="O278" s="31">
        <f>IF(F278&gt;0,F278-AB278,"")</f>
        <v>4</v>
      </c>
      <c r="P278" s="37" t="str">
        <f>IF(F278&gt;0,IF(AB278="","PLANNING SUPPLY",IF(AB278&lt;=F278,"ONTIME DELIVERY","DELAY")),"")</f>
        <v>ONTIME DELIVERY</v>
      </c>
      <c r="Q278" s="181" t="str">
        <f>IFERROR(IF(J278&gt;0,VLOOKUP(J278,#REF!,MATCH($Q$6,#REF!,0),0),""),"")</f>
        <v/>
      </c>
      <c r="R278" s="181" t="str">
        <f>IFERROR(IF(J278&gt;0,VLOOKUP(J278,#REF!,MATCH($R$6,#REF!,0),0),""),"")</f>
        <v/>
      </c>
      <c r="S278" s="181" t="e">
        <f>IF(I281&gt;0,Q278+R278,"")</f>
        <v>#VALUE!</v>
      </c>
      <c r="T278" s="181"/>
      <c r="U278" s="181"/>
      <c r="V278" s="37"/>
      <c r="W278" s="181" t="e">
        <f>IF(I281&gt;0,IF(S278&gt;L278,"READY STOCK",IF(S278=0,"OUT OF STOCK",IF(S278&lt;L278,"LOW STOCK",""))),"")</f>
        <v>#VALUE!</v>
      </c>
      <c r="X278" s="38"/>
      <c r="Y278" s="38"/>
      <c r="Z278" s="38"/>
      <c r="AA278" s="38"/>
      <c r="AB278" s="50">
        <v>46241</v>
      </c>
      <c r="AC278" s="181">
        <v>33481</v>
      </c>
      <c r="AD278" s="51">
        <v>15</v>
      </c>
      <c r="AE278" s="37" t="s">
        <v>387</v>
      </c>
      <c r="AF278" s="37" t="s">
        <v>381</v>
      </c>
      <c r="AG278" s="33" t="str">
        <f>IF(G278&gt;0,IF(AD278&gt;0,IF(AD278=0,"Waiting",IF(AD278&lt;L278,"Partial",IF(AD278=L278,"Full Supply",IF(AD278&gt;L278,"Over Shared")))),"Waiting"),"")</f>
        <v>Full Supply</v>
      </c>
      <c r="AH278" s="37"/>
      <c r="AI278" s="37"/>
      <c r="AJ278" s="181"/>
      <c r="AK278" s="40"/>
      <c r="AL278" s="40"/>
      <c r="AM278" s="40"/>
      <c r="AN278" s="37"/>
      <c r="AO278" s="34"/>
      <c r="AP278" s="37"/>
      <c r="AQ278" s="37"/>
      <c r="AR278" s="37"/>
      <c r="AS278" s="37"/>
      <c r="AT278" s="37">
        <f>AS278-AD278</f>
        <v>-15</v>
      </c>
      <c r="AU278" s="36" t="str">
        <f>IF(AR278=0,"Waiting",IF(AR278&lt;AH278,"Kurang",IF(AR278=AH278,"Sesuai",IF(AR278&gt;AH278,"Over Shared"))))</f>
        <v>Waiting</v>
      </c>
      <c r="AV278" s="37">
        <v>54586</v>
      </c>
      <c r="AW278" s="37" t="str">
        <f>IFERROR(DATEDIF(AH278,AK278,"d"),"0")&amp;"-DAY"</f>
        <v>0-DAY</v>
      </c>
      <c r="AX278" s="37" t="str">
        <f>IFERROR(DATEDIF(B278,AB278,"d"),"0")&amp;"-DAY"</f>
        <v>1-DAY</v>
      </c>
      <c r="AY278" s="37"/>
      <c r="AZ278" s="181">
        <f>L278-AD278</f>
        <v>0</v>
      </c>
    </row>
    <row r="279" spans="1:52" ht="15.5" customHeight="1">
      <c r="A279" s="360" t="s">
        <v>372</v>
      </c>
      <c r="B279" s="340">
        <v>46241</v>
      </c>
      <c r="C279" s="181">
        <v>49035</v>
      </c>
      <c r="D279" s="30">
        <v>46240</v>
      </c>
      <c r="E279" s="30">
        <v>46237</v>
      </c>
      <c r="F279" s="30">
        <v>46244</v>
      </c>
      <c r="G279" s="37">
        <v>4420230625</v>
      </c>
      <c r="H279" s="37" t="s">
        <v>373</v>
      </c>
      <c r="I279" s="37">
        <v>9040029517</v>
      </c>
      <c r="J279" s="37" t="s">
        <v>197</v>
      </c>
      <c r="K279" s="325" t="s">
        <v>198</v>
      </c>
      <c r="L279" s="181">
        <v>18</v>
      </c>
      <c r="M279" s="181" t="s">
        <v>375</v>
      </c>
      <c r="N279" s="37" t="s">
        <v>432</v>
      </c>
      <c r="O279" s="31">
        <f>IF(F279&gt;0,F279-AB279,"")</f>
        <v>0</v>
      </c>
      <c r="P279" s="37" t="str">
        <f>IF(F279&gt;0,IF(AB279="","PLANNING SUPPLY",IF(AB279&lt;=F279,"ONTIME DELIVERY","DELAY")),"")</f>
        <v>ONTIME DELIVERY</v>
      </c>
      <c r="Q279" s="181" t="str">
        <f>IFERROR(IF(J279&gt;0,VLOOKUP(J279,#REF!,MATCH($Q$6,#REF!,0),0),""),"")</f>
        <v/>
      </c>
      <c r="R279" s="181" t="str">
        <f>IFERROR(IF(J279&gt;0,VLOOKUP(J279,#REF!,MATCH($R$6,#REF!,0),0),""),"")</f>
        <v/>
      </c>
      <c r="S279" s="181" t="e">
        <f>IF(I282&gt;0,Q279+R279,"")</f>
        <v>#VALUE!</v>
      </c>
      <c r="T279" s="181"/>
      <c r="U279" s="181"/>
      <c r="V279" s="37"/>
      <c r="W279" s="181" t="e">
        <f>IF(I282&gt;0,IF(S279&gt;L279,"READY STOCK",IF(S279=0,"OUT OF STOCK",IF(S279&lt;L279,"LOW STOCK",""))),"")</f>
        <v>#VALUE!</v>
      </c>
      <c r="X279" s="38"/>
      <c r="Y279" s="38"/>
      <c r="Z279" s="38"/>
      <c r="AA279" s="38"/>
      <c r="AB279" s="50">
        <v>46244</v>
      </c>
      <c r="AC279" s="181">
        <v>33531</v>
      </c>
      <c r="AD279" s="51">
        <v>18</v>
      </c>
      <c r="AE279" s="37" t="s">
        <v>387</v>
      </c>
      <c r="AF279" s="37" t="s">
        <v>381</v>
      </c>
      <c r="AG279" s="33" t="str">
        <f>IF(G279&gt;0,IF(AD279&gt;0,IF(AD279=0,"Waiting",IF(AD279&lt;L279,"Partial",IF(AD279=L279,"Full Supply",IF(AD279&gt;L279,"Over Shared")))),"Waiting"),"")</f>
        <v>Full Supply</v>
      </c>
      <c r="AH279" s="37"/>
      <c r="AI279" s="37"/>
      <c r="AJ279" s="181"/>
      <c r="AK279" s="40"/>
      <c r="AL279" s="40"/>
      <c r="AM279" s="40"/>
      <c r="AN279" s="37"/>
      <c r="AO279" s="34"/>
      <c r="AP279" s="37"/>
      <c r="AQ279" s="37"/>
      <c r="AR279" s="37"/>
      <c r="AS279" s="37"/>
      <c r="AT279" s="37">
        <f>AS279-AD279</f>
        <v>-18</v>
      </c>
      <c r="AU279" s="36" t="str">
        <f>IF(AR279=0,"Waiting",IF(AR279&lt;AH279,"Kurang",IF(AR279=AH279,"Sesuai",IF(AR279&gt;AH279,"Over Shared"))))</f>
        <v>Waiting</v>
      </c>
      <c r="AV279" s="37"/>
      <c r="AW279" s="37" t="str">
        <f>IFERROR(DATEDIF(AH279,AK279,"d"),"0")&amp;"-DAY"</f>
        <v>0-DAY</v>
      </c>
      <c r="AX279" s="37" t="str">
        <f>IFERROR(DATEDIF(B279,AB279,"d"),"0")&amp;"-DAY"</f>
        <v>3-DAY</v>
      </c>
      <c r="AY279" s="37"/>
      <c r="AZ279" s="181">
        <f>L279-AD279</f>
        <v>0</v>
      </c>
    </row>
    <row r="280" spans="1:52" ht="15.5" customHeight="1">
      <c r="A280" s="360" t="s">
        <v>372</v>
      </c>
      <c r="B280" s="340">
        <v>46241</v>
      </c>
      <c r="C280" s="181">
        <v>49035</v>
      </c>
      <c r="D280" s="30">
        <v>46240</v>
      </c>
      <c r="E280" s="30">
        <v>46237</v>
      </c>
      <c r="F280" s="30">
        <v>46244</v>
      </c>
      <c r="G280" s="37">
        <v>4420230625</v>
      </c>
      <c r="H280" s="37" t="s">
        <v>373</v>
      </c>
      <c r="I280" s="37">
        <v>9040040699</v>
      </c>
      <c r="J280" s="37" t="s">
        <v>27</v>
      </c>
      <c r="K280" s="325" t="s">
        <v>28</v>
      </c>
      <c r="L280" s="181">
        <v>5</v>
      </c>
      <c r="M280" s="181" t="s">
        <v>375</v>
      </c>
      <c r="N280" s="37" t="s">
        <v>432</v>
      </c>
      <c r="O280" s="31">
        <f>IF(F280&gt;0,F280-AB280,"")</f>
        <v>0</v>
      </c>
      <c r="P280" s="37" t="str">
        <f>IF(F280&gt;0,IF(AB280="","PLANNING SUPPLY",IF(AB280&lt;=F280,"ONTIME DELIVERY","DELAY")),"")</f>
        <v>ONTIME DELIVERY</v>
      </c>
      <c r="Q280" s="181" t="str">
        <f>IFERROR(IF(J280&gt;0,VLOOKUP(J280,#REF!,MATCH($Q$6,#REF!,0),0),""),"")</f>
        <v/>
      </c>
      <c r="R280" s="181" t="str">
        <f>IFERROR(IF(J280&gt;0,VLOOKUP(J280,#REF!,MATCH($R$6,#REF!,0),0),""),"")</f>
        <v/>
      </c>
      <c r="S280" s="181" t="e">
        <f>IF(I283&gt;0,Q280+R280,"")</f>
        <v>#VALUE!</v>
      </c>
      <c r="T280" s="181"/>
      <c r="U280" s="181"/>
      <c r="V280" s="37"/>
      <c r="W280" s="181" t="e">
        <f>IF(I283&gt;0,IF(S280&gt;L280,"READY STOCK",IF(S280=0,"OUT OF STOCK",IF(S280&lt;L280,"LOW STOCK",""))),"")</f>
        <v>#VALUE!</v>
      </c>
      <c r="X280" s="38"/>
      <c r="Y280" s="38"/>
      <c r="Z280" s="38"/>
      <c r="AA280" s="38"/>
      <c r="AB280" s="50">
        <v>46244</v>
      </c>
      <c r="AC280" s="181">
        <v>33526</v>
      </c>
      <c r="AD280" s="51">
        <v>5</v>
      </c>
      <c r="AE280" s="37" t="s">
        <v>387</v>
      </c>
      <c r="AF280" s="37" t="s">
        <v>381</v>
      </c>
      <c r="AG280" s="33" t="str">
        <f>IF(G280&gt;0,IF(AD280&gt;0,IF(AD280=0,"Waiting",IF(AD280&lt;L280,"Partial",IF(AD280=L280,"Full Supply",IF(AD280&gt;L280,"Over Shared")))),"Waiting"),"")</f>
        <v>Full Supply</v>
      </c>
      <c r="AH280" s="37"/>
      <c r="AI280" s="37"/>
      <c r="AJ280" s="181"/>
      <c r="AK280" s="40"/>
      <c r="AL280" s="40"/>
      <c r="AM280" s="40"/>
      <c r="AN280" s="37"/>
      <c r="AO280" s="34"/>
      <c r="AP280" s="37"/>
      <c r="AQ280" s="37"/>
      <c r="AR280" s="37"/>
      <c r="AS280" s="37"/>
      <c r="AT280" s="37">
        <f>AS280-AD280</f>
        <v>-5</v>
      </c>
      <c r="AU280" s="36" t="str">
        <f>IF(AR280=0,"Waiting",IF(AR280&lt;AH280,"Kurang",IF(AR280=AH280,"Sesuai",IF(AR280&gt;AH280,"Over Shared"))))</f>
        <v>Waiting</v>
      </c>
      <c r="AV280" s="37"/>
      <c r="AW280" s="37" t="str">
        <f>IFERROR(DATEDIF(AH280,AK280,"d"),"0")&amp;"-DAY"</f>
        <v>0-DAY</v>
      </c>
      <c r="AX280" s="37" t="str">
        <f>IFERROR(DATEDIF(B280,AB280,"d"),"0")&amp;"-DAY"</f>
        <v>3-DAY</v>
      </c>
      <c r="AY280" s="37"/>
      <c r="AZ280" s="181">
        <f>L280-AD280</f>
        <v>0</v>
      </c>
    </row>
    <row r="281" spans="1:52" ht="15.5" customHeight="1">
      <c r="A281" s="360" t="s">
        <v>372</v>
      </c>
      <c r="B281" s="340">
        <v>46241</v>
      </c>
      <c r="C281" s="181">
        <v>49036</v>
      </c>
      <c r="D281" s="30">
        <v>46240</v>
      </c>
      <c r="E281" s="30">
        <v>46233</v>
      </c>
      <c r="F281" s="30">
        <v>46264</v>
      </c>
      <c r="G281" s="37">
        <v>4420230409</v>
      </c>
      <c r="H281" s="37" t="s">
        <v>373</v>
      </c>
      <c r="I281" s="37">
        <v>9040051091</v>
      </c>
      <c r="J281" s="37" t="s">
        <v>87</v>
      </c>
      <c r="K281" s="325" t="s">
        <v>88</v>
      </c>
      <c r="L281" s="181">
        <v>3</v>
      </c>
      <c r="M281" s="181" t="s">
        <v>375</v>
      </c>
      <c r="N281" s="37" t="s">
        <v>376</v>
      </c>
      <c r="O281" s="31">
        <f>IF(F281&gt;0,F281-AB281,"")</f>
        <v>-45</v>
      </c>
      <c r="P281" s="37" t="str">
        <f>IF(F281&gt;0,IF(AB281="","PLANNING SUPPLY",IF(AB281&lt;=F281,"ONTIME DELIVERY","DELAY")),"")</f>
        <v>DELAY</v>
      </c>
      <c r="Q281" s="181" t="str">
        <f>IFERROR(IF(J281&gt;0,VLOOKUP(J281,#REF!,MATCH($Q$6,#REF!,0),0),""),"")</f>
        <v/>
      </c>
      <c r="R281" s="181" t="str">
        <f>IFERROR(IF(J281&gt;0,VLOOKUP(J281,#REF!,MATCH($R$6,#REF!,0),0),""),"")</f>
        <v/>
      </c>
      <c r="S281" s="181" t="e">
        <f>IF(I284&gt;0,Q281+R281,"")</f>
        <v>#VALUE!</v>
      </c>
      <c r="T281" s="181"/>
      <c r="U281" s="181"/>
      <c r="V281" s="37"/>
      <c r="W281" s="181" t="e">
        <f>IF(I284&gt;0,IF(S281&gt;L281,"READY STOCK",IF(S281=0,"OUT OF STOCK",IF(S281&lt;L281,"LOW STOCK",""))),"")</f>
        <v>#VALUE!</v>
      </c>
      <c r="X281" s="38"/>
      <c r="Y281" s="38"/>
      <c r="Z281" s="38"/>
      <c r="AA281" s="38"/>
      <c r="AB281" s="50">
        <v>46309</v>
      </c>
      <c r="AC281" s="44">
        <v>35048</v>
      </c>
      <c r="AD281" s="51">
        <v>3</v>
      </c>
      <c r="AE281" s="37" t="s">
        <v>387</v>
      </c>
      <c r="AF281" s="37" t="s">
        <v>381</v>
      </c>
      <c r="AG281" s="33" t="str">
        <f>IF(G281&gt;0,IF(AD281&gt;0,IF(AD281=0,"Waiting",IF(AD281&lt;L281,"Partial",IF(AD281=L281,"Full Supply",IF(AD281&gt;L281,"Over Shared")))),"Waiting"),"")</f>
        <v>Full Supply</v>
      </c>
      <c r="AH281" s="156">
        <v>46246</v>
      </c>
      <c r="AI281" s="37" t="s">
        <v>1283</v>
      </c>
      <c r="AJ281" s="181">
        <v>10</v>
      </c>
      <c r="AK281" s="40">
        <v>26383</v>
      </c>
      <c r="AL281" s="42">
        <v>46287</v>
      </c>
      <c r="AM281" s="181">
        <v>10</v>
      </c>
      <c r="AN281" s="37"/>
      <c r="AO281" s="211">
        <v>46297</v>
      </c>
      <c r="AP281" s="37"/>
      <c r="AQ281" s="37"/>
      <c r="AR281" s="37"/>
      <c r="AS281" s="37"/>
      <c r="AT281" s="37">
        <f>AS281-AD281</f>
        <v>-3</v>
      </c>
      <c r="AU281" s="36" t="str">
        <f>IF(AR281=0,"Waiting",IF(AR281&lt;AH281,"Kurang",IF(AR281=AH281,"Sesuai",IF(AR281&gt;AH281,"Over Shared"))))</f>
        <v>Waiting</v>
      </c>
      <c r="AV281" s="37"/>
      <c r="AW281" s="37" t="str">
        <f>IFERROR(DATEDIF(AH281,AK281,"d"),"0")&amp;"-DAY"</f>
        <v>0-DAY</v>
      </c>
      <c r="AX281" s="37" t="str">
        <f>IFERROR(DATEDIF(B281,AB281,"d"),"0")&amp;"-DAY"</f>
        <v>68-DAY</v>
      </c>
      <c r="AY281" s="37"/>
      <c r="AZ281" s="181">
        <f>L281-AD281</f>
        <v>0</v>
      </c>
    </row>
    <row r="282" spans="1:52" ht="15.5" customHeight="1">
      <c r="A282" s="360" t="s">
        <v>372</v>
      </c>
      <c r="B282" s="340">
        <v>46241</v>
      </c>
      <c r="C282" s="181">
        <v>49036</v>
      </c>
      <c r="D282" s="30">
        <v>46240</v>
      </c>
      <c r="E282" s="30">
        <v>46233</v>
      </c>
      <c r="F282" s="30">
        <v>46264</v>
      </c>
      <c r="G282" s="37">
        <v>4420230409</v>
      </c>
      <c r="H282" s="37" t="s">
        <v>373</v>
      </c>
      <c r="I282" s="37">
        <v>9040051091</v>
      </c>
      <c r="J282" s="37" t="s">
        <v>87</v>
      </c>
      <c r="K282" s="325" t="s">
        <v>88</v>
      </c>
      <c r="L282" s="181">
        <v>1</v>
      </c>
      <c r="M282" s="181" t="s">
        <v>375</v>
      </c>
      <c r="N282" s="37" t="s">
        <v>376</v>
      </c>
      <c r="O282" s="31">
        <f>IF(F282&gt;0,F282-AB282,"")</f>
        <v>-18</v>
      </c>
      <c r="P282" s="37" t="str">
        <f>IF(F282&gt;0,IF(AB282="","PLANNING SUPPLY",IF(AB282&lt;=F282,"ONTIME DELIVERY","DELAY")),"")</f>
        <v>DELAY</v>
      </c>
      <c r="Q282" s="181" t="str">
        <f>IFERROR(IF(J282&gt;0,VLOOKUP(J282,#REF!,MATCH($Q$6,#REF!,0),0),""),"")</f>
        <v/>
      </c>
      <c r="R282" s="181" t="str">
        <f>IFERROR(IF(J282&gt;0,VLOOKUP(J282,#REF!,MATCH($R$6,#REF!,0),0),""),"")</f>
        <v/>
      </c>
      <c r="S282" s="181" t="e">
        <f>IF(I285&gt;0,Q282+R282,"")</f>
        <v>#VALUE!</v>
      </c>
      <c r="T282" s="181"/>
      <c r="U282" s="181"/>
      <c r="V282" s="37"/>
      <c r="W282" s="181" t="e">
        <f>IF(I285&gt;0,IF(S282&gt;L282,"READY STOCK",IF(S282=0,"OUT OF STOCK",IF(S282&lt;L282,"LOW STOCK",""))),"")</f>
        <v>#VALUE!</v>
      </c>
      <c r="X282" s="38"/>
      <c r="Y282" s="38"/>
      <c r="Z282" s="38"/>
      <c r="AA282" s="38"/>
      <c r="AB282" s="50">
        <v>46282</v>
      </c>
      <c r="AC282" s="181">
        <v>34378</v>
      </c>
      <c r="AD282" s="51">
        <v>1</v>
      </c>
      <c r="AE282" s="37" t="s">
        <v>387</v>
      </c>
      <c r="AF282" s="37" t="s">
        <v>381</v>
      </c>
      <c r="AG282" s="33" t="str">
        <f>IF(G282&gt;0,IF(AD282&gt;0,IF(AD282=0,"Waiting",IF(AD282&lt;L282,"Partial",IF(AD282=L282,"Full Supply",IF(AD282&gt;L282,"Over Shared")))),"Waiting"),"")</f>
        <v>Full Supply</v>
      </c>
      <c r="AH282" s="156">
        <v>46246</v>
      </c>
      <c r="AI282" s="37" t="s">
        <v>1283</v>
      </c>
      <c r="AJ282" s="181">
        <v>10</v>
      </c>
      <c r="AK282" s="40">
        <v>26383</v>
      </c>
      <c r="AL282" s="42">
        <v>46287</v>
      </c>
      <c r="AM282" s="181">
        <v>10</v>
      </c>
      <c r="AN282" s="37"/>
      <c r="AO282" s="211">
        <v>46297</v>
      </c>
      <c r="AP282" s="37"/>
      <c r="AQ282" s="37"/>
      <c r="AR282" s="37"/>
      <c r="AS282" s="37"/>
      <c r="AT282" s="37">
        <f>AS282-AD282</f>
        <v>-1</v>
      </c>
      <c r="AU282" s="36" t="str">
        <f>IF(AR282=0,"Waiting",IF(AR282&lt;AH282,"Kurang",IF(AR282=AH282,"Sesuai",IF(AR282&gt;AH282,"Over Shared"))))</f>
        <v>Waiting</v>
      </c>
      <c r="AV282" s="37"/>
      <c r="AW282" s="37" t="str">
        <f>IFERROR(DATEDIF(AH282,AK282,"d"),"0")&amp;"-DAY"</f>
        <v>0-DAY</v>
      </c>
      <c r="AX282" s="37" t="str">
        <f>IFERROR(DATEDIF(B282,AB282,"d"),"0")&amp;"-DAY"</f>
        <v>41-DAY</v>
      </c>
      <c r="AY282" s="37"/>
      <c r="AZ282" s="181">
        <f>L282-AD282</f>
        <v>0</v>
      </c>
    </row>
    <row r="283" spans="1:52" ht="15.5" customHeight="1">
      <c r="A283" s="360" t="s">
        <v>372</v>
      </c>
      <c r="B283" s="340">
        <v>46241</v>
      </c>
      <c r="C283" s="181">
        <v>49036</v>
      </c>
      <c r="D283" s="30">
        <v>46240</v>
      </c>
      <c r="E283" s="30">
        <v>46233</v>
      </c>
      <c r="F283" s="30">
        <v>46264</v>
      </c>
      <c r="G283" s="37">
        <v>4420230409</v>
      </c>
      <c r="H283" s="37" t="s">
        <v>373</v>
      </c>
      <c r="I283" s="37">
        <v>9040051091</v>
      </c>
      <c r="J283" s="37" t="s">
        <v>87</v>
      </c>
      <c r="K283" s="325" t="s">
        <v>88</v>
      </c>
      <c r="L283" s="181">
        <v>1</v>
      </c>
      <c r="M283" s="181" t="s">
        <v>375</v>
      </c>
      <c r="N283" s="37" t="s">
        <v>376</v>
      </c>
      <c r="O283" s="31">
        <f>IF(F283&gt;0,F283-AB283,"")</f>
        <v>-18</v>
      </c>
      <c r="P283" s="37" t="str">
        <f>IF(F283&gt;0,IF(AB283="","PLANNING SUPPLY",IF(AB283&lt;=F283,"ONTIME DELIVERY","DELAY")),"")</f>
        <v>DELAY</v>
      </c>
      <c r="Q283" s="181" t="str">
        <f>IFERROR(IF(J283&gt;0,VLOOKUP(J283,#REF!,MATCH($Q$6,#REF!,0),0),""),"")</f>
        <v/>
      </c>
      <c r="R283" s="181" t="str">
        <f>IFERROR(IF(J283&gt;0,VLOOKUP(J283,#REF!,MATCH($R$6,#REF!,0),0),""),"")</f>
        <v/>
      </c>
      <c r="S283" s="181" t="e">
        <f>IF(I286&gt;0,Q283+R283,"")</f>
        <v>#VALUE!</v>
      </c>
      <c r="T283" s="181"/>
      <c r="U283" s="181"/>
      <c r="V283" s="37"/>
      <c r="W283" s="181" t="e">
        <f>IF(I286&gt;0,IF(S283&gt;L283,"READY STOCK",IF(S283=0,"OUT OF STOCK",IF(S283&lt;L283,"LOW STOCK",""))),"")</f>
        <v>#VALUE!</v>
      </c>
      <c r="X283" s="38"/>
      <c r="Y283" s="38"/>
      <c r="Z283" s="38"/>
      <c r="AA283" s="38"/>
      <c r="AB283" s="50">
        <v>46282</v>
      </c>
      <c r="AC283" s="181">
        <v>34378</v>
      </c>
      <c r="AD283" s="51">
        <v>1</v>
      </c>
      <c r="AE283" s="37" t="s">
        <v>387</v>
      </c>
      <c r="AF283" s="37" t="s">
        <v>381</v>
      </c>
      <c r="AG283" s="33" t="str">
        <f>IF(G283&gt;0,IF(AD283&gt;0,IF(AD283=0,"Waiting",IF(AD283&lt;L283,"Partial",IF(AD283=L283,"Full Supply",IF(AD283&gt;L283,"Over Shared")))),"Waiting"),"")</f>
        <v>Full Supply</v>
      </c>
      <c r="AH283" s="156">
        <v>46246</v>
      </c>
      <c r="AI283" s="37" t="s">
        <v>1283</v>
      </c>
      <c r="AJ283" s="181">
        <v>10</v>
      </c>
      <c r="AK283" s="40">
        <v>26383</v>
      </c>
      <c r="AL283" s="42">
        <v>46287</v>
      </c>
      <c r="AM283" s="181">
        <v>10</v>
      </c>
      <c r="AN283" s="37"/>
      <c r="AO283" s="211">
        <v>46297</v>
      </c>
      <c r="AP283" s="37"/>
      <c r="AQ283" s="37"/>
      <c r="AR283" s="37"/>
      <c r="AS283" s="37"/>
      <c r="AT283" s="37">
        <f>AS283-AD283</f>
        <v>-1</v>
      </c>
      <c r="AU283" s="36" t="str">
        <f>IF(AR283=0,"Waiting",IF(AR283&lt;AH283,"Kurang",IF(AR283=AH283,"Sesuai",IF(AR283&gt;AH283,"Over Shared"))))</f>
        <v>Waiting</v>
      </c>
      <c r="AV283" s="37"/>
      <c r="AW283" s="37" t="str">
        <f>IFERROR(DATEDIF(AH283,AK283,"d"),"0")&amp;"-DAY"</f>
        <v>0-DAY</v>
      </c>
      <c r="AX283" s="37" t="str">
        <f>IFERROR(DATEDIF(B283,AB283,"d"),"0")&amp;"-DAY"</f>
        <v>41-DAY</v>
      </c>
      <c r="AY283" s="37"/>
      <c r="AZ283" s="181">
        <f>L283-AD283</f>
        <v>0</v>
      </c>
    </row>
    <row r="284" spans="1:52" ht="15.5" customHeight="1">
      <c r="A284" s="360" t="s">
        <v>372</v>
      </c>
      <c r="B284" s="340">
        <v>46241</v>
      </c>
      <c r="C284" s="181">
        <v>49036</v>
      </c>
      <c r="D284" s="30">
        <v>46240</v>
      </c>
      <c r="E284" s="30">
        <v>46233</v>
      </c>
      <c r="F284" s="30">
        <v>46264</v>
      </c>
      <c r="G284" s="37">
        <v>4420230409</v>
      </c>
      <c r="H284" s="37" t="s">
        <v>373</v>
      </c>
      <c r="I284" s="37">
        <v>9040051091</v>
      </c>
      <c r="J284" s="37" t="s">
        <v>87</v>
      </c>
      <c r="K284" s="325" t="s">
        <v>88</v>
      </c>
      <c r="L284" s="181">
        <v>5</v>
      </c>
      <c r="M284" s="181" t="s">
        <v>375</v>
      </c>
      <c r="N284" s="37" t="s">
        <v>376</v>
      </c>
      <c r="O284" s="31">
        <f>IF(F284&gt;0,F284-AB284,"")</f>
        <v>-45</v>
      </c>
      <c r="P284" s="37" t="str">
        <f>IF(F284&gt;0,IF(AB284="","PLANNING SUPPLY",IF(AB284&lt;=F284,"ONTIME DELIVERY","DELAY")),"")</f>
        <v>DELAY</v>
      </c>
      <c r="Q284" s="181" t="str">
        <f>IFERROR(IF(J284&gt;0,VLOOKUP(J284,#REF!,MATCH($Q$6,#REF!,0),0),""),"")</f>
        <v/>
      </c>
      <c r="R284" s="181" t="str">
        <f>IFERROR(IF(J284&gt;0,VLOOKUP(J284,#REF!,MATCH($R$6,#REF!,0),0),""),"")</f>
        <v/>
      </c>
      <c r="S284" s="181" t="e">
        <f>IF(I287&gt;0,Q284+R284,"")</f>
        <v>#VALUE!</v>
      </c>
      <c r="T284" s="181"/>
      <c r="U284" s="181"/>
      <c r="V284" s="37"/>
      <c r="W284" s="181" t="e">
        <f>IF(I287&gt;0,IF(S284&gt;L284,"READY STOCK",IF(S284=0,"OUT OF STOCK",IF(S284&lt;L284,"LOW STOCK",""))),"")</f>
        <v>#VALUE!</v>
      </c>
      <c r="X284" s="38"/>
      <c r="Y284" s="38"/>
      <c r="Z284" s="38"/>
      <c r="AA284" s="38"/>
      <c r="AB284" s="50">
        <v>46309</v>
      </c>
      <c r="AC284" s="44">
        <v>35048</v>
      </c>
      <c r="AD284" s="51">
        <v>3</v>
      </c>
      <c r="AE284" s="37" t="s">
        <v>387</v>
      </c>
      <c r="AF284" s="37" t="s">
        <v>381</v>
      </c>
      <c r="AG284" s="33" t="str">
        <f>IF(G284&gt;0,IF(AD284&gt;0,IF(AD284=0,"Waiting",IF(AD284&lt;L284,"Partial",IF(AD284=L284,"Full Supply",IF(AD284&gt;L284,"Over Shared")))),"Waiting"),"")</f>
        <v>Partial</v>
      </c>
      <c r="AH284" s="156">
        <v>46246</v>
      </c>
      <c r="AI284" s="37" t="s">
        <v>1283</v>
      </c>
      <c r="AJ284" s="181">
        <v>10</v>
      </c>
      <c r="AK284" s="40">
        <v>26383</v>
      </c>
      <c r="AL284" s="42">
        <v>46287</v>
      </c>
      <c r="AM284" s="181">
        <v>10</v>
      </c>
      <c r="AN284" s="37"/>
      <c r="AO284" s="211">
        <v>46297</v>
      </c>
      <c r="AP284" s="37"/>
      <c r="AQ284" s="37"/>
      <c r="AR284" s="37"/>
      <c r="AS284" s="37"/>
      <c r="AT284" s="37">
        <f>AS284-AD284</f>
        <v>-3</v>
      </c>
      <c r="AU284" s="36" t="str">
        <f>IF(AR284=0,"Waiting",IF(AR284&lt;AH284,"Kurang",IF(AR284=AH284,"Sesuai",IF(AR284&gt;AH284,"Over Shared"))))</f>
        <v>Waiting</v>
      </c>
      <c r="AV284" s="37"/>
      <c r="AW284" s="37" t="str">
        <f>IFERROR(DATEDIF(AH284,AK284,"d"),"0")&amp;"-DAY"</f>
        <v>0-DAY</v>
      </c>
      <c r="AX284" s="37" t="str">
        <f>IFERROR(DATEDIF(B284,AB284,"d"),"0")&amp;"-DAY"</f>
        <v>68-DAY</v>
      </c>
      <c r="AY284" s="37"/>
      <c r="AZ284" s="181">
        <f>L284-AD284</f>
        <v>2</v>
      </c>
    </row>
    <row r="285" spans="1:52" ht="15.5" customHeight="1">
      <c r="A285" s="360" t="s">
        <v>372</v>
      </c>
      <c r="B285" s="340">
        <v>46241</v>
      </c>
      <c r="C285" s="181">
        <v>49036</v>
      </c>
      <c r="D285" s="30">
        <v>46240</v>
      </c>
      <c r="E285" s="30">
        <v>46233</v>
      </c>
      <c r="F285" s="30">
        <v>46264</v>
      </c>
      <c r="G285" s="37">
        <v>4420230409</v>
      </c>
      <c r="H285" s="37" t="s">
        <v>373</v>
      </c>
      <c r="I285" s="37">
        <v>9040031134</v>
      </c>
      <c r="J285" s="37" t="s">
        <v>254</v>
      </c>
      <c r="K285" s="325" t="s">
        <v>255</v>
      </c>
      <c r="L285" s="181">
        <v>2</v>
      </c>
      <c r="M285" s="181" t="s">
        <v>375</v>
      </c>
      <c r="N285" s="37" t="s">
        <v>376</v>
      </c>
      <c r="O285" s="31">
        <f>IF(F285&gt;0,F285-AB285,"")</f>
        <v>18</v>
      </c>
      <c r="P285" s="37" t="str">
        <f>IF(F285&gt;0,IF(AB285="","PLANNING SUPPLY",IF(AB285&lt;=F285,"ONTIME DELIVERY","DELAY")),"")</f>
        <v>ONTIME DELIVERY</v>
      </c>
      <c r="Q285" s="181" t="str">
        <f>IFERROR(IF(J285&gt;0,VLOOKUP(J285,#REF!,MATCH($Q$6,#REF!,0),0),""),"")</f>
        <v/>
      </c>
      <c r="R285" s="181" t="str">
        <f>IFERROR(IF(J285&gt;0,VLOOKUP(J285,#REF!,MATCH($R$6,#REF!,0),0),""),"")</f>
        <v/>
      </c>
      <c r="S285" s="181" t="e">
        <f>IF(I288&gt;0,Q285+R285,"")</f>
        <v>#VALUE!</v>
      </c>
      <c r="T285" s="181"/>
      <c r="U285" s="181"/>
      <c r="V285" s="37"/>
      <c r="W285" s="181" t="e">
        <f>IF(I288&gt;0,IF(S285&gt;L285,"READY STOCK",IF(S285=0,"OUT OF STOCK",IF(S285&lt;L285,"LOW STOCK",""))),"")</f>
        <v>#VALUE!</v>
      </c>
      <c r="X285" s="38"/>
      <c r="Y285" s="38"/>
      <c r="Z285" s="38"/>
      <c r="AA285" s="38"/>
      <c r="AB285" s="50">
        <v>46246</v>
      </c>
      <c r="AC285" s="181">
        <v>33583</v>
      </c>
      <c r="AD285" s="51">
        <v>2</v>
      </c>
      <c r="AE285" s="37" t="s">
        <v>387</v>
      </c>
      <c r="AF285" s="37" t="s">
        <v>381</v>
      </c>
      <c r="AG285" s="33" t="str">
        <f>IF(G285&gt;0,IF(AD285&gt;0,IF(AD285=0,"Waiting",IF(AD285&lt;L285,"Partial",IF(AD285=L285,"Full Supply",IF(AD285&gt;L285,"Over Shared")))),"Waiting"),"")</f>
        <v>Full Supply</v>
      </c>
      <c r="AH285" s="37"/>
      <c r="AI285" s="37"/>
      <c r="AJ285" s="181"/>
      <c r="AK285" s="40"/>
      <c r="AL285" s="40"/>
      <c r="AM285" s="40"/>
      <c r="AN285" s="37"/>
      <c r="AO285" s="34"/>
      <c r="AP285" s="37"/>
      <c r="AQ285" s="37"/>
      <c r="AR285" s="37"/>
      <c r="AS285" s="37"/>
      <c r="AT285" s="37">
        <f>AS285-AD285</f>
        <v>-2</v>
      </c>
      <c r="AU285" s="36" t="str">
        <f>IF(AR285=0,"Waiting",IF(AR285&lt;AH285,"Kurang",IF(AR285=AH285,"Sesuai",IF(AR285&gt;AH285,"Over Shared"))))</f>
        <v>Waiting</v>
      </c>
      <c r="AV285" s="37"/>
      <c r="AW285" s="37" t="str">
        <f>IFERROR(DATEDIF(AH285,AK285,"d"),"0")&amp;"-DAY"</f>
        <v>0-DAY</v>
      </c>
      <c r="AX285" s="37" t="str">
        <f>IFERROR(DATEDIF(B285,AB285,"d"),"0")&amp;"-DAY"</f>
        <v>5-DAY</v>
      </c>
      <c r="AY285" s="37"/>
      <c r="AZ285" s="181">
        <f>L285-AD285</f>
        <v>0</v>
      </c>
    </row>
    <row r="286" spans="1:52" ht="15.5" customHeight="1">
      <c r="A286" s="360" t="s">
        <v>372</v>
      </c>
      <c r="B286" s="340">
        <v>46241</v>
      </c>
      <c r="C286" s="181">
        <v>49036</v>
      </c>
      <c r="D286" s="30">
        <v>46240</v>
      </c>
      <c r="E286" s="30">
        <v>46233</v>
      </c>
      <c r="F286" s="30">
        <v>46264</v>
      </c>
      <c r="G286" s="37">
        <v>4420230409</v>
      </c>
      <c r="H286" s="37" t="s">
        <v>373</v>
      </c>
      <c r="I286" s="37">
        <v>9040044191</v>
      </c>
      <c r="J286" s="37" t="s">
        <v>187</v>
      </c>
      <c r="K286" s="325" t="s">
        <v>188</v>
      </c>
      <c r="L286" s="181">
        <v>3</v>
      </c>
      <c r="M286" s="181" t="s">
        <v>375</v>
      </c>
      <c r="N286" s="37" t="s">
        <v>376</v>
      </c>
      <c r="O286" s="31">
        <f>IF(F286&gt;0,F286-AB286,"")</f>
        <v>18</v>
      </c>
      <c r="P286" s="37" t="str">
        <f>IF(F286&gt;0,IF(AB286="","PLANNING SUPPLY",IF(AB286&lt;=F286,"ONTIME DELIVERY","DELAY")),"")</f>
        <v>ONTIME DELIVERY</v>
      </c>
      <c r="Q286" s="181" t="str">
        <f>IFERROR(IF(J286&gt;0,VLOOKUP(J286,#REF!,MATCH($Q$6,#REF!,0),0),""),"")</f>
        <v/>
      </c>
      <c r="R286" s="181" t="str">
        <f>IFERROR(IF(J286&gt;0,VLOOKUP(J286,#REF!,MATCH($R$6,#REF!,0),0),""),"")</f>
        <v/>
      </c>
      <c r="S286" s="181" t="e">
        <f>IF(I289&gt;0,Q286+R286,"")</f>
        <v>#VALUE!</v>
      </c>
      <c r="T286" s="181"/>
      <c r="U286" s="181"/>
      <c r="V286" s="37"/>
      <c r="W286" s="181" t="e">
        <f>IF(I289&gt;0,IF(S286&gt;L286,"READY STOCK",IF(S286=0,"OUT OF STOCK",IF(S286&lt;L286,"LOW STOCK",""))),"")</f>
        <v>#VALUE!</v>
      </c>
      <c r="X286" s="38"/>
      <c r="Y286" s="38"/>
      <c r="Z286" s="38"/>
      <c r="AA286" s="38"/>
      <c r="AB286" s="50">
        <v>46246</v>
      </c>
      <c r="AC286" s="181">
        <v>33605</v>
      </c>
      <c r="AD286" s="51">
        <v>3</v>
      </c>
      <c r="AE286" s="37" t="s">
        <v>387</v>
      </c>
      <c r="AF286" s="37" t="s">
        <v>381</v>
      </c>
      <c r="AG286" s="33" t="str">
        <f>IF(G286&gt;0,IF(AD286&gt;0,IF(AD286=0,"Waiting",IF(AD286&lt;L286,"Partial",IF(AD286=L286,"Full Supply",IF(AD286&gt;L286,"Over Shared")))),"Waiting"),"")</f>
        <v>Full Supply</v>
      </c>
      <c r="AH286" s="37"/>
      <c r="AI286" s="37"/>
      <c r="AJ286" s="181"/>
      <c r="AK286" s="40"/>
      <c r="AL286" s="40"/>
      <c r="AM286" s="40"/>
      <c r="AN286" s="37"/>
      <c r="AO286" s="34"/>
      <c r="AP286" s="37"/>
      <c r="AQ286" s="37"/>
      <c r="AR286" s="37"/>
      <c r="AS286" s="37"/>
      <c r="AT286" s="37">
        <f>AS286-AD286</f>
        <v>-3</v>
      </c>
      <c r="AU286" s="36" t="str">
        <f>IF(AR286=0,"Waiting",IF(AR286&lt;AH286,"Kurang",IF(AR286=AH286,"Sesuai",IF(AR286&gt;AH286,"Over Shared"))))</f>
        <v>Waiting</v>
      </c>
      <c r="AV286" s="37"/>
      <c r="AW286" s="37" t="str">
        <f>IFERROR(DATEDIF(AH286,AK286,"d"),"0")&amp;"-DAY"</f>
        <v>0-DAY</v>
      </c>
      <c r="AX286" s="37" t="str">
        <f>IFERROR(DATEDIF(B286,AB286,"d"),"0")&amp;"-DAY"</f>
        <v>5-DAY</v>
      </c>
      <c r="AY286" s="37"/>
      <c r="AZ286" s="181">
        <f>L286-AD286</f>
        <v>0</v>
      </c>
    </row>
    <row r="287" spans="1:52" ht="15.5" customHeight="1">
      <c r="A287" s="360" t="s">
        <v>372</v>
      </c>
      <c r="B287" s="340">
        <v>46241</v>
      </c>
      <c r="C287" s="181">
        <v>49036</v>
      </c>
      <c r="D287" s="30">
        <v>46240</v>
      </c>
      <c r="E287" s="30">
        <v>46233</v>
      </c>
      <c r="F287" s="30">
        <v>46264</v>
      </c>
      <c r="G287" s="37">
        <v>4420230409</v>
      </c>
      <c r="H287" s="37" t="s">
        <v>373</v>
      </c>
      <c r="I287" s="37">
        <v>9040055051</v>
      </c>
      <c r="J287" s="37" t="s">
        <v>10</v>
      </c>
      <c r="K287" s="325" t="s">
        <v>149</v>
      </c>
      <c r="L287" s="181">
        <v>5</v>
      </c>
      <c r="M287" s="181" t="s">
        <v>375</v>
      </c>
      <c r="N287" s="37" t="s">
        <v>376</v>
      </c>
      <c r="O287" s="31">
        <f>IF(F287&gt;0,F287-AB287,"")</f>
        <v>-17</v>
      </c>
      <c r="P287" s="37" t="str">
        <f>IF(F287&gt;0,IF(AB287="","PLANNING SUPPLY",IF(AB287&lt;=F287,"ONTIME DELIVERY","DELAY")),"")</f>
        <v>DELAY</v>
      </c>
      <c r="Q287" s="181" t="str">
        <f>IFERROR(IF(J287&gt;0,VLOOKUP(J287,#REF!,MATCH($Q$6,#REF!,0),0),""),"")</f>
        <v/>
      </c>
      <c r="R287" s="181" t="str">
        <f>IFERROR(IF(J287&gt;0,VLOOKUP(J287,#REF!,MATCH($R$6,#REF!,0),0),""),"")</f>
        <v/>
      </c>
      <c r="S287" s="181" t="e">
        <f>IF(I290&gt;0,Q287+R287,"")</f>
        <v>#VALUE!</v>
      </c>
      <c r="T287" s="181"/>
      <c r="U287" s="181"/>
      <c r="V287" s="37"/>
      <c r="W287" s="181" t="e">
        <f>IF(I290&gt;0,IF(S287&gt;L287,"READY STOCK",IF(S287=0,"OUT OF STOCK",IF(S287&lt;L287,"LOW STOCK",""))),"")</f>
        <v>#VALUE!</v>
      </c>
      <c r="X287" s="38"/>
      <c r="Y287" s="38"/>
      <c r="Z287" s="38"/>
      <c r="AA287" s="38"/>
      <c r="AB287" s="50">
        <v>46281</v>
      </c>
      <c r="AC287" s="181">
        <v>34268</v>
      </c>
      <c r="AD287" s="51">
        <v>5</v>
      </c>
      <c r="AE287" s="37" t="s">
        <v>383</v>
      </c>
      <c r="AF287" s="37" t="s">
        <v>381</v>
      </c>
      <c r="AG287" s="33" t="str">
        <f>IF(G287&gt;0,IF(AD287&gt;0,IF(AD287=0,"Waiting",IF(AD287&lt;L287,"Partial",IF(AD287=L287,"Full Supply",IF(AD287&gt;L287,"Over Shared")))),"Waiting"),"")</f>
        <v>Full Supply</v>
      </c>
      <c r="AH287" s="37"/>
      <c r="AI287" s="37"/>
      <c r="AJ287" s="181"/>
      <c r="AK287" s="40"/>
      <c r="AL287" s="40"/>
      <c r="AM287" s="40"/>
      <c r="AN287" s="37"/>
      <c r="AO287" s="34"/>
      <c r="AP287" s="37"/>
      <c r="AQ287" s="37"/>
      <c r="AR287" s="37"/>
      <c r="AS287" s="37"/>
      <c r="AT287" s="37">
        <f>AS287-AD287</f>
        <v>-5</v>
      </c>
      <c r="AU287" s="36" t="str">
        <f>IF(AR287=0,"Waiting",IF(AR287&lt;AH287,"Kurang",IF(AR287=AH287,"Sesuai",IF(AR287&gt;AH287,"Over Shared"))))</f>
        <v>Waiting</v>
      </c>
      <c r="AV287" s="37"/>
      <c r="AW287" s="37" t="str">
        <f>IFERROR(DATEDIF(AH287,AK287,"d"),"0")&amp;"-DAY"</f>
        <v>0-DAY</v>
      </c>
      <c r="AX287" s="37" t="str">
        <f>IFERROR(DATEDIF(B287,AB287,"d"),"0")&amp;"-DAY"</f>
        <v>40-DAY</v>
      </c>
      <c r="AY287" s="37"/>
      <c r="AZ287" s="181">
        <f>L287-AD287</f>
        <v>0</v>
      </c>
    </row>
    <row r="288" spans="1:52" ht="15.5" customHeight="1">
      <c r="A288" s="360" t="s">
        <v>372</v>
      </c>
      <c r="B288" s="340">
        <v>46241</v>
      </c>
      <c r="C288" s="181">
        <v>49036</v>
      </c>
      <c r="D288" s="30">
        <v>46240</v>
      </c>
      <c r="E288" s="30">
        <v>46233</v>
      </c>
      <c r="F288" s="30">
        <v>46264</v>
      </c>
      <c r="G288" s="37">
        <v>4420230409</v>
      </c>
      <c r="H288" s="37" t="s">
        <v>373</v>
      </c>
      <c r="I288" s="37">
        <v>9040009391</v>
      </c>
      <c r="J288" s="37" t="s">
        <v>293</v>
      </c>
      <c r="K288" s="325" t="s">
        <v>294</v>
      </c>
      <c r="L288" s="181">
        <v>44</v>
      </c>
      <c r="M288" s="181" t="s">
        <v>375</v>
      </c>
      <c r="N288" s="37" t="s">
        <v>376</v>
      </c>
      <c r="O288" s="31">
        <f>IF(F288&gt;0,F288-AB288,"")</f>
        <v>11</v>
      </c>
      <c r="P288" s="37" t="str">
        <f>IF(F288&gt;0,IF(AB288="","PLANNING SUPPLY",IF(AB288&lt;=F288,"ONTIME DELIVERY","DELAY")),"")</f>
        <v>ONTIME DELIVERY</v>
      </c>
      <c r="Q288" s="181" t="str">
        <f>IFERROR(IF(J288&gt;0,VLOOKUP(J288,#REF!,MATCH($Q$6,#REF!,0),0),""),"")</f>
        <v/>
      </c>
      <c r="R288" s="181" t="str">
        <f>IFERROR(IF(J288&gt;0,VLOOKUP(J288,#REF!,MATCH($R$6,#REF!,0),0),""),"")</f>
        <v/>
      </c>
      <c r="S288" s="181" t="e">
        <f>IF(I291&gt;0,Q288+R288,"")</f>
        <v>#VALUE!</v>
      </c>
      <c r="T288" s="181"/>
      <c r="U288" s="181"/>
      <c r="V288" s="37"/>
      <c r="W288" s="181" t="e">
        <f>IF(I291&gt;0,IF(S288&gt;L288,"READY STOCK",IF(S288=0,"OUT OF STOCK",IF(S288&lt;L288,"LOW STOCK",""))),"")</f>
        <v>#VALUE!</v>
      </c>
      <c r="X288" s="38"/>
      <c r="Y288" s="38"/>
      <c r="Z288" s="38"/>
      <c r="AA288" s="38"/>
      <c r="AB288" s="50">
        <v>46253</v>
      </c>
      <c r="AC288" s="181">
        <v>33746</v>
      </c>
      <c r="AD288" s="51">
        <v>44</v>
      </c>
      <c r="AE288" s="37" t="s">
        <v>383</v>
      </c>
      <c r="AF288" s="37" t="s">
        <v>381</v>
      </c>
      <c r="AG288" s="33" t="str">
        <f>IF(G288&gt;0,IF(AD288&gt;0,IF(AD288=0,"Waiting",IF(AD288&lt;L288,"Partial",IF(AD288=L288,"Full Supply",IF(AD288&gt;L288,"Over Shared")))),"Waiting"),"")</f>
        <v>Full Supply</v>
      </c>
      <c r="AH288" s="56">
        <v>46247</v>
      </c>
      <c r="AI288" s="37" t="s">
        <v>646</v>
      </c>
      <c r="AJ288" s="181">
        <v>44</v>
      </c>
      <c r="AK288" s="40">
        <v>26062</v>
      </c>
      <c r="AL288" s="189">
        <v>46266</v>
      </c>
      <c r="AM288" s="40">
        <v>44</v>
      </c>
      <c r="AN288" s="37"/>
      <c r="AO288" s="239">
        <v>46297</v>
      </c>
      <c r="AP288" s="37"/>
      <c r="AQ288" s="37"/>
      <c r="AR288" s="37"/>
      <c r="AS288" s="37"/>
      <c r="AT288" s="37">
        <f>AS288-AD288</f>
        <v>-44</v>
      </c>
      <c r="AU288" s="36" t="str">
        <f>IF(AR288=0,"Waiting",IF(AR288&lt;AH288,"Kurang",IF(AR288=AH288,"Sesuai",IF(AR288&gt;AH288,"Over Shared"))))</f>
        <v>Waiting</v>
      </c>
      <c r="AV288" s="37"/>
      <c r="AW288" s="37" t="str">
        <f>IFERROR(DATEDIF(AH288,AK288,"d"),"0")&amp;"-DAY"</f>
        <v>0-DAY</v>
      </c>
      <c r="AX288" s="37" t="str">
        <f>IFERROR(DATEDIF(B288,AB288,"d"),"0")&amp;"-DAY"</f>
        <v>12-DAY</v>
      </c>
      <c r="AY288" s="37"/>
      <c r="AZ288" s="181">
        <f>L288-AD288</f>
        <v>0</v>
      </c>
    </row>
    <row r="289" spans="1:52" ht="15.5" customHeight="1">
      <c r="A289" s="360" t="s">
        <v>372</v>
      </c>
      <c r="B289" s="340">
        <v>46241</v>
      </c>
      <c r="C289" s="181">
        <v>49036</v>
      </c>
      <c r="D289" s="30">
        <v>46240</v>
      </c>
      <c r="E289" s="30">
        <v>46233</v>
      </c>
      <c r="F289" s="30">
        <v>46264</v>
      </c>
      <c r="G289" s="37">
        <v>4420230409</v>
      </c>
      <c r="H289" s="37" t="s">
        <v>373</v>
      </c>
      <c r="I289" s="37">
        <v>9040028877</v>
      </c>
      <c r="J289" s="37" t="s">
        <v>199</v>
      </c>
      <c r="K289" s="325" t="s">
        <v>200</v>
      </c>
      <c r="L289" s="181">
        <v>9</v>
      </c>
      <c r="M289" s="181" t="s">
        <v>375</v>
      </c>
      <c r="N289" s="37" t="s">
        <v>376</v>
      </c>
      <c r="O289" s="31">
        <f>IF(F289&gt;0,F289-AB289,"")</f>
        <v>17</v>
      </c>
      <c r="P289" s="37" t="str">
        <f>IF(F289&gt;0,IF(AB289="","PLANNING SUPPLY",IF(AB289&lt;=F289,"ONTIME DELIVERY","DELAY")),"")</f>
        <v>ONTIME DELIVERY</v>
      </c>
      <c r="Q289" s="181" t="str">
        <f>IFERROR(IF(J289&gt;0,VLOOKUP(J289,#REF!,MATCH($Q$6,#REF!,0),0),""),"")</f>
        <v/>
      </c>
      <c r="R289" s="181" t="str">
        <f>IFERROR(IF(J289&gt;0,VLOOKUP(J289,#REF!,MATCH($R$6,#REF!,0),0),""),"")</f>
        <v/>
      </c>
      <c r="S289" s="181" t="e">
        <f>IF(I292&gt;0,Q289+R289,"")</f>
        <v>#VALUE!</v>
      </c>
      <c r="T289" s="181"/>
      <c r="U289" s="181"/>
      <c r="V289" s="37"/>
      <c r="W289" s="181" t="e">
        <f>IF(I292&gt;0,IF(S289&gt;L289,"READY STOCK",IF(S289=0,"OUT OF STOCK",IF(S289&lt;L289,"LOW STOCK",""))),"")</f>
        <v>#VALUE!</v>
      </c>
      <c r="X289" s="38"/>
      <c r="Y289" s="38"/>
      <c r="Z289" s="38"/>
      <c r="AA289" s="38"/>
      <c r="AB289" s="50">
        <v>46247</v>
      </c>
      <c r="AC289" s="181">
        <v>33629</v>
      </c>
      <c r="AD289" s="51">
        <v>9</v>
      </c>
      <c r="AE289" s="37" t="s">
        <v>387</v>
      </c>
      <c r="AF289" s="37" t="s">
        <v>381</v>
      </c>
      <c r="AG289" s="33" t="str">
        <f>IF(G289&gt;0,IF(AD289&gt;0,IF(AD289=0,"Waiting",IF(AD289&lt;L289,"Partial",IF(AD289=L289,"Full Supply",IF(AD289&gt;L289,"Over Shared")))),"Waiting"),"")</f>
        <v>Full Supply</v>
      </c>
      <c r="AH289" s="37"/>
      <c r="AI289" s="37"/>
      <c r="AJ289" s="181"/>
      <c r="AK289" s="40"/>
      <c r="AL289" s="40"/>
      <c r="AM289" s="40"/>
      <c r="AN289" s="37"/>
      <c r="AO289" s="34"/>
      <c r="AP289" s="37"/>
      <c r="AQ289" s="37"/>
      <c r="AR289" s="37"/>
      <c r="AS289" s="37"/>
      <c r="AT289" s="37">
        <f>AS289-AD289</f>
        <v>-9</v>
      </c>
      <c r="AU289" s="36" t="str">
        <f>IF(AR289=0,"Waiting",IF(AR289&lt;AH289,"Kurang",IF(AR289=AH289,"Sesuai",IF(AR289&gt;AH289,"Over Shared"))))</f>
        <v>Waiting</v>
      </c>
      <c r="AV289" s="37"/>
      <c r="AW289" s="37" t="str">
        <f>IFERROR(DATEDIF(AH289,AK289,"d"),"0")&amp;"-DAY"</f>
        <v>0-DAY</v>
      </c>
      <c r="AX289" s="37" t="str">
        <f>IFERROR(DATEDIF(B289,AB289,"d"),"0")&amp;"-DAY"</f>
        <v>6-DAY</v>
      </c>
      <c r="AY289" s="37"/>
      <c r="AZ289" s="181">
        <f>L289-AD289</f>
        <v>0</v>
      </c>
    </row>
    <row r="290" spans="1:52" ht="15.5" customHeight="1">
      <c r="A290" s="360" t="s">
        <v>372</v>
      </c>
      <c r="B290" s="340">
        <v>46241</v>
      </c>
      <c r="C290" s="181">
        <v>49036</v>
      </c>
      <c r="D290" s="30">
        <v>46240</v>
      </c>
      <c r="E290" s="30">
        <v>46233</v>
      </c>
      <c r="F290" s="30">
        <v>46264</v>
      </c>
      <c r="G290" s="37">
        <v>4420230409</v>
      </c>
      <c r="H290" s="37" t="s">
        <v>373</v>
      </c>
      <c r="I290" s="37">
        <v>9040041393</v>
      </c>
      <c r="J290" s="37" t="s">
        <v>191</v>
      </c>
      <c r="K290" s="325" t="s">
        <v>192</v>
      </c>
      <c r="L290" s="181">
        <v>40</v>
      </c>
      <c r="M290" s="181" t="s">
        <v>375</v>
      </c>
      <c r="N290" s="37" t="s">
        <v>376</v>
      </c>
      <c r="O290" s="31">
        <f>IF(F290&gt;0,F290-AB290,"")</f>
        <v>18</v>
      </c>
      <c r="P290" s="37" t="str">
        <f>IF(F290&gt;0,IF(AB290="","PLANNING SUPPLY",IF(AB290&lt;=F290,"ONTIME DELIVERY","DELAY")),"")</f>
        <v>ONTIME DELIVERY</v>
      </c>
      <c r="Q290" s="181" t="str">
        <f>IFERROR(IF(J290&gt;0,VLOOKUP(J290,#REF!,MATCH($Q$6,#REF!,0),0),""),"")</f>
        <v/>
      </c>
      <c r="R290" s="181" t="str">
        <f>IFERROR(IF(J290&gt;0,VLOOKUP(J290,#REF!,MATCH($R$6,#REF!,0),0),""),"")</f>
        <v/>
      </c>
      <c r="S290" s="181" t="e">
        <f>IF(I293&gt;0,Q290+R290,"")</f>
        <v>#VALUE!</v>
      </c>
      <c r="T290" s="181"/>
      <c r="U290" s="181"/>
      <c r="V290" s="37"/>
      <c r="W290" s="181" t="e">
        <f>IF(I293&gt;0,IF(S290&gt;L290,"READY STOCK",IF(S290=0,"OUT OF STOCK",IF(S290&lt;L290,"LOW STOCK",""))),"")</f>
        <v>#VALUE!</v>
      </c>
      <c r="X290" s="38"/>
      <c r="Y290" s="38"/>
      <c r="Z290" s="38"/>
      <c r="AA290" s="38"/>
      <c r="AB290" s="50">
        <v>46246</v>
      </c>
      <c r="AC290" s="181">
        <v>33573</v>
      </c>
      <c r="AD290" s="51">
        <v>40</v>
      </c>
      <c r="AE290" s="37" t="s">
        <v>387</v>
      </c>
      <c r="AF290" s="37" t="s">
        <v>381</v>
      </c>
      <c r="AG290" s="33" t="str">
        <f>IF(G290&gt;0,IF(AD290&gt;0,IF(AD290=0,"Waiting",IF(AD290&lt;L290,"Partial",IF(AD290=L290,"Full Supply",IF(AD290&gt;L290,"Over Shared")))),"Waiting"),"")</f>
        <v>Full Supply</v>
      </c>
      <c r="AH290" s="37"/>
      <c r="AI290" s="37"/>
      <c r="AJ290" s="181"/>
      <c r="AK290" s="40"/>
      <c r="AL290" s="40"/>
      <c r="AM290" s="40"/>
      <c r="AN290" s="37"/>
      <c r="AO290" s="34"/>
      <c r="AP290" s="37"/>
      <c r="AQ290" s="37"/>
      <c r="AR290" s="37"/>
      <c r="AS290" s="37"/>
      <c r="AT290" s="37">
        <f>AS290-AD290</f>
        <v>-40</v>
      </c>
      <c r="AU290" s="36" t="str">
        <f>IF(AR290=0,"Waiting",IF(AR290&lt;AH290,"Kurang",IF(AR290=AH290,"Sesuai",IF(AR290&gt;AH290,"Over Shared"))))</f>
        <v>Waiting</v>
      </c>
      <c r="AV290" s="37"/>
      <c r="AW290" s="37" t="str">
        <f>IFERROR(DATEDIF(AH290,AK290,"d"),"0")&amp;"-DAY"</f>
        <v>0-DAY</v>
      </c>
      <c r="AX290" s="37" t="str">
        <f>IFERROR(DATEDIF(B290,AB290,"d"),"0")&amp;"-DAY"</f>
        <v>5-DAY</v>
      </c>
      <c r="AY290" s="37"/>
      <c r="AZ290" s="181">
        <f>L290-AD290</f>
        <v>0</v>
      </c>
    </row>
    <row r="291" spans="1:52" ht="15.5" customHeight="1">
      <c r="A291" s="360" t="s">
        <v>372</v>
      </c>
      <c r="B291" s="340">
        <v>46241</v>
      </c>
      <c r="C291" s="181">
        <v>49036</v>
      </c>
      <c r="D291" s="30">
        <v>46240</v>
      </c>
      <c r="E291" s="30">
        <v>46233</v>
      </c>
      <c r="F291" s="30">
        <v>46264</v>
      </c>
      <c r="G291" s="37">
        <v>4420230409</v>
      </c>
      <c r="H291" s="37" t="s">
        <v>373</v>
      </c>
      <c r="I291" s="37">
        <v>9040044349</v>
      </c>
      <c r="J291" s="37" t="s">
        <v>157</v>
      </c>
      <c r="K291" s="325" t="s">
        <v>158</v>
      </c>
      <c r="L291" s="181">
        <v>30</v>
      </c>
      <c r="M291" s="181" t="s">
        <v>375</v>
      </c>
      <c r="N291" s="37" t="s">
        <v>376</v>
      </c>
      <c r="O291" s="31">
        <f>IF(F291&gt;0,F291-AB291,"")</f>
        <v>11</v>
      </c>
      <c r="P291" s="37" t="str">
        <f>IF(F291&gt;0,IF(AB291="","PLANNING SUPPLY",IF(AB291&lt;=F291,"ONTIME DELIVERY","DELAY")),"")</f>
        <v>ONTIME DELIVERY</v>
      </c>
      <c r="Q291" s="181" t="str">
        <f>IFERROR(IF(J291&gt;0,VLOOKUP(J291,#REF!,MATCH($Q$6,#REF!,0),0),""),"")</f>
        <v/>
      </c>
      <c r="R291" s="181" t="str">
        <f>IFERROR(IF(J291&gt;0,VLOOKUP(J291,#REF!,MATCH($R$6,#REF!,0),0),""),"")</f>
        <v/>
      </c>
      <c r="S291" s="181" t="e">
        <f>IF(I294&gt;0,Q291+R291,"")</f>
        <v>#VALUE!</v>
      </c>
      <c r="T291" s="181"/>
      <c r="U291" s="181"/>
      <c r="V291" s="37"/>
      <c r="W291" s="181" t="e">
        <f>IF(I294&gt;0,IF(S291&gt;L291,"READY STOCK",IF(S291=0,"OUT OF STOCK",IF(S291&lt;L291,"LOW STOCK",""))),"")</f>
        <v>#VALUE!</v>
      </c>
      <c r="X291" s="38"/>
      <c r="Y291" s="38"/>
      <c r="Z291" s="38"/>
      <c r="AA291" s="38"/>
      <c r="AB291" s="50">
        <v>46253</v>
      </c>
      <c r="AC291" s="181">
        <v>33746</v>
      </c>
      <c r="AD291" s="51">
        <v>30</v>
      </c>
      <c r="AE291" s="37" t="s">
        <v>383</v>
      </c>
      <c r="AF291" s="37" t="s">
        <v>381</v>
      </c>
      <c r="AG291" s="33" t="str">
        <f>IF(G291&gt;0,IF(AD291&gt;0,IF(AD291=0,"Waiting",IF(AD291&lt;L291,"Partial",IF(AD291=L291,"Full Supply",IF(AD291&gt;L291,"Over Shared")))),"Waiting"),"")</f>
        <v>Full Supply</v>
      </c>
      <c r="AH291" s="37"/>
      <c r="AI291" s="37"/>
      <c r="AJ291" s="181"/>
      <c r="AK291" s="40"/>
      <c r="AL291" s="40"/>
      <c r="AM291" s="40"/>
      <c r="AN291" s="37"/>
      <c r="AO291" s="34"/>
      <c r="AP291" s="37"/>
      <c r="AQ291" s="37"/>
      <c r="AR291" s="37"/>
      <c r="AS291" s="37"/>
      <c r="AT291" s="37">
        <f>AS291-AD291</f>
        <v>-30</v>
      </c>
      <c r="AU291" s="36" t="str">
        <f>IF(AR291=0,"Waiting",IF(AR291&lt;AH291,"Kurang",IF(AR291=AH291,"Sesuai",IF(AR291&gt;AH291,"Over Shared"))))</f>
        <v>Waiting</v>
      </c>
      <c r="AV291" s="37"/>
      <c r="AW291" s="37" t="str">
        <f>IFERROR(DATEDIF(AH291,AK291,"d"),"0")&amp;"-DAY"</f>
        <v>0-DAY</v>
      </c>
      <c r="AX291" s="37" t="str">
        <f>IFERROR(DATEDIF(B291,AB291,"d"),"0")&amp;"-DAY"</f>
        <v>12-DAY</v>
      </c>
      <c r="AY291" s="37"/>
      <c r="AZ291" s="181">
        <f>L291-AD291</f>
        <v>0</v>
      </c>
    </row>
    <row r="292" spans="1:52" ht="15.5" customHeight="1">
      <c r="A292" s="360" t="s">
        <v>372</v>
      </c>
      <c r="B292" s="340">
        <v>46241</v>
      </c>
      <c r="C292" s="181">
        <v>49037</v>
      </c>
      <c r="D292" s="30">
        <v>46241</v>
      </c>
      <c r="E292" s="30">
        <v>46239</v>
      </c>
      <c r="F292" s="30">
        <v>46264</v>
      </c>
      <c r="G292" s="37">
        <v>4420230775</v>
      </c>
      <c r="H292" s="37" t="s">
        <v>373</v>
      </c>
      <c r="I292" s="37">
        <v>9040040403</v>
      </c>
      <c r="J292" s="37" t="s">
        <v>299</v>
      </c>
      <c r="K292" s="325" t="s">
        <v>300</v>
      </c>
      <c r="L292" s="181">
        <v>5</v>
      </c>
      <c r="M292" s="181" t="s">
        <v>375</v>
      </c>
      <c r="N292" s="37" t="s">
        <v>408</v>
      </c>
      <c r="O292" s="31">
        <f>IF(F292&gt;0,F292-AB292,"")</f>
        <v>46264</v>
      </c>
      <c r="P292" s="37" t="str">
        <f>IF(F292&gt;0,IF(AB292="","PLANNING SUPPLY",IF(AB292&lt;=F292,"ONTIME DELIVERY","DELAY")),"")</f>
        <v>PLANNING SUPPLY</v>
      </c>
      <c r="Q292" s="181" t="str">
        <f>IFERROR(IF(J292&gt;0,VLOOKUP(J292,#REF!,MATCH($Q$6,#REF!,0),0),""),"")</f>
        <v/>
      </c>
      <c r="R292" s="181" t="str">
        <f>IFERROR(IF(J292&gt;0,VLOOKUP(J292,#REF!,MATCH($R$6,#REF!,0),0),""),"")</f>
        <v/>
      </c>
      <c r="S292" s="181" t="e">
        <f>IF(I295&gt;0,Q292+R292,"")</f>
        <v>#VALUE!</v>
      </c>
      <c r="T292" s="181"/>
      <c r="U292" s="181"/>
      <c r="V292" s="37"/>
      <c r="W292" s="181" t="e">
        <f>IF(I295&gt;0,IF(S292&gt;L292,"READY STOCK",IF(S292=0,"OUT OF STOCK",IF(S292&lt;L292,"LOW STOCK",""))),"")</f>
        <v>#VALUE!</v>
      </c>
      <c r="X292" s="38"/>
      <c r="Y292" s="38"/>
      <c r="Z292" s="38"/>
      <c r="AA292" s="38"/>
      <c r="AB292" s="50"/>
      <c r="AC292" s="44"/>
      <c r="AD292" s="51">
        <v>5</v>
      </c>
      <c r="AE292" s="37" t="s">
        <v>387</v>
      </c>
      <c r="AF292" s="58" t="s">
        <v>1295</v>
      </c>
      <c r="AG292" s="33" t="str">
        <f>IF(G292&gt;0,IF(AD292&gt;0,IF(AD292=0,"Waiting",IF(AD292&lt;L292,"Partial",IF(AD292=L292,"Full Supply",IF(AD292&gt;L292,"Over Shared")))),"Waiting"),"")</f>
        <v>Full Supply</v>
      </c>
      <c r="AH292" s="156"/>
      <c r="AI292" s="37"/>
      <c r="AJ292" s="181">
        <v>12</v>
      </c>
      <c r="AK292" s="40"/>
      <c r="AL292" s="40"/>
      <c r="AM292" s="40"/>
      <c r="AN292" s="212" t="s">
        <v>435</v>
      </c>
      <c r="AO292" s="34"/>
      <c r="AP292" s="37"/>
      <c r="AQ292" s="37"/>
      <c r="AR292" s="37"/>
      <c r="AS292" s="37"/>
      <c r="AT292" s="37">
        <f>AS292-AD292</f>
        <v>-5</v>
      </c>
      <c r="AU292" s="36" t="str">
        <f>IF(AR292=0,"Waiting",IF(AR292&lt;AH292,"Kurang",IF(AR292=AH292,"Sesuai",IF(AR292&gt;AH292,"Over Shared"))))</f>
        <v>Waiting</v>
      </c>
      <c r="AV292" s="37"/>
      <c r="AW292" s="37" t="str">
        <f>IFERROR(DATEDIF(AH292,AK292,"d"),"0")&amp;"-DAY"</f>
        <v>0-DAY</v>
      </c>
      <c r="AX292" s="37" t="str">
        <f>IFERROR(DATEDIF(B292,AB292,"d"),"0")&amp;"-DAY"</f>
        <v>0-DAY</v>
      </c>
      <c r="AY292" s="37"/>
      <c r="AZ292" s="181">
        <f>L292-AD292</f>
        <v>0</v>
      </c>
    </row>
    <row r="293" spans="1:52" ht="15.5" customHeight="1">
      <c r="A293" s="360" t="s">
        <v>372</v>
      </c>
      <c r="B293" s="340">
        <v>46241</v>
      </c>
      <c r="C293" s="181">
        <v>49063</v>
      </c>
      <c r="D293" s="30">
        <v>46241</v>
      </c>
      <c r="E293" s="30">
        <v>46239</v>
      </c>
      <c r="F293" s="30">
        <v>46254</v>
      </c>
      <c r="G293" s="37">
        <v>4420230815</v>
      </c>
      <c r="H293" s="37" t="s">
        <v>373</v>
      </c>
      <c r="I293" s="37">
        <v>9040024384</v>
      </c>
      <c r="J293" s="37" t="s">
        <v>54</v>
      </c>
      <c r="K293" s="325" t="s">
        <v>55</v>
      </c>
      <c r="L293" s="181">
        <v>6</v>
      </c>
      <c r="M293" s="181" t="s">
        <v>427</v>
      </c>
      <c r="N293" s="37" t="s">
        <v>399</v>
      </c>
      <c r="O293" s="31">
        <f>IF(F293&gt;0,F293-AB293,"")</f>
        <v>-4</v>
      </c>
      <c r="P293" s="37" t="str">
        <f>IF(F293&gt;0,IF(AB293="","PLANNING SUPPLY",IF(AB293&lt;=F293,"ONTIME DELIVERY","DELAY")),"")</f>
        <v>DELAY</v>
      </c>
      <c r="Q293" s="181" t="str">
        <f>IFERROR(IF(J293&gt;0,VLOOKUP(J293,#REF!,MATCH($Q$6,#REF!,0),0),""),"")</f>
        <v/>
      </c>
      <c r="R293" s="181" t="str">
        <f>IFERROR(IF(J293&gt;0,VLOOKUP(J293,#REF!,MATCH($R$6,#REF!,0),0),""),"")</f>
        <v/>
      </c>
      <c r="S293" s="181" t="e">
        <f>IF(I296&gt;0,Q293+R293,"")</f>
        <v>#VALUE!</v>
      </c>
      <c r="T293" s="181"/>
      <c r="U293" s="181"/>
      <c r="V293" s="37"/>
      <c r="W293" s="181" t="e">
        <f>IF(I296&gt;0,IF(S293&gt;L293,"READY STOCK",IF(S293=0,"OUT OF STOCK",IF(S293&lt;L293,"LOW STOCK",""))),"")</f>
        <v>#VALUE!</v>
      </c>
      <c r="X293" s="38"/>
      <c r="Y293" s="38"/>
      <c r="Z293" s="38"/>
      <c r="AA293" s="38"/>
      <c r="AB293" s="50">
        <v>46258</v>
      </c>
      <c r="AC293" s="181">
        <v>33799</v>
      </c>
      <c r="AD293" s="51">
        <v>6</v>
      </c>
      <c r="AE293" s="37" t="s">
        <v>383</v>
      </c>
      <c r="AF293" s="37" t="s">
        <v>381</v>
      </c>
      <c r="AG293" s="33" t="str">
        <f>IF(G293&gt;0,IF(AD293&gt;0,IF(AD293=0,"Waiting",IF(AD293&lt;L293,"Partial",IF(AD293=L293,"Full Supply",IF(AD293&gt;L293,"Over Shared")))),"Waiting"),"")</f>
        <v>Full Supply</v>
      </c>
      <c r="AH293" s="37"/>
      <c r="AI293" s="37"/>
      <c r="AJ293" s="181"/>
      <c r="AK293" s="40"/>
      <c r="AL293" s="40"/>
      <c r="AM293" s="40"/>
      <c r="AN293" s="37"/>
      <c r="AO293" s="34"/>
      <c r="AP293" s="37"/>
      <c r="AQ293" s="37"/>
      <c r="AR293" s="37"/>
      <c r="AS293" s="37"/>
      <c r="AT293" s="37">
        <f>AS293-AD293</f>
        <v>-6</v>
      </c>
      <c r="AU293" s="36" t="str">
        <f>IF(AR293=0,"Waiting",IF(AR293&lt;AH293,"Kurang",IF(AR293=AH293,"Sesuai",IF(AR293&gt;AH293,"Over Shared"))))</f>
        <v>Waiting</v>
      </c>
      <c r="AV293" s="37"/>
      <c r="AW293" s="37" t="str">
        <f>IFERROR(DATEDIF(AH293,AK293,"d"),"0")&amp;"-DAY"</f>
        <v>0-DAY</v>
      </c>
      <c r="AX293" s="37" t="str">
        <f>IFERROR(DATEDIF(B293,AB293,"d"),"0")&amp;"-DAY"</f>
        <v>17-DAY</v>
      </c>
      <c r="AY293" s="37"/>
      <c r="AZ293" s="181">
        <f>L293-AD293</f>
        <v>0</v>
      </c>
    </row>
    <row r="294" spans="1:52" ht="15.5" customHeight="1">
      <c r="A294" s="360" t="s">
        <v>372</v>
      </c>
      <c r="B294" s="340">
        <v>46241</v>
      </c>
      <c r="C294" s="181">
        <v>49063</v>
      </c>
      <c r="D294" s="30">
        <v>46241</v>
      </c>
      <c r="E294" s="30">
        <v>46239</v>
      </c>
      <c r="F294" s="30">
        <v>46264</v>
      </c>
      <c r="G294" s="37">
        <v>4420230815</v>
      </c>
      <c r="H294" s="37" t="s">
        <v>373</v>
      </c>
      <c r="I294" s="37">
        <v>9040040390</v>
      </c>
      <c r="J294" s="37" t="s">
        <v>209</v>
      </c>
      <c r="K294" s="325" t="s">
        <v>210</v>
      </c>
      <c r="L294" s="181">
        <v>4</v>
      </c>
      <c r="M294" s="181" t="s">
        <v>429</v>
      </c>
      <c r="N294" s="37" t="s">
        <v>399</v>
      </c>
      <c r="O294" s="31">
        <f>IF(F294&gt;0,F294-AB294,"")</f>
        <v>-3</v>
      </c>
      <c r="P294" s="37" t="str">
        <f>IF(F294&gt;0,IF(AB294="","PLANNING SUPPLY",IF(AB294&lt;=F294,"ONTIME DELIVERY","DELAY")),"")</f>
        <v>DELAY</v>
      </c>
      <c r="Q294" s="181" t="str">
        <f>IFERROR(IF(J294&gt;0,VLOOKUP(J294,#REF!,MATCH($Q$6,#REF!,0),0),""),"")</f>
        <v/>
      </c>
      <c r="R294" s="181" t="str">
        <f>IFERROR(IF(J294&gt;0,VLOOKUP(J294,#REF!,MATCH($R$6,#REF!,0),0),""),"")</f>
        <v/>
      </c>
      <c r="S294" s="181" t="e">
        <f>IF(I297&gt;0,Q294+R294,"")</f>
        <v>#VALUE!</v>
      </c>
      <c r="T294" s="181"/>
      <c r="U294" s="181"/>
      <c r="V294" s="37"/>
      <c r="W294" s="181" t="e">
        <f>IF(I297&gt;0,IF(S294&gt;L294,"READY STOCK",IF(S294=0,"OUT OF STOCK",IF(S294&lt;L294,"LOW STOCK",""))),"")</f>
        <v>#VALUE!</v>
      </c>
      <c r="X294" s="38"/>
      <c r="Y294" s="38"/>
      <c r="Z294" s="38"/>
      <c r="AA294" s="38"/>
      <c r="AB294" s="50">
        <v>46267</v>
      </c>
      <c r="AC294" s="181">
        <v>33987</v>
      </c>
      <c r="AD294" s="51">
        <v>4</v>
      </c>
      <c r="AE294" s="37" t="s">
        <v>383</v>
      </c>
      <c r="AF294" s="37" t="s">
        <v>381</v>
      </c>
      <c r="AG294" s="33" t="str">
        <f>IF(G294&gt;0,IF(AD294&gt;0,IF(AD294=0,"Waiting",IF(AD294&lt;L294,"Partial",IF(AD294=L294,"Full Supply",IF(AD294&gt;L294,"Over Shared")))),"Waiting"),"")</f>
        <v>Full Supply</v>
      </c>
      <c r="AH294" s="156">
        <v>46246</v>
      </c>
      <c r="AI294" s="37" t="s">
        <v>1283</v>
      </c>
      <c r="AJ294" s="181">
        <v>28</v>
      </c>
      <c r="AK294" s="40">
        <v>26063</v>
      </c>
      <c r="AL294" s="45">
        <v>46255</v>
      </c>
      <c r="AM294" s="40">
        <v>28</v>
      </c>
      <c r="AN294" s="37"/>
      <c r="AO294" s="41">
        <v>46255</v>
      </c>
      <c r="AP294" s="37"/>
      <c r="AQ294" s="37"/>
      <c r="AR294" s="37"/>
      <c r="AS294" s="37"/>
      <c r="AT294" s="37">
        <f>AS294-AD294</f>
        <v>-4</v>
      </c>
      <c r="AU294" s="36" t="str">
        <f>IF(AR294=0,"Waiting",IF(AR294&lt;AH294,"Kurang",IF(AR294=AH294,"Sesuai",IF(AR294&gt;AH294,"Over Shared"))))</f>
        <v>Waiting</v>
      </c>
      <c r="AV294" s="37"/>
      <c r="AW294" s="37" t="str">
        <f>IFERROR(DATEDIF(AH294,AK294,"d"),"0")&amp;"-DAY"</f>
        <v>0-DAY</v>
      </c>
      <c r="AX294" s="37" t="str">
        <f>IFERROR(DATEDIF(B294,AB294,"d"),"0")&amp;"-DAY"</f>
        <v>26-DAY</v>
      </c>
      <c r="AY294" s="37"/>
      <c r="AZ294" s="181">
        <f>L294-AD294</f>
        <v>0</v>
      </c>
    </row>
    <row r="295" spans="1:52" ht="15.5" customHeight="1">
      <c r="A295" s="360" t="s">
        <v>372</v>
      </c>
      <c r="B295" s="340">
        <v>46241</v>
      </c>
      <c r="C295" s="181">
        <v>49063</v>
      </c>
      <c r="D295" s="30">
        <v>46241</v>
      </c>
      <c r="E295" s="30">
        <v>46239</v>
      </c>
      <c r="F295" s="30">
        <v>46264</v>
      </c>
      <c r="G295" s="37">
        <v>4420230815</v>
      </c>
      <c r="H295" s="37" t="s">
        <v>373</v>
      </c>
      <c r="I295" s="37">
        <v>9040040445</v>
      </c>
      <c r="J295" s="37" t="s">
        <v>193</v>
      </c>
      <c r="K295" s="325" t="s">
        <v>194</v>
      </c>
      <c r="L295" s="181">
        <v>6</v>
      </c>
      <c r="M295" s="181" t="s">
        <v>429</v>
      </c>
      <c r="N295" s="37" t="s">
        <v>399</v>
      </c>
      <c r="O295" s="31">
        <f>IF(F295&gt;0,F295-AB295,"")</f>
        <v>-3</v>
      </c>
      <c r="P295" s="37" t="str">
        <f>IF(F295&gt;0,IF(AB295="","PLANNING SUPPLY",IF(AB295&lt;=F295,"ONTIME DELIVERY","DELAY")),"")</f>
        <v>DELAY</v>
      </c>
      <c r="Q295" s="181" t="str">
        <f>IFERROR(IF(J295&gt;0,VLOOKUP(J295,#REF!,MATCH($Q$6,#REF!,0),0),""),"")</f>
        <v/>
      </c>
      <c r="R295" s="181" t="str">
        <f>IFERROR(IF(J295&gt;0,VLOOKUP(J295,#REF!,MATCH($R$6,#REF!,0),0),""),"")</f>
        <v/>
      </c>
      <c r="S295" s="181" t="e">
        <f>IF(I298&gt;0,Q295+R295,"")</f>
        <v>#VALUE!</v>
      </c>
      <c r="T295" s="181"/>
      <c r="U295" s="181"/>
      <c r="V295" s="37"/>
      <c r="W295" s="181" t="e">
        <f>IF(I298&gt;0,IF(S295&gt;L295,"READY STOCK",IF(S295=0,"OUT OF STOCK",IF(S295&lt;L295,"LOW STOCK",""))),"")</f>
        <v>#VALUE!</v>
      </c>
      <c r="X295" s="38"/>
      <c r="Y295" s="38"/>
      <c r="Z295" s="38"/>
      <c r="AA295" s="38"/>
      <c r="AB295" s="50">
        <v>46267</v>
      </c>
      <c r="AC295" s="181">
        <v>33987</v>
      </c>
      <c r="AD295" s="51">
        <v>6</v>
      </c>
      <c r="AE295" s="37" t="s">
        <v>383</v>
      </c>
      <c r="AF295" s="37" t="s">
        <v>381</v>
      </c>
      <c r="AG295" s="33" t="str">
        <f>IF(G295&gt;0,IF(AD295&gt;0,IF(AD295=0,"Waiting",IF(AD295&lt;L295,"Partial",IF(AD295=L295,"Full Supply",IF(AD295&gt;L295,"Over Shared")))),"Waiting"),"")</f>
        <v>Full Supply</v>
      </c>
      <c r="AH295" s="37"/>
      <c r="AI295" s="37"/>
      <c r="AJ295" s="181"/>
      <c r="AK295" s="40"/>
      <c r="AL295" s="40"/>
      <c r="AM295" s="40"/>
      <c r="AN295" s="37"/>
      <c r="AO295" s="34"/>
      <c r="AP295" s="37"/>
      <c r="AQ295" s="37"/>
      <c r="AR295" s="37"/>
      <c r="AS295" s="37"/>
      <c r="AT295" s="37">
        <f>AS295-AD295</f>
        <v>-6</v>
      </c>
      <c r="AU295" s="36" t="str">
        <f>IF(AR295=0,"Waiting",IF(AR295&lt;AH295,"Kurang",IF(AR295=AH295,"Sesuai",IF(AR295&gt;AH295,"Over Shared"))))</f>
        <v>Waiting</v>
      </c>
      <c r="AV295" s="37"/>
      <c r="AW295" s="37" t="str">
        <f>IFERROR(DATEDIF(AH295,AK295,"d"),"0")&amp;"-DAY"</f>
        <v>0-DAY</v>
      </c>
      <c r="AX295" s="37" t="str">
        <f>IFERROR(DATEDIF(B295,AB295,"d"),"0")&amp;"-DAY"</f>
        <v>26-DAY</v>
      </c>
      <c r="AY295" s="37"/>
      <c r="AZ295" s="181">
        <f>L295-AD295</f>
        <v>0</v>
      </c>
    </row>
    <row r="296" spans="1:52" ht="15.5" customHeight="1">
      <c r="A296" s="360" t="s">
        <v>372</v>
      </c>
      <c r="B296" s="340">
        <v>46241</v>
      </c>
      <c r="C296" s="181">
        <v>49063</v>
      </c>
      <c r="D296" s="30">
        <v>46241</v>
      </c>
      <c r="E296" s="30">
        <v>46239</v>
      </c>
      <c r="F296" s="30">
        <v>46264</v>
      </c>
      <c r="G296" s="37">
        <v>4420230815</v>
      </c>
      <c r="H296" s="37" t="s">
        <v>373</v>
      </c>
      <c r="I296" s="37">
        <v>9040040446</v>
      </c>
      <c r="J296" s="37" t="s">
        <v>189</v>
      </c>
      <c r="K296" s="325" t="s">
        <v>190</v>
      </c>
      <c r="L296" s="181">
        <v>5</v>
      </c>
      <c r="M296" s="181" t="s">
        <v>429</v>
      </c>
      <c r="N296" s="37" t="s">
        <v>399</v>
      </c>
      <c r="O296" s="31">
        <f>IF(F296&gt;0,F296-AB296,"")</f>
        <v>18</v>
      </c>
      <c r="P296" s="37" t="str">
        <f>IF(F296&gt;0,IF(AB296="","PLANNING SUPPLY",IF(AB296&lt;=F296,"ONTIME DELIVERY","DELAY")),"")</f>
        <v>ONTIME DELIVERY</v>
      </c>
      <c r="Q296" s="181" t="str">
        <f>IFERROR(IF(J296&gt;0,VLOOKUP(J296,#REF!,MATCH($Q$6,#REF!,0),0),""),"")</f>
        <v/>
      </c>
      <c r="R296" s="181" t="str">
        <f>IFERROR(IF(J296&gt;0,VLOOKUP(J296,#REF!,MATCH($R$6,#REF!,0),0),""),"")</f>
        <v/>
      </c>
      <c r="S296" s="181" t="e">
        <f>IF(I299&gt;0,Q296+R296,"")</f>
        <v>#VALUE!</v>
      </c>
      <c r="T296" s="181"/>
      <c r="U296" s="181"/>
      <c r="V296" s="37"/>
      <c r="W296" s="181" t="e">
        <f>IF(I299&gt;0,IF(S296&gt;L296,"READY STOCK",IF(S296=0,"OUT OF STOCK",IF(S296&lt;L296,"LOW STOCK",""))),"")</f>
        <v>#VALUE!</v>
      </c>
      <c r="X296" s="38"/>
      <c r="Y296" s="38"/>
      <c r="Z296" s="38"/>
      <c r="AA296" s="38"/>
      <c r="AB296" s="50">
        <v>46246</v>
      </c>
      <c r="AC296" s="181">
        <v>33602</v>
      </c>
      <c r="AD296" s="51">
        <v>5</v>
      </c>
      <c r="AE296" s="37" t="s">
        <v>383</v>
      </c>
      <c r="AF296" s="37" t="s">
        <v>381</v>
      </c>
      <c r="AG296" s="33" t="str">
        <f>IF(G296&gt;0,IF(AD296&gt;0,IF(AD296=0,"Waiting",IF(AD296&lt;L296,"Partial",IF(AD296=L296,"Full Supply",IF(AD296&gt;L296,"Over Shared")))),"Waiting"),"")</f>
        <v>Full Supply</v>
      </c>
      <c r="AH296" s="37"/>
      <c r="AI296" s="37"/>
      <c r="AJ296" s="181"/>
      <c r="AK296" s="40"/>
      <c r="AL296" s="40"/>
      <c r="AM296" s="40"/>
      <c r="AN296" s="37"/>
      <c r="AO296" s="34"/>
      <c r="AP296" s="37"/>
      <c r="AQ296" s="37"/>
      <c r="AR296" s="37"/>
      <c r="AS296" s="37"/>
      <c r="AT296" s="37">
        <f>AS296-AD296</f>
        <v>-5</v>
      </c>
      <c r="AU296" s="36" t="str">
        <f>IF(AR296=0,"Waiting",IF(AR296&lt;AH296,"Kurang",IF(AR296=AH296,"Sesuai",IF(AR296&gt;AH296,"Over Shared"))))</f>
        <v>Waiting</v>
      </c>
      <c r="AV296" s="37"/>
      <c r="AW296" s="37" t="str">
        <f>IFERROR(DATEDIF(AH296,AK296,"d"),"0")&amp;"-DAY"</f>
        <v>0-DAY</v>
      </c>
      <c r="AX296" s="37" t="str">
        <f>IFERROR(DATEDIF(B296,AB296,"d"),"0")&amp;"-DAY"</f>
        <v>5-DAY</v>
      </c>
      <c r="AY296" s="37"/>
      <c r="AZ296" s="181">
        <f>L296-AD296</f>
        <v>0</v>
      </c>
    </row>
    <row r="297" spans="1:52" ht="15.5" customHeight="1">
      <c r="A297" s="360" t="s">
        <v>372</v>
      </c>
      <c r="B297" s="340">
        <v>46241</v>
      </c>
      <c r="C297" s="181">
        <v>49063</v>
      </c>
      <c r="D297" s="30">
        <v>46241</v>
      </c>
      <c r="E297" s="30">
        <v>46239</v>
      </c>
      <c r="F297" s="30">
        <v>46264</v>
      </c>
      <c r="G297" s="37">
        <v>4420230815</v>
      </c>
      <c r="H297" s="37" t="s">
        <v>373</v>
      </c>
      <c r="I297" s="37">
        <v>9040040933</v>
      </c>
      <c r="J297" s="37" t="s">
        <v>295</v>
      </c>
      <c r="K297" s="325" t="s">
        <v>296</v>
      </c>
      <c r="L297" s="181">
        <v>4</v>
      </c>
      <c r="M297" s="181" t="s">
        <v>375</v>
      </c>
      <c r="N297" s="37" t="s">
        <v>399</v>
      </c>
      <c r="O297" s="31">
        <f>IF(F297&gt;0,F297-AB297,"")</f>
        <v>18</v>
      </c>
      <c r="P297" s="37" t="str">
        <f>IF(F297&gt;0,IF(AB297="","PLANNING SUPPLY",IF(AB297&lt;=F297,"ONTIME DELIVERY","DELAY")),"")</f>
        <v>ONTIME DELIVERY</v>
      </c>
      <c r="Q297" s="181" t="str">
        <f>IFERROR(IF(J297&gt;0,VLOOKUP(J297,#REF!,MATCH($Q$6,#REF!,0),0),""),"")</f>
        <v/>
      </c>
      <c r="R297" s="181" t="str">
        <f>IFERROR(IF(J297&gt;0,VLOOKUP(J297,#REF!,MATCH($R$6,#REF!,0),0),""),"")</f>
        <v/>
      </c>
      <c r="S297" s="181" t="e">
        <f>IF(I300&gt;0,Q297+R297,"")</f>
        <v>#VALUE!</v>
      </c>
      <c r="T297" s="181"/>
      <c r="U297" s="181"/>
      <c r="V297" s="37"/>
      <c r="W297" s="181" t="e">
        <f>IF(I300&gt;0,IF(S297&gt;L297,"READY STOCK",IF(S297=0,"OUT OF STOCK",IF(S297&lt;L297,"LOW STOCK",""))),"")</f>
        <v>#VALUE!</v>
      </c>
      <c r="X297" s="38"/>
      <c r="Y297" s="38"/>
      <c r="Z297" s="38"/>
      <c r="AA297" s="38"/>
      <c r="AB297" s="50">
        <v>46246</v>
      </c>
      <c r="AC297" s="181">
        <v>33599</v>
      </c>
      <c r="AD297" s="51">
        <v>4</v>
      </c>
      <c r="AE297" s="37" t="s">
        <v>387</v>
      </c>
      <c r="AF297" s="37" t="s">
        <v>381</v>
      </c>
      <c r="AG297" s="33" t="str">
        <f>IF(G297&gt;0,IF(AD297&gt;0,IF(AD297=0,"Waiting",IF(AD297&lt;L297,"Partial",IF(AD297=L297,"Full Supply",IF(AD297&gt;L297,"Over Shared")))),"Waiting"),"")</f>
        <v>Full Supply</v>
      </c>
      <c r="AH297" s="37"/>
      <c r="AI297" s="37"/>
      <c r="AJ297" s="181"/>
      <c r="AK297" s="40"/>
      <c r="AL297" s="40"/>
      <c r="AM297" s="40"/>
      <c r="AN297" s="37"/>
      <c r="AO297" s="34"/>
      <c r="AP297" s="37"/>
      <c r="AQ297" s="37"/>
      <c r="AR297" s="37"/>
      <c r="AS297" s="37"/>
      <c r="AT297" s="37">
        <f>AS297-AD297</f>
        <v>-4</v>
      </c>
      <c r="AU297" s="36" t="str">
        <f>IF(AR297=0,"Waiting",IF(AR297&lt;AH297,"Kurang",IF(AR297=AH297,"Sesuai",IF(AR297&gt;AH297,"Over Shared"))))</f>
        <v>Waiting</v>
      </c>
      <c r="AV297" s="37"/>
      <c r="AW297" s="37" t="str">
        <f>IFERROR(DATEDIF(AH297,AK297,"d"),"0")&amp;"-DAY"</f>
        <v>0-DAY</v>
      </c>
      <c r="AX297" s="37" t="str">
        <f>IFERROR(DATEDIF(B297,AB297,"d"),"0")&amp;"-DAY"</f>
        <v>5-DAY</v>
      </c>
      <c r="AY297" s="37"/>
      <c r="AZ297" s="181">
        <f>L297-AD297</f>
        <v>0</v>
      </c>
    </row>
    <row r="298" spans="1:52" ht="15.5" customHeight="1">
      <c r="A298" s="360" t="s">
        <v>372</v>
      </c>
      <c r="B298" s="340">
        <v>46241</v>
      </c>
      <c r="C298" s="181">
        <v>49063</v>
      </c>
      <c r="D298" s="30">
        <v>46241</v>
      </c>
      <c r="E298" s="30">
        <v>46239</v>
      </c>
      <c r="F298" s="30">
        <v>46264</v>
      </c>
      <c r="G298" s="37">
        <v>4420230815</v>
      </c>
      <c r="H298" s="37" t="s">
        <v>373</v>
      </c>
      <c r="I298" s="37">
        <v>9040044154</v>
      </c>
      <c r="J298" s="37" t="s">
        <v>301</v>
      </c>
      <c r="K298" s="325" t="s">
        <v>302</v>
      </c>
      <c r="L298" s="181">
        <v>2</v>
      </c>
      <c r="M298" s="181" t="s">
        <v>375</v>
      </c>
      <c r="N298" s="37" t="s">
        <v>399</v>
      </c>
      <c r="O298" s="31">
        <f>IF(F298&gt;0,F298-AB298,"")</f>
        <v>17</v>
      </c>
      <c r="P298" s="37" t="str">
        <f>IF(F298&gt;0,IF(AB298="","PLANNING SUPPLY",IF(AB298&lt;=F298,"ONTIME DELIVERY","DELAY")),"")</f>
        <v>ONTIME DELIVERY</v>
      </c>
      <c r="Q298" s="181" t="str">
        <f>IFERROR(IF(J298&gt;0,VLOOKUP(J298,#REF!,MATCH($Q$6,#REF!,0),0),""),"")</f>
        <v/>
      </c>
      <c r="R298" s="181" t="str">
        <f>IFERROR(IF(J298&gt;0,VLOOKUP(J298,#REF!,MATCH($R$6,#REF!,0),0),""),"")</f>
        <v/>
      </c>
      <c r="S298" s="181" t="e">
        <f>IF(I301&gt;0,Q298+R298,"")</f>
        <v>#VALUE!</v>
      </c>
      <c r="T298" s="181"/>
      <c r="U298" s="181"/>
      <c r="V298" s="37"/>
      <c r="W298" s="181" t="e">
        <f>IF(I301&gt;0,IF(S298&gt;L298,"READY STOCK",IF(S298=0,"OUT OF STOCK",IF(S298&lt;L298,"LOW STOCK",""))),"")</f>
        <v>#VALUE!</v>
      </c>
      <c r="X298" s="38"/>
      <c r="Y298" s="38"/>
      <c r="Z298" s="38"/>
      <c r="AA298" s="38"/>
      <c r="AB298" s="50">
        <v>46247</v>
      </c>
      <c r="AC298" s="181">
        <v>33630</v>
      </c>
      <c r="AD298" s="51">
        <v>2</v>
      </c>
      <c r="AE298" s="37" t="s">
        <v>383</v>
      </c>
      <c r="AF298" s="37" t="s">
        <v>381</v>
      </c>
      <c r="AG298" s="33" t="str">
        <f>IF(G298&gt;0,IF(AD298&gt;0,IF(AD298=0,"Waiting",IF(AD298&lt;L298,"Partial",IF(AD298=L298,"Full Supply",IF(AD298&gt;L298,"Over Shared")))),"Waiting"),"")</f>
        <v>Full Supply</v>
      </c>
      <c r="AH298" s="37"/>
      <c r="AI298" s="37"/>
      <c r="AJ298" s="181"/>
      <c r="AK298" s="40"/>
      <c r="AL298" s="40"/>
      <c r="AM298" s="40"/>
      <c r="AN298" s="37"/>
      <c r="AO298" s="34"/>
      <c r="AP298" s="37"/>
      <c r="AQ298" s="37"/>
      <c r="AR298" s="37"/>
      <c r="AS298" s="37"/>
      <c r="AT298" s="37">
        <f>AS298-AD298</f>
        <v>-2</v>
      </c>
      <c r="AU298" s="36" t="str">
        <f>IF(AR298=0,"Waiting",IF(AR298&lt;AH298,"Kurang",IF(AR298=AH298,"Sesuai",IF(AR298&gt;AH298,"Over Shared"))))</f>
        <v>Waiting</v>
      </c>
      <c r="AV298" s="37"/>
      <c r="AW298" s="37" t="str">
        <f>IFERROR(DATEDIF(AH298,AK298,"d"),"0")&amp;"-DAY"</f>
        <v>0-DAY</v>
      </c>
      <c r="AX298" s="37" t="str">
        <f>IFERROR(DATEDIF(B298,AB298,"d"),"0")&amp;"-DAY"</f>
        <v>6-DAY</v>
      </c>
      <c r="AY298" s="37"/>
      <c r="AZ298" s="181">
        <f>L298-AD298</f>
        <v>0</v>
      </c>
    </row>
    <row r="299" spans="1:52" ht="15.5" customHeight="1">
      <c r="A299" s="360" t="s">
        <v>372</v>
      </c>
      <c r="B299" s="340">
        <v>46241</v>
      </c>
      <c r="C299" s="181">
        <v>49063</v>
      </c>
      <c r="D299" s="30">
        <v>46241</v>
      </c>
      <c r="E299" s="30">
        <v>46239</v>
      </c>
      <c r="F299" s="30">
        <v>46264</v>
      </c>
      <c r="G299" s="37">
        <v>4420230815</v>
      </c>
      <c r="H299" s="37" t="s">
        <v>373</v>
      </c>
      <c r="I299" s="37">
        <v>9040044209</v>
      </c>
      <c r="J299" s="37" t="s">
        <v>270</v>
      </c>
      <c r="K299" s="325" t="s">
        <v>271</v>
      </c>
      <c r="L299" s="181">
        <v>17</v>
      </c>
      <c r="M299" s="181" t="s">
        <v>375</v>
      </c>
      <c r="N299" s="37" t="s">
        <v>399</v>
      </c>
      <c r="O299" s="31">
        <f>IF(F299&gt;0,F299-AB299,"")</f>
        <v>16</v>
      </c>
      <c r="P299" s="37" t="str">
        <f>IF(F299&gt;0,IF(AB299="","PLANNING SUPPLY",IF(AB299&lt;=F299,"ONTIME DELIVERY","DELAY")),"")</f>
        <v>ONTIME DELIVERY</v>
      </c>
      <c r="Q299" s="181" t="str">
        <f>IFERROR(IF(J299&gt;0,VLOOKUP(J299,#REF!,MATCH($Q$6,#REF!,0),0),""),"")</f>
        <v/>
      </c>
      <c r="R299" s="181" t="str">
        <f>IFERROR(IF(J299&gt;0,VLOOKUP(J299,#REF!,MATCH($R$6,#REF!,0),0),""),"")</f>
        <v/>
      </c>
      <c r="S299" s="181" t="e">
        <f>IF(I302&gt;0,Q299+R299,"")</f>
        <v>#VALUE!</v>
      </c>
      <c r="T299" s="181"/>
      <c r="U299" s="181"/>
      <c r="V299" s="37"/>
      <c r="W299" s="181" t="e">
        <f>IF(I302&gt;0,IF(S299&gt;L299,"READY STOCK",IF(S299=0,"OUT OF STOCK",IF(S299&lt;L299,"LOW STOCK",""))),"")</f>
        <v>#VALUE!</v>
      </c>
      <c r="X299" s="38"/>
      <c r="Y299" s="38"/>
      <c r="Z299" s="38"/>
      <c r="AA299" s="38"/>
      <c r="AB299" s="50">
        <v>46248</v>
      </c>
      <c r="AC299" s="181">
        <v>33692</v>
      </c>
      <c r="AD299" s="51">
        <v>17</v>
      </c>
      <c r="AE299" s="37" t="s">
        <v>383</v>
      </c>
      <c r="AF299" s="37" t="s">
        <v>381</v>
      </c>
      <c r="AG299" s="33" t="str">
        <f>IF(G299&gt;0,IF(AD299&gt;0,IF(AD299=0,"Waiting",IF(AD299&lt;L299,"Partial",IF(AD299=L299,"Full Supply",IF(AD299&gt;L299,"Over Shared")))),"Waiting"),"")</f>
        <v>Full Supply</v>
      </c>
      <c r="AH299" s="37"/>
      <c r="AI299" s="37"/>
      <c r="AJ299" s="181"/>
      <c r="AK299" s="40"/>
      <c r="AL299" s="40"/>
      <c r="AM299" s="40"/>
      <c r="AN299" s="37"/>
      <c r="AO299" s="34"/>
      <c r="AP299" s="37"/>
      <c r="AQ299" s="37"/>
      <c r="AR299" s="37"/>
      <c r="AS299" s="37"/>
      <c r="AT299" s="37">
        <f>AS299-AD299</f>
        <v>-17</v>
      </c>
      <c r="AU299" s="36" t="str">
        <f>IF(AR299=0,"Waiting",IF(AR299&lt;AH299,"Kurang",IF(AR299=AH299,"Sesuai",IF(AR299&gt;AH299,"Over Shared"))))</f>
        <v>Waiting</v>
      </c>
      <c r="AV299" s="37"/>
      <c r="AW299" s="37" t="str">
        <f>IFERROR(DATEDIF(AH299,AK299,"d"),"0")&amp;"-DAY"</f>
        <v>0-DAY</v>
      </c>
      <c r="AX299" s="37" t="str">
        <f>IFERROR(DATEDIF(B299,AB299,"d"),"0")&amp;"-DAY"</f>
        <v>7-DAY</v>
      </c>
      <c r="AY299" s="37"/>
      <c r="AZ299" s="181">
        <f>L299-AD299</f>
        <v>0</v>
      </c>
    </row>
    <row r="300" spans="1:52" ht="15.5" customHeight="1">
      <c r="A300" s="360" t="s">
        <v>372</v>
      </c>
      <c r="B300" s="340">
        <v>46241</v>
      </c>
      <c r="C300" s="181">
        <v>49063</v>
      </c>
      <c r="D300" s="30">
        <v>46241</v>
      </c>
      <c r="E300" s="30">
        <v>46239</v>
      </c>
      <c r="F300" s="30">
        <v>46264</v>
      </c>
      <c r="G300" s="37">
        <v>4420230815</v>
      </c>
      <c r="H300" s="37" t="s">
        <v>373</v>
      </c>
      <c r="I300" s="37">
        <v>9040044349</v>
      </c>
      <c r="J300" s="37" t="s">
        <v>157</v>
      </c>
      <c r="K300" s="325" t="s">
        <v>158</v>
      </c>
      <c r="L300" s="181">
        <v>183</v>
      </c>
      <c r="M300" s="181" t="s">
        <v>375</v>
      </c>
      <c r="N300" s="37" t="s">
        <v>399</v>
      </c>
      <c r="O300" s="31">
        <f>IF(F300&gt;0,F300-AB300,"")</f>
        <v>11</v>
      </c>
      <c r="P300" s="37" t="str">
        <f>IF(F300&gt;0,IF(AB300="","PLANNING SUPPLY",IF(AB300&lt;=F300,"ONTIME DELIVERY","DELAY")),"")</f>
        <v>ONTIME DELIVERY</v>
      </c>
      <c r="Q300" s="181" t="str">
        <f>IFERROR(IF(J300&gt;0,VLOOKUP(J300,#REF!,MATCH($Q$6,#REF!,0),0),""),"")</f>
        <v/>
      </c>
      <c r="R300" s="181" t="str">
        <f>IFERROR(IF(J300&gt;0,VLOOKUP(J300,#REF!,MATCH($R$6,#REF!,0),0),""),"")</f>
        <v/>
      </c>
      <c r="S300" s="181" t="e">
        <f>IF(I303&gt;0,Q300+R300,"")</f>
        <v>#VALUE!</v>
      </c>
      <c r="T300" s="181"/>
      <c r="U300" s="181"/>
      <c r="V300" s="37"/>
      <c r="W300" s="181" t="e">
        <f>IF(I303&gt;0,IF(S300&gt;L300,"READY STOCK",IF(S300=0,"OUT OF STOCK",IF(S300&lt;L300,"LOW STOCK",""))),"")</f>
        <v>#VALUE!</v>
      </c>
      <c r="X300" s="38"/>
      <c r="Y300" s="38"/>
      <c r="Z300" s="38"/>
      <c r="AA300" s="38"/>
      <c r="AB300" s="50">
        <v>46253</v>
      </c>
      <c r="AC300" s="181">
        <v>33759</v>
      </c>
      <c r="AD300" s="51">
        <v>183</v>
      </c>
      <c r="AE300" s="37" t="s">
        <v>383</v>
      </c>
      <c r="AF300" s="37" t="s">
        <v>381</v>
      </c>
      <c r="AG300" s="33" t="str">
        <f>IF(G300&gt;0,IF(AD300&gt;0,IF(AD300=0,"Waiting",IF(AD300&lt;L300,"Partial",IF(AD300=L300,"Full Supply",IF(AD300&gt;L300,"Over Shared")))),"Waiting"),"")</f>
        <v>Full Supply</v>
      </c>
      <c r="AH300" s="37"/>
      <c r="AI300" s="37"/>
      <c r="AJ300" s="181"/>
      <c r="AK300" s="40"/>
      <c r="AL300" s="40"/>
      <c r="AM300" s="40"/>
      <c r="AN300" s="37"/>
      <c r="AO300" s="34"/>
      <c r="AP300" s="37"/>
      <c r="AQ300" s="37"/>
      <c r="AR300" s="37"/>
      <c r="AS300" s="37"/>
      <c r="AT300" s="37">
        <f>AS300-AD300</f>
        <v>-183</v>
      </c>
      <c r="AU300" s="36" t="str">
        <f>IF(AR300=0,"Waiting",IF(AR300&lt;AH300,"Kurang",IF(AR300=AH300,"Sesuai",IF(AR300&gt;AH300,"Over Shared"))))</f>
        <v>Waiting</v>
      </c>
      <c r="AV300" s="37"/>
      <c r="AW300" s="37" t="str">
        <f>IFERROR(DATEDIF(AH300,AK300,"d"),"0")&amp;"-DAY"</f>
        <v>0-DAY</v>
      </c>
      <c r="AX300" s="37" t="str">
        <f>IFERROR(DATEDIF(B300,AB300,"d"),"0")&amp;"-DAY"</f>
        <v>12-DAY</v>
      </c>
      <c r="AY300" s="37"/>
      <c r="AZ300" s="181">
        <f>L300-AD300</f>
        <v>0</v>
      </c>
    </row>
    <row r="301" spans="1:52" ht="15.5" customHeight="1">
      <c r="A301" s="360" t="s">
        <v>372</v>
      </c>
      <c r="B301" s="340">
        <v>46244</v>
      </c>
      <c r="C301" s="181">
        <v>49297</v>
      </c>
      <c r="D301" s="30">
        <v>46244</v>
      </c>
      <c r="E301" s="30">
        <v>46235</v>
      </c>
      <c r="F301" s="30">
        <v>46246</v>
      </c>
      <c r="G301" s="37">
        <v>4420230535</v>
      </c>
      <c r="H301" s="37" t="s">
        <v>373</v>
      </c>
      <c r="I301" s="37">
        <v>9040040390</v>
      </c>
      <c r="J301" s="37" t="s">
        <v>209</v>
      </c>
      <c r="K301" s="325" t="s">
        <v>210</v>
      </c>
      <c r="L301" s="181">
        <v>12</v>
      </c>
      <c r="M301" s="181" t="s">
        <v>421</v>
      </c>
      <c r="N301" s="37" t="s">
        <v>482</v>
      </c>
      <c r="O301" s="31">
        <f>IF(F301&gt;0,F301-AB301,"")</f>
        <v>-26</v>
      </c>
      <c r="P301" s="37" t="str">
        <f>IF(F301&gt;0,IF(AB301="","PLANNING SUPPLY",IF(AB301&lt;=F301,"ONTIME DELIVERY","DELAY")),"")</f>
        <v>DELAY</v>
      </c>
      <c r="Q301" s="181" t="str">
        <f>IFERROR(IF(J301&gt;0,VLOOKUP(J301,#REF!,MATCH($Q$6,#REF!,0),0),""),"")</f>
        <v/>
      </c>
      <c r="R301" s="181" t="str">
        <f>IFERROR(IF(J301&gt;0,VLOOKUP(J301,#REF!,MATCH($R$6,#REF!,0),0),""),"")</f>
        <v/>
      </c>
      <c r="S301" s="181" t="e">
        <f>IF(I304&gt;0,Q301+R301,"")</f>
        <v>#VALUE!</v>
      </c>
      <c r="T301" s="181"/>
      <c r="U301" s="181"/>
      <c r="V301" s="37"/>
      <c r="W301" s="181" t="e">
        <f>IF(I304&gt;0,IF(S301&gt;L301,"READY STOCK",IF(S301=0,"OUT OF STOCK",IF(S301&lt;L301,"LOW STOCK",""))),"")</f>
        <v>#VALUE!</v>
      </c>
      <c r="X301" s="38"/>
      <c r="Y301" s="38"/>
      <c r="Z301" s="38"/>
      <c r="AA301" s="38"/>
      <c r="AB301" s="50">
        <v>46272</v>
      </c>
      <c r="AC301" s="181">
        <v>34086</v>
      </c>
      <c r="AD301" s="51">
        <v>12</v>
      </c>
      <c r="AE301" s="37" t="s">
        <v>383</v>
      </c>
      <c r="AF301" s="37" t="s">
        <v>381</v>
      </c>
      <c r="AG301" s="33" t="str">
        <f>IF(G301&gt;0,IF(AD301&gt;0,IF(AD301=0,"Waiting",IF(AD301&lt;L301,"Partial",IF(AD301=L301,"Full Supply",IF(AD301&gt;L301,"Over Shared")))),"Waiting"),"")</f>
        <v>Full Supply</v>
      </c>
      <c r="AH301" s="37"/>
      <c r="AI301" s="37"/>
      <c r="AJ301" s="181"/>
      <c r="AK301" s="40"/>
      <c r="AL301" s="40"/>
      <c r="AM301" s="40"/>
      <c r="AN301" s="37"/>
      <c r="AO301" s="34"/>
      <c r="AP301" s="37"/>
      <c r="AQ301" s="37"/>
      <c r="AR301" s="37"/>
      <c r="AS301" s="37"/>
      <c r="AT301" s="37">
        <f>AS301-AD301</f>
        <v>-12</v>
      </c>
      <c r="AU301" s="36" t="str">
        <f>IF(AR301=0,"Waiting",IF(AR301&lt;AH301,"Kurang",IF(AR301=AH301,"Sesuai",IF(AR301&gt;AH301,"Over Shared"))))</f>
        <v>Waiting</v>
      </c>
      <c r="AV301" s="37"/>
      <c r="AW301" s="37" t="str">
        <f>IFERROR(DATEDIF(AH301,AK301,"d"),"0")&amp;"-DAY"</f>
        <v>0-DAY</v>
      </c>
      <c r="AX301" s="37" t="str">
        <f>IFERROR(DATEDIF(B301,AB301,"d"),"0")&amp;"-DAY"</f>
        <v>28-DAY</v>
      </c>
      <c r="AY301" s="37"/>
      <c r="AZ301" s="181">
        <f>L301-AD301</f>
        <v>0</v>
      </c>
    </row>
    <row r="302" spans="1:52" ht="15.5" customHeight="1">
      <c r="A302" s="360" t="s">
        <v>372</v>
      </c>
      <c r="B302" s="340">
        <v>46244</v>
      </c>
      <c r="C302" s="181">
        <v>49297</v>
      </c>
      <c r="D302" s="30">
        <v>46244</v>
      </c>
      <c r="E302" s="30">
        <v>46235</v>
      </c>
      <c r="F302" s="30">
        <v>46246</v>
      </c>
      <c r="G302" s="37">
        <v>4420230535</v>
      </c>
      <c r="H302" s="37" t="s">
        <v>373</v>
      </c>
      <c r="I302" s="37">
        <v>9040040445</v>
      </c>
      <c r="J302" s="37" t="s">
        <v>193</v>
      </c>
      <c r="K302" s="325" t="s">
        <v>194</v>
      </c>
      <c r="L302" s="181">
        <v>25</v>
      </c>
      <c r="M302" s="181" t="s">
        <v>421</v>
      </c>
      <c r="N302" s="37" t="s">
        <v>482</v>
      </c>
      <c r="O302" s="31">
        <f>IF(F302&gt;0,F302-AB302,"")</f>
        <v>-12</v>
      </c>
      <c r="P302" s="37" t="str">
        <f>IF(F302&gt;0,IF(AB302="","PLANNING SUPPLY",IF(AB302&lt;=F302,"ONTIME DELIVERY","DELAY")),"")</f>
        <v>DELAY</v>
      </c>
      <c r="Q302" s="181" t="str">
        <f>IFERROR(IF(J302&gt;0,VLOOKUP(J302,#REF!,MATCH($Q$6,#REF!,0),0),""),"")</f>
        <v/>
      </c>
      <c r="R302" s="181" t="str">
        <f>IFERROR(IF(J302&gt;0,VLOOKUP(J302,#REF!,MATCH($R$6,#REF!,0),0),""),"")</f>
        <v/>
      </c>
      <c r="S302" s="181" t="e">
        <f>IF(I305&gt;0,Q302+R302,"")</f>
        <v>#VALUE!</v>
      </c>
      <c r="T302" s="181"/>
      <c r="U302" s="181"/>
      <c r="V302" s="37"/>
      <c r="W302" s="181" t="e">
        <f>IF(I305&gt;0,IF(S302&gt;L302,"READY STOCK",IF(S302=0,"OUT OF STOCK",IF(S302&lt;L302,"LOW STOCK",""))),"")</f>
        <v>#VALUE!</v>
      </c>
      <c r="X302" s="38"/>
      <c r="Y302" s="38"/>
      <c r="Z302" s="38"/>
      <c r="AA302" s="38"/>
      <c r="AB302" s="50">
        <v>46258</v>
      </c>
      <c r="AC302" s="181">
        <v>33798</v>
      </c>
      <c r="AD302" s="51">
        <v>25</v>
      </c>
      <c r="AE302" s="37" t="s">
        <v>383</v>
      </c>
      <c r="AF302" s="37" t="s">
        <v>381</v>
      </c>
      <c r="AG302" s="33" t="str">
        <f>IF(G302&gt;0,IF(AD302&gt;0,IF(AD302=0,"Waiting",IF(AD302&lt;L302,"Partial",IF(AD302=L302,"Full Supply",IF(AD302&gt;L302,"Over Shared")))),"Waiting"),"")</f>
        <v>Full Supply</v>
      </c>
      <c r="AH302" s="37"/>
      <c r="AI302" s="37"/>
      <c r="AJ302" s="181"/>
      <c r="AK302" s="40"/>
      <c r="AL302" s="40"/>
      <c r="AM302" s="40"/>
      <c r="AN302" s="37"/>
      <c r="AO302" s="34"/>
      <c r="AP302" s="37"/>
      <c r="AQ302" s="37"/>
      <c r="AR302" s="37"/>
      <c r="AS302" s="37"/>
      <c r="AT302" s="37">
        <f>AS302-AD302</f>
        <v>-25</v>
      </c>
      <c r="AU302" s="36" t="str">
        <f>IF(AR302=0,"Waiting",IF(AR302&lt;AH302,"Kurang",IF(AR302=AH302,"Sesuai",IF(AR302&gt;AH302,"Over Shared"))))</f>
        <v>Waiting</v>
      </c>
      <c r="AV302" s="37"/>
      <c r="AW302" s="37" t="str">
        <f>IFERROR(DATEDIF(AH302,AK302,"d"),"0")&amp;"-DAY"</f>
        <v>0-DAY</v>
      </c>
      <c r="AX302" s="37" t="str">
        <f>IFERROR(DATEDIF(B302,AB302,"d"),"0")&amp;"-DAY"</f>
        <v>14-DAY</v>
      </c>
      <c r="AY302" s="37"/>
      <c r="AZ302" s="181">
        <f>L302-AD302</f>
        <v>0</v>
      </c>
    </row>
    <row r="303" spans="1:52" ht="15.5" customHeight="1">
      <c r="A303" s="360" t="s">
        <v>372</v>
      </c>
      <c r="B303" s="340">
        <v>46244</v>
      </c>
      <c r="C303" s="181">
        <v>49297</v>
      </c>
      <c r="D303" s="30">
        <v>46244</v>
      </c>
      <c r="E303" s="30">
        <v>46235</v>
      </c>
      <c r="F303" s="30">
        <v>46246</v>
      </c>
      <c r="G303" s="37">
        <v>4420230535</v>
      </c>
      <c r="H303" s="37" t="s">
        <v>373</v>
      </c>
      <c r="I303" s="37">
        <v>9040040446</v>
      </c>
      <c r="J303" s="37" t="s">
        <v>189</v>
      </c>
      <c r="K303" s="325" t="s">
        <v>190</v>
      </c>
      <c r="L303" s="181">
        <v>10</v>
      </c>
      <c r="M303" s="181" t="s">
        <v>421</v>
      </c>
      <c r="N303" s="37" t="s">
        <v>482</v>
      </c>
      <c r="O303" s="31">
        <f>IF(F303&gt;0,F303-AB303,"")</f>
        <v>0</v>
      </c>
      <c r="P303" s="37" t="str">
        <f>IF(F303&gt;0,IF(AB303="","PLANNING SUPPLY",IF(AB303&lt;=F303,"ONTIME DELIVERY","DELAY")),"")</f>
        <v>ONTIME DELIVERY</v>
      </c>
      <c r="Q303" s="181" t="str">
        <f>IFERROR(IF(J303&gt;0,VLOOKUP(J303,#REF!,MATCH($Q$6,#REF!,0),0),""),"")</f>
        <v/>
      </c>
      <c r="R303" s="181" t="str">
        <f>IFERROR(IF(J303&gt;0,VLOOKUP(J303,#REF!,MATCH($R$6,#REF!,0),0),""),"")</f>
        <v/>
      </c>
      <c r="S303" s="181" t="e">
        <f>IF(I306&gt;0,Q303+R303,"")</f>
        <v>#VALUE!</v>
      </c>
      <c r="T303" s="181"/>
      <c r="U303" s="181"/>
      <c r="V303" s="37"/>
      <c r="W303" s="181" t="e">
        <f>IF(I306&gt;0,IF(S303&gt;L303,"READY STOCK",IF(S303=0,"OUT OF STOCK",IF(S303&lt;L303,"LOW STOCK",""))),"")</f>
        <v>#VALUE!</v>
      </c>
      <c r="X303" s="38"/>
      <c r="Y303" s="38"/>
      <c r="Z303" s="38"/>
      <c r="AA303" s="38"/>
      <c r="AB303" s="50">
        <v>46246</v>
      </c>
      <c r="AC303" s="181">
        <v>33607</v>
      </c>
      <c r="AD303" s="51">
        <v>10</v>
      </c>
      <c r="AE303" s="37"/>
      <c r="AF303" s="37"/>
      <c r="AG303" s="33" t="str">
        <f>IF(G303&gt;0,IF(AD303&gt;0,IF(AD303=0,"Waiting",IF(AD303&lt;L303,"Partial",IF(AD303=L303,"Full Supply",IF(AD303&gt;L303,"Over Shared")))),"Waiting"),"")</f>
        <v>Full Supply</v>
      </c>
      <c r="AH303" s="37"/>
      <c r="AI303" s="37"/>
      <c r="AJ303" s="181"/>
      <c r="AK303" s="40"/>
      <c r="AL303" s="40"/>
      <c r="AM303" s="40"/>
      <c r="AN303" s="37"/>
      <c r="AO303" s="34"/>
      <c r="AP303" s="37"/>
      <c r="AQ303" s="37"/>
      <c r="AR303" s="37"/>
      <c r="AS303" s="37"/>
      <c r="AT303" s="37">
        <f>AS303-AD303</f>
        <v>-10</v>
      </c>
      <c r="AU303" s="36" t="str">
        <f>IF(AR303=0,"Waiting",IF(AR303&lt;AH303,"Kurang",IF(AR303=AH303,"Sesuai",IF(AR303&gt;AH303,"Over Shared"))))</f>
        <v>Waiting</v>
      </c>
      <c r="AV303" s="37"/>
      <c r="AW303" s="37" t="str">
        <f>IFERROR(DATEDIF(AH303,AK303,"d"),"0")&amp;"-DAY"</f>
        <v>0-DAY</v>
      </c>
      <c r="AX303" s="37" t="str">
        <f>IFERROR(DATEDIF(B303,AB303,"d"),"0")&amp;"-DAY"</f>
        <v>2-DAY</v>
      </c>
      <c r="AY303" s="37"/>
      <c r="AZ303" s="181">
        <f>L303-AD303</f>
        <v>0</v>
      </c>
    </row>
    <row r="304" spans="1:52" ht="15.5" customHeight="1">
      <c r="A304" s="360" t="s">
        <v>372</v>
      </c>
      <c r="B304" s="340">
        <v>46244</v>
      </c>
      <c r="C304" s="181">
        <v>49297</v>
      </c>
      <c r="D304" s="30">
        <v>46244</v>
      </c>
      <c r="E304" s="30">
        <v>46235</v>
      </c>
      <c r="F304" s="30">
        <v>46246</v>
      </c>
      <c r="G304" s="37">
        <v>4420230535</v>
      </c>
      <c r="H304" s="37" t="s">
        <v>373</v>
      </c>
      <c r="I304" s="37">
        <v>9040042224</v>
      </c>
      <c r="J304" s="37" t="s">
        <v>195</v>
      </c>
      <c r="K304" s="325" t="s">
        <v>196</v>
      </c>
      <c r="L304" s="181">
        <v>10</v>
      </c>
      <c r="M304" s="181" t="s">
        <v>421</v>
      </c>
      <c r="N304" s="37" t="s">
        <v>482</v>
      </c>
      <c r="O304" s="31">
        <f>IF(F304&gt;0,F304-AB304,"")</f>
        <v>-63</v>
      </c>
      <c r="P304" s="37" t="str">
        <f>IF(F304&gt;0,IF(AB304="","PLANNING SUPPLY",IF(AB304&lt;=F304,"ONTIME DELIVERY","DELAY")),"")</f>
        <v>DELAY</v>
      </c>
      <c r="Q304" s="181" t="str">
        <f>IFERROR(IF(J304&gt;0,VLOOKUP(J304,#REF!,MATCH($Q$6,#REF!,0),0),""),"")</f>
        <v/>
      </c>
      <c r="R304" s="181" t="str">
        <f>IFERROR(IF(J304&gt;0,VLOOKUP(J304,#REF!,MATCH($R$6,#REF!,0),0),""),"")</f>
        <v/>
      </c>
      <c r="S304" s="181" t="e">
        <f>IF(I307&gt;0,Q304+R304,"")</f>
        <v>#VALUE!</v>
      </c>
      <c r="T304" s="181"/>
      <c r="U304" s="181"/>
      <c r="V304" s="37"/>
      <c r="W304" s="181" t="e">
        <f>IF(I307&gt;0,IF(S304&gt;L304,"READY STOCK",IF(S304=0,"OUT OF STOCK",IF(S304&lt;L304,"LOW STOCK",""))),"")</f>
        <v>#VALUE!</v>
      </c>
      <c r="X304" s="38"/>
      <c r="Y304" s="38"/>
      <c r="Z304" s="38"/>
      <c r="AA304" s="38"/>
      <c r="AB304" s="50">
        <v>46309</v>
      </c>
      <c r="AC304" s="44">
        <v>35056</v>
      </c>
      <c r="AD304" s="51">
        <v>10</v>
      </c>
      <c r="AE304" s="37" t="s">
        <v>387</v>
      </c>
      <c r="AF304" s="37" t="s">
        <v>381</v>
      </c>
      <c r="AG304" s="33" t="str">
        <f>IF(G304&gt;0,IF(AD304&gt;0,IF(AD304=0,"Waiting",IF(AD304&lt;L304,"Partial",IF(AD304=L304,"Full Supply",IF(AD304&gt;L304,"Over Shared")))),"Waiting"),"")</f>
        <v>Full Supply</v>
      </c>
      <c r="AH304" s="56">
        <v>46247</v>
      </c>
      <c r="AI304" s="37" t="s">
        <v>646</v>
      </c>
      <c r="AJ304" s="181">
        <v>14</v>
      </c>
      <c r="AK304" s="40">
        <v>26064</v>
      </c>
      <c r="AL304" s="189">
        <v>46266</v>
      </c>
      <c r="AM304" s="40">
        <v>14</v>
      </c>
      <c r="AN304" s="37"/>
      <c r="AO304" s="190">
        <v>46296</v>
      </c>
      <c r="AP304" s="37"/>
      <c r="AQ304" s="37"/>
      <c r="AR304" s="37"/>
      <c r="AS304" s="37"/>
      <c r="AT304" s="37">
        <f>AS304-AD304</f>
        <v>-10</v>
      </c>
      <c r="AU304" s="36" t="str">
        <f>IF(AR304=0,"Waiting",IF(AR304&lt;AH304,"Kurang",IF(AR304=AH304,"Sesuai",IF(AR304&gt;AH304,"Over Shared"))))</f>
        <v>Waiting</v>
      </c>
      <c r="AV304" s="37"/>
      <c r="AW304" s="37" t="str">
        <f>IFERROR(DATEDIF(AH304,AK304,"d"),"0")&amp;"-DAY"</f>
        <v>0-DAY</v>
      </c>
      <c r="AX304" s="37" t="str">
        <f>IFERROR(DATEDIF(B304,AB304,"d"),"0")&amp;"-DAY"</f>
        <v>65-DAY</v>
      </c>
      <c r="AY304" s="37"/>
      <c r="AZ304" s="181">
        <f>L304-AD304</f>
        <v>0</v>
      </c>
    </row>
    <row r="305" spans="1:52" ht="15.5" customHeight="1">
      <c r="A305" s="360" t="s">
        <v>372</v>
      </c>
      <c r="B305" s="340">
        <v>46244</v>
      </c>
      <c r="C305" s="181">
        <v>49297</v>
      </c>
      <c r="D305" s="30">
        <v>46244</v>
      </c>
      <c r="E305" s="30">
        <v>46235</v>
      </c>
      <c r="F305" s="30">
        <v>46246</v>
      </c>
      <c r="G305" s="37">
        <v>4420230535</v>
      </c>
      <c r="H305" s="37" t="s">
        <v>373</v>
      </c>
      <c r="I305" s="37">
        <v>9040016343</v>
      </c>
      <c r="J305" s="37" t="s">
        <v>211</v>
      </c>
      <c r="K305" s="325" t="s">
        <v>212</v>
      </c>
      <c r="L305" s="181">
        <v>20</v>
      </c>
      <c r="M305" s="181" t="s">
        <v>421</v>
      </c>
      <c r="N305" s="37" t="s">
        <v>482</v>
      </c>
      <c r="O305" s="31">
        <f>IF(F305&gt;0,F305-AB305,"")</f>
        <v>-35</v>
      </c>
      <c r="P305" s="37" t="str">
        <f>IF(F305&gt;0,IF(AB305="","PLANNING SUPPLY",IF(AB305&lt;=F305,"ONTIME DELIVERY","DELAY")),"")</f>
        <v>DELAY</v>
      </c>
      <c r="Q305" s="181" t="str">
        <f>IFERROR(IF(J305&gt;0,VLOOKUP(J305,#REF!,MATCH($Q$6,#REF!,0),0),""),"")</f>
        <v/>
      </c>
      <c r="R305" s="181" t="str">
        <f>IFERROR(IF(J305&gt;0,VLOOKUP(J305,#REF!,MATCH($R$6,#REF!,0),0),""),"")</f>
        <v/>
      </c>
      <c r="S305" s="181" t="e">
        <f>IF(I308&gt;0,Q305+R305,"")</f>
        <v>#VALUE!</v>
      </c>
      <c r="T305" s="181"/>
      <c r="U305" s="181"/>
      <c r="V305" s="37"/>
      <c r="W305" s="181" t="e">
        <f>IF(I308&gt;0,IF(S305&gt;L305,"READY STOCK",IF(S305=0,"OUT OF STOCK",IF(S305&lt;L305,"LOW STOCK",""))),"")</f>
        <v>#VALUE!</v>
      </c>
      <c r="X305" s="38"/>
      <c r="Y305" s="38"/>
      <c r="Z305" s="38"/>
      <c r="AA305" s="38"/>
      <c r="AB305" s="50">
        <v>46281</v>
      </c>
      <c r="AC305" s="181">
        <v>34314</v>
      </c>
      <c r="AD305" s="51">
        <v>20</v>
      </c>
      <c r="AE305" s="37" t="s">
        <v>383</v>
      </c>
      <c r="AF305" s="37" t="s">
        <v>381</v>
      </c>
      <c r="AG305" s="33" t="str">
        <f>IF(G305&gt;0,IF(AD305&gt;0,IF(AD305=0,"Waiting",IF(AD305&lt;L305,"Partial",IF(AD305=L305,"Full Supply",IF(AD305&gt;L305,"Over Shared")))),"Waiting"),"")</f>
        <v>Full Supply</v>
      </c>
      <c r="AH305" s="56">
        <v>46247</v>
      </c>
      <c r="AI305" s="37" t="s">
        <v>646</v>
      </c>
      <c r="AJ305" s="181">
        <v>20</v>
      </c>
      <c r="AK305" s="40">
        <v>26064</v>
      </c>
      <c r="AL305" s="189">
        <v>46266</v>
      </c>
      <c r="AM305" s="40">
        <v>20</v>
      </c>
      <c r="AN305" s="37"/>
      <c r="AO305" s="190">
        <v>46296</v>
      </c>
      <c r="AP305" s="37"/>
      <c r="AQ305" s="37"/>
      <c r="AR305" s="37"/>
      <c r="AS305" s="37"/>
      <c r="AT305" s="37">
        <f>AS305-AD305</f>
        <v>-20</v>
      </c>
      <c r="AU305" s="36" t="str">
        <f>IF(AR305=0,"Waiting",IF(AR305&lt;AH305,"Kurang",IF(AR305=AH305,"Sesuai",IF(AR305&gt;AH305,"Over Shared"))))</f>
        <v>Waiting</v>
      </c>
      <c r="AV305" s="37"/>
      <c r="AW305" s="37" t="str">
        <f>IFERROR(DATEDIF(AH305,AK305,"d"),"0")&amp;"-DAY"</f>
        <v>0-DAY</v>
      </c>
      <c r="AX305" s="37" t="str">
        <f>IFERROR(DATEDIF(B305,AB305,"d"),"0")&amp;"-DAY"</f>
        <v>37-DAY</v>
      </c>
      <c r="AY305" s="37"/>
      <c r="AZ305" s="181">
        <f>L305-AD305</f>
        <v>0</v>
      </c>
    </row>
    <row r="306" spans="1:52" ht="15.5" customHeight="1">
      <c r="A306" s="360" t="s">
        <v>372</v>
      </c>
      <c r="B306" s="340">
        <v>46244</v>
      </c>
      <c r="C306" s="181">
        <v>49298</v>
      </c>
      <c r="D306" s="30">
        <v>46244</v>
      </c>
      <c r="E306" s="30">
        <v>46239</v>
      </c>
      <c r="F306" s="30">
        <v>46246</v>
      </c>
      <c r="G306" s="37">
        <v>4420230786</v>
      </c>
      <c r="H306" s="37" t="s">
        <v>373</v>
      </c>
      <c r="I306" s="37">
        <v>9040040588</v>
      </c>
      <c r="J306" s="37" t="s">
        <v>76</v>
      </c>
      <c r="K306" s="325" t="s">
        <v>77</v>
      </c>
      <c r="L306" s="181">
        <v>20</v>
      </c>
      <c r="M306" s="181" t="s">
        <v>375</v>
      </c>
      <c r="N306" s="37" t="s">
        <v>449</v>
      </c>
      <c r="O306" s="31">
        <f>IF(F306&gt;0,F306-AB306,"")</f>
        <v>-12</v>
      </c>
      <c r="P306" s="37" t="str">
        <f>IF(F306&gt;0,IF(AB306="","PLANNING SUPPLY",IF(AB306&lt;=F306,"ONTIME DELIVERY","DELAY")),"")</f>
        <v>DELAY</v>
      </c>
      <c r="Q306" s="181" t="str">
        <f>IFERROR(IF(J306&gt;0,VLOOKUP(J306,#REF!,MATCH($Q$6,#REF!,0),0),""),"")</f>
        <v/>
      </c>
      <c r="R306" s="181" t="str">
        <f>IFERROR(IF(J306&gt;0,VLOOKUP(J306,#REF!,MATCH($R$6,#REF!,0),0),""),"")</f>
        <v/>
      </c>
      <c r="S306" s="181" t="e">
        <f>IF(I309&gt;0,Q306+R306,"")</f>
        <v>#VALUE!</v>
      </c>
      <c r="T306" s="181"/>
      <c r="U306" s="181"/>
      <c r="V306" s="37"/>
      <c r="W306" s="181" t="e">
        <f>IF(I309&gt;0,IF(S306&gt;L306,"READY STOCK",IF(S306=0,"OUT OF STOCK",IF(S306&lt;L306,"LOW STOCK",""))),"")</f>
        <v>#VALUE!</v>
      </c>
      <c r="X306" s="38"/>
      <c r="Y306" s="38"/>
      <c r="Z306" s="38"/>
      <c r="AA306" s="38"/>
      <c r="AB306" s="50">
        <v>46258</v>
      </c>
      <c r="AC306" s="181">
        <v>33800</v>
      </c>
      <c r="AD306" s="51">
        <v>20</v>
      </c>
      <c r="AE306" s="37" t="s">
        <v>383</v>
      </c>
      <c r="AF306" s="37" t="s">
        <v>381</v>
      </c>
      <c r="AG306" s="33" t="str">
        <f>IF(G306&gt;0,IF(AD306&gt;0,IF(AD306=0,"Waiting",IF(AD306&lt;L306,"Partial",IF(AD306=L306,"Full Supply",IF(AD306&gt;L306,"Over Shared")))),"Waiting"),"")</f>
        <v>Full Supply</v>
      </c>
      <c r="AH306" s="56">
        <v>46247</v>
      </c>
      <c r="AI306" s="37" t="s">
        <v>646</v>
      </c>
      <c r="AJ306" s="181">
        <v>201</v>
      </c>
      <c r="AK306" s="40">
        <v>26391</v>
      </c>
      <c r="AL306" s="42">
        <v>46287</v>
      </c>
      <c r="AM306" s="40">
        <v>201</v>
      </c>
      <c r="AN306" s="37"/>
      <c r="AO306" s="41">
        <v>46295</v>
      </c>
      <c r="AP306" s="37"/>
      <c r="AQ306" s="37"/>
      <c r="AR306" s="37"/>
      <c r="AS306" s="37"/>
      <c r="AT306" s="37">
        <f>AS306-AD306</f>
        <v>-20</v>
      </c>
      <c r="AU306" s="36" t="str">
        <f>IF(AR306=0,"Waiting",IF(AR306&lt;AH306,"Kurang",IF(AR306=AH306,"Sesuai",IF(AR306&gt;AH306,"Over Shared"))))</f>
        <v>Waiting</v>
      </c>
      <c r="AV306" s="37"/>
      <c r="AW306" s="37" t="str">
        <f>IFERROR(DATEDIF(AH306,AK306,"d"),"0")&amp;"-DAY"</f>
        <v>0-DAY</v>
      </c>
      <c r="AX306" s="37" t="str">
        <f>IFERROR(DATEDIF(B306,AB306,"d"),"0")&amp;"-DAY"</f>
        <v>14-DAY</v>
      </c>
      <c r="AY306" s="37"/>
      <c r="AZ306" s="181">
        <f>L306-AD306</f>
        <v>0</v>
      </c>
    </row>
    <row r="307" spans="1:52" ht="15.5" customHeight="1">
      <c r="A307" s="360" t="s">
        <v>372</v>
      </c>
      <c r="B307" s="340">
        <v>46244</v>
      </c>
      <c r="C307" s="181">
        <v>49298</v>
      </c>
      <c r="D307" s="30">
        <v>46244</v>
      </c>
      <c r="E307" s="30">
        <v>46239</v>
      </c>
      <c r="F307" s="30">
        <v>46246</v>
      </c>
      <c r="G307" s="37">
        <v>4420230786</v>
      </c>
      <c r="H307" s="37" t="s">
        <v>373</v>
      </c>
      <c r="I307" s="37">
        <v>9040024657</v>
      </c>
      <c r="J307" s="37" t="s">
        <v>252</v>
      </c>
      <c r="K307" s="325" t="s">
        <v>253</v>
      </c>
      <c r="L307" s="181">
        <v>15</v>
      </c>
      <c r="M307" s="181" t="s">
        <v>375</v>
      </c>
      <c r="N307" s="37" t="s">
        <v>449</v>
      </c>
      <c r="O307" s="31">
        <f>IF(F307&gt;0,F307-AB307,"")</f>
        <v>-1</v>
      </c>
      <c r="P307" s="37" t="str">
        <f>IF(F307&gt;0,IF(AB307="","PLANNING SUPPLY",IF(AB307&lt;=F307,"ONTIME DELIVERY","DELAY")),"")</f>
        <v>DELAY</v>
      </c>
      <c r="Q307" s="181" t="str">
        <f>IFERROR(IF(J307&gt;0,VLOOKUP(J307,#REF!,MATCH($Q$6,#REF!,0),0),""),"")</f>
        <v/>
      </c>
      <c r="R307" s="181" t="str">
        <f>IFERROR(IF(J307&gt;0,VLOOKUP(J307,#REF!,MATCH($R$6,#REF!,0),0),""),"")</f>
        <v/>
      </c>
      <c r="S307" s="181" t="e">
        <f>IF(I310&gt;0,Q307+R307,"")</f>
        <v>#VALUE!</v>
      </c>
      <c r="T307" s="181"/>
      <c r="U307" s="181"/>
      <c r="V307" s="37"/>
      <c r="W307" s="181" t="e">
        <f>IF(I310&gt;0,IF(S307&gt;L307,"READY STOCK",IF(S307=0,"OUT OF STOCK",IF(S307&lt;L307,"LOW STOCK",""))),"")</f>
        <v>#VALUE!</v>
      </c>
      <c r="X307" s="38"/>
      <c r="Y307" s="38"/>
      <c r="Z307" s="38"/>
      <c r="AA307" s="38"/>
      <c r="AB307" s="50">
        <v>46247</v>
      </c>
      <c r="AC307" s="181">
        <v>33625</v>
      </c>
      <c r="AD307" s="51">
        <v>15</v>
      </c>
      <c r="AE307" s="37" t="s">
        <v>387</v>
      </c>
      <c r="AF307" s="37" t="s">
        <v>381</v>
      </c>
      <c r="AG307" s="33" t="str">
        <f>IF(G307&gt;0,IF(AD307&gt;0,IF(AD307=0,"Waiting",IF(AD307&lt;L307,"Partial",IF(AD307=L307,"Full Supply",IF(AD307&gt;L307,"Over Shared")))),"Waiting"),"")</f>
        <v>Full Supply</v>
      </c>
      <c r="AH307" s="37"/>
      <c r="AI307" s="37"/>
      <c r="AJ307" s="181"/>
      <c r="AK307" s="40"/>
      <c r="AL307" s="40"/>
      <c r="AM307" s="40"/>
      <c r="AN307" s="37"/>
      <c r="AO307" s="34"/>
      <c r="AP307" s="37"/>
      <c r="AQ307" s="37"/>
      <c r="AR307" s="37"/>
      <c r="AS307" s="37"/>
      <c r="AT307" s="37">
        <f>AS307-AD307</f>
        <v>-15</v>
      </c>
      <c r="AU307" s="36" t="str">
        <f>IF(AR307=0,"Waiting",IF(AR307&lt;AH307,"Kurang",IF(AR307=AH307,"Sesuai",IF(AR307&gt;AH307,"Over Shared"))))</f>
        <v>Waiting</v>
      </c>
      <c r="AV307" s="37"/>
      <c r="AW307" s="37" t="str">
        <f>IFERROR(DATEDIF(AH307,AK307,"d"),"0")&amp;"-DAY"</f>
        <v>0-DAY</v>
      </c>
      <c r="AX307" s="37" t="str">
        <f>IFERROR(DATEDIF(B307,AB307,"d"),"0")&amp;"-DAY"</f>
        <v>3-DAY</v>
      </c>
      <c r="AY307" s="37"/>
      <c r="AZ307" s="181">
        <f>L307-AD307</f>
        <v>0</v>
      </c>
    </row>
    <row r="308" spans="1:52" ht="15.5" customHeight="1">
      <c r="A308" s="360" t="s">
        <v>372</v>
      </c>
      <c r="B308" s="340">
        <v>46244</v>
      </c>
      <c r="C308" s="181">
        <v>49298</v>
      </c>
      <c r="D308" s="30">
        <v>46244</v>
      </c>
      <c r="E308" s="30">
        <v>46239</v>
      </c>
      <c r="F308" s="30">
        <v>46246</v>
      </c>
      <c r="G308" s="37">
        <v>4420230786</v>
      </c>
      <c r="H308" s="37" t="s">
        <v>373</v>
      </c>
      <c r="I308" s="37">
        <v>9040028877</v>
      </c>
      <c r="J308" s="37" t="s">
        <v>199</v>
      </c>
      <c r="K308" s="325" t="s">
        <v>200</v>
      </c>
      <c r="L308" s="181">
        <v>50</v>
      </c>
      <c r="M308" s="181" t="s">
        <v>375</v>
      </c>
      <c r="N308" s="37" t="s">
        <v>449</v>
      </c>
      <c r="O308" s="31">
        <f>IF(F308&gt;0,F308-AB308,"")</f>
        <v>-15</v>
      </c>
      <c r="P308" s="37" t="str">
        <f>IF(F308&gt;0,IF(AB308="","PLANNING SUPPLY",IF(AB308&lt;=F308,"ONTIME DELIVERY","DELAY")),"")</f>
        <v>DELAY</v>
      </c>
      <c r="Q308" s="181" t="str">
        <f>IFERROR(IF(J308&gt;0,VLOOKUP(J308,#REF!,MATCH($Q$6,#REF!,0),0),""),"")</f>
        <v/>
      </c>
      <c r="R308" s="181" t="str">
        <f>IFERROR(IF(J308&gt;0,VLOOKUP(J308,#REF!,MATCH($R$6,#REF!,0),0),""),"")</f>
        <v/>
      </c>
      <c r="S308" s="181" t="e">
        <f>IF(I311&gt;0,Q308+R308,"")</f>
        <v>#VALUE!</v>
      </c>
      <c r="T308" s="181"/>
      <c r="U308" s="181"/>
      <c r="V308" s="37"/>
      <c r="W308" s="181" t="e">
        <f>IF(I311&gt;0,IF(S308&gt;L308,"READY STOCK",IF(S308=0,"OUT OF STOCK",IF(S308&lt;L308,"LOW STOCK",""))),"")</f>
        <v>#VALUE!</v>
      </c>
      <c r="X308" s="38"/>
      <c r="Y308" s="38"/>
      <c r="Z308" s="38"/>
      <c r="AA308" s="38"/>
      <c r="AB308" s="50">
        <v>46261</v>
      </c>
      <c r="AC308" s="181">
        <v>33885</v>
      </c>
      <c r="AD308" s="51">
        <v>50</v>
      </c>
      <c r="AE308" s="37" t="s">
        <v>383</v>
      </c>
      <c r="AF308" s="37" t="s">
        <v>381</v>
      </c>
      <c r="AG308" s="33" t="str">
        <f>IF(G308&gt;0,IF(AD308&gt;0,IF(AD308=0,"Waiting",IF(AD308&lt;L308,"Partial",IF(AD308=L308,"Full Supply",IF(AD308&gt;L308,"Over Shared")))),"Waiting"),"")</f>
        <v>Full Supply</v>
      </c>
      <c r="AH308" s="37"/>
      <c r="AI308" s="37"/>
      <c r="AJ308" s="181"/>
      <c r="AK308" s="40"/>
      <c r="AL308" s="40"/>
      <c r="AM308" s="40"/>
      <c r="AN308" s="37"/>
      <c r="AO308" s="34"/>
      <c r="AP308" s="37"/>
      <c r="AQ308" s="37"/>
      <c r="AR308" s="37"/>
      <c r="AS308" s="37"/>
      <c r="AT308" s="37">
        <f>AS308-AD308</f>
        <v>-50</v>
      </c>
      <c r="AU308" s="36" t="str">
        <f>IF(AR308=0,"Waiting",IF(AR308&lt;AH308,"Kurang",IF(AR308=AH308,"Sesuai",IF(AR308&gt;AH308,"Over Shared"))))</f>
        <v>Waiting</v>
      </c>
      <c r="AV308" s="37"/>
      <c r="AW308" s="37" t="str">
        <f>IFERROR(DATEDIF(AH308,AK308,"d"),"0")&amp;"-DAY"</f>
        <v>0-DAY</v>
      </c>
      <c r="AX308" s="37" t="str">
        <f>IFERROR(DATEDIF(B308,AB308,"d"),"0")&amp;"-DAY"</f>
        <v>17-DAY</v>
      </c>
      <c r="AY308" s="37"/>
      <c r="AZ308" s="181">
        <f>L308-AD308</f>
        <v>0</v>
      </c>
    </row>
    <row r="309" spans="1:52" ht="15.5" customHeight="1">
      <c r="A309" s="360" t="s">
        <v>372</v>
      </c>
      <c r="B309" s="340">
        <v>46244</v>
      </c>
      <c r="C309" s="181">
        <v>49298</v>
      </c>
      <c r="D309" s="30">
        <v>46244</v>
      </c>
      <c r="E309" s="30">
        <v>46239</v>
      </c>
      <c r="F309" s="30">
        <v>46246</v>
      </c>
      <c r="G309" s="37">
        <v>4420230786</v>
      </c>
      <c r="H309" s="37" t="s">
        <v>373</v>
      </c>
      <c r="I309" s="37">
        <v>9040029517</v>
      </c>
      <c r="J309" s="37" t="s">
        <v>197</v>
      </c>
      <c r="K309" s="325" t="s">
        <v>198</v>
      </c>
      <c r="L309" s="181">
        <v>25</v>
      </c>
      <c r="M309" s="181" t="s">
        <v>375</v>
      </c>
      <c r="N309" s="37" t="s">
        <v>449</v>
      </c>
      <c r="O309" s="31">
        <f>IF(F309&gt;0,F309-AB309,"")</f>
        <v>-1</v>
      </c>
      <c r="P309" s="37" t="str">
        <f>IF(F309&gt;0,IF(AB309="","PLANNING SUPPLY",IF(AB309&lt;=F309,"ONTIME DELIVERY","DELAY")),"")</f>
        <v>DELAY</v>
      </c>
      <c r="Q309" s="181" t="str">
        <f>IFERROR(IF(J309&gt;0,VLOOKUP(J309,#REF!,MATCH($Q$6,#REF!,0),0),""),"")</f>
        <v/>
      </c>
      <c r="R309" s="181" t="str">
        <f>IFERROR(IF(J309&gt;0,VLOOKUP(J309,#REF!,MATCH($R$6,#REF!,0),0),""),"")</f>
        <v/>
      </c>
      <c r="S309" s="181" t="e">
        <f>IF(I312&gt;0,Q309+R309,"")</f>
        <v>#VALUE!</v>
      </c>
      <c r="T309" s="181"/>
      <c r="U309" s="181"/>
      <c r="V309" s="37"/>
      <c r="W309" s="181" t="e">
        <f>IF(I312&gt;0,IF(S309&gt;L309,"READY STOCK",IF(S309=0,"OUT OF STOCK",IF(S309&lt;L309,"LOW STOCK",""))),"")</f>
        <v>#VALUE!</v>
      </c>
      <c r="X309" s="38"/>
      <c r="Y309" s="38"/>
      <c r="Z309" s="38"/>
      <c r="AA309" s="38"/>
      <c r="AB309" s="50">
        <v>46247</v>
      </c>
      <c r="AC309" s="181">
        <v>33626</v>
      </c>
      <c r="AD309" s="51">
        <v>25</v>
      </c>
      <c r="AE309" s="37" t="s">
        <v>387</v>
      </c>
      <c r="AF309" s="37" t="s">
        <v>381</v>
      </c>
      <c r="AG309" s="33" t="str">
        <f>IF(G309&gt;0,IF(AD309&gt;0,IF(AD309=0,"Waiting",IF(AD309&lt;L309,"Partial",IF(AD309=L309,"Full Supply",IF(AD309&gt;L309,"Over Shared")))),"Waiting"),"")</f>
        <v>Full Supply</v>
      </c>
      <c r="AH309" s="37"/>
      <c r="AI309" s="37"/>
      <c r="AJ309" s="181"/>
      <c r="AK309" s="40"/>
      <c r="AL309" s="40"/>
      <c r="AM309" s="40"/>
      <c r="AN309" s="37"/>
      <c r="AO309" s="34"/>
      <c r="AP309" s="37"/>
      <c r="AQ309" s="37"/>
      <c r="AR309" s="37"/>
      <c r="AS309" s="37"/>
      <c r="AT309" s="37">
        <f>AS309-AD309</f>
        <v>-25</v>
      </c>
      <c r="AU309" s="36" t="str">
        <f>IF(AR309=0,"Waiting",IF(AR309&lt;AH309,"Kurang",IF(AR309=AH309,"Sesuai",IF(AR309&gt;AH309,"Over Shared"))))</f>
        <v>Waiting</v>
      </c>
      <c r="AV309" s="37"/>
      <c r="AW309" s="37" t="str">
        <f>IFERROR(DATEDIF(AH309,AK309,"d"),"0")&amp;"-DAY"</f>
        <v>0-DAY</v>
      </c>
      <c r="AX309" s="37" t="str">
        <f>IFERROR(DATEDIF(B309,AB309,"d"),"0")&amp;"-DAY"</f>
        <v>3-DAY</v>
      </c>
      <c r="AY309" s="37"/>
      <c r="AZ309" s="181">
        <f>L309-AD309</f>
        <v>0</v>
      </c>
    </row>
    <row r="310" spans="1:52" ht="15.5" customHeight="1">
      <c r="A310" s="360" t="s">
        <v>372</v>
      </c>
      <c r="B310" s="340">
        <v>46244</v>
      </c>
      <c r="C310" s="181">
        <v>49298</v>
      </c>
      <c r="D310" s="30">
        <v>46244</v>
      </c>
      <c r="E310" s="30">
        <v>46239</v>
      </c>
      <c r="F310" s="30">
        <v>46246</v>
      </c>
      <c r="G310" s="37">
        <v>4420230786</v>
      </c>
      <c r="H310" s="37" t="s">
        <v>373</v>
      </c>
      <c r="I310" s="37">
        <v>9040040403</v>
      </c>
      <c r="J310" s="37" t="s">
        <v>299</v>
      </c>
      <c r="K310" s="325" t="s">
        <v>300</v>
      </c>
      <c r="L310" s="181">
        <v>7</v>
      </c>
      <c r="M310" s="181" t="s">
        <v>375</v>
      </c>
      <c r="N310" s="37" t="s">
        <v>449</v>
      </c>
      <c r="O310" s="31">
        <f>IF(F310&gt;0,F310-AB310,"")</f>
        <v>-54</v>
      </c>
      <c r="P310" s="37" t="str">
        <f>IF(F310&gt;0,IF(AB310="","PLANNING SUPPLY",IF(AB310&lt;=F310,"ONTIME DELIVERY","DELAY")),"")</f>
        <v>DELAY</v>
      </c>
      <c r="Q310" s="181" t="str">
        <f>IFERROR(IF(J310&gt;0,VLOOKUP(J310,#REF!,MATCH($Q$6,#REF!,0),0),""),"")</f>
        <v/>
      </c>
      <c r="R310" s="181" t="str">
        <f>IFERROR(IF(J310&gt;0,VLOOKUP(J310,#REF!,MATCH($R$6,#REF!,0),0),""),"")</f>
        <v/>
      </c>
      <c r="S310" s="181" t="e">
        <f>IF(I313&gt;0,Q310+R310,"")</f>
        <v>#VALUE!</v>
      </c>
      <c r="T310" s="181"/>
      <c r="U310" s="181"/>
      <c r="V310" s="37"/>
      <c r="W310" s="181" t="e">
        <f>IF(I313&gt;0,IF(S310&gt;L310,"READY STOCK",IF(S310=0,"OUT OF STOCK",IF(S310&lt;L310,"LOW STOCK",""))),"")</f>
        <v>#VALUE!</v>
      </c>
      <c r="X310" s="38"/>
      <c r="Y310" s="38"/>
      <c r="Z310" s="38"/>
      <c r="AA310" s="38"/>
      <c r="AB310" s="50">
        <v>46300</v>
      </c>
      <c r="AC310" s="44">
        <v>34712</v>
      </c>
      <c r="AD310" s="51">
        <v>7</v>
      </c>
      <c r="AE310" s="37" t="s">
        <v>387</v>
      </c>
      <c r="AF310" s="37" t="s">
        <v>381</v>
      </c>
      <c r="AG310" s="33" t="str">
        <f>IF(G310&gt;0,IF(AD310&gt;0,IF(AD310=0,"Waiting",IF(AD310&lt;L310,"Partial",IF(AD310=L310,"Full Supply",IF(AD310&gt;L310,"Over Shared")))),"Waiting"),"")</f>
        <v>Full Supply</v>
      </c>
      <c r="AH310" s="156"/>
      <c r="AI310" s="37"/>
      <c r="AJ310" s="181">
        <v>12</v>
      </c>
      <c r="AK310" s="40"/>
      <c r="AL310" s="40"/>
      <c r="AM310" s="40"/>
      <c r="AN310" s="212" t="s">
        <v>435</v>
      </c>
      <c r="AO310" s="34"/>
      <c r="AP310" s="37"/>
      <c r="AQ310" s="37"/>
      <c r="AR310" s="37"/>
      <c r="AS310" s="37"/>
      <c r="AT310" s="37">
        <f>AS310-AD310</f>
        <v>-7</v>
      </c>
      <c r="AU310" s="36" t="str">
        <f>IF(AR310=0,"Waiting",IF(AR310&lt;AH310,"Kurang",IF(AR310=AH310,"Sesuai",IF(AR310&gt;AH310,"Over Shared"))))</f>
        <v>Waiting</v>
      </c>
      <c r="AV310" s="37"/>
      <c r="AW310" s="37" t="str">
        <f>IFERROR(DATEDIF(AH310,AK310,"d"),"0")&amp;"-DAY"</f>
        <v>0-DAY</v>
      </c>
      <c r="AX310" s="37" t="str">
        <f>IFERROR(DATEDIF(B310,AB310,"d"),"0")&amp;"-DAY"</f>
        <v>56-DAY</v>
      </c>
      <c r="AY310" s="37"/>
      <c r="AZ310" s="181">
        <f>L310-AD310</f>
        <v>0</v>
      </c>
    </row>
    <row r="311" spans="1:52" ht="15.5" customHeight="1">
      <c r="A311" s="360" t="s">
        <v>372</v>
      </c>
      <c r="B311" s="340">
        <v>46244</v>
      </c>
      <c r="C311" s="181">
        <v>49299</v>
      </c>
      <c r="D311" s="30">
        <v>46244</v>
      </c>
      <c r="E311" s="30">
        <v>46239</v>
      </c>
      <c r="F311" s="30">
        <v>46247</v>
      </c>
      <c r="G311" s="37">
        <v>4420230802</v>
      </c>
      <c r="H311" s="37" t="s">
        <v>373</v>
      </c>
      <c r="I311" s="37">
        <v>9040024384</v>
      </c>
      <c r="J311" s="37" t="s">
        <v>54</v>
      </c>
      <c r="K311" s="325" t="s">
        <v>55</v>
      </c>
      <c r="L311" s="181">
        <v>2</v>
      </c>
      <c r="M311" s="181" t="s">
        <v>427</v>
      </c>
      <c r="N311" s="37" t="s">
        <v>432</v>
      </c>
      <c r="O311" s="31">
        <f>IF(F311&gt;0,F311-AB311,"")</f>
        <v>-11</v>
      </c>
      <c r="P311" s="37" t="str">
        <f>IF(F311&gt;0,IF(AB311="","PLANNING SUPPLY",IF(AB311&lt;=F311,"ONTIME DELIVERY","DELAY")),"")</f>
        <v>DELAY</v>
      </c>
      <c r="Q311" s="181" t="str">
        <f>IFERROR(IF(J311&gt;0,VLOOKUP(J311,#REF!,MATCH($Q$6,#REF!,0),0),""),"")</f>
        <v/>
      </c>
      <c r="R311" s="181" t="str">
        <f>IFERROR(IF(J311&gt;0,VLOOKUP(J311,#REF!,MATCH($R$6,#REF!,0),0),""),"")</f>
        <v/>
      </c>
      <c r="S311" s="181" t="e">
        <f>IF(I314&gt;0,Q311+R311,"")</f>
        <v>#VALUE!</v>
      </c>
      <c r="T311" s="181"/>
      <c r="U311" s="181"/>
      <c r="V311" s="37"/>
      <c r="W311" s="181" t="e">
        <f>IF(I314&gt;0,IF(S311&gt;L311,"READY STOCK",IF(S311=0,"OUT OF STOCK",IF(S311&lt;L311,"LOW STOCK",""))),"")</f>
        <v>#VALUE!</v>
      </c>
      <c r="X311" s="38"/>
      <c r="Y311" s="38"/>
      <c r="Z311" s="38"/>
      <c r="AA311" s="38"/>
      <c r="AB311" s="50">
        <v>46258</v>
      </c>
      <c r="AC311" s="181">
        <v>33795</v>
      </c>
      <c r="AD311" s="51">
        <v>2</v>
      </c>
      <c r="AE311" s="37" t="s">
        <v>383</v>
      </c>
      <c r="AF311" s="37" t="s">
        <v>381</v>
      </c>
      <c r="AG311" s="33" t="str">
        <f>IF(G311&gt;0,IF(AD311&gt;0,IF(AD311=0,"Waiting",IF(AD311&lt;L311,"Partial",IF(AD311=L311,"Full Supply",IF(AD311&gt;L311,"Over Shared")))),"Waiting"),"")</f>
        <v>Full Supply</v>
      </c>
      <c r="AH311" s="37"/>
      <c r="AI311" s="37"/>
      <c r="AJ311" s="181"/>
      <c r="AK311" s="40"/>
      <c r="AL311" s="40"/>
      <c r="AM311" s="40"/>
      <c r="AN311" s="37"/>
      <c r="AO311" s="34"/>
      <c r="AP311" s="37"/>
      <c r="AQ311" s="37"/>
      <c r="AR311" s="37"/>
      <c r="AS311" s="37"/>
      <c r="AT311" s="37">
        <f>AS311-AD311</f>
        <v>-2</v>
      </c>
      <c r="AU311" s="36" t="str">
        <f>IF(AR311=0,"Waiting",IF(AR311&lt;AH311,"Kurang",IF(AR311=AH311,"Sesuai",IF(AR311&gt;AH311,"Over Shared"))))</f>
        <v>Waiting</v>
      </c>
      <c r="AV311" s="37"/>
      <c r="AW311" s="37" t="str">
        <f>IFERROR(DATEDIF(AH311,AK311,"d"),"0")&amp;"-DAY"</f>
        <v>0-DAY</v>
      </c>
      <c r="AX311" s="37" t="str">
        <f>IFERROR(DATEDIF(B311,AB311,"d"),"0")&amp;"-DAY"</f>
        <v>14-DAY</v>
      </c>
      <c r="AY311" s="37"/>
      <c r="AZ311" s="181">
        <f>L311-AD311</f>
        <v>0</v>
      </c>
    </row>
    <row r="312" spans="1:52" ht="15.5" customHeight="1">
      <c r="A312" s="360" t="s">
        <v>372</v>
      </c>
      <c r="B312" s="340">
        <v>46244</v>
      </c>
      <c r="C312" s="181">
        <v>49299</v>
      </c>
      <c r="D312" s="30">
        <v>46244</v>
      </c>
      <c r="E312" s="30">
        <v>46239</v>
      </c>
      <c r="F312" s="30">
        <v>46247</v>
      </c>
      <c r="G312" s="37">
        <v>4420230802</v>
      </c>
      <c r="H312" s="37" t="s">
        <v>373</v>
      </c>
      <c r="I312" s="37">
        <v>9040040588</v>
      </c>
      <c r="J312" s="37" t="s">
        <v>76</v>
      </c>
      <c r="K312" s="325" t="s">
        <v>77</v>
      </c>
      <c r="L312" s="181">
        <v>35</v>
      </c>
      <c r="M312" s="181" t="s">
        <v>375</v>
      </c>
      <c r="N312" s="37" t="s">
        <v>432</v>
      </c>
      <c r="O312" s="31">
        <f>IF(F312&gt;0,F312-AB312,"")</f>
        <v>-20</v>
      </c>
      <c r="P312" s="37" t="str">
        <f>IF(F312&gt;0,IF(AB312="","PLANNING SUPPLY",IF(AB312&lt;=F312,"ONTIME DELIVERY","DELAY")),"")</f>
        <v>DELAY</v>
      </c>
      <c r="Q312" s="181" t="str">
        <f>IFERROR(IF(J312&gt;0,VLOOKUP(J312,#REF!,MATCH($Q$6,#REF!,0),0),""),"")</f>
        <v/>
      </c>
      <c r="R312" s="181" t="str">
        <f>IFERROR(IF(J312&gt;0,VLOOKUP(J312,#REF!,MATCH($R$6,#REF!,0),0),""),"")</f>
        <v/>
      </c>
      <c r="S312" s="181" t="e">
        <f>IF(I315&gt;0,Q312+R312,"")</f>
        <v>#VALUE!</v>
      </c>
      <c r="T312" s="181"/>
      <c r="U312" s="181"/>
      <c r="V312" s="37"/>
      <c r="W312" s="181" t="e">
        <f>IF(I315&gt;0,IF(S312&gt;L312,"READY STOCK",IF(S312=0,"OUT OF STOCK",IF(S312&lt;L312,"LOW STOCK",""))),"")</f>
        <v>#VALUE!</v>
      </c>
      <c r="X312" s="38"/>
      <c r="Y312" s="38"/>
      <c r="Z312" s="38"/>
      <c r="AA312" s="38"/>
      <c r="AB312" s="50">
        <v>46267</v>
      </c>
      <c r="AC312" s="181">
        <v>33986</v>
      </c>
      <c r="AD312" s="51">
        <v>35</v>
      </c>
      <c r="AE312" s="37" t="s">
        <v>383</v>
      </c>
      <c r="AF312" s="37" t="s">
        <v>381</v>
      </c>
      <c r="AG312" s="33" t="str">
        <f>IF(G312&gt;0,IF(AD312&gt;0,IF(AD312=0,"Waiting",IF(AD312&lt;L312,"Partial",IF(AD312=L312,"Full Supply",IF(AD312&gt;L312,"Over Shared")))),"Waiting"),"")</f>
        <v>Full Supply</v>
      </c>
      <c r="AH312" s="56">
        <v>46247</v>
      </c>
      <c r="AI312" s="37" t="s">
        <v>646</v>
      </c>
      <c r="AJ312" s="181">
        <v>201</v>
      </c>
      <c r="AK312" s="40">
        <v>26391</v>
      </c>
      <c r="AL312" s="42">
        <v>46287</v>
      </c>
      <c r="AM312" s="40">
        <v>201</v>
      </c>
      <c r="AN312" s="37"/>
      <c r="AO312" s="41">
        <v>46295</v>
      </c>
      <c r="AP312" s="37"/>
      <c r="AQ312" s="37"/>
      <c r="AR312" s="37"/>
      <c r="AS312" s="37"/>
      <c r="AT312" s="37">
        <f>AS312-AD312</f>
        <v>-35</v>
      </c>
      <c r="AU312" s="36" t="str">
        <f>IF(AR312=0,"Waiting",IF(AR312&lt;AH312,"Kurang",IF(AR312=AH312,"Sesuai",IF(AR312&gt;AH312,"Over Shared"))))</f>
        <v>Waiting</v>
      </c>
      <c r="AV312" s="37"/>
      <c r="AW312" s="37" t="str">
        <f>IFERROR(DATEDIF(AH312,AK312,"d"),"0")&amp;"-DAY"</f>
        <v>0-DAY</v>
      </c>
      <c r="AX312" s="37" t="str">
        <f>IFERROR(DATEDIF(B312,AB312,"d"),"0")&amp;"-DAY"</f>
        <v>23-DAY</v>
      </c>
      <c r="AY312" s="37"/>
      <c r="AZ312" s="181">
        <f>L312-AD312</f>
        <v>0</v>
      </c>
    </row>
    <row r="313" spans="1:52" ht="15.5" customHeight="1">
      <c r="A313" s="360" t="s">
        <v>372</v>
      </c>
      <c r="B313" s="340">
        <v>46244</v>
      </c>
      <c r="C313" s="181">
        <v>49299</v>
      </c>
      <c r="D313" s="30">
        <v>46244</v>
      </c>
      <c r="E313" s="30">
        <v>46239</v>
      </c>
      <c r="F313" s="30">
        <v>46247</v>
      </c>
      <c r="G313" s="37">
        <v>4420230802</v>
      </c>
      <c r="H313" s="37" t="s">
        <v>373</v>
      </c>
      <c r="I313" s="37">
        <v>9040052401</v>
      </c>
      <c r="J313" s="37" t="s">
        <v>252</v>
      </c>
      <c r="K313" s="325" t="s">
        <v>253</v>
      </c>
      <c r="L313" s="181">
        <v>4</v>
      </c>
      <c r="M313" s="181" t="s">
        <v>375</v>
      </c>
      <c r="N313" s="37" t="s">
        <v>432</v>
      </c>
      <c r="O313" s="31">
        <f>IF(F313&gt;0,F313-AB313,"")</f>
        <v>-11</v>
      </c>
      <c r="P313" s="37" t="str">
        <f>IF(F313&gt;0,IF(AB313="","PLANNING SUPPLY",IF(AB313&lt;=F313,"ONTIME DELIVERY","DELAY")),"")</f>
        <v>DELAY</v>
      </c>
      <c r="Q313" s="181" t="str">
        <f>IFERROR(IF(J313&gt;0,VLOOKUP(J313,#REF!,MATCH($Q$6,#REF!,0),0),""),"")</f>
        <v/>
      </c>
      <c r="R313" s="181" t="str">
        <f>IFERROR(IF(J313&gt;0,VLOOKUP(J313,#REF!,MATCH($R$6,#REF!,0),0),""),"")</f>
        <v/>
      </c>
      <c r="S313" s="181" t="e">
        <f>IF(I316&gt;0,Q313+R313,"")</f>
        <v>#VALUE!</v>
      </c>
      <c r="T313" s="181"/>
      <c r="U313" s="181"/>
      <c r="V313" s="37"/>
      <c r="W313" s="181" t="e">
        <f>IF(I316&gt;0,IF(S313&gt;L313,"READY STOCK",IF(S313=0,"OUT OF STOCK",IF(S313&lt;L313,"LOW STOCK",""))),"")</f>
        <v>#VALUE!</v>
      </c>
      <c r="X313" s="38"/>
      <c r="Y313" s="38"/>
      <c r="Z313" s="38"/>
      <c r="AA313" s="38"/>
      <c r="AB313" s="50">
        <v>46258</v>
      </c>
      <c r="AC313" s="181">
        <v>33795</v>
      </c>
      <c r="AD313" s="51">
        <v>4</v>
      </c>
      <c r="AE313" s="37" t="s">
        <v>383</v>
      </c>
      <c r="AF313" s="37" t="s">
        <v>381</v>
      </c>
      <c r="AG313" s="33" t="str">
        <f>IF(G313&gt;0,IF(AD313&gt;0,IF(AD313=0,"Waiting",IF(AD313&lt;L313,"Partial",IF(AD313=L313,"Full Supply",IF(AD313&gt;L313,"Over Shared")))),"Waiting"),"")</f>
        <v>Full Supply</v>
      </c>
      <c r="AH313" s="37"/>
      <c r="AI313" s="37"/>
      <c r="AJ313" s="181"/>
      <c r="AK313" s="40"/>
      <c r="AL313" s="40"/>
      <c r="AM313" s="40"/>
      <c r="AN313" s="37"/>
      <c r="AO313" s="34"/>
      <c r="AP313" s="37"/>
      <c r="AQ313" s="37"/>
      <c r="AR313" s="37"/>
      <c r="AS313" s="37"/>
      <c r="AT313" s="37">
        <f>AS313-AD313</f>
        <v>-4</v>
      </c>
      <c r="AU313" s="36" t="str">
        <f>IF(AR313=0,"Waiting",IF(AR313&lt;AH313,"Kurang",IF(AR313=AH313,"Sesuai",IF(AR313&gt;AH313,"Over Shared"))))</f>
        <v>Waiting</v>
      </c>
      <c r="AV313" s="37"/>
      <c r="AW313" s="37" t="str">
        <f>IFERROR(DATEDIF(AH313,AK313,"d"),"0")&amp;"-DAY"</f>
        <v>0-DAY</v>
      </c>
      <c r="AX313" s="37" t="str">
        <f>IFERROR(DATEDIF(B313,AB313,"d"),"0")&amp;"-DAY"</f>
        <v>14-DAY</v>
      </c>
      <c r="AY313" s="37"/>
      <c r="AZ313" s="181">
        <f>L313-AD313</f>
        <v>0</v>
      </c>
    </row>
    <row r="314" spans="1:52" ht="15.5" customHeight="1">
      <c r="A314" s="360" t="s">
        <v>372</v>
      </c>
      <c r="B314" s="340">
        <v>46244</v>
      </c>
      <c r="C314" s="181">
        <v>49299</v>
      </c>
      <c r="D314" s="30">
        <v>46244</v>
      </c>
      <c r="E314" s="30">
        <v>46239</v>
      </c>
      <c r="F314" s="30">
        <v>46247</v>
      </c>
      <c r="G314" s="37">
        <v>4420230802</v>
      </c>
      <c r="H314" s="37" t="s">
        <v>373</v>
      </c>
      <c r="I314" s="37">
        <v>9040003053</v>
      </c>
      <c r="J314" s="37" t="s">
        <v>98</v>
      </c>
      <c r="K314" s="325" t="s">
        <v>99</v>
      </c>
      <c r="L314" s="181">
        <v>3</v>
      </c>
      <c r="M314" s="181" t="s">
        <v>375</v>
      </c>
      <c r="N314" s="37" t="s">
        <v>432</v>
      </c>
      <c r="O314" s="31">
        <f>IF(F314&gt;0,F314-AB314,"")</f>
        <v>-1</v>
      </c>
      <c r="P314" s="37" t="str">
        <f>IF(F314&gt;0,IF(AB314="","PLANNING SUPPLY",IF(AB314&lt;=F314,"ONTIME DELIVERY","DELAY")),"")</f>
        <v>DELAY</v>
      </c>
      <c r="Q314" s="181" t="str">
        <f>IFERROR(IF(J314&gt;0,VLOOKUP(J314,#REF!,MATCH($Q$6,#REF!,0),0),""),"")</f>
        <v/>
      </c>
      <c r="R314" s="181" t="str">
        <f>IFERROR(IF(J314&gt;0,VLOOKUP(J314,#REF!,MATCH($R$6,#REF!,0),0),""),"")</f>
        <v/>
      </c>
      <c r="S314" s="181" t="e">
        <f>IF(I317&gt;0,Q314+R314,"")</f>
        <v>#VALUE!</v>
      </c>
      <c r="T314" s="181"/>
      <c r="U314" s="181"/>
      <c r="V314" s="37"/>
      <c r="W314" s="181" t="e">
        <f>IF(I317&gt;0,IF(S314&gt;L314,"READY STOCK",IF(S314=0,"OUT OF STOCK",IF(S314&lt;L314,"LOW STOCK",""))),"")</f>
        <v>#VALUE!</v>
      </c>
      <c r="X314" s="38"/>
      <c r="Y314" s="38"/>
      <c r="Z314" s="38"/>
      <c r="AA314" s="38"/>
      <c r="AB314" s="50">
        <v>46248</v>
      </c>
      <c r="AC314" s="181">
        <v>33678</v>
      </c>
      <c r="AD314" s="51">
        <v>3</v>
      </c>
      <c r="AE314" s="37" t="s">
        <v>387</v>
      </c>
      <c r="AF314" s="37" t="s">
        <v>381</v>
      </c>
      <c r="AG314" s="33" t="str">
        <f>IF(G314&gt;0,IF(AD314&gt;0,IF(AD314=0,"Waiting",IF(AD314&lt;L314,"Partial",IF(AD314=L314,"Full Supply",IF(AD314&gt;L314,"Over Shared")))),"Waiting"),"")</f>
        <v>Full Supply</v>
      </c>
      <c r="AH314" s="37"/>
      <c r="AI314" s="37"/>
      <c r="AJ314" s="181"/>
      <c r="AK314" s="40"/>
      <c r="AL314" s="40"/>
      <c r="AM314" s="40"/>
      <c r="AN314" s="37"/>
      <c r="AO314" s="34"/>
      <c r="AP314" s="37"/>
      <c r="AQ314" s="37"/>
      <c r="AR314" s="37"/>
      <c r="AS314" s="37"/>
      <c r="AT314" s="37">
        <f>AS314-AD314</f>
        <v>-3</v>
      </c>
      <c r="AU314" s="36" t="str">
        <f>IF(AR314=0,"Waiting",IF(AR314&lt;AH314,"Kurang",IF(AR314=AH314,"Sesuai",IF(AR314&gt;AH314,"Over Shared"))))</f>
        <v>Waiting</v>
      </c>
      <c r="AV314" s="37"/>
      <c r="AW314" s="37" t="str">
        <f>IFERROR(DATEDIF(AH314,AK314,"d"),"0")&amp;"-DAY"</f>
        <v>0-DAY</v>
      </c>
      <c r="AX314" s="37" t="str">
        <f>IFERROR(DATEDIF(B314,AB314,"d"),"0")&amp;"-DAY"</f>
        <v>4-DAY</v>
      </c>
      <c r="AY314" s="37"/>
      <c r="AZ314" s="181">
        <f>L314-AD314</f>
        <v>0</v>
      </c>
    </row>
    <row r="315" spans="1:52" ht="15.5" customHeight="1">
      <c r="A315" s="360" t="s">
        <v>372</v>
      </c>
      <c r="B315" s="340">
        <v>46244</v>
      </c>
      <c r="C315" s="181">
        <v>49299</v>
      </c>
      <c r="D315" s="30">
        <v>46244</v>
      </c>
      <c r="E315" s="30">
        <v>46239</v>
      </c>
      <c r="F315" s="30">
        <v>46247</v>
      </c>
      <c r="G315" s="37">
        <v>4420230802</v>
      </c>
      <c r="H315" s="37" t="s">
        <v>373</v>
      </c>
      <c r="I315" s="37">
        <v>9040009482</v>
      </c>
      <c r="J315" s="37" t="s">
        <v>233</v>
      </c>
      <c r="K315" s="325" t="s">
        <v>234</v>
      </c>
      <c r="L315" s="181">
        <v>3</v>
      </c>
      <c r="M315" s="181" t="s">
        <v>389</v>
      </c>
      <c r="N315" s="37" t="s">
        <v>432</v>
      </c>
      <c r="O315" s="31">
        <f>IF(F315&gt;0,F315-AB315,"")</f>
        <v>46247</v>
      </c>
      <c r="P315" s="37" t="str">
        <f>IF(F315&gt;0,IF(AB315="","PLANNING SUPPLY",IF(AB315&lt;=F315,"ONTIME DELIVERY","DELAY")),"")</f>
        <v>PLANNING SUPPLY</v>
      </c>
      <c r="Q315" s="181" t="str">
        <f>IFERROR(IF(J315&gt;0,VLOOKUP(J315,#REF!,MATCH($Q$6,#REF!,0),0),""),"")</f>
        <v/>
      </c>
      <c r="R315" s="181" t="str">
        <f>IFERROR(IF(J315&gt;0,VLOOKUP(J315,#REF!,MATCH($R$6,#REF!,0),0),""),"")</f>
        <v/>
      </c>
      <c r="S315" s="181" t="e">
        <f>IF(I318&gt;0,Q315+R315,"")</f>
        <v>#VALUE!</v>
      </c>
      <c r="T315" s="181"/>
      <c r="U315" s="181"/>
      <c r="V315" s="37"/>
      <c r="W315" s="181" t="e">
        <f>IF(I318&gt;0,IF(S315&gt;L315,"READY STOCK",IF(S315=0,"OUT OF STOCK",IF(S315&lt;L315,"LOW STOCK",""))),"")</f>
        <v>#VALUE!</v>
      </c>
      <c r="X315" s="38"/>
      <c r="Y315" s="38"/>
      <c r="Z315" s="38"/>
      <c r="AA315" s="38"/>
      <c r="AB315" s="50"/>
      <c r="AC315" s="181"/>
      <c r="AD315" s="51"/>
      <c r="AE315" s="37"/>
      <c r="AF315" s="37"/>
      <c r="AG315" s="33" t="str">
        <f>IF(G315&gt;0,IF(AD315&gt;0,IF(AD315=0,"Waiting",IF(AD315&lt;L315,"Partial",IF(AD315=L315,"Full Supply",IF(AD315&gt;L315,"Over Shared")))),"Waiting"),"")</f>
        <v>Waiting</v>
      </c>
      <c r="AH315" s="56"/>
      <c r="AI315" s="37"/>
      <c r="AJ315" s="181"/>
      <c r="AK315" s="40"/>
      <c r="AL315" s="40"/>
      <c r="AM315" s="40"/>
      <c r="AN315" s="212" t="s">
        <v>1291</v>
      </c>
      <c r="AO315" s="34"/>
      <c r="AP315" s="37"/>
      <c r="AQ315" s="37"/>
      <c r="AR315" s="37"/>
      <c r="AS315" s="37"/>
      <c r="AT315" s="37">
        <f>AS315-AD315</f>
        <v>0</v>
      </c>
      <c r="AU315" s="36" t="str">
        <f>IF(AR315=0,"Waiting",IF(AR315&lt;AH315,"Kurang",IF(AR315=AH315,"Sesuai",IF(AR315&gt;AH315,"Over Shared"))))</f>
        <v>Waiting</v>
      </c>
      <c r="AV315" s="37"/>
      <c r="AW315" s="37" t="str">
        <f>IFERROR(DATEDIF(AH315,AK315,"d"),"0")&amp;"-DAY"</f>
        <v>0-DAY</v>
      </c>
      <c r="AX315" s="37" t="str">
        <f>IFERROR(DATEDIF(B315,AB315,"d"),"0")&amp;"-DAY"</f>
        <v>0-DAY</v>
      </c>
      <c r="AY315" s="37"/>
      <c r="AZ315" s="181">
        <f>L315-AD315</f>
        <v>3</v>
      </c>
    </row>
    <row r="316" spans="1:52" ht="15.5" customHeight="1">
      <c r="A316" s="360" t="s">
        <v>372</v>
      </c>
      <c r="B316" s="340">
        <v>46244</v>
      </c>
      <c r="C316" s="181">
        <v>49299</v>
      </c>
      <c r="D316" s="30">
        <v>46244</v>
      </c>
      <c r="E316" s="30">
        <v>46239</v>
      </c>
      <c r="F316" s="30">
        <v>46247</v>
      </c>
      <c r="G316" s="37">
        <v>4420230802</v>
      </c>
      <c r="H316" s="37" t="s">
        <v>373</v>
      </c>
      <c r="I316" s="37">
        <v>9040016581</v>
      </c>
      <c r="J316" s="37" t="s">
        <v>185</v>
      </c>
      <c r="K316" s="325" t="s">
        <v>186</v>
      </c>
      <c r="L316" s="181">
        <v>9</v>
      </c>
      <c r="M316" s="181" t="s">
        <v>375</v>
      </c>
      <c r="N316" s="37" t="s">
        <v>432</v>
      </c>
      <c r="O316" s="31">
        <f>IF(F316&gt;0,F316-AB316,"")</f>
        <v>0</v>
      </c>
      <c r="P316" s="37" t="str">
        <f>IF(F316&gt;0,IF(AB316="","PLANNING SUPPLY",IF(AB316&lt;=F316,"ONTIME DELIVERY","DELAY")),"")</f>
        <v>ONTIME DELIVERY</v>
      </c>
      <c r="Q316" s="181" t="str">
        <f>IFERROR(IF(J316&gt;0,VLOOKUP(J316,#REF!,MATCH($Q$6,#REF!,0),0),""),"")</f>
        <v/>
      </c>
      <c r="R316" s="181" t="str">
        <f>IFERROR(IF(J316&gt;0,VLOOKUP(J316,#REF!,MATCH($R$6,#REF!,0),0),""),"")</f>
        <v/>
      </c>
      <c r="S316" s="181" t="e">
        <f>IF(I319&gt;0,Q316+R316,"")</f>
        <v>#VALUE!</v>
      </c>
      <c r="T316" s="181"/>
      <c r="U316" s="181"/>
      <c r="V316" s="37"/>
      <c r="W316" s="181" t="e">
        <f>IF(I319&gt;0,IF(S316&gt;L316,"READY STOCK",IF(S316=0,"OUT OF STOCK",IF(S316&lt;L316,"LOW STOCK",""))),"")</f>
        <v>#VALUE!</v>
      </c>
      <c r="X316" s="38"/>
      <c r="Y316" s="38"/>
      <c r="Z316" s="38"/>
      <c r="AA316" s="38"/>
      <c r="AB316" s="50">
        <v>46247</v>
      </c>
      <c r="AC316" s="181">
        <v>33645</v>
      </c>
      <c r="AD316" s="51">
        <v>9</v>
      </c>
      <c r="AE316" s="37" t="s">
        <v>387</v>
      </c>
      <c r="AF316" s="37" t="s">
        <v>381</v>
      </c>
      <c r="AG316" s="33" t="str">
        <f>IF(G316&gt;0,IF(AD316&gt;0,IF(AD316=0,"Waiting",IF(AD316&lt;L316,"Partial",IF(AD316=L316,"Full Supply",IF(AD316&gt;L316,"Over Shared")))),"Waiting"),"")</f>
        <v>Full Supply</v>
      </c>
      <c r="AH316" s="37"/>
      <c r="AI316" s="37"/>
      <c r="AJ316" s="181"/>
      <c r="AK316" s="40"/>
      <c r="AL316" s="40"/>
      <c r="AM316" s="40"/>
      <c r="AN316" s="37"/>
      <c r="AO316" s="34"/>
      <c r="AP316" s="37"/>
      <c r="AQ316" s="37"/>
      <c r="AR316" s="37"/>
      <c r="AS316" s="37"/>
      <c r="AT316" s="37">
        <f>AS316-AD316</f>
        <v>-9</v>
      </c>
      <c r="AU316" s="36" t="str">
        <f>IF(AR316=0,"Waiting",IF(AR316&lt;AH316,"Kurang",IF(AR316=AH316,"Sesuai",IF(AR316&gt;AH316,"Over Shared"))))</f>
        <v>Waiting</v>
      </c>
      <c r="AV316" s="37"/>
      <c r="AW316" s="37" t="str">
        <f>IFERROR(DATEDIF(AH316,AK316,"d"),"0")&amp;"-DAY"</f>
        <v>0-DAY</v>
      </c>
      <c r="AX316" s="37" t="str">
        <f>IFERROR(DATEDIF(B316,AB316,"d"),"0")&amp;"-DAY"</f>
        <v>3-DAY</v>
      </c>
      <c r="AY316" s="37"/>
      <c r="AZ316" s="181">
        <f>L316-AD316</f>
        <v>0</v>
      </c>
    </row>
    <row r="317" spans="1:52" ht="15.5" customHeight="1">
      <c r="A317" s="360" t="s">
        <v>372</v>
      </c>
      <c r="B317" s="340">
        <v>46244</v>
      </c>
      <c r="C317" s="181">
        <v>49299</v>
      </c>
      <c r="D317" s="30">
        <v>46244</v>
      </c>
      <c r="E317" s="30">
        <v>46239</v>
      </c>
      <c r="F317" s="30">
        <v>46247</v>
      </c>
      <c r="G317" s="37">
        <v>4420230802</v>
      </c>
      <c r="H317" s="37" t="s">
        <v>373</v>
      </c>
      <c r="I317" s="37">
        <v>9040016582</v>
      </c>
      <c r="J317" s="37" t="s">
        <v>183</v>
      </c>
      <c r="K317" s="325" t="s">
        <v>184</v>
      </c>
      <c r="L317" s="181">
        <v>22</v>
      </c>
      <c r="M317" s="181" t="s">
        <v>375</v>
      </c>
      <c r="N317" s="37" t="s">
        <v>432</v>
      </c>
      <c r="O317" s="31">
        <f>IF(F317&gt;0,F317-AB317,"")</f>
        <v>0</v>
      </c>
      <c r="P317" s="37" t="str">
        <f>IF(F317&gt;0,IF(AB317="","PLANNING SUPPLY",IF(AB317&lt;=F317,"ONTIME DELIVERY","DELAY")),"")</f>
        <v>ONTIME DELIVERY</v>
      </c>
      <c r="Q317" s="181" t="str">
        <f>IFERROR(IF(J317&gt;0,VLOOKUP(J317,#REF!,MATCH($Q$6,#REF!,0),0),""),"")</f>
        <v/>
      </c>
      <c r="R317" s="181" t="str">
        <f>IFERROR(IF(J317&gt;0,VLOOKUP(J317,#REF!,MATCH($R$6,#REF!,0),0),""),"")</f>
        <v/>
      </c>
      <c r="S317" s="181" t="e">
        <f>IF(I320&gt;0,Q317+R317,"")</f>
        <v>#VALUE!</v>
      </c>
      <c r="T317" s="181"/>
      <c r="U317" s="181"/>
      <c r="V317" s="37"/>
      <c r="W317" s="181" t="e">
        <f>IF(I320&gt;0,IF(S317&gt;L317,"READY STOCK",IF(S317=0,"OUT OF STOCK",IF(S317&lt;L317,"LOW STOCK",""))),"")</f>
        <v>#VALUE!</v>
      </c>
      <c r="X317" s="38"/>
      <c r="Y317" s="38"/>
      <c r="Z317" s="38"/>
      <c r="AA317" s="38"/>
      <c r="AB317" s="50">
        <v>46247</v>
      </c>
      <c r="AC317" s="181">
        <v>33644</v>
      </c>
      <c r="AD317" s="51">
        <v>22</v>
      </c>
      <c r="AE317" s="37" t="s">
        <v>387</v>
      </c>
      <c r="AF317" s="37" t="s">
        <v>381</v>
      </c>
      <c r="AG317" s="33" t="str">
        <f>IF(G317&gt;0,IF(AD317&gt;0,IF(AD317=0,"Waiting",IF(AD317&lt;L317,"Partial",IF(AD317=L317,"Full Supply",IF(AD317&gt;L317,"Over Shared")))),"Waiting"),"")</f>
        <v>Full Supply</v>
      </c>
      <c r="AH317" s="37"/>
      <c r="AI317" s="37"/>
      <c r="AJ317" s="181"/>
      <c r="AK317" s="40"/>
      <c r="AL317" s="40"/>
      <c r="AM317" s="40"/>
      <c r="AN317" s="37"/>
      <c r="AO317" s="34"/>
      <c r="AP317" s="37"/>
      <c r="AQ317" s="37"/>
      <c r="AR317" s="37"/>
      <c r="AS317" s="37"/>
      <c r="AT317" s="37">
        <f>AS317-AD317</f>
        <v>-22</v>
      </c>
      <c r="AU317" s="36" t="str">
        <f>IF(AR317=0,"Waiting",IF(AR317&lt;AH317,"Kurang",IF(AR317=AH317,"Sesuai",IF(AR317&gt;AH317,"Over Shared"))))</f>
        <v>Waiting</v>
      </c>
      <c r="AV317" s="37"/>
      <c r="AW317" s="37" t="str">
        <f>IFERROR(DATEDIF(AH317,AK317,"d"),"0")&amp;"-DAY"</f>
        <v>0-DAY</v>
      </c>
      <c r="AX317" s="37" t="str">
        <f>IFERROR(DATEDIF(B317,AB317,"d"),"0")&amp;"-DAY"</f>
        <v>3-DAY</v>
      </c>
      <c r="AY317" s="37"/>
      <c r="AZ317" s="181">
        <f>L317-AD317</f>
        <v>0</v>
      </c>
    </row>
    <row r="318" spans="1:52" ht="15.5" customHeight="1">
      <c r="A318" s="360" t="s">
        <v>372</v>
      </c>
      <c r="B318" s="340">
        <v>46244</v>
      </c>
      <c r="C318" s="181">
        <v>49299</v>
      </c>
      <c r="D318" s="30">
        <v>46244</v>
      </c>
      <c r="E318" s="30">
        <v>46239</v>
      </c>
      <c r="F318" s="30">
        <v>46247</v>
      </c>
      <c r="G318" s="37">
        <v>4420230802</v>
      </c>
      <c r="H318" s="37" t="s">
        <v>373</v>
      </c>
      <c r="I318" s="37">
        <v>9040020519</v>
      </c>
      <c r="J318" s="37" t="s">
        <v>93</v>
      </c>
      <c r="K318" s="325" t="s">
        <v>94</v>
      </c>
      <c r="L318" s="181">
        <v>2</v>
      </c>
      <c r="M318" s="181" t="s">
        <v>427</v>
      </c>
      <c r="N318" s="37" t="s">
        <v>432</v>
      </c>
      <c r="O318" s="31">
        <f>IF(F318&gt;0,F318-AB318,"")</f>
        <v>-67</v>
      </c>
      <c r="P318" s="37" t="str">
        <f>IF(F318&gt;0,IF(AB318="","PLANNING SUPPLY",IF(AB318&lt;=F318,"ONTIME DELIVERY","DELAY")),"")</f>
        <v>DELAY</v>
      </c>
      <c r="Q318" s="181" t="str">
        <f>IFERROR(IF(J318&gt;0,VLOOKUP(J318,#REF!,MATCH($Q$6,#REF!,0),0),""),"")</f>
        <v/>
      </c>
      <c r="R318" s="181" t="str">
        <f>IFERROR(IF(J318&gt;0,VLOOKUP(J318,#REF!,MATCH($R$6,#REF!,0),0),""),"")</f>
        <v/>
      </c>
      <c r="S318" s="181" t="e">
        <f>IF(I321&gt;0,Q318+R318,"")</f>
        <v>#VALUE!</v>
      </c>
      <c r="T318" s="181"/>
      <c r="U318" s="181"/>
      <c r="V318" s="37"/>
      <c r="W318" s="181" t="e">
        <f>IF(I321&gt;0,IF(S318&gt;L318,"READY STOCK",IF(S318=0,"OUT OF STOCK",IF(S318&lt;L318,"LOW STOCK",""))),"")</f>
        <v>#VALUE!</v>
      </c>
      <c r="X318" s="38"/>
      <c r="Y318" s="38"/>
      <c r="Z318" s="38"/>
      <c r="AA318" s="38"/>
      <c r="AB318" s="50">
        <v>46314</v>
      </c>
      <c r="AC318" s="44" t="s">
        <v>1297</v>
      </c>
      <c r="AD318" s="51">
        <v>1</v>
      </c>
      <c r="AE318" s="37" t="s">
        <v>387</v>
      </c>
      <c r="AF318" s="37" t="s">
        <v>381</v>
      </c>
      <c r="AG318" s="33" t="str">
        <f>IF(G318&gt;0,IF(AD318&gt;0,IF(AD318=0,"Waiting",IF(AD318&lt;L318,"Partial",IF(AD318=L318,"Full Supply",IF(AD318&gt;L318,"Over Shared")))),"Waiting"),"")</f>
        <v>Partial</v>
      </c>
      <c r="AH318" s="156"/>
      <c r="AI318" s="37"/>
      <c r="AJ318" s="181"/>
      <c r="AK318" s="40"/>
      <c r="AL318" s="40"/>
      <c r="AM318" s="40"/>
      <c r="AN318" s="212" t="s">
        <v>1292</v>
      </c>
      <c r="AO318" s="34"/>
      <c r="AP318" s="37"/>
      <c r="AQ318" s="37"/>
      <c r="AR318" s="37"/>
      <c r="AS318" s="37"/>
      <c r="AT318" s="37">
        <f>AS318-AD318</f>
        <v>-1</v>
      </c>
      <c r="AU318" s="36" t="str">
        <f>IF(AR318=0,"Waiting",IF(AR318&lt;AH318,"Kurang",IF(AR318=AH318,"Sesuai",IF(AR318&gt;AH318,"Over Shared"))))</f>
        <v>Waiting</v>
      </c>
      <c r="AV318" s="37"/>
      <c r="AW318" s="37" t="str">
        <f>IFERROR(DATEDIF(AH318,AK318,"d"),"0")&amp;"-DAY"</f>
        <v>0-DAY</v>
      </c>
      <c r="AX318" s="37" t="str">
        <f>IFERROR(DATEDIF(B318,AB318,"d"),"0")&amp;"-DAY"</f>
        <v>70-DAY</v>
      </c>
      <c r="AY318" s="37"/>
      <c r="AZ318" s="181">
        <f>L318-AD318</f>
        <v>1</v>
      </c>
    </row>
    <row r="319" spans="1:52" ht="15.5" customHeight="1">
      <c r="A319" s="360" t="s">
        <v>372</v>
      </c>
      <c r="B319" s="340">
        <v>46244</v>
      </c>
      <c r="C319" s="181">
        <v>49299</v>
      </c>
      <c r="D319" s="30">
        <v>46244</v>
      </c>
      <c r="E319" s="30">
        <v>46239</v>
      </c>
      <c r="F319" s="30">
        <v>46247</v>
      </c>
      <c r="G319" s="37">
        <v>4420230802</v>
      </c>
      <c r="H319" s="37" t="s">
        <v>373</v>
      </c>
      <c r="I319" s="37">
        <v>9040040390</v>
      </c>
      <c r="J319" s="37" t="s">
        <v>209</v>
      </c>
      <c r="K319" s="325" t="s">
        <v>210</v>
      </c>
      <c r="L319" s="181">
        <v>9</v>
      </c>
      <c r="M319" s="181" t="s">
        <v>421</v>
      </c>
      <c r="N319" s="37" t="s">
        <v>432</v>
      </c>
      <c r="O319" s="31">
        <f>IF(F319&gt;0,F319-AB319,"")</f>
        <v>-1</v>
      </c>
      <c r="P319" s="37" t="str">
        <f>IF(F319&gt;0,IF(AB319="","PLANNING SUPPLY",IF(AB319&lt;=F319,"ONTIME DELIVERY","DELAY")),"")</f>
        <v>DELAY</v>
      </c>
      <c r="Q319" s="181" t="str">
        <f>IFERROR(IF(J319&gt;0,VLOOKUP(J319,#REF!,MATCH($Q$6,#REF!,0),0),""),"")</f>
        <v/>
      </c>
      <c r="R319" s="181" t="str">
        <f>IFERROR(IF(J319&gt;0,VLOOKUP(J319,#REF!,MATCH($R$6,#REF!,0),0),""),"")</f>
        <v/>
      </c>
      <c r="S319" s="181" t="e">
        <f>IF(I322&gt;0,Q319+R319,"")</f>
        <v>#VALUE!</v>
      </c>
      <c r="T319" s="181"/>
      <c r="U319" s="181"/>
      <c r="V319" s="37"/>
      <c r="W319" s="181" t="e">
        <f>IF(I322&gt;0,IF(S319&gt;L319,"READY STOCK",IF(S319=0,"OUT OF STOCK",IF(S319&lt;L319,"LOW STOCK",""))),"")</f>
        <v>#VALUE!</v>
      </c>
      <c r="X319" s="38"/>
      <c r="Y319" s="38"/>
      <c r="Z319" s="38"/>
      <c r="AA319" s="38"/>
      <c r="AB319" s="50">
        <v>46248</v>
      </c>
      <c r="AC319" s="181">
        <v>33677</v>
      </c>
      <c r="AD319" s="51">
        <v>9</v>
      </c>
      <c r="AE319" s="37" t="s">
        <v>387</v>
      </c>
      <c r="AF319" s="37" t="s">
        <v>381</v>
      </c>
      <c r="AG319" s="33" t="str">
        <f>IF(G319&gt;0,IF(AD319&gt;0,IF(AD319=0,"Waiting",IF(AD319&lt;L319,"Partial",IF(AD319=L319,"Full Supply",IF(AD319&gt;L319,"Over Shared")))),"Waiting"),"")</f>
        <v>Full Supply</v>
      </c>
      <c r="AH319" s="156">
        <v>46246</v>
      </c>
      <c r="AI319" s="37" t="s">
        <v>1283</v>
      </c>
      <c r="AJ319" s="181">
        <v>28</v>
      </c>
      <c r="AK319" s="40">
        <v>26063</v>
      </c>
      <c r="AL319" s="45">
        <v>46255</v>
      </c>
      <c r="AM319" s="40">
        <v>28</v>
      </c>
      <c r="AN319" s="37"/>
      <c r="AO319" s="41">
        <v>46255</v>
      </c>
      <c r="AP319" s="37"/>
      <c r="AQ319" s="37"/>
      <c r="AR319" s="37"/>
      <c r="AS319" s="37"/>
      <c r="AT319" s="37">
        <f>AS319-AD319</f>
        <v>-9</v>
      </c>
      <c r="AU319" s="36" t="str">
        <f>IF(AR319=0,"Waiting",IF(AR319&lt;AH319,"Kurang",IF(AR319=AH319,"Sesuai",IF(AR319&gt;AH319,"Over Shared"))))</f>
        <v>Waiting</v>
      </c>
      <c r="AV319" s="37"/>
      <c r="AW319" s="37" t="str">
        <f>IFERROR(DATEDIF(AH319,AK319,"d"),"0")&amp;"-DAY"</f>
        <v>0-DAY</v>
      </c>
      <c r="AX319" s="37" t="str">
        <f>IFERROR(DATEDIF(B319,AB319,"d"),"0")&amp;"-DAY"</f>
        <v>4-DAY</v>
      </c>
      <c r="AY319" s="37"/>
      <c r="AZ319" s="181">
        <f>L319-AD319</f>
        <v>0</v>
      </c>
    </row>
    <row r="320" spans="1:52" ht="15.5" customHeight="1">
      <c r="A320" s="360" t="s">
        <v>372</v>
      </c>
      <c r="B320" s="340">
        <v>46244</v>
      </c>
      <c r="C320" s="181">
        <v>49299</v>
      </c>
      <c r="D320" s="30">
        <v>46244</v>
      </c>
      <c r="E320" s="30">
        <v>46239</v>
      </c>
      <c r="F320" s="30">
        <v>46247</v>
      </c>
      <c r="G320" s="37">
        <v>4420230802</v>
      </c>
      <c r="H320" s="37" t="s">
        <v>373</v>
      </c>
      <c r="I320" s="37">
        <v>9040040420</v>
      </c>
      <c r="J320" s="37" t="s">
        <v>219</v>
      </c>
      <c r="K320" s="325" t="s">
        <v>220</v>
      </c>
      <c r="L320" s="181">
        <v>4</v>
      </c>
      <c r="M320" s="181" t="s">
        <v>389</v>
      </c>
      <c r="N320" s="37" t="s">
        <v>432</v>
      </c>
      <c r="O320" s="31">
        <f>IF(F320&gt;0,F320-AB320,"")</f>
        <v>-20</v>
      </c>
      <c r="P320" s="37" t="str">
        <f>IF(F320&gt;0,IF(AB320="","PLANNING SUPPLY",IF(AB320&lt;=F320,"ONTIME DELIVERY","DELAY")),"")</f>
        <v>DELAY</v>
      </c>
      <c r="Q320" s="181" t="str">
        <f>IFERROR(IF(J320&gt;0,VLOOKUP(J320,#REF!,MATCH($Q$6,#REF!,0),0),""),"")</f>
        <v/>
      </c>
      <c r="R320" s="181" t="str">
        <f>IFERROR(IF(J320&gt;0,VLOOKUP(J320,#REF!,MATCH($R$6,#REF!,0),0),""),"")</f>
        <v/>
      </c>
      <c r="S320" s="181" t="e">
        <f>IF(I323&gt;0,Q320+R320,"")</f>
        <v>#VALUE!</v>
      </c>
      <c r="T320" s="181"/>
      <c r="U320" s="181"/>
      <c r="V320" s="37"/>
      <c r="W320" s="181" t="e">
        <f>IF(I323&gt;0,IF(S320&gt;L320,"READY STOCK",IF(S320=0,"OUT OF STOCK",IF(S320&lt;L320,"LOW STOCK",""))),"")</f>
        <v>#VALUE!</v>
      </c>
      <c r="X320" s="38"/>
      <c r="Y320" s="38"/>
      <c r="Z320" s="38"/>
      <c r="AA320" s="38"/>
      <c r="AB320" s="50">
        <v>46267</v>
      </c>
      <c r="AC320" s="181">
        <v>33986</v>
      </c>
      <c r="AD320" s="51">
        <v>4</v>
      </c>
      <c r="AE320" s="37" t="s">
        <v>383</v>
      </c>
      <c r="AF320" s="37" t="s">
        <v>381</v>
      </c>
      <c r="AG320" s="33" t="str">
        <f>IF(G320&gt;0,IF(AD320&gt;0,IF(AD320=0,"Waiting",IF(AD320&lt;L320,"Partial",IF(AD320=L320,"Full Supply",IF(AD320&gt;L320,"Over Shared")))),"Waiting"),"")</f>
        <v>Full Supply</v>
      </c>
      <c r="AH320" s="156">
        <v>46246</v>
      </c>
      <c r="AI320" s="37" t="s">
        <v>1283</v>
      </c>
      <c r="AJ320" s="181">
        <v>11</v>
      </c>
      <c r="AK320" s="40">
        <v>26385</v>
      </c>
      <c r="AL320" s="42">
        <v>46287</v>
      </c>
      <c r="AM320" s="40"/>
      <c r="AN320" s="37"/>
      <c r="AO320" s="41">
        <v>46294</v>
      </c>
      <c r="AP320" s="37"/>
      <c r="AQ320" s="37"/>
      <c r="AR320" s="37"/>
      <c r="AS320" s="37"/>
      <c r="AT320" s="37">
        <f>AS320-AD320</f>
        <v>-4</v>
      </c>
      <c r="AU320" s="36" t="str">
        <f>IF(AR320=0,"Waiting",IF(AR320&lt;AH320,"Kurang",IF(AR320=AH320,"Sesuai",IF(AR320&gt;AH320,"Over Shared"))))</f>
        <v>Waiting</v>
      </c>
      <c r="AV320" s="37"/>
      <c r="AW320" s="37" t="str">
        <f>IFERROR(DATEDIF(AH320,AK320,"d"),"0")&amp;"-DAY"</f>
        <v>0-DAY</v>
      </c>
      <c r="AX320" s="37" t="str">
        <f>IFERROR(DATEDIF(B320,AB320,"d"),"0")&amp;"-DAY"</f>
        <v>23-DAY</v>
      </c>
      <c r="AY320" s="37"/>
      <c r="AZ320" s="181">
        <f>L320-AD320</f>
        <v>0</v>
      </c>
    </row>
    <row r="321" spans="1:52" ht="15.5" customHeight="1">
      <c r="A321" s="360" t="s">
        <v>372</v>
      </c>
      <c r="B321" s="340">
        <v>46244</v>
      </c>
      <c r="C321" s="181">
        <v>49299</v>
      </c>
      <c r="D321" s="30">
        <v>46244</v>
      </c>
      <c r="E321" s="30">
        <v>46239</v>
      </c>
      <c r="F321" s="30">
        <v>46247</v>
      </c>
      <c r="G321" s="37">
        <v>4420230802</v>
      </c>
      <c r="H321" s="37" t="s">
        <v>373</v>
      </c>
      <c r="I321" s="37">
        <v>9040040924</v>
      </c>
      <c r="J321" s="37" t="s">
        <v>10</v>
      </c>
      <c r="K321" s="325" t="s">
        <v>149</v>
      </c>
      <c r="L321" s="181">
        <v>4</v>
      </c>
      <c r="M321" s="181" t="s">
        <v>375</v>
      </c>
      <c r="N321" s="37" t="s">
        <v>432</v>
      </c>
      <c r="O321" s="31">
        <f>IF(F321&gt;0,F321-AB321,"")</f>
        <v>-20</v>
      </c>
      <c r="P321" s="37" t="str">
        <f>IF(F321&gt;0,IF(AB321="","PLANNING SUPPLY",IF(AB321&lt;=F321,"ONTIME DELIVERY","DELAY")),"")</f>
        <v>DELAY</v>
      </c>
      <c r="Q321" s="181" t="str">
        <f>IFERROR(IF(J321&gt;0,VLOOKUP(J321,#REF!,MATCH($Q$6,#REF!,0),0),""),"")</f>
        <v/>
      </c>
      <c r="R321" s="181" t="str">
        <f>IFERROR(IF(J321&gt;0,VLOOKUP(J321,#REF!,MATCH($R$6,#REF!,0),0),""),"")</f>
        <v/>
      </c>
      <c r="S321" s="181" t="e">
        <f>IF(I324&gt;0,Q321+R321,"")</f>
        <v>#VALUE!</v>
      </c>
      <c r="T321" s="181"/>
      <c r="U321" s="181"/>
      <c r="V321" s="37"/>
      <c r="W321" s="181" t="e">
        <f>IF(I324&gt;0,IF(S321&gt;L321,"READY STOCK",IF(S321=0,"OUT OF STOCK",IF(S321&lt;L321,"LOW STOCK",""))),"")</f>
        <v>#VALUE!</v>
      </c>
      <c r="X321" s="38"/>
      <c r="Y321" s="38"/>
      <c r="Z321" s="38"/>
      <c r="AA321" s="38"/>
      <c r="AB321" s="50">
        <v>46267</v>
      </c>
      <c r="AC321" s="181">
        <v>33986</v>
      </c>
      <c r="AD321" s="51">
        <v>4</v>
      </c>
      <c r="AE321" s="37" t="s">
        <v>383</v>
      </c>
      <c r="AF321" s="37" t="s">
        <v>381</v>
      </c>
      <c r="AG321" s="33" t="str">
        <f>IF(G321&gt;0,IF(AD321&gt;0,IF(AD321=0,"Waiting",IF(AD321&lt;L321,"Partial",IF(AD321=L321,"Full Supply",IF(AD321&gt;L321,"Over Shared")))),"Waiting"),"")</f>
        <v>Full Supply</v>
      </c>
      <c r="AH321" s="37"/>
      <c r="AI321" s="37"/>
      <c r="AJ321" s="181"/>
      <c r="AK321" s="40"/>
      <c r="AL321" s="40"/>
      <c r="AM321" s="40"/>
      <c r="AN321" s="37"/>
      <c r="AO321" s="34"/>
      <c r="AP321" s="37"/>
      <c r="AQ321" s="37"/>
      <c r="AR321" s="37"/>
      <c r="AS321" s="37"/>
      <c r="AT321" s="37">
        <f>AS321-AD321</f>
        <v>-4</v>
      </c>
      <c r="AU321" s="36" t="str">
        <f>IF(AR321=0,"Waiting",IF(AR321&lt;AH321,"Kurang",IF(AR321=AH321,"Sesuai",IF(AR321&gt;AH321,"Over Shared"))))</f>
        <v>Waiting</v>
      </c>
      <c r="AV321" s="37"/>
      <c r="AW321" s="37" t="str">
        <f>IFERROR(DATEDIF(AH321,AK321,"d"),"0")&amp;"-DAY"</f>
        <v>0-DAY</v>
      </c>
      <c r="AX321" s="37" t="str">
        <f>IFERROR(DATEDIF(B321,AB321,"d"),"0")&amp;"-DAY"</f>
        <v>23-DAY</v>
      </c>
      <c r="AY321" s="37"/>
      <c r="AZ321" s="181">
        <f>L321-AD321</f>
        <v>0</v>
      </c>
    </row>
    <row r="322" spans="1:52" ht="15.5" customHeight="1">
      <c r="A322" s="360" t="s">
        <v>372</v>
      </c>
      <c r="B322" s="340">
        <v>46244</v>
      </c>
      <c r="C322" s="181">
        <v>49299</v>
      </c>
      <c r="D322" s="30">
        <v>46244</v>
      </c>
      <c r="E322" s="30">
        <v>46239</v>
      </c>
      <c r="F322" s="30">
        <v>46247</v>
      </c>
      <c r="G322" s="37">
        <v>4420230802</v>
      </c>
      <c r="H322" s="37" t="s">
        <v>373</v>
      </c>
      <c r="I322" s="37">
        <v>9040042096</v>
      </c>
      <c r="J322" s="37" t="s">
        <v>159</v>
      </c>
      <c r="K322" s="325" t="s">
        <v>160</v>
      </c>
      <c r="L322" s="181">
        <v>16</v>
      </c>
      <c r="M322" s="181" t="s">
        <v>375</v>
      </c>
      <c r="N322" s="37" t="s">
        <v>432</v>
      </c>
      <c r="O322" s="31">
        <f>IF(F322&gt;0,F322-AB322,"")</f>
        <v>-1</v>
      </c>
      <c r="P322" s="37" t="str">
        <f>IF(F322&gt;0,IF(AB322="","PLANNING SUPPLY",IF(AB322&lt;=F322,"ONTIME DELIVERY","DELAY")),"")</f>
        <v>DELAY</v>
      </c>
      <c r="Q322" s="181" t="str">
        <f>IFERROR(IF(J322&gt;0,VLOOKUP(J322,#REF!,MATCH($Q$6,#REF!,0),0),""),"")</f>
        <v/>
      </c>
      <c r="R322" s="181" t="str">
        <f>IFERROR(IF(J322&gt;0,VLOOKUP(J322,#REF!,MATCH($R$6,#REF!,0),0),""),"")</f>
        <v/>
      </c>
      <c r="S322" s="181" t="e">
        <f>IF(I325&gt;0,Q322+R322,"")</f>
        <v>#VALUE!</v>
      </c>
      <c r="T322" s="181"/>
      <c r="U322" s="181"/>
      <c r="V322" s="37"/>
      <c r="W322" s="181" t="e">
        <f>IF(I325&gt;0,IF(S322&gt;L322,"READY STOCK",IF(S322=0,"OUT OF STOCK",IF(S322&lt;L322,"LOW STOCK",""))),"")</f>
        <v>#VALUE!</v>
      </c>
      <c r="X322" s="38"/>
      <c r="Y322" s="38"/>
      <c r="Z322" s="38"/>
      <c r="AA322" s="38"/>
      <c r="AB322" s="50">
        <v>46248</v>
      </c>
      <c r="AC322" s="181">
        <v>33675</v>
      </c>
      <c r="AD322" s="51">
        <v>16</v>
      </c>
      <c r="AE322" s="37" t="s">
        <v>387</v>
      </c>
      <c r="AF322" s="37" t="s">
        <v>381</v>
      </c>
      <c r="AG322" s="33" t="str">
        <f>IF(G322&gt;0,IF(AD322&gt;0,IF(AD322=0,"Waiting",IF(AD322&lt;L322,"Partial",IF(AD322=L322,"Full Supply",IF(AD322&gt;L322,"Over Shared")))),"Waiting"),"")</f>
        <v>Full Supply</v>
      </c>
      <c r="AH322" s="37"/>
      <c r="AI322" s="37"/>
      <c r="AJ322" s="181"/>
      <c r="AK322" s="40"/>
      <c r="AL322" s="40"/>
      <c r="AM322" s="40"/>
      <c r="AN322" s="37"/>
      <c r="AO322" s="34"/>
      <c r="AP322" s="37"/>
      <c r="AQ322" s="37"/>
      <c r="AR322" s="37"/>
      <c r="AS322" s="37"/>
      <c r="AT322" s="37">
        <f>AS322-AD322</f>
        <v>-16</v>
      </c>
      <c r="AU322" s="36" t="str">
        <f>IF(AR322=0,"Waiting",IF(AR322&lt;AH322,"Kurang",IF(AR322=AH322,"Sesuai",IF(AR322&gt;AH322,"Over Shared"))))</f>
        <v>Waiting</v>
      </c>
      <c r="AV322" s="37"/>
      <c r="AW322" s="37" t="str">
        <f>IFERROR(DATEDIF(AH322,AK322,"d"),"0")&amp;"-DAY"</f>
        <v>0-DAY</v>
      </c>
      <c r="AX322" s="37" t="str">
        <f>IFERROR(DATEDIF(B322,AB322,"d"),"0")&amp;"-DAY"</f>
        <v>4-DAY</v>
      </c>
      <c r="AY322" s="37"/>
      <c r="AZ322" s="181">
        <f>L322-AD322</f>
        <v>0</v>
      </c>
    </row>
    <row r="323" spans="1:52" ht="15.5" customHeight="1">
      <c r="A323" s="360" t="s">
        <v>372</v>
      </c>
      <c r="B323" s="340">
        <v>46244</v>
      </c>
      <c r="C323" s="181">
        <v>49299</v>
      </c>
      <c r="D323" s="30">
        <v>46244</v>
      </c>
      <c r="E323" s="30">
        <v>46239</v>
      </c>
      <c r="F323" s="30">
        <v>46247</v>
      </c>
      <c r="G323" s="37">
        <v>4420230802</v>
      </c>
      <c r="H323" s="37" t="s">
        <v>373</v>
      </c>
      <c r="I323" s="37">
        <v>9040042224</v>
      </c>
      <c r="J323" s="37" t="s">
        <v>195</v>
      </c>
      <c r="K323" s="325" t="s">
        <v>196</v>
      </c>
      <c r="L323" s="181">
        <v>4</v>
      </c>
      <c r="M323" s="181" t="s">
        <v>421</v>
      </c>
      <c r="N323" s="37" t="s">
        <v>432</v>
      </c>
      <c r="O323" s="31">
        <f>IF(F323&gt;0,F323-AB323,"")</f>
        <v>-34</v>
      </c>
      <c r="P323" s="37" t="str">
        <f>IF(F323&gt;0,IF(AB323="","PLANNING SUPPLY",IF(AB323&lt;=F323,"ONTIME DELIVERY","DELAY")),"")</f>
        <v>DELAY</v>
      </c>
      <c r="Q323" s="181" t="str">
        <f>IFERROR(IF(J323&gt;0,VLOOKUP(J323,#REF!,MATCH($Q$6,#REF!,0),0),""),"")</f>
        <v/>
      </c>
      <c r="R323" s="181" t="str">
        <f>IFERROR(IF(J323&gt;0,VLOOKUP(J323,#REF!,MATCH($R$6,#REF!,0),0),""),"")</f>
        <v/>
      </c>
      <c r="S323" s="181" t="e">
        <f>IF(I326&gt;0,Q323+R323,"")</f>
        <v>#VALUE!</v>
      </c>
      <c r="T323" s="181"/>
      <c r="U323" s="181"/>
      <c r="V323" s="37"/>
      <c r="W323" s="181" t="e">
        <f>IF(I326&gt;0,IF(S323&gt;L323,"READY STOCK",IF(S323=0,"OUT OF STOCK",IF(S323&lt;L323,"LOW STOCK",""))),"")</f>
        <v>#VALUE!</v>
      </c>
      <c r="X323" s="38"/>
      <c r="Y323" s="38"/>
      <c r="Z323" s="38"/>
      <c r="AA323" s="38"/>
      <c r="AB323" s="50">
        <v>46281</v>
      </c>
      <c r="AC323" s="181">
        <v>34315</v>
      </c>
      <c r="AD323" s="51">
        <v>4</v>
      </c>
      <c r="AE323" s="37" t="s">
        <v>383</v>
      </c>
      <c r="AF323" s="37" t="s">
        <v>381</v>
      </c>
      <c r="AG323" s="33" t="str">
        <f>IF(G323&gt;0,IF(AD323&gt;0,IF(AD323=0,"Waiting",IF(AD323&lt;L323,"Partial",IF(AD323=L323,"Full Supply",IF(AD323&gt;L323,"Over Shared")))),"Waiting"),"")</f>
        <v>Full Supply</v>
      </c>
      <c r="AH323" s="156">
        <v>46246</v>
      </c>
      <c r="AI323" s="37" t="s">
        <v>1283</v>
      </c>
      <c r="AJ323" s="181">
        <v>20</v>
      </c>
      <c r="AK323" s="40">
        <v>26064</v>
      </c>
      <c r="AL323" s="189">
        <v>46266</v>
      </c>
      <c r="AM323" s="40">
        <v>20</v>
      </c>
      <c r="AN323" s="37"/>
      <c r="AO323" s="190">
        <v>46296</v>
      </c>
      <c r="AP323" s="37"/>
      <c r="AQ323" s="37"/>
      <c r="AR323" s="37"/>
      <c r="AS323" s="37"/>
      <c r="AT323" s="37">
        <f>AS323-AD323</f>
        <v>-4</v>
      </c>
      <c r="AU323" s="36" t="str">
        <f>IF(AR323=0,"Waiting",IF(AR323&lt;AH323,"Kurang",IF(AR323=AH323,"Sesuai",IF(AR323&gt;AH323,"Over Shared"))))</f>
        <v>Waiting</v>
      </c>
      <c r="AV323" s="37"/>
      <c r="AW323" s="37" t="str">
        <f>IFERROR(DATEDIF(AH323,AK323,"d"),"0")&amp;"-DAY"</f>
        <v>0-DAY</v>
      </c>
      <c r="AX323" s="37" t="str">
        <f>IFERROR(DATEDIF(B323,AB323,"d"),"0")&amp;"-DAY"</f>
        <v>37-DAY</v>
      </c>
      <c r="AY323" s="37"/>
      <c r="AZ323" s="181">
        <f>L323-AD323</f>
        <v>0</v>
      </c>
    </row>
    <row r="324" spans="1:52" ht="15.5" customHeight="1">
      <c r="A324" s="360" t="s">
        <v>372</v>
      </c>
      <c r="B324" s="340">
        <v>46244</v>
      </c>
      <c r="C324" s="181">
        <v>49299</v>
      </c>
      <c r="D324" s="30">
        <v>46244</v>
      </c>
      <c r="E324" s="30">
        <v>46239</v>
      </c>
      <c r="F324" s="30">
        <v>46247</v>
      </c>
      <c r="G324" s="37">
        <v>4420230802</v>
      </c>
      <c r="H324" s="37" t="s">
        <v>373</v>
      </c>
      <c r="I324" s="37">
        <v>9040044154</v>
      </c>
      <c r="J324" s="37" t="s">
        <v>301</v>
      </c>
      <c r="K324" s="325" t="s">
        <v>302</v>
      </c>
      <c r="L324" s="181">
        <v>3</v>
      </c>
      <c r="M324" s="181" t="s">
        <v>375</v>
      </c>
      <c r="N324" s="37" t="s">
        <v>432</v>
      </c>
      <c r="O324" s="31">
        <f>IF(F324&gt;0,F324-AB324,"")</f>
        <v>-1</v>
      </c>
      <c r="P324" s="37" t="str">
        <f>IF(F324&gt;0,IF(AB324="","PLANNING SUPPLY",IF(AB324&lt;=F324,"ONTIME DELIVERY","DELAY")),"")</f>
        <v>DELAY</v>
      </c>
      <c r="Q324" s="181" t="str">
        <f>IFERROR(IF(J324&gt;0,VLOOKUP(J324,#REF!,MATCH($Q$6,#REF!,0),0),""),"")</f>
        <v/>
      </c>
      <c r="R324" s="181" t="str">
        <f>IFERROR(IF(J324&gt;0,VLOOKUP(J324,#REF!,MATCH($R$6,#REF!,0),0),""),"")</f>
        <v/>
      </c>
      <c r="S324" s="181" t="e">
        <f>IF(I327&gt;0,Q324+R324,"")</f>
        <v>#VALUE!</v>
      </c>
      <c r="T324" s="181"/>
      <c r="U324" s="181"/>
      <c r="V324" s="37"/>
      <c r="W324" s="181" t="e">
        <f>IF(I327&gt;0,IF(S324&gt;L324,"READY STOCK",IF(S324=0,"OUT OF STOCK",IF(S324&lt;L324,"LOW STOCK",""))),"")</f>
        <v>#VALUE!</v>
      </c>
      <c r="X324" s="38"/>
      <c r="Y324" s="38"/>
      <c r="Z324" s="38"/>
      <c r="AA324" s="38"/>
      <c r="AB324" s="50">
        <v>46248</v>
      </c>
      <c r="AC324" s="181">
        <v>33668</v>
      </c>
      <c r="AD324" s="51">
        <v>3</v>
      </c>
      <c r="AE324" s="37" t="s">
        <v>387</v>
      </c>
      <c r="AF324" s="37" t="s">
        <v>381</v>
      </c>
      <c r="AG324" s="33" t="str">
        <f>IF(G324&gt;0,IF(AD324&gt;0,IF(AD324=0,"Waiting",IF(AD324&lt;L324,"Partial",IF(AD324=L324,"Full Supply",IF(AD324&gt;L324,"Over Shared")))),"Waiting"),"")</f>
        <v>Full Supply</v>
      </c>
      <c r="AH324" s="37"/>
      <c r="AI324" s="37"/>
      <c r="AJ324" s="181"/>
      <c r="AK324" s="40"/>
      <c r="AL324" s="40"/>
      <c r="AM324" s="40"/>
      <c r="AN324" s="37"/>
      <c r="AO324" s="34"/>
      <c r="AP324" s="37"/>
      <c r="AQ324" s="37"/>
      <c r="AR324" s="37"/>
      <c r="AS324" s="37"/>
      <c r="AT324" s="37">
        <f>AS324-AD324</f>
        <v>-3</v>
      </c>
      <c r="AU324" s="36" t="str">
        <f>IF(AR324=0,"Waiting",IF(AR324&lt;AH324,"Kurang",IF(AR324=AH324,"Sesuai",IF(AR324&gt;AH324,"Over Shared"))))</f>
        <v>Waiting</v>
      </c>
      <c r="AV324" s="37"/>
      <c r="AW324" s="37" t="str">
        <f>IFERROR(DATEDIF(AH324,AK324,"d"),"0")&amp;"-DAY"</f>
        <v>0-DAY</v>
      </c>
      <c r="AX324" s="37" t="str">
        <f>IFERROR(DATEDIF(B324,AB324,"d"),"0")&amp;"-DAY"</f>
        <v>4-DAY</v>
      </c>
      <c r="AY324" s="37"/>
      <c r="AZ324" s="181">
        <f>L324-AD324</f>
        <v>0</v>
      </c>
    </row>
    <row r="325" spans="1:52" ht="15.5" customHeight="1">
      <c r="A325" s="360" t="s">
        <v>372</v>
      </c>
      <c r="B325" s="340">
        <v>46244</v>
      </c>
      <c r="C325" s="181">
        <v>49299</v>
      </c>
      <c r="D325" s="30">
        <v>46244</v>
      </c>
      <c r="E325" s="30">
        <v>46239</v>
      </c>
      <c r="F325" s="30">
        <v>46247</v>
      </c>
      <c r="G325" s="37">
        <v>4420230802</v>
      </c>
      <c r="H325" s="37" t="s">
        <v>373</v>
      </c>
      <c r="I325" s="37">
        <v>9040052401</v>
      </c>
      <c r="J325" s="37" t="s">
        <v>252</v>
      </c>
      <c r="K325" s="325" t="s">
        <v>253</v>
      </c>
      <c r="L325" s="181">
        <v>5</v>
      </c>
      <c r="M325" s="181" t="s">
        <v>375</v>
      </c>
      <c r="N325" s="37" t="s">
        <v>432</v>
      </c>
      <c r="O325" s="31">
        <f>IF(F325&gt;0,F325-AB325,"")</f>
        <v>0</v>
      </c>
      <c r="P325" s="37" t="str">
        <f>IF(F325&gt;0,IF(AB325="","PLANNING SUPPLY",IF(AB325&lt;=F325,"ONTIME DELIVERY","DELAY")),"")</f>
        <v>ONTIME DELIVERY</v>
      </c>
      <c r="Q325" s="181" t="str">
        <f>IFERROR(IF(J325&gt;0,VLOOKUP(J325,#REF!,MATCH($Q$6,#REF!,0),0),""),"")</f>
        <v/>
      </c>
      <c r="R325" s="181" t="str">
        <f>IFERROR(IF(J325&gt;0,VLOOKUP(J325,#REF!,MATCH($R$6,#REF!,0),0),""),"")</f>
        <v/>
      </c>
      <c r="S325" s="181" t="e">
        <f>IF(I328&gt;0,Q325+R325,"")</f>
        <v>#VALUE!</v>
      </c>
      <c r="T325" s="181"/>
      <c r="U325" s="181"/>
      <c r="V325" s="37"/>
      <c r="W325" s="181" t="e">
        <f>IF(I328&gt;0,IF(S325&gt;L325,"READY STOCK",IF(S325=0,"OUT OF STOCK",IF(S325&lt;L325,"LOW STOCK",""))),"")</f>
        <v>#VALUE!</v>
      </c>
      <c r="X325" s="38"/>
      <c r="Y325" s="38"/>
      <c r="Z325" s="38"/>
      <c r="AA325" s="38"/>
      <c r="AB325" s="50">
        <v>46247</v>
      </c>
      <c r="AC325" s="181">
        <v>33624</v>
      </c>
      <c r="AD325" s="51">
        <v>5</v>
      </c>
      <c r="AE325" s="37" t="s">
        <v>387</v>
      </c>
      <c r="AF325" s="37" t="s">
        <v>381</v>
      </c>
      <c r="AG325" s="33" t="str">
        <f>IF(G325&gt;0,IF(AD325&gt;0,IF(AD325=0,"Waiting",IF(AD325&lt;L325,"Partial",IF(AD325=L325,"Full Supply",IF(AD325&gt;L325,"Over Shared")))),"Waiting"),"")</f>
        <v>Full Supply</v>
      </c>
      <c r="AH325" s="37"/>
      <c r="AI325" s="37"/>
      <c r="AJ325" s="181"/>
      <c r="AK325" s="40"/>
      <c r="AL325" s="40"/>
      <c r="AM325" s="40"/>
      <c r="AN325" s="37"/>
      <c r="AO325" s="34"/>
      <c r="AP325" s="37"/>
      <c r="AQ325" s="37"/>
      <c r="AR325" s="37"/>
      <c r="AS325" s="37"/>
      <c r="AT325" s="37">
        <f>AS325-AD325</f>
        <v>-5</v>
      </c>
      <c r="AU325" s="36" t="str">
        <f>IF(AR325=0,"Waiting",IF(AR325&lt;AH325,"Kurang",IF(AR325=AH325,"Sesuai",IF(AR325&gt;AH325,"Over Shared"))))</f>
        <v>Waiting</v>
      </c>
      <c r="AV325" s="37"/>
      <c r="AW325" s="37" t="str">
        <f>IFERROR(DATEDIF(AH325,AK325,"d"),"0")&amp;"-DAY"</f>
        <v>0-DAY</v>
      </c>
      <c r="AX325" s="37" t="str">
        <f>IFERROR(DATEDIF(B325,AB325,"d"),"0")&amp;"-DAY"</f>
        <v>3-DAY</v>
      </c>
      <c r="AY325" s="37"/>
      <c r="AZ325" s="181">
        <f>L325-AD325</f>
        <v>0</v>
      </c>
    </row>
    <row r="326" spans="1:52" ht="15.5" customHeight="1">
      <c r="A326" s="360" t="s">
        <v>372</v>
      </c>
      <c r="B326" s="340">
        <v>46244</v>
      </c>
      <c r="C326" s="181">
        <v>49300</v>
      </c>
      <c r="D326" s="30">
        <v>46244</v>
      </c>
      <c r="E326" s="30">
        <v>46239</v>
      </c>
      <c r="F326" s="30">
        <v>46247</v>
      </c>
      <c r="G326" s="37">
        <v>4420230807</v>
      </c>
      <c r="H326" s="37" t="s">
        <v>373</v>
      </c>
      <c r="I326" s="37">
        <v>9040028877</v>
      </c>
      <c r="J326" s="37" t="s">
        <v>199</v>
      </c>
      <c r="K326" s="325" t="s">
        <v>200</v>
      </c>
      <c r="L326" s="181">
        <v>11</v>
      </c>
      <c r="M326" s="181" t="s">
        <v>375</v>
      </c>
      <c r="N326" s="37" t="s">
        <v>680</v>
      </c>
      <c r="O326" s="31">
        <f>IF(F326&gt;0,F326-AB326,"")</f>
        <v>0</v>
      </c>
      <c r="P326" s="37" t="str">
        <f>IF(F326&gt;0,IF(AB326="","PLANNING SUPPLY",IF(AB326&lt;=F326,"ONTIME DELIVERY","DELAY")),"")</f>
        <v>ONTIME DELIVERY</v>
      </c>
      <c r="Q326" s="181" t="str">
        <f>IFERROR(IF(J326&gt;0,VLOOKUP(J326,#REF!,MATCH($Q$6,#REF!,0),0),""),"")</f>
        <v/>
      </c>
      <c r="R326" s="181" t="str">
        <f>IFERROR(IF(J326&gt;0,VLOOKUP(J326,#REF!,MATCH($R$6,#REF!,0),0),""),"")</f>
        <v/>
      </c>
      <c r="S326" s="181" t="e">
        <f>IF(I329&gt;0,Q326+R326,"")</f>
        <v>#VALUE!</v>
      </c>
      <c r="T326" s="181"/>
      <c r="U326" s="181"/>
      <c r="V326" s="37"/>
      <c r="W326" s="181" t="e">
        <f>IF(I329&gt;0,IF(S326&gt;L326,"READY STOCK",IF(S326=0,"OUT OF STOCK",IF(S326&lt;L326,"LOW STOCK",""))),"")</f>
        <v>#VALUE!</v>
      </c>
      <c r="X326" s="38"/>
      <c r="Y326" s="38"/>
      <c r="Z326" s="38"/>
      <c r="AA326" s="38"/>
      <c r="AB326" s="50">
        <v>46247</v>
      </c>
      <c r="AC326" s="181">
        <v>33630</v>
      </c>
      <c r="AD326" s="51">
        <v>11</v>
      </c>
      <c r="AE326" s="37" t="s">
        <v>387</v>
      </c>
      <c r="AF326" s="37" t="s">
        <v>381</v>
      </c>
      <c r="AG326" s="33" t="str">
        <f>IF(G326&gt;0,IF(AD326&gt;0,IF(AD326=0,"Waiting",IF(AD326&lt;L326,"Partial",IF(AD326=L326,"Full Supply",IF(AD326&gt;L326,"Over Shared")))),"Waiting"),"")</f>
        <v>Full Supply</v>
      </c>
      <c r="AH326" s="37"/>
      <c r="AI326" s="37"/>
      <c r="AJ326" s="181"/>
      <c r="AK326" s="40"/>
      <c r="AL326" s="40"/>
      <c r="AM326" s="40"/>
      <c r="AN326" s="37"/>
      <c r="AO326" s="34"/>
      <c r="AP326" s="37"/>
      <c r="AQ326" s="37"/>
      <c r="AR326" s="37"/>
      <c r="AS326" s="37"/>
      <c r="AT326" s="37">
        <f>AS326-AD326</f>
        <v>-11</v>
      </c>
      <c r="AU326" s="36" t="str">
        <f>IF(AR326=0,"Waiting",IF(AR326&lt;AH326,"Kurang",IF(AR326=AH326,"Sesuai",IF(AR326&gt;AH326,"Over Shared"))))</f>
        <v>Waiting</v>
      </c>
      <c r="AV326" s="37"/>
      <c r="AW326" s="37" t="str">
        <f>IFERROR(DATEDIF(AH326,AK326,"d"),"0")&amp;"-DAY"</f>
        <v>0-DAY</v>
      </c>
      <c r="AX326" s="37" t="str">
        <f>IFERROR(DATEDIF(B326,AB326,"d"),"0")&amp;"-DAY"</f>
        <v>3-DAY</v>
      </c>
      <c r="AY326" s="37"/>
      <c r="AZ326" s="181">
        <f>L326-AD326</f>
        <v>0</v>
      </c>
    </row>
    <row r="327" spans="1:52" ht="15.5" customHeight="1">
      <c r="A327" s="360" t="s">
        <v>372</v>
      </c>
      <c r="B327" s="340">
        <v>46244</v>
      </c>
      <c r="C327" s="181">
        <v>49300</v>
      </c>
      <c r="D327" s="30">
        <v>46244</v>
      </c>
      <c r="E327" s="30">
        <v>46239</v>
      </c>
      <c r="F327" s="30">
        <v>46247</v>
      </c>
      <c r="G327" s="37">
        <v>4420230807</v>
      </c>
      <c r="H327" s="37" t="s">
        <v>373</v>
      </c>
      <c r="I327" s="37">
        <v>9040040588</v>
      </c>
      <c r="J327" s="37" t="s">
        <v>76</v>
      </c>
      <c r="K327" s="325" t="s">
        <v>77</v>
      </c>
      <c r="L327" s="181">
        <v>9</v>
      </c>
      <c r="M327" s="181" t="s">
        <v>375</v>
      </c>
      <c r="N327" s="37" t="s">
        <v>680</v>
      </c>
      <c r="O327" s="31">
        <f>IF(F327&gt;0,F327-AB327,"")</f>
        <v>-1</v>
      </c>
      <c r="P327" s="37" t="str">
        <f>IF(F327&gt;0,IF(AB327="","PLANNING SUPPLY",IF(AB327&lt;=F327,"ONTIME DELIVERY","DELAY")),"")</f>
        <v>DELAY</v>
      </c>
      <c r="Q327" s="181" t="str">
        <f>IFERROR(IF(J327&gt;0,VLOOKUP(J327,#REF!,MATCH($Q$6,#REF!,0),0),""),"")</f>
        <v/>
      </c>
      <c r="R327" s="181" t="str">
        <f>IFERROR(IF(J327&gt;0,VLOOKUP(J327,#REF!,MATCH($R$6,#REF!,0),0),""),"")</f>
        <v/>
      </c>
      <c r="S327" s="181" t="e">
        <f>IF(I330&gt;0,Q327+R327,"")</f>
        <v>#VALUE!</v>
      </c>
      <c r="T327" s="181"/>
      <c r="U327" s="181"/>
      <c r="V327" s="37"/>
      <c r="W327" s="181" t="e">
        <f>IF(I330&gt;0,IF(S327&gt;L327,"READY STOCK",IF(S327=0,"OUT OF STOCK",IF(S327&lt;L327,"LOW STOCK",""))),"")</f>
        <v>#VALUE!</v>
      </c>
      <c r="X327" s="38"/>
      <c r="Y327" s="38"/>
      <c r="Z327" s="38"/>
      <c r="AA327" s="38"/>
      <c r="AB327" s="50">
        <v>46248</v>
      </c>
      <c r="AC327" s="181">
        <v>33665</v>
      </c>
      <c r="AD327" s="51">
        <v>9</v>
      </c>
      <c r="AE327" s="37" t="s">
        <v>387</v>
      </c>
      <c r="AF327" s="37" t="s">
        <v>381</v>
      </c>
      <c r="AG327" s="33" t="str">
        <f>IF(G327&gt;0,IF(AD327&gt;0,IF(AD327=0,"Waiting",IF(AD327&lt;L327,"Partial",IF(AD327=L327,"Full Supply",IF(AD327&gt;L327,"Over Shared")))),"Waiting"),"")</f>
        <v>Full Supply</v>
      </c>
      <c r="AH327" s="56">
        <v>46247</v>
      </c>
      <c r="AI327" s="37" t="s">
        <v>646</v>
      </c>
      <c r="AJ327" s="181">
        <v>201</v>
      </c>
      <c r="AK327" s="40">
        <v>26391</v>
      </c>
      <c r="AL327" s="42">
        <v>46287</v>
      </c>
      <c r="AM327" s="40">
        <v>201</v>
      </c>
      <c r="AN327" s="37"/>
      <c r="AO327" s="41">
        <v>46295</v>
      </c>
      <c r="AP327" s="37"/>
      <c r="AQ327" s="37"/>
      <c r="AR327" s="37"/>
      <c r="AS327" s="37"/>
      <c r="AT327" s="37">
        <f>AS327-AD327</f>
        <v>-9</v>
      </c>
      <c r="AU327" s="36" t="str">
        <f>IF(AR327=0,"Waiting",IF(AR327&lt;AH327,"Kurang",IF(AR327=AH327,"Sesuai",IF(AR327&gt;AH327,"Over Shared"))))</f>
        <v>Waiting</v>
      </c>
      <c r="AV327" s="37">
        <v>54609</v>
      </c>
      <c r="AW327" s="37" t="str">
        <f>IFERROR(DATEDIF(AH327,AK327,"d"),"0")&amp;"-DAY"</f>
        <v>0-DAY</v>
      </c>
      <c r="AX327" s="37" t="str">
        <f>IFERROR(DATEDIF(B327,AB327,"d"),"0")&amp;"-DAY"</f>
        <v>4-DAY</v>
      </c>
      <c r="AY327" s="37"/>
      <c r="AZ327" s="181">
        <f>L327-AD327</f>
        <v>0</v>
      </c>
    </row>
    <row r="328" spans="1:52" ht="15.5" customHeight="1">
      <c r="A328" s="360" t="s">
        <v>372</v>
      </c>
      <c r="B328" s="340">
        <v>46244</v>
      </c>
      <c r="C328" s="181">
        <v>49300</v>
      </c>
      <c r="D328" s="30">
        <v>46244</v>
      </c>
      <c r="E328" s="30">
        <v>46239</v>
      </c>
      <c r="F328" s="30">
        <v>46247</v>
      </c>
      <c r="G328" s="37">
        <v>4420230807</v>
      </c>
      <c r="H328" s="37" t="s">
        <v>373</v>
      </c>
      <c r="I328" s="37">
        <v>9040044191</v>
      </c>
      <c r="J328" s="37" t="s">
        <v>187</v>
      </c>
      <c r="K328" s="325" t="s">
        <v>188</v>
      </c>
      <c r="L328" s="181">
        <v>5</v>
      </c>
      <c r="M328" s="181" t="s">
        <v>375</v>
      </c>
      <c r="N328" s="37" t="s">
        <v>680</v>
      </c>
      <c r="O328" s="31">
        <f>IF(F328&gt;0,F328-AB328,"")</f>
        <v>1</v>
      </c>
      <c r="P328" s="37" t="str">
        <f>IF(F328&gt;0,IF(AB328="","PLANNING SUPPLY",IF(AB328&lt;=F328,"ONTIME DELIVERY","DELAY")),"")</f>
        <v>ONTIME DELIVERY</v>
      </c>
      <c r="Q328" s="181" t="str">
        <f>IFERROR(IF(J328&gt;0,VLOOKUP(J328,#REF!,MATCH($Q$6,#REF!,0),0),""),"")</f>
        <v/>
      </c>
      <c r="R328" s="181" t="str">
        <f>IFERROR(IF(J328&gt;0,VLOOKUP(J328,#REF!,MATCH($R$6,#REF!,0),0),""),"")</f>
        <v/>
      </c>
      <c r="S328" s="181" t="e">
        <f>IF(I331&gt;0,Q328+R328,"")</f>
        <v>#VALUE!</v>
      </c>
      <c r="T328" s="181"/>
      <c r="U328" s="181"/>
      <c r="V328" s="37"/>
      <c r="W328" s="181" t="e">
        <f>IF(I331&gt;0,IF(S328&gt;L328,"READY STOCK",IF(S328=0,"OUT OF STOCK",IF(S328&lt;L328,"LOW STOCK",""))),"")</f>
        <v>#VALUE!</v>
      </c>
      <c r="X328" s="38"/>
      <c r="Y328" s="38"/>
      <c r="Z328" s="38"/>
      <c r="AA328" s="38"/>
      <c r="AB328" s="50">
        <v>46246</v>
      </c>
      <c r="AC328" s="181">
        <v>33606</v>
      </c>
      <c r="AD328" s="51">
        <v>5</v>
      </c>
      <c r="AE328" s="37" t="s">
        <v>387</v>
      </c>
      <c r="AF328" s="37" t="s">
        <v>381</v>
      </c>
      <c r="AG328" s="33" t="str">
        <f>IF(G328&gt;0,IF(AD328&gt;0,IF(AD328=0,"Waiting",IF(AD328&lt;L328,"Partial",IF(AD328=L328,"Full Supply",IF(AD328&gt;L328,"Over Shared")))),"Waiting"),"")</f>
        <v>Full Supply</v>
      </c>
      <c r="AH328" s="37"/>
      <c r="AI328" s="37"/>
      <c r="AJ328" s="181"/>
      <c r="AK328" s="40"/>
      <c r="AL328" s="40"/>
      <c r="AM328" s="40"/>
      <c r="AN328" s="37"/>
      <c r="AO328" s="34"/>
      <c r="AP328" s="37"/>
      <c r="AQ328" s="37"/>
      <c r="AR328" s="37"/>
      <c r="AS328" s="37"/>
      <c r="AT328" s="37">
        <f>AS328-AD328</f>
        <v>-5</v>
      </c>
      <c r="AU328" s="36" t="str">
        <f>IF(AR328=0,"Waiting",IF(AR328&lt;AH328,"Kurang",IF(AR328=AH328,"Sesuai",IF(AR328&gt;AH328,"Over Shared"))))</f>
        <v>Waiting</v>
      </c>
      <c r="AV328" s="37">
        <v>54609</v>
      </c>
      <c r="AW328" s="37" t="str">
        <f>IFERROR(DATEDIF(AH328,AK328,"d"),"0")&amp;"-DAY"</f>
        <v>0-DAY</v>
      </c>
      <c r="AX328" s="37" t="str">
        <f>IFERROR(DATEDIF(B328,AB328,"d"),"0")&amp;"-DAY"</f>
        <v>2-DAY</v>
      </c>
      <c r="AY328" s="37"/>
      <c r="AZ328" s="181">
        <f>L328-AD328</f>
        <v>0</v>
      </c>
    </row>
    <row r="329" spans="1:52" ht="15.5" customHeight="1">
      <c r="A329" s="360" t="s">
        <v>372</v>
      </c>
      <c r="B329" s="340">
        <v>46244</v>
      </c>
      <c r="C329" s="181">
        <v>49301</v>
      </c>
      <c r="D329" s="30">
        <v>46244</v>
      </c>
      <c r="E329" s="30">
        <v>46240</v>
      </c>
      <c r="F329" s="30">
        <v>46246</v>
      </c>
      <c r="G329" s="37">
        <v>4420230871</v>
      </c>
      <c r="H329" s="37" t="s">
        <v>373</v>
      </c>
      <c r="I329" s="37">
        <v>9040016581</v>
      </c>
      <c r="J329" s="37" t="s">
        <v>185</v>
      </c>
      <c r="K329" s="325" t="s">
        <v>186</v>
      </c>
      <c r="L329" s="181">
        <v>4</v>
      </c>
      <c r="M329" s="181" t="s">
        <v>375</v>
      </c>
      <c r="N329" s="37" t="s">
        <v>384</v>
      </c>
      <c r="O329" s="31">
        <f>IF(F329&gt;0,F329-AB329,"")</f>
        <v>-2</v>
      </c>
      <c r="P329" s="37" t="str">
        <f>IF(F329&gt;0,IF(AB329="","PLANNING SUPPLY",IF(AB329&lt;=F329,"ONTIME DELIVERY","DELAY")),"")</f>
        <v>DELAY</v>
      </c>
      <c r="Q329" s="181" t="str">
        <f>IFERROR(IF(J329&gt;0,VLOOKUP(J329,#REF!,MATCH($Q$6,#REF!,0),0),""),"")</f>
        <v/>
      </c>
      <c r="R329" s="181" t="str">
        <f>IFERROR(IF(J329&gt;0,VLOOKUP(J329,#REF!,MATCH($R$6,#REF!,0),0),""),"")</f>
        <v/>
      </c>
      <c r="S329" s="181" t="e">
        <f>IF(I332&gt;0,Q329+R329,"")</f>
        <v>#VALUE!</v>
      </c>
      <c r="T329" s="181"/>
      <c r="U329" s="181"/>
      <c r="V329" s="37"/>
      <c r="W329" s="181" t="e">
        <f>IF(I332&gt;0,IF(S329&gt;L329,"READY STOCK",IF(S329=0,"OUT OF STOCK",IF(S329&lt;L329,"LOW STOCK",""))),"")</f>
        <v>#VALUE!</v>
      </c>
      <c r="X329" s="38"/>
      <c r="Y329" s="38"/>
      <c r="Z329" s="38"/>
      <c r="AA329" s="38"/>
      <c r="AB329" s="50">
        <v>46248</v>
      </c>
      <c r="AC329" s="181">
        <v>33679</v>
      </c>
      <c r="AD329" s="51">
        <v>4</v>
      </c>
      <c r="AE329" s="37" t="s">
        <v>387</v>
      </c>
      <c r="AF329" s="37" t="s">
        <v>381</v>
      </c>
      <c r="AG329" s="33" t="str">
        <f>IF(G329&gt;0,IF(AD329&gt;0,IF(AD329=0,"Waiting",IF(AD329&lt;L329,"Partial",IF(AD329=L329,"Full Supply",IF(AD329&gt;L329,"Over Shared")))),"Waiting"),"")</f>
        <v>Full Supply</v>
      </c>
      <c r="AH329" s="37"/>
      <c r="AI329" s="37"/>
      <c r="AJ329" s="181"/>
      <c r="AK329" s="40"/>
      <c r="AL329" s="40"/>
      <c r="AM329" s="40"/>
      <c r="AN329" s="37"/>
      <c r="AO329" s="34"/>
      <c r="AP329" s="37"/>
      <c r="AQ329" s="37"/>
      <c r="AR329" s="37"/>
      <c r="AS329" s="37"/>
      <c r="AT329" s="37">
        <f>AS329-AD329</f>
        <v>-4</v>
      </c>
      <c r="AU329" s="36" t="str">
        <f>IF(AR329=0,"Waiting",IF(AR329&lt;AH329,"Kurang",IF(AR329=AH329,"Sesuai",IF(AR329&gt;AH329,"Over Shared"))))</f>
        <v>Waiting</v>
      </c>
      <c r="AV329" s="37"/>
      <c r="AW329" s="37" t="str">
        <f>IFERROR(DATEDIF(AH329,AK329,"d"),"0")&amp;"-DAY"</f>
        <v>0-DAY</v>
      </c>
      <c r="AX329" s="37" t="str">
        <f>IFERROR(DATEDIF(B329,AB329,"d"),"0")&amp;"-DAY"</f>
        <v>4-DAY</v>
      </c>
      <c r="AY329" s="37"/>
      <c r="AZ329" s="181">
        <f>L329-AD329</f>
        <v>0</v>
      </c>
    </row>
    <row r="330" spans="1:52" ht="15.5" customHeight="1">
      <c r="A330" s="360" t="s">
        <v>372</v>
      </c>
      <c r="B330" s="340">
        <v>46244</v>
      </c>
      <c r="C330" s="181">
        <v>49301</v>
      </c>
      <c r="D330" s="30">
        <v>46244</v>
      </c>
      <c r="E330" s="30">
        <v>46240</v>
      </c>
      <c r="F330" s="30">
        <v>46246</v>
      </c>
      <c r="G330" s="37">
        <v>4420230871</v>
      </c>
      <c r="H330" s="37" t="s">
        <v>373</v>
      </c>
      <c r="I330" s="37">
        <v>9040015386</v>
      </c>
      <c r="J330" s="37" t="s">
        <v>122</v>
      </c>
      <c r="K330" s="325" t="s">
        <v>319</v>
      </c>
      <c r="L330" s="181">
        <v>3</v>
      </c>
      <c r="M330" s="181" t="s">
        <v>375</v>
      </c>
      <c r="N330" s="37" t="s">
        <v>384</v>
      </c>
      <c r="O330" s="31">
        <f>IF(F330&gt;0,F330-AB330,"")</f>
        <v>-12</v>
      </c>
      <c r="P330" s="37" t="str">
        <f>IF(F330&gt;0,IF(AB330="","PLANNING SUPPLY",IF(AB330&lt;=F330,"ONTIME DELIVERY","DELAY")),"")</f>
        <v>DELAY</v>
      </c>
      <c r="Q330" s="181" t="str">
        <f>IFERROR(IF(J330&gt;0,VLOOKUP(J330,#REF!,MATCH($Q$6,#REF!,0),0),""),"")</f>
        <v/>
      </c>
      <c r="R330" s="181" t="str">
        <f>IFERROR(IF(J330&gt;0,VLOOKUP(J330,#REF!,MATCH($R$6,#REF!,0),0),""),"")</f>
        <v/>
      </c>
      <c r="S330" s="181" t="e">
        <f>IF(I333&gt;0,Q330+R330,"")</f>
        <v>#VALUE!</v>
      </c>
      <c r="T330" s="181"/>
      <c r="U330" s="181"/>
      <c r="V330" s="37"/>
      <c r="W330" s="181" t="e">
        <f>IF(I333&gt;0,IF(S330&gt;L330,"READY STOCK",IF(S330=0,"OUT OF STOCK",IF(S330&lt;L330,"LOW STOCK",""))),"")</f>
        <v>#VALUE!</v>
      </c>
      <c r="X330" s="38"/>
      <c r="Y330" s="38"/>
      <c r="Z330" s="38"/>
      <c r="AA330" s="38"/>
      <c r="AB330" s="50">
        <v>46258</v>
      </c>
      <c r="AC330" s="181">
        <v>33803</v>
      </c>
      <c r="AD330" s="51">
        <v>3</v>
      </c>
      <c r="AE330" s="37" t="s">
        <v>383</v>
      </c>
      <c r="AF330" s="37" t="s">
        <v>381</v>
      </c>
      <c r="AG330" s="33" t="str">
        <f>IF(G330&gt;0,IF(AD330&gt;0,IF(AD330=0,"Waiting",IF(AD330&lt;L330,"Partial",IF(AD330=L330,"Full Supply",IF(AD330&gt;L330,"Over Shared")))),"Waiting"),"")</f>
        <v>Full Supply</v>
      </c>
      <c r="AH330" s="37"/>
      <c r="AI330" s="37"/>
      <c r="AJ330" s="181"/>
      <c r="AK330" s="40"/>
      <c r="AL330" s="40"/>
      <c r="AM330" s="40"/>
      <c r="AN330" s="37"/>
      <c r="AO330" s="34"/>
      <c r="AP330" s="37"/>
      <c r="AQ330" s="37"/>
      <c r="AR330" s="37"/>
      <c r="AS330" s="37"/>
      <c r="AT330" s="37">
        <f>AS330-AD330</f>
        <v>-3</v>
      </c>
      <c r="AU330" s="36" t="str">
        <f>IF(AR330=0,"Waiting",IF(AR330&lt;AH330,"Kurang",IF(AR330=AH330,"Sesuai",IF(AR330&gt;AH330,"Over Shared"))))</f>
        <v>Waiting</v>
      </c>
      <c r="AV330" s="37"/>
      <c r="AW330" s="37" t="str">
        <f>IFERROR(DATEDIF(AH330,AK330,"d"),"0")&amp;"-DAY"</f>
        <v>0-DAY</v>
      </c>
      <c r="AX330" s="37" t="str">
        <f>IFERROR(DATEDIF(B330,AB330,"d"),"0")&amp;"-DAY"</f>
        <v>14-DAY</v>
      </c>
      <c r="AY330" s="37"/>
      <c r="AZ330" s="181">
        <f>L330-AD330</f>
        <v>0</v>
      </c>
    </row>
    <row r="331" spans="1:52" ht="15.5" customHeight="1">
      <c r="A331" s="360" t="s">
        <v>372</v>
      </c>
      <c r="B331" s="340">
        <v>46244</v>
      </c>
      <c r="C331" s="181">
        <v>49301</v>
      </c>
      <c r="D331" s="30">
        <v>46244</v>
      </c>
      <c r="E331" s="30">
        <v>46240</v>
      </c>
      <c r="F331" s="30">
        <v>46246</v>
      </c>
      <c r="G331" s="37">
        <v>4420230871</v>
      </c>
      <c r="H331" s="37" t="s">
        <v>373</v>
      </c>
      <c r="I331" s="37">
        <v>9040001301</v>
      </c>
      <c r="J331" s="37" t="s">
        <v>33</v>
      </c>
      <c r="K331" s="325" t="s">
        <v>34</v>
      </c>
      <c r="L331" s="181">
        <v>3</v>
      </c>
      <c r="M331" s="181" t="s">
        <v>375</v>
      </c>
      <c r="N331" s="37" t="s">
        <v>384</v>
      </c>
      <c r="O331" s="31">
        <f>IF(F331&gt;0,F331-AB331,"")</f>
        <v>0</v>
      </c>
      <c r="P331" s="37" t="str">
        <f>IF(F331&gt;0,IF(AB331="","PLANNING SUPPLY",IF(AB331&lt;=F331,"ONTIME DELIVERY","DELAY")),"")</f>
        <v>ONTIME DELIVERY</v>
      </c>
      <c r="Q331" s="181" t="str">
        <f>IFERROR(IF(J331&gt;0,VLOOKUP(J331,#REF!,MATCH($Q$6,#REF!,0),0),""),"")</f>
        <v/>
      </c>
      <c r="R331" s="181" t="str">
        <f>IFERROR(IF(J331&gt;0,VLOOKUP(J331,#REF!,MATCH($R$6,#REF!,0),0),""),"")</f>
        <v/>
      </c>
      <c r="S331" s="181" t="e">
        <f>IF(I334&gt;0,Q331+R331,"")</f>
        <v>#VALUE!</v>
      </c>
      <c r="T331" s="181"/>
      <c r="U331" s="181"/>
      <c r="V331" s="37"/>
      <c r="W331" s="181" t="e">
        <f>IF(I334&gt;0,IF(S331&gt;L331,"READY STOCK",IF(S331=0,"OUT OF STOCK",IF(S331&lt;L331,"LOW STOCK",""))),"")</f>
        <v>#VALUE!</v>
      </c>
      <c r="X331" s="38"/>
      <c r="Y331" s="38"/>
      <c r="Z331" s="38"/>
      <c r="AA331" s="38"/>
      <c r="AB331" s="50">
        <v>46246</v>
      </c>
      <c r="AC331" s="181">
        <v>33575</v>
      </c>
      <c r="AD331" s="51">
        <v>3</v>
      </c>
      <c r="AE331" s="37" t="s">
        <v>387</v>
      </c>
      <c r="AF331" s="37" t="s">
        <v>381</v>
      </c>
      <c r="AG331" s="33" t="str">
        <f>IF(G331&gt;0,IF(AD331&gt;0,IF(AD331=0,"Waiting",IF(AD331&lt;L331,"Partial",IF(AD331=L331,"Full Supply",IF(AD331&gt;L331,"Over Shared")))),"Waiting"),"")</f>
        <v>Full Supply</v>
      </c>
      <c r="AH331" s="37"/>
      <c r="AI331" s="37"/>
      <c r="AJ331" s="181"/>
      <c r="AK331" s="40"/>
      <c r="AL331" s="40"/>
      <c r="AM331" s="40"/>
      <c r="AN331" s="37"/>
      <c r="AO331" s="34"/>
      <c r="AP331" s="37"/>
      <c r="AQ331" s="37"/>
      <c r="AR331" s="37"/>
      <c r="AS331" s="37"/>
      <c r="AT331" s="37">
        <f>AS331-AD331</f>
        <v>-3</v>
      </c>
      <c r="AU331" s="36" t="str">
        <f>IF(AR331=0,"Waiting",IF(AR331&lt;AH331,"Kurang",IF(AR331=AH331,"Sesuai",IF(AR331&gt;AH331,"Over Shared"))))</f>
        <v>Waiting</v>
      </c>
      <c r="AV331" s="37"/>
      <c r="AW331" s="37" t="str">
        <f>IFERROR(DATEDIF(AH331,AK331,"d"),"0")&amp;"-DAY"</f>
        <v>0-DAY</v>
      </c>
      <c r="AX331" s="37" t="str">
        <f>IFERROR(DATEDIF(B331,AB331,"d"),"0")&amp;"-DAY"</f>
        <v>2-DAY</v>
      </c>
      <c r="AY331" s="37"/>
      <c r="AZ331" s="181">
        <f>L331-AD331</f>
        <v>0</v>
      </c>
    </row>
    <row r="332" spans="1:52" ht="15.5" customHeight="1">
      <c r="A332" s="360" t="s">
        <v>372</v>
      </c>
      <c r="B332" s="340">
        <v>46244</v>
      </c>
      <c r="C332" s="181">
        <v>49301</v>
      </c>
      <c r="D332" s="30">
        <v>46244</v>
      </c>
      <c r="E332" s="30">
        <v>46240</v>
      </c>
      <c r="F332" s="30">
        <v>46246</v>
      </c>
      <c r="G332" s="37">
        <v>4420230871</v>
      </c>
      <c r="H332" s="37" t="s">
        <v>373</v>
      </c>
      <c r="I332" s="37">
        <v>9040009495</v>
      </c>
      <c r="J332" s="37" t="s">
        <v>320</v>
      </c>
      <c r="K332" s="325" t="s">
        <v>321</v>
      </c>
      <c r="L332" s="181">
        <v>7</v>
      </c>
      <c r="M332" s="181" t="s">
        <v>375</v>
      </c>
      <c r="N332" s="37" t="s">
        <v>384</v>
      </c>
      <c r="O332" s="31">
        <f>IF(F332&gt;0,F332-AB332,"")</f>
        <v>-54</v>
      </c>
      <c r="P332" s="37" t="str">
        <f>IF(F332&gt;0,IF(AB332="","PLANNING SUPPLY",IF(AB332&lt;=F332,"ONTIME DELIVERY","DELAY")),"")</f>
        <v>DELAY</v>
      </c>
      <c r="Q332" s="181" t="str">
        <f>IFERROR(IF(J332&gt;0,VLOOKUP(J332,#REF!,MATCH($Q$6,#REF!,0),0),""),"")</f>
        <v/>
      </c>
      <c r="R332" s="181" t="str">
        <f>IFERROR(IF(J332&gt;0,VLOOKUP(J332,#REF!,MATCH($R$6,#REF!,0),0),""),"")</f>
        <v/>
      </c>
      <c r="S332" s="181" t="e">
        <f>IF(I335&gt;0,Q332+R332,"")</f>
        <v>#VALUE!</v>
      </c>
      <c r="T332" s="181"/>
      <c r="U332" s="181"/>
      <c r="V332" s="37"/>
      <c r="W332" s="181" t="e">
        <f>IF(I335&gt;0,IF(S332&gt;L332,"READY STOCK",IF(S332=0,"OUT OF STOCK",IF(S332&lt;L332,"LOW STOCK",""))),"")</f>
        <v>#VALUE!</v>
      </c>
      <c r="X332" s="38"/>
      <c r="Y332" s="38"/>
      <c r="Z332" s="38"/>
      <c r="AA332" s="38"/>
      <c r="AB332" s="50">
        <v>46300</v>
      </c>
      <c r="AC332" s="44">
        <v>34713</v>
      </c>
      <c r="AD332" s="51">
        <v>7</v>
      </c>
      <c r="AE332" s="37" t="s">
        <v>387</v>
      </c>
      <c r="AF332" s="37" t="s">
        <v>381</v>
      </c>
      <c r="AG332" s="33" t="str">
        <f>IF(G332&gt;0,IF(AD332&gt;0,IF(AD332=0,"Waiting",IF(AD332&lt;L332,"Partial",IF(AD332=L332,"Full Supply",IF(AD332&gt;L332,"Over Shared")))),"Waiting"),"")</f>
        <v>Full Supply</v>
      </c>
      <c r="AH332" s="156"/>
      <c r="AI332" s="37"/>
      <c r="AJ332" s="181"/>
      <c r="AK332" s="40"/>
      <c r="AL332" s="40"/>
      <c r="AM332" s="40"/>
      <c r="AN332" s="216"/>
      <c r="AO332" s="34"/>
      <c r="AP332" s="37"/>
      <c r="AQ332" s="37"/>
      <c r="AR332" s="37"/>
      <c r="AS332" s="37"/>
      <c r="AT332" s="37">
        <f>AS332-AD332</f>
        <v>-7</v>
      </c>
      <c r="AU332" s="36" t="str">
        <f>IF(AR332=0,"Waiting",IF(AR332&lt;AH332,"Kurang",IF(AR332=AH332,"Sesuai",IF(AR332&gt;AH332,"Over Shared"))))</f>
        <v>Waiting</v>
      </c>
      <c r="AV332" s="37"/>
      <c r="AW332" s="37" t="str">
        <f>IFERROR(DATEDIF(AH332,AK332,"d"),"0")&amp;"-DAY"</f>
        <v>0-DAY</v>
      </c>
      <c r="AX332" s="37" t="str">
        <f>IFERROR(DATEDIF(B332,AB332,"d"),"0")&amp;"-DAY"</f>
        <v>56-DAY</v>
      </c>
      <c r="AY332" s="37"/>
      <c r="AZ332" s="181">
        <f>L332-AD332</f>
        <v>0</v>
      </c>
    </row>
    <row r="333" spans="1:52" ht="15.5" customHeight="1">
      <c r="A333" s="360" t="s">
        <v>372</v>
      </c>
      <c r="B333" s="340">
        <v>46244</v>
      </c>
      <c r="C333" s="181">
        <v>49301</v>
      </c>
      <c r="D333" s="30">
        <v>46244</v>
      </c>
      <c r="E333" s="30">
        <v>46240</v>
      </c>
      <c r="F333" s="30">
        <v>46246</v>
      </c>
      <c r="G333" s="37">
        <v>4420230871</v>
      </c>
      <c r="H333" s="37" t="s">
        <v>373</v>
      </c>
      <c r="I333" s="37">
        <v>9040026724</v>
      </c>
      <c r="J333" s="37" t="s">
        <v>104</v>
      </c>
      <c r="K333" s="325" t="s">
        <v>105</v>
      </c>
      <c r="L333" s="181">
        <v>11</v>
      </c>
      <c r="M333" s="181" t="s">
        <v>375</v>
      </c>
      <c r="N333" s="37" t="s">
        <v>384</v>
      </c>
      <c r="O333" s="31">
        <f>IF(F333&gt;0,F333-AB333,"")</f>
        <v>-35</v>
      </c>
      <c r="P333" s="37" t="str">
        <f>IF(F333&gt;0,IF(AB333="","PLANNING SUPPLY",IF(AB333&lt;=F333,"ONTIME DELIVERY","DELAY")),"")</f>
        <v>DELAY</v>
      </c>
      <c r="Q333" s="181" t="str">
        <f>IFERROR(IF(J333&gt;0,VLOOKUP(J333,#REF!,MATCH($Q$6,#REF!,0),0),""),"")</f>
        <v/>
      </c>
      <c r="R333" s="181" t="str">
        <f>IFERROR(IF(J333&gt;0,VLOOKUP(J333,#REF!,MATCH($R$6,#REF!,0),0),""),"")</f>
        <v/>
      </c>
      <c r="S333" s="181" t="e">
        <f>IF(I336&gt;0,Q333+R333,"")</f>
        <v>#VALUE!</v>
      </c>
      <c r="T333" s="181"/>
      <c r="U333" s="181"/>
      <c r="V333" s="37"/>
      <c r="W333" s="181" t="e">
        <f>IF(I336&gt;0,IF(S333&gt;L333,"READY STOCK",IF(S333=0,"OUT OF STOCK",IF(S333&lt;L333,"LOW STOCK",""))),"")</f>
        <v>#VALUE!</v>
      </c>
      <c r="X333" s="38"/>
      <c r="Y333" s="38"/>
      <c r="Z333" s="38"/>
      <c r="AA333" s="38"/>
      <c r="AB333" s="50">
        <v>46281</v>
      </c>
      <c r="AC333" s="181">
        <v>34277</v>
      </c>
      <c r="AD333" s="51">
        <v>11</v>
      </c>
      <c r="AE333" s="37" t="s">
        <v>383</v>
      </c>
      <c r="AF333" s="37" t="s">
        <v>381</v>
      </c>
      <c r="AG333" s="33" t="str">
        <f>IF(G333&gt;0,IF(AD333&gt;0,IF(AD333=0,"Waiting",IF(AD333&lt;L333,"Partial",IF(AD333=L333,"Full Supply",IF(AD333&gt;L333,"Over Shared")))),"Waiting"),"")</f>
        <v>Full Supply</v>
      </c>
      <c r="AH333" s="56">
        <v>46247</v>
      </c>
      <c r="AI333" s="37" t="s">
        <v>646</v>
      </c>
      <c r="AJ333" s="181">
        <v>11</v>
      </c>
      <c r="AK333" s="40">
        <v>26065</v>
      </c>
      <c r="AL333" s="45">
        <v>46255</v>
      </c>
      <c r="AM333" s="40">
        <v>11</v>
      </c>
      <c r="AN333" s="37"/>
      <c r="AO333" s="48">
        <v>46261</v>
      </c>
      <c r="AP333" s="37"/>
      <c r="AQ333" s="37"/>
      <c r="AR333" s="37"/>
      <c r="AS333" s="37"/>
      <c r="AT333" s="37">
        <f>AS333-AD333</f>
        <v>-11</v>
      </c>
      <c r="AU333" s="36" t="str">
        <f>IF(AR333=0,"Waiting",IF(AR333&lt;AH333,"Kurang",IF(AR333=AH333,"Sesuai",IF(AR333&gt;AH333,"Over Shared"))))</f>
        <v>Waiting</v>
      </c>
      <c r="AV333" s="37"/>
      <c r="AW333" s="37" t="str">
        <f>IFERROR(DATEDIF(AH333,AK333,"d"),"0")&amp;"-DAY"</f>
        <v>0-DAY</v>
      </c>
      <c r="AX333" s="37" t="str">
        <f>IFERROR(DATEDIF(B333,AB333,"d"),"0")&amp;"-DAY"</f>
        <v>37-DAY</v>
      </c>
      <c r="AY333" s="37"/>
      <c r="AZ333" s="181">
        <f>L333-AD333</f>
        <v>0</v>
      </c>
    </row>
    <row r="334" spans="1:52" ht="15.5" customHeight="1">
      <c r="A334" s="360" t="s">
        <v>372</v>
      </c>
      <c r="B334" s="340">
        <v>46244</v>
      </c>
      <c r="C334" s="181">
        <v>49301</v>
      </c>
      <c r="D334" s="30">
        <v>46244</v>
      </c>
      <c r="E334" s="30">
        <v>46240</v>
      </c>
      <c r="F334" s="30">
        <v>46246</v>
      </c>
      <c r="G334" s="37">
        <v>4420230871</v>
      </c>
      <c r="H334" s="37" t="s">
        <v>373</v>
      </c>
      <c r="I334" s="37">
        <v>9040052369</v>
      </c>
      <c r="J334" s="37" t="s">
        <v>199</v>
      </c>
      <c r="K334" s="325" t="s">
        <v>200</v>
      </c>
      <c r="L334" s="181">
        <v>151</v>
      </c>
      <c r="M334" s="181" t="s">
        <v>375</v>
      </c>
      <c r="N334" s="37" t="s">
        <v>384</v>
      </c>
      <c r="O334" s="31">
        <f>IF(F334&gt;0,F334-AB334,"")</f>
        <v>-35</v>
      </c>
      <c r="P334" s="37" t="str">
        <f>IF(F334&gt;0,IF(AB334="","PLANNING SUPPLY",IF(AB334&lt;=F334,"ONTIME DELIVERY","DELAY")),"")</f>
        <v>DELAY</v>
      </c>
      <c r="Q334" s="181" t="str">
        <f>IFERROR(IF(J334&gt;0,VLOOKUP(J334,#REF!,MATCH($Q$6,#REF!,0),0),""),"")</f>
        <v/>
      </c>
      <c r="R334" s="181" t="str">
        <f>IFERROR(IF(J334&gt;0,VLOOKUP(J334,#REF!,MATCH($R$6,#REF!,0),0),""),"")</f>
        <v/>
      </c>
      <c r="S334" s="181" t="e">
        <f>IF(I337&gt;0,Q334+R334,"")</f>
        <v>#VALUE!</v>
      </c>
      <c r="T334" s="181"/>
      <c r="U334" s="181"/>
      <c r="V334" s="37"/>
      <c r="W334" s="181" t="e">
        <f>IF(I337&gt;0,IF(S334&gt;L334,"READY STOCK",IF(S334=0,"OUT OF STOCK",IF(S334&lt;L334,"LOW STOCK",""))),"")</f>
        <v>#VALUE!</v>
      </c>
      <c r="X334" s="38"/>
      <c r="Y334" s="38"/>
      <c r="Z334" s="38"/>
      <c r="AA334" s="38"/>
      <c r="AB334" s="50">
        <v>46281</v>
      </c>
      <c r="AC334" s="181">
        <v>34277</v>
      </c>
      <c r="AD334" s="51">
        <v>151</v>
      </c>
      <c r="AE334" s="37" t="s">
        <v>383</v>
      </c>
      <c r="AF334" s="37" t="s">
        <v>381</v>
      </c>
      <c r="AG334" s="33" t="str">
        <f>IF(G334&gt;0,IF(AD334&gt;0,IF(AD334=0,"Waiting",IF(AD334&lt;L334,"Partial",IF(AD334=L334,"Full Supply",IF(AD334&gt;L334,"Over Shared")))),"Waiting"),"")</f>
        <v>Full Supply</v>
      </c>
      <c r="AH334" s="37"/>
      <c r="AI334" s="37"/>
      <c r="AJ334" s="181"/>
      <c r="AK334" s="40"/>
      <c r="AL334" s="40"/>
      <c r="AM334" s="40"/>
      <c r="AN334" s="37"/>
      <c r="AO334" s="34"/>
      <c r="AP334" s="37"/>
      <c r="AQ334" s="37"/>
      <c r="AR334" s="37"/>
      <c r="AS334" s="37"/>
      <c r="AT334" s="37">
        <f>AS334-AD334</f>
        <v>-151</v>
      </c>
      <c r="AU334" s="36" t="str">
        <f>IF(AR334=0,"Waiting",IF(AR334&lt;AH334,"Kurang",IF(AR334=AH334,"Sesuai",IF(AR334&gt;AH334,"Over Shared"))))</f>
        <v>Waiting</v>
      </c>
      <c r="AV334" s="37"/>
      <c r="AW334" s="37" t="str">
        <f>IFERROR(DATEDIF(AH334,AK334,"d"),"0")&amp;"-DAY"</f>
        <v>0-DAY</v>
      </c>
      <c r="AX334" s="37" t="str">
        <f>IFERROR(DATEDIF(B334,AB334,"d"),"0")&amp;"-DAY"</f>
        <v>37-DAY</v>
      </c>
      <c r="AY334" s="37"/>
      <c r="AZ334" s="181">
        <f>L334-AD334</f>
        <v>0</v>
      </c>
    </row>
    <row r="335" spans="1:52" ht="15.5" customHeight="1">
      <c r="A335" s="360" t="s">
        <v>372</v>
      </c>
      <c r="B335" s="340">
        <v>46244</v>
      </c>
      <c r="C335" s="181">
        <v>49302</v>
      </c>
      <c r="D335" s="30">
        <v>46244</v>
      </c>
      <c r="E335" s="30">
        <v>46236</v>
      </c>
      <c r="F335" s="30">
        <v>46254</v>
      </c>
      <c r="G335" s="37">
        <v>4420230586</v>
      </c>
      <c r="H335" s="37" t="s">
        <v>373</v>
      </c>
      <c r="I335" s="37">
        <v>9040040588</v>
      </c>
      <c r="J335" s="37" t="s">
        <v>76</v>
      </c>
      <c r="K335" s="325" t="s">
        <v>77</v>
      </c>
      <c r="L335" s="181">
        <v>10</v>
      </c>
      <c r="M335" s="181" t="s">
        <v>375</v>
      </c>
      <c r="N335" s="37" t="s">
        <v>434</v>
      </c>
      <c r="O335" s="31">
        <f>IF(F335&gt;0,F335-AB335,"")</f>
        <v>-4</v>
      </c>
      <c r="P335" s="37" t="str">
        <f>IF(F335&gt;0,IF(AB335="","PLANNING SUPPLY",IF(AB335&lt;=F335,"ONTIME DELIVERY","DELAY")),"")</f>
        <v>DELAY</v>
      </c>
      <c r="Q335" s="181" t="str">
        <f>IFERROR(IF(J335&gt;0,VLOOKUP(J335,#REF!,MATCH($Q$6,#REF!,0),0),""),"")</f>
        <v/>
      </c>
      <c r="R335" s="181" t="str">
        <f>IFERROR(IF(J335&gt;0,VLOOKUP(J335,#REF!,MATCH($R$6,#REF!,0),0),""),"")</f>
        <v/>
      </c>
      <c r="S335" s="181" t="e">
        <f>IF(I338&gt;0,Q335+R335,"")</f>
        <v>#VALUE!</v>
      </c>
      <c r="T335" s="181"/>
      <c r="U335" s="181"/>
      <c r="V335" s="37"/>
      <c r="W335" s="181" t="e">
        <f>IF(I338&gt;0,IF(S335&gt;L335,"READY STOCK",IF(S335=0,"OUT OF STOCK",IF(S335&lt;L335,"LOW STOCK",""))),"")</f>
        <v>#VALUE!</v>
      </c>
      <c r="X335" s="38"/>
      <c r="Y335" s="38"/>
      <c r="Z335" s="38"/>
      <c r="AA335" s="38"/>
      <c r="AB335" s="50">
        <v>46258</v>
      </c>
      <c r="AC335" s="181">
        <v>33804</v>
      </c>
      <c r="AD335" s="51">
        <v>10</v>
      </c>
      <c r="AE335" s="37" t="s">
        <v>383</v>
      </c>
      <c r="AF335" s="37" t="s">
        <v>381</v>
      </c>
      <c r="AG335" s="33" t="str">
        <f>IF(G335&gt;0,IF(AD335&gt;0,IF(AD335=0,"Waiting",IF(AD335&lt;L335,"Partial",IF(AD335=L335,"Full Supply",IF(AD335&gt;L335,"Over Shared")))),"Waiting"),"")</f>
        <v>Full Supply</v>
      </c>
      <c r="AH335" s="56">
        <v>46247</v>
      </c>
      <c r="AI335" s="37" t="s">
        <v>646</v>
      </c>
      <c r="AJ335" s="181">
        <v>201</v>
      </c>
      <c r="AK335" s="40">
        <v>26391</v>
      </c>
      <c r="AL335" s="42">
        <v>46287</v>
      </c>
      <c r="AM335" s="40">
        <v>201</v>
      </c>
      <c r="AN335" s="37"/>
      <c r="AO335" s="41">
        <v>46295</v>
      </c>
      <c r="AP335" s="37"/>
      <c r="AQ335" s="37"/>
      <c r="AR335" s="37"/>
      <c r="AS335" s="37"/>
      <c r="AT335" s="37">
        <f>AS335-AD335</f>
        <v>-10</v>
      </c>
      <c r="AU335" s="36" t="str">
        <f>IF(AR335=0,"Waiting",IF(AR335&lt;AH335,"Kurang",IF(AR335=AH335,"Sesuai",IF(AR335&gt;AH335,"Over Shared"))))</f>
        <v>Waiting</v>
      </c>
      <c r="AV335" s="37"/>
      <c r="AW335" s="37" t="str">
        <f>IFERROR(DATEDIF(AH335,AK335,"d"),"0")&amp;"-DAY"</f>
        <v>0-DAY</v>
      </c>
      <c r="AX335" s="37" t="str">
        <f>IFERROR(DATEDIF(B335,AB335,"d"),"0")&amp;"-DAY"</f>
        <v>14-DAY</v>
      </c>
      <c r="AY335" s="37"/>
      <c r="AZ335" s="181">
        <f>L335-AD335</f>
        <v>0</v>
      </c>
    </row>
    <row r="336" spans="1:52" ht="15.5" customHeight="1">
      <c r="A336" s="360" t="s">
        <v>372</v>
      </c>
      <c r="B336" s="340">
        <v>46244</v>
      </c>
      <c r="C336" s="181">
        <v>49302</v>
      </c>
      <c r="D336" s="30">
        <v>46244</v>
      </c>
      <c r="E336" s="30">
        <v>46236</v>
      </c>
      <c r="F336" s="30">
        <v>46254</v>
      </c>
      <c r="G336" s="37">
        <v>4420230586</v>
      </c>
      <c r="H336" s="37" t="s">
        <v>373</v>
      </c>
      <c r="I336" s="37">
        <v>9040044191</v>
      </c>
      <c r="J336" s="37" t="s">
        <v>187</v>
      </c>
      <c r="K336" s="325" t="s">
        <v>188</v>
      </c>
      <c r="L336" s="181">
        <v>4</v>
      </c>
      <c r="M336" s="181" t="s">
        <v>375</v>
      </c>
      <c r="N336" s="37" t="s">
        <v>434</v>
      </c>
      <c r="O336" s="31">
        <f>IF(F336&gt;0,F336-AB336,"")</f>
        <v>8</v>
      </c>
      <c r="P336" s="37" t="str">
        <f>IF(F336&gt;0,IF(AB336="","PLANNING SUPPLY",IF(AB336&lt;=F336,"ONTIME DELIVERY","DELAY")),"")</f>
        <v>ONTIME DELIVERY</v>
      </c>
      <c r="Q336" s="181" t="str">
        <f>IFERROR(IF(J336&gt;0,VLOOKUP(J336,#REF!,MATCH($Q$6,#REF!,0),0),""),"")</f>
        <v/>
      </c>
      <c r="R336" s="181" t="str">
        <f>IFERROR(IF(J336&gt;0,VLOOKUP(J336,#REF!,MATCH($R$6,#REF!,0),0),""),"")</f>
        <v/>
      </c>
      <c r="S336" s="181" t="e">
        <f>IF(I339&gt;0,Q336+R336,"")</f>
        <v>#VALUE!</v>
      </c>
      <c r="T336" s="181"/>
      <c r="U336" s="181"/>
      <c r="V336" s="37"/>
      <c r="W336" s="181" t="e">
        <f>IF(I339&gt;0,IF(S336&gt;L336,"READY STOCK",IF(S336=0,"OUT OF STOCK",IF(S336&lt;L336,"LOW STOCK",""))),"")</f>
        <v>#VALUE!</v>
      </c>
      <c r="X336" s="38"/>
      <c r="Y336" s="38"/>
      <c r="Z336" s="38"/>
      <c r="AA336" s="38"/>
      <c r="AB336" s="50">
        <v>46246</v>
      </c>
      <c r="AC336" s="181">
        <v>33582</v>
      </c>
      <c r="AD336" s="51">
        <v>4</v>
      </c>
      <c r="AE336" s="37" t="s">
        <v>387</v>
      </c>
      <c r="AF336" s="37" t="s">
        <v>381</v>
      </c>
      <c r="AG336" s="33" t="str">
        <f>IF(G336&gt;0,IF(AD336&gt;0,IF(AD336=0,"Waiting",IF(AD336&lt;L336,"Partial",IF(AD336=L336,"Full Supply",IF(AD336&gt;L336,"Over Shared")))),"Waiting"),"")</f>
        <v>Full Supply</v>
      </c>
      <c r="AH336" s="37"/>
      <c r="AI336" s="37"/>
      <c r="AJ336" s="181"/>
      <c r="AK336" s="40"/>
      <c r="AL336" s="40"/>
      <c r="AM336" s="40"/>
      <c r="AN336" s="37"/>
      <c r="AO336" s="34"/>
      <c r="AP336" s="37"/>
      <c r="AQ336" s="37"/>
      <c r="AR336" s="37"/>
      <c r="AS336" s="37"/>
      <c r="AT336" s="37">
        <f>AS336-AD336</f>
        <v>-4</v>
      </c>
      <c r="AU336" s="36" t="str">
        <f>IF(AR336=0,"Waiting",IF(AR336&lt;AH336,"Kurang",IF(AR336=AH336,"Sesuai",IF(AR336&gt;AH336,"Over Shared"))))</f>
        <v>Waiting</v>
      </c>
      <c r="AV336" s="37"/>
      <c r="AW336" s="37" t="str">
        <f>IFERROR(DATEDIF(AH336,AK336,"d"),"0")&amp;"-DAY"</f>
        <v>0-DAY</v>
      </c>
      <c r="AX336" s="37" t="str">
        <f>IFERROR(DATEDIF(B336,AB336,"d"),"0")&amp;"-DAY"</f>
        <v>2-DAY</v>
      </c>
      <c r="AY336" s="37"/>
      <c r="AZ336" s="181">
        <f>L336-AD336</f>
        <v>0</v>
      </c>
    </row>
    <row r="337" spans="1:52" ht="15.5" customHeight="1">
      <c r="A337" s="360" t="s">
        <v>372</v>
      </c>
      <c r="B337" s="340">
        <v>46244</v>
      </c>
      <c r="C337" s="181">
        <v>49302</v>
      </c>
      <c r="D337" s="30">
        <v>46244</v>
      </c>
      <c r="E337" s="30">
        <v>46236</v>
      </c>
      <c r="F337" s="30">
        <v>46254</v>
      </c>
      <c r="G337" s="37">
        <v>4420230586</v>
      </c>
      <c r="H337" s="37" t="s">
        <v>373</v>
      </c>
      <c r="I337" s="37">
        <v>9040044075</v>
      </c>
      <c r="J337" s="37" t="s">
        <v>223</v>
      </c>
      <c r="K337" s="325" t="s">
        <v>224</v>
      </c>
      <c r="L337" s="181">
        <v>3</v>
      </c>
      <c r="M337" s="181" t="s">
        <v>389</v>
      </c>
      <c r="N337" s="37" t="s">
        <v>434</v>
      </c>
      <c r="O337" s="31">
        <f>IF(F337&gt;0,F337-AB337,"")</f>
        <v>-34</v>
      </c>
      <c r="P337" s="37" t="str">
        <f>IF(F337&gt;0,IF(AB337="","PLANNING SUPPLY",IF(AB337&lt;=F337,"ONTIME DELIVERY","DELAY")),"")</f>
        <v>DELAY</v>
      </c>
      <c r="Q337" s="181" t="str">
        <f>IFERROR(IF(J337&gt;0,VLOOKUP(J337,#REF!,MATCH($Q$6,#REF!,0),0),""),"")</f>
        <v/>
      </c>
      <c r="R337" s="181" t="str">
        <f>IFERROR(IF(J337&gt;0,VLOOKUP(J337,#REF!,MATCH($R$6,#REF!,0),0),""),"")</f>
        <v/>
      </c>
      <c r="S337" s="181" t="e">
        <f>IF(I340&gt;0,Q337+R337,"")</f>
        <v>#VALUE!</v>
      </c>
      <c r="T337" s="181"/>
      <c r="U337" s="181"/>
      <c r="V337" s="37"/>
      <c r="W337" s="181" t="e">
        <f>IF(I340&gt;0,IF(S337&gt;L337,"READY STOCK",IF(S337=0,"OUT OF STOCK",IF(S337&lt;L337,"LOW STOCK",""))),"")</f>
        <v>#VALUE!</v>
      </c>
      <c r="X337" s="38"/>
      <c r="Y337" s="38"/>
      <c r="Z337" s="38"/>
      <c r="AA337" s="38"/>
      <c r="AB337" s="50">
        <v>46288</v>
      </c>
      <c r="AC337" s="181">
        <v>34496</v>
      </c>
      <c r="AD337" s="51">
        <v>3</v>
      </c>
      <c r="AE337" s="37" t="s">
        <v>383</v>
      </c>
      <c r="AF337" s="37" t="s">
        <v>381</v>
      </c>
      <c r="AG337" s="33" t="str">
        <f>IF(G337&gt;0,IF(AD337&gt;0,IF(AD337=0,"Waiting",IF(AD337&lt;L337,"Partial",IF(AD337=L337,"Full Supply",IF(AD337&gt;L337,"Over Shared")))),"Waiting"),"")</f>
        <v>Full Supply</v>
      </c>
      <c r="AH337" s="56"/>
      <c r="AI337" s="37"/>
      <c r="AJ337" s="181"/>
      <c r="AK337" s="40"/>
      <c r="AL337" s="40"/>
      <c r="AM337" s="40"/>
      <c r="AN337" s="212" t="s">
        <v>1291</v>
      </c>
      <c r="AO337" s="34"/>
      <c r="AP337" s="37"/>
      <c r="AQ337" s="37"/>
      <c r="AR337" s="37"/>
      <c r="AS337" s="37"/>
      <c r="AT337" s="37">
        <f>AS337-AD337</f>
        <v>-3</v>
      </c>
      <c r="AU337" s="36" t="str">
        <f>IF(AR337=0,"Waiting",IF(AR337&lt;AH337,"Kurang",IF(AR337=AH337,"Sesuai",IF(AR337&gt;AH337,"Over Shared"))))</f>
        <v>Waiting</v>
      </c>
      <c r="AV337" s="37"/>
      <c r="AW337" s="37" t="str">
        <f>IFERROR(DATEDIF(AH337,AK337,"d"),"0")&amp;"-DAY"</f>
        <v>0-DAY</v>
      </c>
      <c r="AX337" s="37" t="str">
        <f>IFERROR(DATEDIF(B337,AB337,"d"),"0")&amp;"-DAY"</f>
        <v>44-DAY</v>
      </c>
      <c r="AY337" s="37"/>
      <c r="AZ337" s="181">
        <f>L337-AD337</f>
        <v>0</v>
      </c>
    </row>
    <row r="338" spans="1:52" ht="15.5" customHeight="1">
      <c r="A338" s="360" t="s">
        <v>372</v>
      </c>
      <c r="B338" s="340">
        <v>46244</v>
      </c>
      <c r="C338" s="181">
        <v>49302</v>
      </c>
      <c r="D338" s="30">
        <v>46244</v>
      </c>
      <c r="E338" s="30">
        <v>46236</v>
      </c>
      <c r="F338" s="30">
        <v>46254</v>
      </c>
      <c r="G338" s="37">
        <v>4420230586</v>
      </c>
      <c r="H338" s="37" t="s">
        <v>373</v>
      </c>
      <c r="I338" s="37">
        <v>9040009398</v>
      </c>
      <c r="J338" s="37" t="s">
        <v>282</v>
      </c>
      <c r="K338" s="325" t="s">
        <v>283</v>
      </c>
      <c r="L338" s="181">
        <v>1</v>
      </c>
      <c r="M338" s="181" t="s">
        <v>421</v>
      </c>
      <c r="N338" s="37" t="s">
        <v>434</v>
      </c>
      <c r="O338" s="31">
        <f>IF(F338&gt;0,F338-AB338,"")</f>
        <v>1</v>
      </c>
      <c r="P338" s="37" t="str">
        <f>IF(F338&gt;0,IF(AB338="","PLANNING SUPPLY",IF(AB338&lt;=F338,"ONTIME DELIVERY","DELAY")),"")</f>
        <v>ONTIME DELIVERY</v>
      </c>
      <c r="Q338" s="181" t="str">
        <f>IFERROR(IF(J338&gt;0,VLOOKUP(J338,#REF!,MATCH($Q$6,#REF!,0),0),""),"")</f>
        <v/>
      </c>
      <c r="R338" s="181" t="str">
        <f>IFERROR(IF(J338&gt;0,VLOOKUP(J338,#REF!,MATCH($R$6,#REF!,0),0),""),"")</f>
        <v/>
      </c>
      <c r="S338" s="181" t="e">
        <f>IF(I341&gt;0,Q338+R338,"")</f>
        <v>#VALUE!</v>
      </c>
      <c r="T338" s="181"/>
      <c r="U338" s="181"/>
      <c r="V338" s="37"/>
      <c r="W338" s="181" t="e">
        <f>IF(I341&gt;0,IF(S338&gt;L338,"READY STOCK",IF(S338=0,"OUT OF STOCK",IF(S338&lt;L338,"LOW STOCK",""))),"")</f>
        <v>#VALUE!</v>
      </c>
      <c r="X338" s="38"/>
      <c r="Y338" s="38"/>
      <c r="Z338" s="38"/>
      <c r="AA338" s="38"/>
      <c r="AB338" s="50">
        <v>46253</v>
      </c>
      <c r="AC338" s="181">
        <v>33682</v>
      </c>
      <c r="AD338" s="51">
        <v>1</v>
      </c>
      <c r="AE338" s="37" t="s">
        <v>383</v>
      </c>
      <c r="AF338" s="37" t="s">
        <v>381</v>
      </c>
      <c r="AG338" s="33" t="str">
        <f>IF(G338&gt;0,IF(AD338&gt;0,IF(AD338=0,"Waiting",IF(AD338&lt;L338,"Partial",IF(AD338=L338,"Full Supply",IF(AD338&gt;L338,"Over Shared")))),"Waiting"),"")</f>
        <v>Full Supply</v>
      </c>
      <c r="AH338" s="156"/>
      <c r="AI338" s="37"/>
      <c r="AJ338" s="181"/>
      <c r="AK338" s="40"/>
      <c r="AL338" s="40"/>
      <c r="AM338" s="40"/>
      <c r="AN338" s="212" t="s">
        <v>1292</v>
      </c>
      <c r="AO338" s="34"/>
      <c r="AP338" s="37"/>
      <c r="AQ338" s="37"/>
      <c r="AR338" s="37"/>
      <c r="AS338" s="37"/>
      <c r="AT338" s="37">
        <f>AS338-AD338</f>
        <v>-1</v>
      </c>
      <c r="AU338" s="36" t="str">
        <f>IF(AR338=0,"Waiting",IF(AR338&lt;AH338,"Kurang",IF(AR338=AH338,"Sesuai",IF(AR338&gt;AH338,"Over Shared"))))</f>
        <v>Waiting</v>
      </c>
      <c r="AV338" s="37"/>
      <c r="AW338" s="37" t="str">
        <f>IFERROR(DATEDIF(AH338,AK338,"d"),"0")&amp;"-DAY"</f>
        <v>0-DAY</v>
      </c>
      <c r="AX338" s="37" t="str">
        <f>IFERROR(DATEDIF(B338,AB338,"d"),"0")&amp;"-DAY"</f>
        <v>9-DAY</v>
      </c>
      <c r="AY338" s="37"/>
      <c r="AZ338" s="181">
        <f>L338-AD338</f>
        <v>0</v>
      </c>
    </row>
    <row r="339" spans="1:52" ht="15.5" customHeight="1">
      <c r="A339" s="360" t="s">
        <v>372</v>
      </c>
      <c r="B339" s="340">
        <v>46244</v>
      </c>
      <c r="C339" s="181">
        <v>49302</v>
      </c>
      <c r="D339" s="30">
        <v>46244</v>
      </c>
      <c r="E339" s="30">
        <v>46236</v>
      </c>
      <c r="F339" s="30">
        <v>46254</v>
      </c>
      <c r="G339" s="37">
        <v>4420230586</v>
      </c>
      <c r="H339" s="37" t="s">
        <v>373</v>
      </c>
      <c r="I339" s="37">
        <v>9040040420</v>
      </c>
      <c r="J339" s="37" t="s">
        <v>219</v>
      </c>
      <c r="K339" s="325" t="s">
        <v>220</v>
      </c>
      <c r="L339" s="181">
        <v>1</v>
      </c>
      <c r="M339" s="181" t="s">
        <v>389</v>
      </c>
      <c r="N339" s="37" t="s">
        <v>434</v>
      </c>
      <c r="O339" s="31">
        <f>IF(F339&gt;0,F339-AB339,"")</f>
        <v>-54</v>
      </c>
      <c r="P339" s="37" t="str">
        <f>IF(F339&gt;0,IF(AB339="","PLANNING SUPPLY",IF(AB339&lt;=F339,"ONTIME DELIVERY","DELAY")),"")</f>
        <v>DELAY</v>
      </c>
      <c r="Q339" s="181" t="str">
        <f>IFERROR(IF(J339&gt;0,VLOOKUP(J339,#REF!,MATCH($Q$6,#REF!,0),0),""),"")</f>
        <v/>
      </c>
      <c r="R339" s="181" t="str">
        <f>IFERROR(IF(J339&gt;0,VLOOKUP(J339,#REF!,MATCH($R$6,#REF!,0),0),""),"")</f>
        <v/>
      </c>
      <c r="S339" s="181" t="e">
        <f>IF(I342&gt;0,Q339+R339,"")</f>
        <v>#VALUE!</v>
      </c>
      <c r="T339" s="181"/>
      <c r="U339" s="181"/>
      <c r="V339" s="37"/>
      <c r="W339" s="181" t="e">
        <f>IF(I342&gt;0,IF(S339&gt;L339,"READY STOCK",IF(S339=0,"OUT OF STOCK",IF(S339&lt;L339,"LOW STOCK",""))),"")</f>
        <v>#VALUE!</v>
      </c>
      <c r="X339" s="38"/>
      <c r="Y339" s="38"/>
      <c r="Z339" s="38"/>
      <c r="AA339" s="38"/>
      <c r="AB339" s="57">
        <v>46308</v>
      </c>
      <c r="AC339" s="246">
        <v>34971</v>
      </c>
      <c r="AD339" s="53">
        <v>1</v>
      </c>
      <c r="AE339" s="58" t="s">
        <v>387</v>
      </c>
      <c r="AF339" s="58" t="s">
        <v>381</v>
      </c>
      <c r="AG339" s="33" t="str">
        <f>IF(G339&gt;0,IF(AD339&gt;0,IF(AD339=0,"Waiting",IF(AD339&lt;L339,"Partial",IF(AD339=L339,"Full Supply",IF(AD339&gt;L339,"Over Shared")))),"Waiting"),"")</f>
        <v>Full Supply</v>
      </c>
      <c r="AH339" s="156">
        <v>46246</v>
      </c>
      <c r="AI339" s="37" t="s">
        <v>1283</v>
      </c>
      <c r="AJ339" s="181">
        <v>11</v>
      </c>
      <c r="AK339" s="40">
        <v>26385</v>
      </c>
      <c r="AL339" s="42">
        <v>46287</v>
      </c>
      <c r="AM339" s="40"/>
      <c r="AN339" s="37"/>
      <c r="AO339" s="41">
        <v>46294</v>
      </c>
      <c r="AP339" s="37"/>
      <c r="AQ339" s="37"/>
      <c r="AR339" s="37"/>
      <c r="AS339" s="37"/>
      <c r="AT339" s="37">
        <f>AS339-AD339</f>
        <v>-1</v>
      </c>
      <c r="AU339" s="36" t="str">
        <f>IF(AR339=0,"Waiting",IF(AR339&lt;AH339,"Kurang",IF(AR339=AH339,"Sesuai",IF(AR339&gt;AH339,"Over Shared"))))</f>
        <v>Waiting</v>
      </c>
      <c r="AV339" s="37"/>
      <c r="AW339" s="37" t="str">
        <f>IFERROR(DATEDIF(AH339,AK339,"d"),"0")&amp;"-DAY"</f>
        <v>0-DAY</v>
      </c>
      <c r="AX339" s="37" t="str">
        <f>IFERROR(DATEDIF(B339,AB339,"d"),"0")&amp;"-DAY"</f>
        <v>64-DAY</v>
      </c>
      <c r="AY339" s="37"/>
      <c r="AZ339" s="181">
        <f>L339-AD339</f>
        <v>0</v>
      </c>
    </row>
    <row r="340" spans="1:52" ht="15.5" customHeight="1">
      <c r="A340" s="360" t="s">
        <v>372</v>
      </c>
      <c r="B340" s="340">
        <v>46244</v>
      </c>
      <c r="C340" s="181">
        <v>49302</v>
      </c>
      <c r="D340" s="30">
        <v>46244</v>
      </c>
      <c r="E340" s="30">
        <v>46236</v>
      </c>
      <c r="F340" s="30">
        <v>46254</v>
      </c>
      <c r="G340" s="37">
        <v>4420230586</v>
      </c>
      <c r="H340" s="37" t="s">
        <v>373</v>
      </c>
      <c r="I340" s="37">
        <v>9040019465</v>
      </c>
      <c r="J340" s="37" t="s">
        <v>27</v>
      </c>
      <c r="K340" s="325" t="s">
        <v>28</v>
      </c>
      <c r="L340" s="181">
        <v>4</v>
      </c>
      <c r="M340" s="181" t="s">
        <v>375</v>
      </c>
      <c r="N340" s="37" t="s">
        <v>434</v>
      </c>
      <c r="O340" s="31">
        <f>IF(F340&gt;0,F340-AB340,"")</f>
        <v>1</v>
      </c>
      <c r="P340" s="37" t="str">
        <f>IF(F340&gt;0,IF(AB340="","PLANNING SUPPLY",IF(AB340&lt;=F340,"ONTIME DELIVERY","DELAY")),"")</f>
        <v>ONTIME DELIVERY</v>
      </c>
      <c r="Q340" s="181" t="str">
        <f>IFERROR(IF(J340&gt;0,VLOOKUP(J340,#REF!,MATCH($Q$6,#REF!,0),0),""),"")</f>
        <v/>
      </c>
      <c r="R340" s="181" t="str">
        <f>IFERROR(IF(J340&gt;0,VLOOKUP(J340,#REF!,MATCH($R$6,#REF!,0),0),""),"")</f>
        <v/>
      </c>
      <c r="S340" s="181" t="e">
        <f>IF(I343&gt;0,Q340+R340,"")</f>
        <v>#VALUE!</v>
      </c>
      <c r="T340" s="181"/>
      <c r="U340" s="181"/>
      <c r="V340" s="37"/>
      <c r="W340" s="181" t="e">
        <f>IF(I343&gt;0,IF(S340&gt;L340,"READY STOCK",IF(S340=0,"OUT OF STOCK",IF(S340&lt;L340,"LOW STOCK",""))),"")</f>
        <v>#VALUE!</v>
      </c>
      <c r="X340" s="38"/>
      <c r="Y340" s="38"/>
      <c r="Z340" s="38"/>
      <c r="AA340" s="38"/>
      <c r="AB340" s="50">
        <v>46253</v>
      </c>
      <c r="AC340" s="181">
        <v>33682</v>
      </c>
      <c r="AD340" s="51">
        <v>4</v>
      </c>
      <c r="AE340" s="37" t="s">
        <v>383</v>
      </c>
      <c r="AF340" s="37" t="s">
        <v>381</v>
      </c>
      <c r="AG340" s="33" t="str">
        <f>IF(G340&gt;0,IF(AD340&gt;0,IF(AD340=0,"Waiting",IF(AD340&lt;L340,"Partial",IF(AD340=L340,"Full Supply",IF(AD340&gt;L340,"Over Shared")))),"Waiting"),"")</f>
        <v>Full Supply</v>
      </c>
      <c r="AH340" s="37"/>
      <c r="AI340" s="37"/>
      <c r="AJ340" s="181"/>
      <c r="AK340" s="40"/>
      <c r="AL340" s="40"/>
      <c r="AM340" s="40"/>
      <c r="AN340" s="37"/>
      <c r="AO340" s="34"/>
      <c r="AP340" s="37"/>
      <c r="AQ340" s="37"/>
      <c r="AR340" s="37"/>
      <c r="AS340" s="37"/>
      <c r="AT340" s="37">
        <f>AS340-AD340</f>
        <v>-4</v>
      </c>
      <c r="AU340" s="36" t="str">
        <f>IF(AR340=0,"Waiting",IF(AR340&lt;AH340,"Kurang",IF(AR340=AH340,"Sesuai",IF(AR340&gt;AH340,"Over Shared"))))</f>
        <v>Waiting</v>
      </c>
      <c r="AV340" s="37"/>
      <c r="AW340" s="37" t="str">
        <f>IFERROR(DATEDIF(AH340,AK340,"d"),"0")&amp;"-DAY"</f>
        <v>0-DAY</v>
      </c>
      <c r="AX340" s="37" t="str">
        <f>IFERROR(DATEDIF(B340,AB340,"d"),"0")&amp;"-DAY"</f>
        <v>9-DAY</v>
      </c>
      <c r="AY340" s="37"/>
      <c r="AZ340" s="181">
        <f>L340-AD340</f>
        <v>0</v>
      </c>
    </row>
    <row r="341" spans="1:52" ht="15.5" customHeight="1">
      <c r="A341" s="360" t="s">
        <v>372</v>
      </c>
      <c r="B341" s="340">
        <v>46244</v>
      </c>
      <c r="C341" s="181">
        <v>49302</v>
      </c>
      <c r="D341" s="30">
        <v>46244</v>
      </c>
      <c r="E341" s="30">
        <v>46236</v>
      </c>
      <c r="F341" s="30">
        <v>46254</v>
      </c>
      <c r="G341" s="37">
        <v>4420230586</v>
      </c>
      <c r="H341" s="37" t="s">
        <v>373</v>
      </c>
      <c r="I341" s="37">
        <v>9040044154</v>
      </c>
      <c r="J341" s="37" t="s">
        <v>301</v>
      </c>
      <c r="K341" s="325" t="s">
        <v>302</v>
      </c>
      <c r="L341" s="181">
        <v>2</v>
      </c>
      <c r="M341" s="181" t="s">
        <v>375</v>
      </c>
      <c r="N341" s="37" t="s">
        <v>434</v>
      </c>
      <c r="O341" s="31">
        <f>IF(F341&gt;0,F341-AB341,"")</f>
        <v>7</v>
      </c>
      <c r="P341" s="37" t="str">
        <f>IF(F341&gt;0,IF(AB341="","PLANNING SUPPLY",IF(AB341&lt;=F341,"ONTIME DELIVERY","DELAY")),"")</f>
        <v>ONTIME DELIVERY</v>
      </c>
      <c r="Q341" s="181" t="str">
        <f>IFERROR(IF(J341&gt;0,VLOOKUP(J341,#REF!,MATCH($Q$6,#REF!,0),0),""),"")</f>
        <v/>
      </c>
      <c r="R341" s="181" t="str">
        <f>IFERROR(IF(J341&gt;0,VLOOKUP(J341,#REF!,MATCH($R$6,#REF!,0),0),""),"")</f>
        <v/>
      </c>
      <c r="S341" s="181" t="e">
        <f>IF(I344&gt;0,Q341+R341,"")</f>
        <v>#VALUE!</v>
      </c>
      <c r="T341" s="181"/>
      <c r="U341" s="181"/>
      <c r="V341" s="37"/>
      <c r="W341" s="181" t="e">
        <f>IF(I344&gt;0,IF(S341&gt;L341,"READY STOCK",IF(S341=0,"OUT OF STOCK",IF(S341&lt;L341,"LOW STOCK",""))),"")</f>
        <v>#VALUE!</v>
      </c>
      <c r="X341" s="38"/>
      <c r="Y341" s="38"/>
      <c r="Z341" s="38"/>
      <c r="AA341" s="38"/>
      <c r="AB341" s="50">
        <v>46247</v>
      </c>
      <c r="AC341" s="181">
        <v>33631</v>
      </c>
      <c r="AD341" s="51">
        <v>2</v>
      </c>
      <c r="AE341" s="37" t="s">
        <v>387</v>
      </c>
      <c r="AF341" s="37" t="s">
        <v>381</v>
      </c>
      <c r="AG341" s="33" t="str">
        <f>IF(G341&gt;0,IF(AD341&gt;0,IF(AD341=0,"Waiting",IF(AD341&lt;L341,"Partial",IF(AD341=L341,"Full Supply",IF(AD341&gt;L341,"Over Shared")))),"Waiting"),"")</f>
        <v>Full Supply</v>
      </c>
      <c r="AH341" s="37"/>
      <c r="AI341" s="37"/>
      <c r="AJ341" s="181"/>
      <c r="AK341" s="40"/>
      <c r="AL341" s="40"/>
      <c r="AM341" s="40"/>
      <c r="AN341" s="37"/>
      <c r="AO341" s="34"/>
      <c r="AP341" s="37"/>
      <c r="AQ341" s="37"/>
      <c r="AR341" s="37"/>
      <c r="AS341" s="37"/>
      <c r="AT341" s="37">
        <f>AS341-AD341</f>
        <v>-2</v>
      </c>
      <c r="AU341" s="36" t="str">
        <f>IF(AR341=0,"Waiting",IF(AR341&lt;AH341,"Kurang",IF(AR341=AH341,"Sesuai",IF(AR341&gt;AH341,"Over Shared"))))</f>
        <v>Waiting</v>
      </c>
      <c r="AV341" s="37"/>
      <c r="AW341" s="37" t="str">
        <f>IFERROR(DATEDIF(AH341,AK341,"d"),"0")&amp;"-DAY"</f>
        <v>0-DAY</v>
      </c>
      <c r="AX341" s="37" t="str">
        <f>IFERROR(DATEDIF(B341,AB341,"d"),"0")&amp;"-DAY"</f>
        <v>3-DAY</v>
      </c>
      <c r="AY341" s="37"/>
      <c r="AZ341" s="181">
        <f>L341-AD341</f>
        <v>0</v>
      </c>
    </row>
    <row r="342" spans="1:52" ht="15.5" customHeight="1">
      <c r="A342" s="360" t="s">
        <v>372</v>
      </c>
      <c r="B342" s="340">
        <v>46244</v>
      </c>
      <c r="C342" s="181">
        <v>49302</v>
      </c>
      <c r="D342" s="30">
        <v>46244</v>
      </c>
      <c r="E342" s="30">
        <v>46236</v>
      </c>
      <c r="F342" s="30">
        <v>46254</v>
      </c>
      <c r="G342" s="37">
        <v>4420230586</v>
      </c>
      <c r="H342" s="37" t="s">
        <v>373</v>
      </c>
      <c r="I342" s="37">
        <v>9040012343</v>
      </c>
      <c r="J342" s="37" t="s">
        <v>303</v>
      </c>
      <c r="K342" s="325" t="s">
        <v>304</v>
      </c>
      <c r="L342" s="181">
        <v>2</v>
      </c>
      <c r="M342" s="181" t="s">
        <v>375</v>
      </c>
      <c r="N342" s="37" t="s">
        <v>434</v>
      </c>
      <c r="O342" s="31">
        <f>IF(F342&gt;0,F342-AB342,"")</f>
        <v>1</v>
      </c>
      <c r="P342" s="37" t="str">
        <f>IF(F342&gt;0,IF(AB342="","PLANNING SUPPLY",IF(AB342&lt;=F342,"ONTIME DELIVERY","DELAY")),"")</f>
        <v>ONTIME DELIVERY</v>
      </c>
      <c r="Q342" s="181" t="str">
        <f>IFERROR(IF(J342&gt;0,VLOOKUP(J342,#REF!,MATCH($Q$6,#REF!,0),0),""),"")</f>
        <v/>
      </c>
      <c r="R342" s="181" t="str">
        <f>IFERROR(IF(J342&gt;0,VLOOKUP(J342,#REF!,MATCH($R$6,#REF!,0),0),""),"")</f>
        <v/>
      </c>
      <c r="S342" s="181" t="e">
        <f>IF(I345&gt;0,Q342+R342,"")</f>
        <v>#VALUE!</v>
      </c>
      <c r="T342" s="181"/>
      <c r="U342" s="181"/>
      <c r="V342" s="37"/>
      <c r="W342" s="181" t="e">
        <f>IF(I345&gt;0,IF(S342&gt;L342,"READY STOCK",IF(S342=0,"OUT OF STOCK",IF(S342&lt;L342,"LOW STOCK",""))),"")</f>
        <v>#VALUE!</v>
      </c>
      <c r="X342" s="38"/>
      <c r="Y342" s="38"/>
      <c r="Z342" s="38"/>
      <c r="AA342" s="38"/>
      <c r="AB342" s="50">
        <v>46253</v>
      </c>
      <c r="AC342" s="181">
        <v>33682</v>
      </c>
      <c r="AD342" s="51">
        <v>2</v>
      </c>
      <c r="AE342" s="37" t="s">
        <v>383</v>
      </c>
      <c r="AF342" s="37" t="s">
        <v>381</v>
      </c>
      <c r="AG342" s="33" t="str">
        <f>IF(G342&gt;0,IF(AD342&gt;0,IF(AD342=0,"Waiting",IF(AD342&lt;L342,"Partial",IF(AD342=L342,"Full Supply",IF(AD342&gt;L342,"Over Shared")))),"Waiting"),"")</f>
        <v>Full Supply</v>
      </c>
      <c r="AH342" s="37"/>
      <c r="AI342" s="37"/>
      <c r="AJ342" s="181"/>
      <c r="AK342" s="40"/>
      <c r="AL342" s="40"/>
      <c r="AM342" s="40"/>
      <c r="AN342" s="37"/>
      <c r="AO342" s="34"/>
      <c r="AP342" s="37"/>
      <c r="AQ342" s="37"/>
      <c r="AR342" s="37"/>
      <c r="AS342" s="37"/>
      <c r="AT342" s="37">
        <f>AS342-AD342</f>
        <v>-2</v>
      </c>
      <c r="AU342" s="36" t="str">
        <f>IF(AR342=0,"Waiting",IF(AR342&lt;AH342,"Kurang",IF(AR342=AH342,"Sesuai",IF(AR342&gt;AH342,"Over Shared"))))</f>
        <v>Waiting</v>
      </c>
      <c r="AV342" s="37"/>
      <c r="AW342" s="37" t="str">
        <f>IFERROR(DATEDIF(AH342,AK342,"d"),"0")&amp;"-DAY"</f>
        <v>0-DAY</v>
      </c>
      <c r="AX342" s="37" t="str">
        <f>IFERROR(DATEDIF(B342,AB342,"d"),"0")&amp;"-DAY"</f>
        <v>9-DAY</v>
      </c>
      <c r="AY342" s="37"/>
      <c r="AZ342" s="181">
        <f>L342-AD342</f>
        <v>0</v>
      </c>
    </row>
    <row r="343" spans="1:52" ht="15.5" customHeight="1">
      <c r="A343" s="360" t="s">
        <v>372</v>
      </c>
      <c r="B343" s="340">
        <v>46244</v>
      </c>
      <c r="C343" s="181">
        <v>49302</v>
      </c>
      <c r="D343" s="30">
        <v>46244</v>
      </c>
      <c r="E343" s="30">
        <v>46236</v>
      </c>
      <c r="F343" s="30">
        <v>46254</v>
      </c>
      <c r="G343" s="37">
        <v>4420230586</v>
      </c>
      <c r="H343" s="37" t="s">
        <v>373</v>
      </c>
      <c r="I343" s="37">
        <v>9040014955</v>
      </c>
      <c r="J343" s="37" t="s">
        <v>27</v>
      </c>
      <c r="K343" s="325" t="s">
        <v>28</v>
      </c>
      <c r="L343" s="181">
        <v>2</v>
      </c>
      <c r="M343" s="181" t="s">
        <v>375</v>
      </c>
      <c r="N343" s="37" t="s">
        <v>434</v>
      </c>
      <c r="O343" s="31">
        <f>IF(F343&gt;0,F343-AB343,"")</f>
        <v>1</v>
      </c>
      <c r="P343" s="37" t="str">
        <f>IF(F343&gt;0,IF(AB343="","PLANNING SUPPLY",IF(AB343&lt;=F343,"ONTIME DELIVERY","DELAY")),"")</f>
        <v>ONTIME DELIVERY</v>
      </c>
      <c r="Q343" s="181" t="str">
        <f>IFERROR(IF(J343&gt;0,VLOOKUP(J343,#REF!,MATCH($Q$6,#REF!,0),0),""),"")</f>
        <v/>
      </c>
      <c r="R343" s="181" t="str">
        <f>IFERROR(IF(J343&gt;0,VLOOKUP(J343,#REF!,MATCH($R$6,#REF!,0),0),""),"")</f>
        <v/>
      </c>
      <c r="S343" s="181" t="e">
        <f>IF(I346&gt;0,Q343+R343,"")</f>
        <v>#VALUE!</v>
      </c>
      <c r="T343" s="181"/>
      <c r="U343" s="181"/>
      <c r="V343" s="37"/>
      <c r="W343" s="181" t="e">
        <f>IF(I346&gt;0,IF(S343&gt;L343,"READY STOCK",IF(S343=0,"OUT OF STOCK",IF(S343&lt;L343,"LOW STOCK",""))),"")</f>
        <v>#VALUE!</v>
      </c>
      <c r="X343" s="38"/>
      <c r="Y343" s="38"/>
      <c r="Z343" s="38"/>
      <c r="AA343" s="38"/>
      <c r="AB343" s="50">
        <v>46253</v>
      </c>
      <c r="AC343" s="181">
        <v>33683</v>
      </c>
      <c r="AD343" s="51">
        <v>2</v>
      </c>
      <c r="AE343" s="37" t="s">
        <v>383</v>
      </c>
      <c r="AF343" s="37" t="s">
        <v>381</v>
      </c>
      <c r="AG343" s="33" t="str">
        <f>IF(G343&gt;0,IF(AD343&gt;0,IF(AD343=0,"Waiting",IF(AD343&lt;L343,"Partial",IF(AD343=L343,"Full Supply",IF(AD343&gt;L343,"Over Shared")))),"Waiting"),"")</f>
        <v>Full Supply</v>
      </c>
      <c r="AH343" s="37"/>
      <c r="AI343" s="37"/>
      <c r="AJ343" s="181"/>
      <c r="AK343" s="40"/>
      <c r="AL343" s="40"/>
      <c r="AM343" s="40"/>
      <c r="AN343" s="37"/>
      <c r="AO343" s="34"/>
      <c r="AP343" s="37"/>
      <c r="AQ343" s="37"/>
      <c r="AR343" s="37"/>
      <c r="AS343" s="37"/>
      <c r="AT343" s="37">
        <f>AS343-AD343</f>
        <v>-2</v>
      </c>
      <c r="AU343" s="36" t="str">
        <f>IF(AR343=0,"Waiting",IF(AR343&lt;AH343,"Kurang",IF(AR343=AH343,"Sesuai",IF(AR343&gt;AH343,"Over Shared"))))</f>
        <v>Waiting</v>
      </c>
      <c r="AV343" s="37"/>
      <c r="AW343" s="37" t="str">
        <f>IFERROR(DATEDIF(AH343,AK343,"d"),"0")&amp;"-DAY"</f>
        <v>0-DAY</v>
      </c>
      <c r="AX343" s="37" t="str">
        <f>IFERROR(DATEDIF(B343,AB343,"d"),"0")&amp;"-DAY"</f>
        <v>9-DAY</v>
      </c>
      <c r="AY343" s="37"/>
      <c r="AZ343" s="181">
        <f>L343-AD343</f>
        <v>0</v>
      </c>
    </row>
    <row r="344" spans="1:52" ht="15.5" customHeight="1">
      <c r="A344" s="360" t="s">
        <v>372</v>
      </c>
      <c r="B344" s="340">
        <v>46244</v>
      </c>
      <c r="C344" s="181">
        <v>49302</v>
      </c>
      <c r="D344" s="30">
        <v>46244</v>
      </c>
      <c r="E344" s="30">
        <v>46236</v>
      </c>
      <c r="F344" s="30">
        <v>46254</v>
      </c>
      <c r="G344" s="37">
        <v>4420230586</v>
      </c>
      <c r="H344" s="37" t="s">
        <v>373</v>
      </c>
      <c r="I344" s="37">
        <v>9040040420</v>
      </c>
      <c r="J344" s="37" t="s">
        <v>219</v>
      </c>
      <c r="K344" s="325" t="s">
        <v>220</v>
      </c>
      <c r="L344" s="181">
        <v>1</v>
      </c>
      <c r="M344" s="181" t="s">
        <v>389</v>
      </c>
      <c r="N344" s="37" t="s">
        <v>434</v>
      </c>
      <c r="O344" s="31">
        <f>IF(F344&gt;0,F344-AB344,"")</f>
        <v>-13</v>
      </c>
      <c r="P344" s="37" t="str">
        <f>IF(F344&gt;0,IF(AB344="","PLANNING SUPPLY",IF(AB344&lt;=F344,"ONTIME DELIVERY","DELAY")),"")</f>
        <v>DELAY</v>
      </c>
      <c r="Q344" s="181" t="str">
        <f>IFERROR(IF(J344&gt;0,VLOOKUP(J344,#REF!,MATCH($Q$6,#REF!,0),0),""),"")</f>
        <v/>
      </c>
      <c r="R344" s="181" t="str">
        <f>IFERROR(IF(J344&gt;0,VLOOKUP(J344,#REF!,MATCH($R$6,#REF!,0),0),""),"")</f>
        <v/>
      </c>
      <c r="S344" s="181" t="e">
        <f>IF(I347&gt;0,Q344+R344,"")</f>
        <v>#VALUE!</v>
      </c>
      <c r="T344" s="181"/>
      <c r="U344" s="181"/>
      <c r="V344" s="37"/>
      <c r="W344" s="181" t="e">
        <f>IF(I347&gt;0,IF(S344&gt;L344,"READY STOCK",IF(S344=0,"OUT OF STOCK",IF(S344&lt;L344,"LOW STOCK",""))),"")</f>
        <v>#VALUE!</v>
      </c>
      <c r="X344" s="38"/>
      <c r="Y344" s="38"/>
      <c r="Z344" s="38"/>
      <c r="AA344" s="38"/>
      <c r="AB344" s="50">
        <v>46267</v>
      </c>
      <c r="AC344" s="181">
        <v>33983</v>
      </c>
      <c r="AD344" s="51">
        <v>1</v>
      </c>
      <c r="AE344" s="37" t="s">
        <v>383</v>
      </c>
      <c r="AF344" s="37" t="s">
        <v>381</v>
      </c>
      <c r="AG344" s="33" t="str">
        <f>IF(G344&gt;0,IF(AD344&gt;0,IF(AD344=0,"Waiting",IF(AD344&lt;L344,"Partial",IF(AD344=L344,"Full Supply",IF(AD344&gt;L344,"Over Shared")))),"Waiting"),"")</f>
        <v>Full Supply</v>
      </c>
      <c r="AH344" s="156">
        <v>46246</v>
      </c>
      <c r="AI344" s="37" t="s">
        <v>1283</v>
      </c>
      <c r="AJ344" s="181">
        <v>2</v>
      </c>
      <c r="AK344" s="40">
        <v>26385</v>
      </c>
      <c r="AL344" s="42">
        <v>46287</v>
      </c>
      <c r="AM344" s="40"/>
      <c r="AN344" s="37"/>
      <c r="AO344" s="41">
        <v>46294</v>
      </c>
      <c r="AP344" s="37"/>
      <c r="AQ344" s="37"/>
      <c r="AR344" s="37"/>
      <c r="AS344" s="37"/>
      <c r="AT344" s="37">
        <f>AS344-AD344</f>
        <v>-1</v>
      </c>
      <c r="AU344" s="36" t="str">
        <f>IF(AR344=0,"Waiting",IF(AR344&lt;AH344,"Kurang",IF(AR344=AH344,"Sesuai",IF(AR344&gt;AH344,"Over Shared"))))</f>
        <v>Waiting</v>
      </c>
      <c r="AV344" s="37"/>
      <c r="AW344" s="37" t="str">
        <f>IFERROR(DATEDIF(AH344,AK344,"d"),"0")&amp;"-DAY"</f>
        <v>0-DAY</v>
      </c>
      <c r="AX344" s="37" t="str">
        <f>IFERROR(DATEDIF(B344,AB344,"d"),"0")&amp;"-DAY"</f>
        <v>23-DAY</v>
      </c>
      <c r="AY344" s="37"/>
      <c r="AZ344" s="181">
        <f>L344-AD344</f>
        <v>0</v>
      </c>
    </row>
    <row r="345" spans="1:52" ht="15.5" customHeight="1">
      <c r="A345" s="360" t="s">
        <v>372</v>
      </c>
      <c r="B345" s="340">
        <v>46244</v>
      </c>
      <c r="C345" s="181">
        <v>49303</v>
      </c>
      <c r="D345" s="30">
        <v>46244</v>
      </c>
      <c r="E345" s="30">
        <v>46241</v>
      </c>
      <c r="F345" s="30">
        <v>46248</v>
      </c>
      <c r="G345" s="37">
        <v>4420230985</v>
      </c>
      <c r="H345" s="37" t="s">
        <v>373</v>
      </c>
      <c r="I345" s="37">
        <v>9040055051</v>
      </c>
      <c r="J345" s="37" t="s">
        <v>10</v>
      </c>
      <c r="K345" s="325" t="s">
        <v>149</v>
      </c>
      <c r="L345" s="181">
        <v>15</v>
      </c>
      <c r="M345" s="181" t="s">
        <v>375</v>
      </c>
      <c r="N345" s="37" t="s">
        <v>695</v>
      </c>
      <c r="O345" s="31">
        <f>IF(F345&gt;0,F345-AB345,"")</f>
        <v>-33</v>
      </c>
      <c r="P345" s="37" t="str">
        <f>IF(F345&gt;0,IF(AB345="","PLANNING SUPPLY",IF(AB345&lt;=F345,"ONTIME DELIVERY","DELAY")),"")</f>
        <v>DELAY</v>
      </c>
      <c r="Q345" s="181" t="str">
        <f>IFERROR(IF(J345&gt;0,VLOOKUP(J345,#REF!,MATCH($Q$6,#REF!,0),0),""),"")</f>
        <v/>
      </c>
      <c r="R345" s="181" t="str">
        <f>IFERROR(IF(J345&gt;0,VLOOKUP(J345,#REF!,MATCH($R$6,#REF!,0),0),""),"")</f>
        <v/>
      </c>
      <c r="S345" s="181" t="e">
        <f>IF(I348&gt;0,Q345+R345,"")</f>
        <v>#VALUE!</v>
      </c>
      <c r="T345" s="181"/>
      <c r="U345" s="181"/>
      <c r="V345" s="37"/>
      <c r="W345" s="181" t="e">
        <f>IF(I348&gt;0,IF(S345&gt;L345,"READY STOCK",IF(S345=0,"OUT OF STOCK",IF(S345&lt;L345,"LOW STOCK",""))),"")</f>
        <v>#VALUE!</v>
      </c>
      <c r="X345" s="38"/>
      <c r="Y345" s="38"/>
      <c r="Z345" s="38"/>
      <c r="AA345" s="38"/>
      <c r="AB345" s="50">
        <v>46281</v>
      </c>
      <c r="AC345" s="181">
        <v>34271</v>
      </c>
      <c r="AD345" s="51">
        <v>15</v>
      </c>
      <c r="AE345" s="37" t="s">
        <v>383</v>
      </c>
      <c r="AF345" s="37" t="s">
        <v>381</v>
      </c>
      <c r="AG345" s="33" t="str">
        <f>IF(G345&gt;0,IF(AD345&gt;0,IF(AD345=0,"Waiting",IF(AD345&lt;L345,"Partial",IF(AD345=L345,"Full Supply",IF(AD345&gt;L345,"Over Shared")))),"Waiting"),"")</f>
        <v>Full Supply</v>
      </c>
      <c r="AH345" s="37"/>
      <c r="AI345" s="37"/>
      <c r="AJ345" s="181"/>
      <c r="AK345" s="40"/>
      <c r="AL345" s="40"/>
      <c r="AM345" s="40"/>
      <c r="AN345" s="37"/>
      <c r="AO345" s="34"/>
      <c r="AP345" s="37"/>
      <c r="AQ345" s="37"/>
      <c r="AR345" s="37"/>
      <c r="AS345" s="37"/>
      <c r="AT345" s="37">
        <f>AS345-AD345</f>
        <v>-15</v>
      </c>
      <c r="AU345" s="36" t="str">
        <f>IF(AR345=0,"Waiting",IF(AR345&lt;AH345,"Kurang",IF(AR345=AH345,"Sesuai",IF(AR345&gt;AH345,"Over Shared"))))</f>
        <v>Waiting</v>
      </c>
      <c r="AV345" s="37">
        <v>56081</v>
      </c>
      <c r="AW345" s="37" t="str">
        <f>IFERROR(DATEDIF(AH345,AK345,"d"),"0")&amp;"-DAY"</f>
        <v>0-DAY</v>
      </c>
      <c r="AX345" s="37" t="str">
        <f>IFERROR(DATEDIF(B345,AB345,"d"),"0")&amp;"-DAY"</f>
        <v>37-DAY</v>
      </c>
      <c r="AY345" s="37"/>
      <c r="AZ345" s="181">
        <f>L345-AD345</f>
        <v>0</v>
      </c>
    </row>
    <row r="346" spans="1:52" ht="15.5" customHeight="1">
      <c r="A346" s="360" t="s">
        <v>372</v>
      </c>
      <c r="B346" s="340">
        <v>46244</v>
      </c>
      <c r="C346" s="181">
        <v>49304</v>
      </c>
      <c r="D346" s="30">
        <v>46244</v>
      </c>
      <c r="E346" s="30">
        <v>46241</v>
      </c>
      <c r="F346" s="30">
        <v>46248</v>
      </c>
      <c r="G346" s="37">
        <v>4420230989</v>
      </c>
      <c r="H346" s="37" t="s">
        <v>373</v>
      </c>
      <c r="I346" s="37">
        <v>9040042224</v>
      </c>
      <c r="J346" s="37" t="s">
        <v>195</v>
      </c>
      <c r="K346" s="325" t="s">
        <v>196</v>
      </c>
      <c r="L346" s="181">
        <v>6</v>
      </c>
      <c r="M346" s="181" t="s">
        <v>421</v>
      </c>
      <c r="N346" s="37" t="s">
        <v>432</v>
      </c>
      <c r="O346" s="31">
        <f>IF(F346&gt;0,F346-AB346,"")</f>
        <v>-24</v>
      </c>
      <c r="P346" s="37" t="str">
        <f>IF(F346&gt;0,IF(AB346="","PLANNING SUPPLY",IF(AB346&lt;=F346,"ONTIME DELIVERY","DELAY")),"")</f>
        <v>DELAY</v>
      </c>
      <c r="Q346" s="181" t="str">
        <f>IFERROR(IF(J346&gt;0,VLOOKUP(J346,#REF!,MATCH($Q$6,#REF!,0),0),""),"")</f>
        <v/>
      </c>
      <c r="R346" s="181" t="str">
        <f>IFERROR(IF(J346&gt;0,VLOOKUP(J346,#REF!,MATCH($R$6,#REF!,0),0),""),"")</f>
        <v/>
      </c>
      <c r="S346" s="181" t="e">
        <f>IF(I349&gt;0,Q346+R346,"")</f>
        <v>#VALUE!</v>
      </c>
      <c r="T346" s="181"/>
      <c r="U346" s="181"/>
      <c r="V346" s="37"/>
      <c r="W346" s="181" t="e">
        <f>IF(I349&gt;0,IF(S346&gt;L346,"READY STOCK",IF(S346=0,"OUT OF STOCK",IF(S346&lt;L346,"LOW STOCK",""))),"")</f>
        <v>#VALUE!</v>
      </c>
      <c r="X346" s="38"/>
      <c r="Y346" s="38"/>
      <c r="Z346" s="38"/>
      <c r="AA346" s="38"/>
      <c r="AB346" s="50">
        <v>46272</v>
      </c>
      <c r="AC346" s="181">
        <v>34080</v>
      </c>
      <c r="AD346" s="51">
        <v>6</v>
      </c>
      <c r="AE346" s="37" t="s">
        <v>383</v>
      </c>
      <c r="AF346" s="37" t="s">
        <v>381</v>
      </c>
      <c r="AG346" s="33" t="str">
        <f>IF(G346&gt;0,IF(AD346&gt;0,IF(AD346=0,"Waiting",IF(AD346&lt;L346,"Partial",IF(AD346=L346,"Full Supply",IF(AD346&gt;L346,"Over Shared")))),"Waiting"),"")</f>
        <v>Full Supply</v>
      </c>
      <c r="AH346" s="156">
        <v>46246</v>
      </c>
      <c r="AI346" s="37" t="s">
        <v>1283</v>
      </c>
      <c r="AJ346" s="181">
        <v>20</v>
      </c>
      <c r="AK346" s="40">
        <v>26064</v>
      </c>
      <c r="AL346" s="189">
        <v>46266</v>
      </c>
      <c r="AM346" s="40">
        <v>20</v>
      </c>
      <c r="AN346" s="37"/>
      <c r="AO346" s="190">
        <v>46296</v>
      </c>
      <c r="AP346" s="37"/>
      <c r="AQ346" s="37"/>
      <c r="AR346" s="37"/>
      <c r="AS346" s="37"/>
      <c r="AT346" s="37">
        <f>AS346-AD346</f>
        <v>-6</v>
      </c>
      <c r="AU346" s="36" t="str">
        <f>IF(AR346=0,"Waiting",IF(AR346&lt;AH346,"Kurang",IF(AR346=AH346,"Sesuai",IF(AR346&gt;AH346,"Over Shared"))))</f>
        <v>Waiting</v>
      </c>
      <c r="AV346" s="37"/>
      <c r="AW346" s="37" t="str">
        <f>IFERROR(DATEDIF(AH346,AK346,"d"),"0")&amp;"-DAY"</f>
        <v>0-DAY</v>
      </c>
      <c r="AX346" s="37" t="str">
        <f>IFERROR(DATEDIF(B346,AB346,"d"),"0")&amp;"-DAY"</f>
        <v>28-DAY</v>
      </c>
      <c r="AY346" s="37"/>
      <c r="AZ346" s="181">
        <f>L346-AD346</f>
        <v>0</v>
      </c>
    </row>
    <row r="347" spans="1:52" ht="15.5" customHeight="1">
      <c r="A347" s="360" t="s">
        <v>372</v>
      </c>
      <c r="B347" s="340">
        <v>46244</v>
      </c>
      <c r="C347" s="181">
        <v>49304</v>
      </c>
      <c r="D347" s="30">
        <v>46244</v>
      </c>
      <c r="E347" s="30">
        <v>46241</v>
      </c>
      <c r="F347" s="30">
        <v>46248</v>
      </c>
      <c r="G347" s="37">
        <v>4420230989</v>
      </c>
      <c r="H347" s="37" t="s">
        <v>373</v>
      </c>
      <c r="I347" s="37">
        <v>9040044285</v>
      </c>
      <c r="J347" s="37" t="s">
        <v>100</v>
      </c>
      <c r="K347" s="325" t="s">
        <v>101</v>
      </c>
      <c r="L347" s="181">
        <v>2</v>
      </c>
      <c r="M347" s="181" t="s">
        <v>427</v>
      </c>
      <c r="N347" s="37" t="s">
        <v>432</v>
      </c>
      <c r="O347" s="31">
        <f>IF(F347&gt;0,F347-AB347,"")</f>
        <v>-33</v>
      </c>
      <c r="P347" s="37" t="str">
        <f>IF(F347&gt;0,IF(AB347="","PLANNING SUPPLY",IF(AB347&lt;=F347,"ONTIME DELIVERY","DELAY")),"")</f>
        <v>DELAY</v>
      </c>
      <c r="Q347" s="181" t="str">
        <f>IFERROR(IF(J347&gt;0,VLOOKUP(J347,#REF!,MATCH($Q$6,#REF!,0),0),""),"")</f>
        <v/>
      </c>
      <c r="R347" s="181" t="str">
        <f>IFERROR(IF(J347&gt;0,VLOOKUP(J347,#REF!,MATCH($R$6,#REF!,0),0),""),"")</f>
        <v/>
      </c>
      <c r="S347" s="181" t="e">
        <f>IF(I350&gt;0,Q347+R347,"")</f>
        <v>#VALUE!</v>
      </c>
      <c r="T347" s="181"/>
      <c r="U347" s="181"/>
      <c r="V347" s="37"/>
      <c r="W347" s="181" t="e">
        <f>IF(I350&gt;0,IF(S347&gt;L347,"READY STOCK",IF(S347=0,"OUT OF STOCK",IF(S347&lt;L347,"LOW STOCK",""))),"")</f>
        <v>#VALUE!</v>
      </c>
      <c r="X347" s="38"/>
      <c r="Y347" s="38"/>
      <c r="Z347" s="38"/>
      <c r="AA347" s="38"/>
      <c r="AB347" s="50">
        <v>46281</v>
      </c>
      <c r="AC347" s="181">
        <v>34293</v>
      </c>
      <c r="AD347" s="51">
        <v>2</v>
      </c>
      <c r="AE347" s="37" t="s">
        <v>383</v>
      </c>
      <c r="AF347" s="37" t="s">
        <v>381</v>
      </c>
      <c r="AG347" s="33" t="str">
        <f>IF(G347&gt;0,IF(AD347&gt;0,IF(AD347=0,"Waiting",IF(AD347&lt;L347,"Partial",IF(AD347=L347,"Full Supply",IF(AD347&gt;L347,"Over Shared")))),"Waiting"),"")</f>
        <v>Full Supply</v>
      </c>
      <c r="AH347" s="156">
        <v>46246</v>
      </c>
      <c r="AI347" s="37" t="s">
        <v>1283</v>
      </c>
      <c r="AJ347" s="181">
        <v>10</v>
      </c>
      <c r="AK347" s="40"/>
      <c r="AL347" s="40"/>
      <c r="AM347" s="40"/>
      <c r="AN347" s="227" t="s">
        <v>1298</v>
      </c>
      <c r="AO347" s="34"/>
      <c r="AP347" s="37"/>
      <c r="AQ347" s="37"/>
      <c r="AR347" s="37"/>
      <c r="AS347" s="37"/>
      <c r="AT347" s="37">
        <f>AS347-AD347</f>
        <v>-2</v>
      </c>
      <c r="AU347" s="36" t="str">
        <f>IF(AR347=0,"Waiting",IF(AR347&lt;AH347,"Kurang",IF(AR347=AH347,"Sesuai",IF(AR347&gt;AH347,"Over Shared"))))</f>
        <v>Waiting</v>
      </c>
      <c r="AV347" s="37"/>
      <c r="AW347" s="37" t="str">
        <f>IFERROR(DATEDIF(AH347,AK347,"d"),"0")&amp;"-DAY"</f>
        <v>0-DAY</v>
      </c>
      <c r="AX347" s="37" t="str">
        <f>IFERROR(DATEDIF(B347,AB347,"d"),"0")&amp;"-DAY"</f>
        <v>37-DAY</v>
      </c>
      <c r="AY347" s="37"/>
      <c r="AZ347" s="181">
        <f>L347-AD347</f>
        <v>0</v>
      </c>
    </row>
    <row r="348" spans="1:52" ht="15.5" customHeight="1">
      <c r="A348" s="360" t="s">
        <v>372</v>
      </c>
      <c r="B348" s="340">
        <v>46244</v>
      </c>
      <c r="C348" s="181">
        <v>49305</v>
      </c>
      <c r="D348" s="30">
        <v>46244</v>
      </c>
      <c r="E348" s="30">
        <v>46236</v>
      </c>
      <c r="F348" s="30">
        <v>46262</v>
      </c>
      <c r="G348" s="37">
        <v>4420230564</v>
      </c>
      <c r="H348" s="37" t="s">
        <v>373</v>
      </c>
      <c r="I348" s="37">
        <v>9040130309</v>
      </c>
      <c r="J348" s="37" t="s">
        <v>120</v>
      </c>
      <c r="K348" s="325" t="s">
        <v>121</v>
      </c>
      <c r="L348" s="181">
        <v>1</v>
      </c>
      <c r="M348" s="181" t="s">
        <v>375</v>
      </c>
      <c r="N348" s="37" t="s">
        <v>431</v>
      </c>
      <c r="O348" s="31">
        <f>IF(F348&gt;0,F348-AB348,"")</f>
        <v>46262</v>
      </c>
      <c r="P348" s="37" t="str">
        <f>IF(F348&gt;0,IF(AB348="","PLANNING SUPPLY",IF(AB348&lt;=F348,"ONTIME DELIVERY","DELAY")),"")</f>
        <v>PLANNING SUPPLY</v>
      </c>
      <c r="Q348" s="181" t="str">
        <f>IFERROR(IF(J348&gt;0,VLOOKUP(J348,#REF!,MATCH($Q$6,#REF!,0),0),""),"")</f>
        <v/>
      </c>
      <c r="R348" s="181" t="str">
        <f>IFERROR(IF(J348&gt;0,VLOOKUP(J348,#REF!,MATCH($R$6,#REF!,0),0),""),"")</f>
        <v/>
      </c>
      <c r="S348" s="181" t="e">
        <f>IF(I351&gt;0,Q348+R348,"")</f>
        <v>#VALUE!</v>
      </c>
      <c r="T348" s="181"/>
      <c r="U348" s="181"/>
      <c r="V348" s="37"/>
      <c r="W348" s="181" t="e">
        <f>IF(I351&gt;0,IF(S348&gt;L348,"READY STOCK",IF(S348=0,"OUT OF STOCK",IF(S348&lt;L348,"LOW STOCK",""))),"")</f>
        <v>#VALUE!</v>
      </c>
      <c r="X348" s="38"/>
      <c r="Y348" s="38"/>
      <c r="Z348" s="38"/>
      <c r="AA348" s="38"/>
      <c r="AB348" s="50"/>
      <c r="AC348" s="181"/>
      <c r="AD348" s="51"/>
      <c r="AE348" s="37"/>
      <c r="AF348" s="37"/>
      <c r="AG348" s="33" t="str">
        <f>IF(G348&gt;0,IF(AD348&gt;0,IF(AD348=0,"Waiting",IF(AD348&lt;L348,"Partial",IF(AD348=L348,"Full Supply",IF(AD348&gt;L348,"Over Shared")))),"Waiting"),"")</f>
        <v>Waiting</v>
      </c>
      <c r="AH348" s="156">
        <v>46246</v>
      </c>
      <c r="AI348" s="37" t="s">
        <v>1299</v>
      </c>
      <c r="AJ348" s="181">
        <v>4</v>
      </c>
      <c r="AK348" s="181">
        <v>26321</v>
      </c>
      <c r="AL348" s="215">
        <v>46282</v>
      </c>
      <c r="AM348" s="181">
        <v>20</v>
      </c>
      <c r="AN348" s="37"/>
      <c r="AO348" s="232"/>
      <c r="AP348" s="37"/>
      <c r="AQ348" s="37"/>
      <c r="AR348" s="37"/>
      <c r="AS348" s="37"/>
      <c r="AT348" s="37">
        <f>AS348-AD348</f>
        <v>0</v>
      </c>
      <c r="AU348" s="36" t="str">
        <f>IF(AR348=0,"Waiting",IF(AR348&lt;AH348,"Kurang",IF(AR348=AH348,"Sesuai",IF(AR348&gt;AH348,"Over Shared"))))</f>
        <v>Waiting</v>
      </c>
      <c r="AV348" s="37"/>
      <c r="AW348" s="37" t="str">
        <f>IFERROR(DATEDIF(AH348,AK348,"d"),"0")&amp;"-DAY"</f>
        <v>0-DAY</v>
      </c>
      <c r="AX348" s="37" t="str">
        <f>IFERROR(DATEDIF(B348,AB348,"d"),"0")&amp;"-DAY"</f>
        <v>0-DAY</v>
      </c>
      <c r="AY348" s="37"/>
      <c r="AZ348" s="181">
        <f>L348-AD348</f>
        <v>1</v>
      </c>
    </row>
    <row r="349" spans="1:52" ht="15.5" customHeight="1">
      <c r="A349" s="360" t="s">
        <v>372</v>
      </c>
      <c r="B349" s="340">
        <v>46244</v>
      </c>
      <c r="C349" s="181">
        <v>49305</v>
      </c>
      <c r="D349" s="30">
        <v>46244</v>
      </c>
      <c r="E349" s="30">
        <v>46236</v>
      </c>
      <c r="F349" s="30">
        <v>46262</v>
      </c>
      <c r="G349" s="37">
        <v>4420230564</v>
      </c>
      <c r="H349" s="37" t="s">
        <v>373</v>
      </c>
      <c r="I349" s="37">
        <v>9040130310</v>
      </c>
      <c r="J349" s="37" t="s">
        <v>120</v>
      </c>
      <c r="K349" s="325" t="s">
        <v>121</v>
      </c>
      <c r="L349" s="181">
        <v>1</v>
      </c>
      <c r="M349" s="181" t="s">
        <v>375</v>
      </c>
      <c r="N349" s="37" t="s">
        <v>431</v>
      </c>
      <c r="O349" s="31">
        <f>IF(F349&gt;0,F349-AB349,"")</f>
        <v>46262</v>
      </c>
      <c r="P349" s="37" t="str">
        <f>IF(F349&gt;0,IF(AB349="","PLANNING SUPPLY",IF(AB349&lt;=F349,"ONTIME DELIVERY","DELAY")),"")</f>
        <v>PLANNING SUPPLY</v>
      </c>
      <c r="Q349" s="181" t="str">
        <f>IFERROR(IF(J349&gt;0,VLOOKUP(J349,#REF!,MATCH($Q$6,#REF!,0),0),""),"")</f>
        <v/>
      </c>
      <c r="R349" s="181" t="str">
        <f>IFERROR(IF(J349&gt;0,VLOOKUP(J349,#REF!,MATCH($R$6,#REF!,0),0),""),"")</f>
        <v/>
      </c>
      <c r="S349" s="181" t="e">
        <f>IF(I352&gt;0,Q349+R349,"")</f>
        <v>#VALUE!</v>
      </c>
      <c r="T349" s="181"/>
      <c r="U349" s="181"/>
      <c r="V349" s="37"/>
      <c r="W349" s="181" t="e">
        <f>IF(I352&gt;0,IF(S349&gt;L349,"READY STOCK",IF(S349=0,"OUT OF STOCK",IF(S349&lt;L349,"LOW STOCK",""))),"")</f>
        <v>#VALUE!</v>
      </c>
      <c r="X349" s="38"/>
      <c r="Y349" s="38"/>
      <c r="Z349" s="38"/>
      <c r="AA349" s="38"/>
      <c r="AB349" s="50"/>
      <c r="AC349" s="181"/>
      <c r="AD349" s="51"/>
      <c r="AE349" s="37"/>
      <c r="AF349" s="37"/>
      <c r="AG349" s="33" t="str">
        <f>IF(G349&gt;0,IF(AD349&gt;0,IF(AD349=0,"Waiting",IF(AD349&lt;L349,"Partial",IF(AD349=L349,"Full Supply",IF(AD349&gt;L349,"Over Shared")))),"Waiting"),"")</f>
        <v>Waiting</v>
      </c>
      <c r="AH349" s="156">
        <v>46246</v>
      </c>
      <c r="AI349" s="37" t="s">
        <v>1299</v>
      </c>
      <c r="AJ349" s="181">
        <v>4</v>
      </c>
      <c r="AK349" s="181">
        <v>26321</v>
      </c>
      <c r="AL349" s="215">
        <v>46282</v>
      </c>
      <c r="AM349" s="181">
        <v>20</v>
      </c>
      <c r="AN349" s="37"/>
      <c r="AO349" s="232"/>
      <c r="AP349" s="37"/>
      <c r="AQ349" s="37"/>
      <c r="AR349" s="37"/>
      <c r="AS349" s="37"/>
      <c r="AT349" s="37">
        <f>AS349-AD349</f>
        <v>0</v>
      </c>
      <c r="AU349" s="36" t="str">
        <f>IF(AR349=0,"Waiting",IF(AR349&lt;AH349,"Kurang",IF(AR349=AH349,"Sesuai",IF(AR349&gt;AH349,"Over Shared"))))</f>
        <v>Waiting</v>
      </c>
      <c r="AV349" s="37"/>
      <c r="AW349" s="37" t="str">
        <f>IFERROR(DATEDIF(AH349,AK349,"d"),"0")&amp;"-DAY"</f>
        <v>0-DAY</v>
      </c>
      <c r="AX349" s="37" t="str">
        <f>IFERROR(DATEDIF(B349,AB349,"d"),"0")&amp;"-DAY"</f>
        <v>0-DAY</v>
      </c>
      <c r="AY349" s="37"/>
      <c r="AZ349" s="181">
        <f>L349-AD349</f>
        <v>1</v>
      </c>
    </row>
    <row r="350" spans="1:52" ht="15.5" customHeight="1">
      <c r="A350" s="360" t="s">
        <v>372</v>
      </c>
      <c r="B350" s="340">
        <v>46244</v>
      </c>
      <c r="C350" s="181">
        <v>49305</v>
      </c>
      <c r="D350" s="30">
        <v>46244</v>
      </c>
      <c r="E350" s="30">
        <v>46236</v>
      </c>
      <c r="F350" s="30">
        <v>46262</v>
      </c>
      <c r="G350" s="37">
        <v>4420230564</v>
      </c>
      <c r="H350" s="37" t="s">
        <v>373</v>
      </c>
      <c r="I350" s="37">
        <v>9040132279</v>
      </c>
      <c r="J350" s="37" t="s">
        <v>247</v>
      </c>
      <c r="K350" s="325" t="s">
        <v>248</v>
      </c>
      <c r="L350" s="181">
        <v>5</v>
      </c>
      <c r="M350" s="181" t="s">
        <v>375</v>
      </c>
      <c r="N350" s="37" t="s">
        <v>431</v>
      </c>
      <c r="O350" s="31">
        <f>IF(F350&gt;0,F350-AB350,"")</f>
        <v>46262</v>
      </c>
      <c r="P350" s="37" t="str">
        <f>IF(F350&gt;0,IF(AB350="","PLANNING SUPPLY",IF(AB350&lt;=F350,"ONTIME DELIVERY","DELAY")),"")</f>
        <v>PLANNING SUPPLY</v>
      </c>
      <c r="Q350" s="181" t="str">
        <f>IFERROR(IF(J350&gt;0,VLOOKUP(J350,#REF!,MATCH($Q$6,#REF!,0),0),""),"")</f>
        <v/>
      </c>
      <c r="R350" s="181" t="str">
        <f>IFERROR(IF(J350&gt;0,VLOOKUP(J350,#REF!,MATCH($R$6,#REF!,0),0),""),"")</f>
        <v/>
      </c>
      <c r="S350" s="181" t="e">
        <f>IF(I353&gt;0,Q350+R350,"")</f>
        <v>#VALUE!</v>
      </c>
      <c r="T350" s="181"/>
      <c r="U350" s="181"/>
      <c r="V350" s="37"/>
      <c r="W350" s="181" t="e">
        <f>IF(I353&gt;0,IF(S350&gt;L350,"READY STOCK",IF(S350=0,"OUT OF STOCK",IF(S350&lt;L350,"LOW STOCK",""))),"")</f>
        <v>#VALUE!</v>
      </c>
      <c r="X350" s="38"/>
      <c r="Y350" s="38"/>
      <c r="Z350" s="38"/>
      <c r="AA350" s="38"/>
      <c r="AB350" s="50"/>
      <c r="AC350" s="181"/>
      <c r="AD350" s="51"/>
      <c r="AE350" s="37"/>
      <c r="AF350" s="37"/>
      <c r="AG350" s="33" t="str">
        <f>IF(G350&gt;0,IF(AD350&gt;0,IF(AD350=0,"Waiting",IF(AD350&lt;L350,"Partial",IF(AD350=L350,"Full Supply",IF(AD350&gt;L350,"Over Shared")))),"Waiting"),"")</f>
        <v>Waiting</v>
      </c>
      <c r="AH350" s="56">
        <v>46247</v>
      </c>
      <c r="AI350" s="37" t="s">
        <v>1300</v>
      </c>
      <c r="AJ350" s="181">
        <v>5</v>
      </c>
      <c r="AK350" s="40">
        <v>26321</v>
      </c>
      <c r="AL350" s="40"/>
      <c r="AM350" s="40">
        <v>100</v>
      </c>
      <c r="AN350" s="212"/>
      <c r="AO350" s="232"/>
      <c r="AP350" s="37"/>
      <c r="AQ350" s="37"/>
      <c r="AR350" s="37"/>
      <c r="AS350" s="37"/>
      <c r="AT350" s="37">
        <f>AS350-AD350</f>
        <v>0</v>
      </c>
      <c r="AU350" s="36" t="str">
        <f>IF(AR350=0,"Waiting",IF(AR350&lt;AH350,"Kurang",IF(AR350=AH350,"Sesuai",IF(AR350&gt;AH350,"Over Shared"))))</f>
        <v>Waiting</v>
      </c>
      <c r="AV350" s="37"/>
      <c r="AW350" s="37" t="str">
        <f>IFERROR(DATEDIF(AH350,AK350,"d"),"0")&amp;"-DAY"</f>
        <v>0-DAY</v>
      </c>
      <c r="AX350" s="37" t="str">
        <f>IFERROR(DATEDIF(B350,AB350,"d"),"0")&amp;"-DAY"</f>
        <v>0-DAY</v>
      </c>
      <c r="AY350" s="37"/>
      <c r="AZ350" s="181">
        <f>L350-AD350</f>
        <v>5</v>
      </c>
    </row>
    <row r="351" spans="1:52" ht="15.5" customHeight="1">
      <c r="A351" s="360" t="s">
        <v>372</v>
      </c>
      <c r="B351" s="340">
        <v>46244</v>
      </c>
      <c r="C351" s="181">
        <v>49305</v>
      </c>
      <c r="D351" s="30">
        <v>46244</v>
      </c>
      <c r="E351" s="30">
        <v>46236</v>
      </c>
      <c r="F351" s="30">
        <v>46262</v>
      </c>
      <c r="G351" s="37">
        <v>4420230564</v>
      </c>
      <c r="H351" s="37" t="s">
        <v>373</v>
      </c>
      <c r="I351" s="37">
        <v>9040130309</v>
      </c>
      <c r="J351" s="37" t="s">
        <v>120</v>
      </c>
      <c r="K351" s="325" t="s">
        <v>121</v>
      </c>
      <c r="L351" s="181">
        <v>1</v>
      </c>
      <c r="M351" s="181" t="s">
        <v>375</v>
      </c>
      <c r="N351" s="37" t="s">
        <v>431</v>
      </c>
      <c r="O351" s="31">
        <f>IF(F351&gt;0,F351-AB351,"")</f>
        <v>46262</v>
      </c>
      <c r="P351" s="37" t="str">
        <f>IF(F351&gt;0,IF(AB351="","PLANNING SUPPLY",IF(AB351&lt;=F351,"ONTIME DELIVERY","DELAY")),"")</f>
        <v>PLANNING SUPPLY</v>
      </c>
      <c r="Q351" s="181" t="str">
        <f>IFERROR(IF(J351&gt;0,VLOOKUP(J351,#REF!,MATCH($Q$6,#REF!,0),0),""),"")</f>
        <v/>
      </c>
      <c r="R351" s="181" t="str">
        <f>IFERROR(IF(J351&gt;0,VLOOKUP(J351,#REF!,MATCH($R$6,#REF!,0),0),""),"")</f>
        <v/>
      </c>
      <c r="S351" s="181" t="e">
        <f>IF(I354&gt;0,Q351+R351,"")</f>
        <v>#VALUE!</v>
      </c>
      <c r="T351" s="181"/>
      <c r="U351" s="181"/>
      <c r="V351" s="37"/>
      <c r="W351" s="181" t="e">
        <f>IF(I354&gt;0,IF(S351&gt;L351,"READY STOCK",IF(S351=0,"OUT OF STOCK",IF(S351&lt;L351,"LOW STOCK",""))),"")</f>
        <v>#VALUE!</v>
      </c>
      <c r="X351" s="38"/>
      <c r="Y351" s="38"/>
      <c r="Z351" s="38"/>
      <c r="AA351" s="38"/>
      <c r="AB351" s="50"/>
      <c r="AC351" s="181"/>
      <c r="AD351" s="51"/>
      <c r="AE351" s="37"/>
      <c r="AF351" s="37"/>
      <c r="AG351" s="33" t="str">
        <f>IF(G351&gt;0,IF(AD351&gt;0,IF(AD351=0,"Waiting",IF(AD351&lt;L351,"Partial",IF(AD351=L351,"Full Supply",IF(AD351&gt;L351,"Over Shared")))),"Waiting"),"")</f>
        <v>Waiting</v>
      </c>
      <c r="AH351" s="156">
        <v>46246</v>
      </c>
      <c r="AI351" s="37" t="s">
        <v>1299</v>
      </c>
      <c r="AJ351" s="181">
        <v>4</v>
      </c>
      <c r="AK351" s="181">
        <v>26321</v>
      </c>
      <c r="AL351" s="215">
        <v>46282</v>
      </c>
      <c r="AM351" s="181">
        <v>20</v>
      </c>
      <c r="AN351" s="37"/>
      <c r="AO351" s="232"/>
      <c r="AP351" s="37"/>
      <c r="AQ351" s="37"/>
      <c r="AR351" s="37"/>
      <c r="AS351" s="37"/>
      <c r="AT351" s="37">
        <f>AS351-AD351</f>
        <v>0</v>
      </c>
      <c r="AU351" s="36" t="str">
        <f>IF(AR351=0,"Waiting",IF(AR351&lt;AH351,"Kurang",IF(AR351=AH351,"Sesuai",IF(AR351&gt;AH351,"Over Shared"))))</f>
        <v>Waiting</v>
      </c>
      <c r="AV351" s="37"/>
      <c r="AW351" s="37" t="str">
        <f>IFERROR(DATEDIF(AH351,AK351,"d"),"0")&amp;"-DAY"</f>
        <v>0-DAY</v>
      </c>
      <c r="AX351" s="37" t="str">
        <f>IFERROR(DATEDIF(B351,AB351,"d"),"0")&amp;"-DAY"</f>
        <v>0-DAY</v>
      </c>
      <c r="AY351" s="37"/>
      <c r="AZ351" s="181">
        <f>L351-AD351</f>
        <v>1</v>
      </c>
    </row>
    <row r="352" spans="1:52" ht="15.5" customHeight="1">
      <c r="A352" s="360" t="s">
        <v>372</v>
      </c>
      <c r="B352" s="340">
        <v>46244</v>
      </c>
      <c r="C352" s="181">
        <v>49305</v>
      </c>
      <c r="D352" s="30">
        <v>46244</v>
      </c>
      <c r="E352" s="30">
        <v>46236</v>
      </c>
      <c r="F352" s="30">
        <v>46262</v>
      </c>
      <c r="G352" s="37">
        <v>4420230564</v>
      </c>
      <c r="H352" s="37" t="s">
        <v>373</v>
      </c>
      <c r="I352" s="37">
        <v>9040130310</v>
      </c>
      <c r="J352" s="37" t="s">
        <v>120</v>
      </c>
      <c r="K352" s="325" t="s">
        <v>121</v>
      </c>
      <c r="L352" s="181">
        <v>1</v>
      </c>
      <c r="M352" s="181" t="s">
        <v>375</v>
      </c>
      <c r="N352" s="37" t="s">
        <v>431</v>
      </c>
      <c r="O352" s="31">
        <f>IF(F352&gt;0,F352-AB352,"")</f>
        <v>46262</v>
      </c>
      <c r="P352" s="37" t="str">
        <f>IF(F352&gt;0,IF(AB352="","PLANNING SUPPLY",IF(AB352&lt;=F352,"ONTIME DELIVERY","DELAY")),"")</f>
        <v>PLANNING SUPPLY</v>
      </c>
      <c r="Q352" s="181" t="str">
        <f>IFERROR(IF(J352&gt;0,VLOOKUP(J352,#REF!,MATCH($Q$6,#REF!,0),0),""),"")</f>
        <v/>
      </c>
      <c r="R352" s="181" t="str">
        <f>IFERROR(IF(J352&gt;0,VLOOKUP(J352,#REF!,MATCH($R$6,#REF!,0),0),""),"")</f>
        <v/>
      </c>
      <c r="S352" s="181" t="e">
        <f>IF(I355&gt;0,Q352+R352,"")</f>
        <v>#VALUE!</v>
      </c>
      <c r="T352" s="181"/>
      <c r="U352" s="181"/>
      <c r="V352" s="37"/>
      <c r="W352" s="181" t="e">
        <f>IF(I355&gt;0,IF(S352&gt;L352,"READY STOCK",IF(S352=0,"OUT OF STOCK",IF(S352&lt;L352,"LOW STOCK",""))),"")</f>
        <v>#VALUE!</v>
      </c>
      <c r="X352" s="38"/>
      <c r="Y352" s="38"/>
      <c r="Z352" s="38"/>
      <c r="AA352" s="38"/>
      <c r="AB352" s="50"/>
      <c r="AC352" s="181"/>
      <c r="AD352" s="51"/>
      <c r="AE352" s="37"/>
      <c r="AF352" s="37"/>
      <c r="AG352" s="33" t="str">
        <f>IF(G352&gt;0,IF(AD352&gt;0,IF(AD352=0,"Waiting",IF(AD352&lt;L352,"Partial",IF(AD352=L352,"Full Supply",IF(AD352&gt;L352,"Over Shared")))),"Waiting"),"")</f>
        <v>Waiting</v>
      </c>
      <c r="AH352" s="156">
        <v>46246</v>
      </c>
      <c r="AI352" s="37" t="s">
        <v>1299</v>
      </c>
      <c r="AJ352" s="181">
        <v>4</v>
      </c>
      <c r="AK352" s="181">
        <v>26321</v>
      </c>
      <c r="AL352" s="215">
        <v>46282</v>
      </c>
      <c r="AM352" s="181">
        <v>20</v>
      </c>
      <c r="AN352" s="37"/>
      <c r="AO352" s="232"/>
      <c r="AP352" s="37"/>
      <c r="AQ352" s="37"/>
      <c r="AR352" s="37"/>
      <c r="AS352" s="37"/>
      <c r="AT352" s="37">
        <f>AS352-AD352</f>
        <v>0</v>
      </c>
      <c r="AU352" s="36" t="str">
        <f>IF(AR352=0,"Waiting",IF(AR352&lt;AH352,"Kurang",IF(AR352=AH352,"Sesuai",IF(AR352&gt;AH352,"Over Shared"))))</f>
        <v>Waiting</v>
      </c>
      <c r="AV352" s="37"/>
      <c r="AW352" s="37" t="str">
        <f>IFERROR(DATEDIF(AH352,AK352,"d"),"0")&amp;"-DAY"</f>
        <v>0-DAY</v>
      </c>
      <c r="AX352" s="37" t="str">
        <f>IFERROR(DATEDIF(B352,AB352,"d"),"0")&amp;"-DAY"</f>
        <v>0-DAY</v>
      </c>
      <c r="AY352" s="37"/>
      <c r="AZ352" s="181">
        <f>L352-AD352</f>
        <v>1</v>
      </c>
    </row>
    <row r="353" spans="1:52" ht="15.5" customHeight="1">
      <c r="A353" s="360" t="s">
        <v>372</v>
      </c>
      <c r="B353" s="340">
        <v>46245</v>
      </c>
      <c r="C353" s="181">
        <v>49333</v>
      </c>
      <c r="D353" s="30">
        <v>46245</v>
      </c>
      <c r="E353" s="30">
        <v>46240</v>
      </c>
      <c r="F353" s="30">
        <v>46273</v>
      </c>
      <c r="G353" s="37">
        <v>4420230901</v>
      </c>
      <c r="H353" s="37" t="s">
        <v>373</v>
      </c>
      <c r="I353" s="37">
        <v>9040028877</v>
      </c>
      <c r="J353" s="37" t="s">
        <v>199</v>
      </c>
      <c r="K353" s="325" t="s">
        <v>200</v>
      </c>
      <c r="L353" s="181">
        <v>3</v>
      </c>
      <c r="M353" s="181" t="s">
        <v>375</v>
      </c>
      <c r="N353" s="37" t="s">
        <v>376</v>
      </c>
      <c r="O353" s="31">
        <f>IF(F353&gt;0,F353-AB353,"")</f>
        <v>20</v>
      </c>
      <c r="P353" s="37" t="str">
        <f>IF(F353&gt;0,IF(AB353="","PLANNING SUPPLY",IF(AB353&lt;=F353,"ONTIME DELIVERY","DELAY")),"")</f>
        <v>ONTIME DELIVERY</v>
      </c>
      <c r="Q353" s="181" t="str">
        <f>IFERROR(IF(J353&gt;0,VLOOKUP(J353,#REF!,MATCH($Q$6,#REF!,0),0),""),"")</f>
        <v/>
      </c>
      <c r="R353" s="181" t="str">
        <f>IFERROR(IF(J353&gt;0,VLOOKUP(J353,#REF!,MATCH($R$6,#REF!,0),0),""),"")</f>
        <v/>
      </c>
      <c r="S353" s="181" t="e">
        <f>IF(I356&gt;0,Q353+R353,"")</f>
        <v>#VALUE!</v>
      </c>
      <c r="T353" s="181"/>
      <c r="U353" s="181"/>
      <c r="V353" s="37"/>
      <c r="W353" s="181" t="e">
        <f>IF(I356&gt;0,IF(S353&gt;L353,"READY STOCK",IF(S353=0,"OUT OF STOCK",IF(S353&lt;L353,"LOW STOCK",""))),"")</f>
        <v>#VALUE!</v>
      </c>
      <c r="X353" s="38"/>
      <c r="Y353" s="38"/>
      <c r="Z353" s="38"/>
      <c r="AA353" s="38"/>
      <c r="AB353" s="50">
        <v>46253</v>
      </c>
      <c r="AC353" s="181">
        <v>33751</v>
      </c>
      <c r="AD353" s="51">
        <v>3</v>
      </c>
      <c r="AE353" s="37" t="s">
        <v>383</v>
      </c>
      <c r="AF353" s="37" t="s">
        <v>381</v>
      </c>
      <c r="AG353" s="33" t="str">
        <f>IF(G353&gt;0,IF(AD353&gt;0,IF(AD353=0,"Waiting",IF(AD353&lt;L353,"Partial",IF(AD353=L353,"Full Supply",IF(AD353&gt;L353,"Over Shared")))),"Waiting"),"")</f>
        <v>Full Supply</v>
      </c>
      <c r="AH353" s="37"/>
      <c r="AI353" s="37"/>
      <c r="AJ353" s="181"/>
      <c r="AK353" s="40"/>
      <c r="AL353" s="40"/>
      <c r="AM353" s="40"/>
      <c r="AN353" s="37"/>
      <c r="AO353" s="34"/>
      <c r="AP353" s="37"/>
      <c r="AQ353" s="37"/>
      <c r="AR353" s="37"/>
      <c r="AS353" s="37"/>
      <c r="AT353" s="37">
        <f>AS353-AD353</f>
        <v>-3</v>
      </c>
      <c r="AU353" s="36" t="str">
        <f>IF(AR353=0,"Waiting",IF(AR353&lt;AH353,"Kurang",IF(AR353=AH353,"Sesuai",IF(AR353&gt;AH353,"Over Shared"))))</f>
        <v>Waiting</v>
      </c>
      <c r="AV353" s="37">
        <v>54581</v>
      </c>
      <c r="AW353" s="37" t="str">
        <f>IFERROR(DATEDIF(AH353,AK353,"d"),"0")&amp;"-DAY"</f>
        <v>0-DAY</v>
      </c>
      <c r="AX353" s="37" t="str">
        <f>IFERROR(DATEDIF(B353,AB353,"d"),"0")&amp;"-DAY"</f>
        <v>8-DAY</v>
      </c>
      <c r="AY353" s="37"/>
      <c r="AZ353" s="181">
        <f>L353-AD353</f>
        <v>0</v>
      </c>
    </row>
    <row r="354" spans="1:52" ht="15.5" customHeight="1">
      <c r="A354" s="360" t="s">
        <v>372</v>
      </c>
      <c r="B354" s="340">
        <v>46245</v>
      </c>
      <c r="C354" s="181">
        <v>49333</v>
      </c>
      <c r="D354" s="30">
        <v>46245</v>
      </c>
      <c r="E354" s="30">
        <v>46240</v>
      </c>
      <c r="F354" s="30">
        <v>46273</v>
      </c>
      <c r="G354" s="37">
        <v>4420230901</v>
      </c>
      <c r="H354" s="37" t="s">
        <v>373</v>
      </c>
      <c r="I354" s="37">
        <v>9040040401</v>
      </c>
      <c r="J354" s="37" t="s">
        <v>231</v>
      </c>
      <c r="K354" s="325" t="s">
        <v>232</v>
      </c>
      <c r="L354" s="181">
        <v>2</v>
      </c>
      <c r="M354" s="181" t="s">
        <v>389</v>
      </c>
      <c r="N354" s="37" t="s">
        <v>376</v>
      </c>
      <c r="O354" s="31">
        <f>IF(F354&gt;0,F354-AB354,"")</f>
        <v>-35</v>
      </c>
      <c r="P354" s="37" t="str">
        <f>IF(F354&gt;0,IF(AB354="","PLANNING SUPPLY",IF(AB354&lt;=F354,"ONTIME DELIVERY","DELAY")),"")</f>
        <v>DELAY</v>
      </c>
      <c r="Q354" s="181" t="str">
        <f>IFERROR(IF(J354&gt;0,VLOOKUP(J354,#REF!,MATCH($Q$6,#REF!,0),0),""),"")</f>
        <v/>
      </c>
      <c r="R354" s="181" t="str">
        <f>IFERROR(IF(J354&gt;0,VLOOKUP(J354,#REF!,MATCH($R$6,#REF!,0),0),""),"")</f>
        <v/>
      </c>
      <c r="S354" s="181" t="e">
        <f>IF(I357&gt;0,Q354+R354,"")</f>
        <v>#VALUE!</v>
      </c>
      <c r="T354" s="181"/>
      <c r="U354" s="181"/>
      <c r="V354" s="37"/>
      <c r="W354" s="181" t="e">
        <f>IF(I357&gt;0,IF(S354&gt;L354,"READY STOCK",IF(S354=0,"OUT OF STOCK",IF(S354&lt;L354,"LOW STOCK",""))),"")</f>
        <v>#VALUE!</v>
      </c>
      <c r="X354" s="38"/>
      <c r="Y354" s="38"/>
      <c r="Z354" s="38"/>
      <c r="AA354" s="38"/>
      <c r="AB354" s="57">
        <v>46308</v>
      </c>
      <c r="AC354" s="246">
        <v>34999</v>
      </c>
      <c r="AD354" s="53">
        <v>2</v>
      </c>
      <c r="AE354" s="58" t="s">
        <v>387</v>
      </c>
      <c r="AF354" s="58" t="s">
        <v>381</v>
      </c>
      <c r="AG354" s="33" t="str">
        <f>IF(G354&gt;0,IF(AD354&gt;0,IF(AD354=0,"Waiting",IF(AD354&lt;L354,"Partial",IF(AD354=L354,"Full Supply",IF(AD354&gt;L354,"Over Shared")))),"Waiting"),"")</f>
        <v>Full Supply</v>
      </c>
      <c r="AH354" s="156"/>
      <c r="AI354" s="37"/>
      <c r="AJ354" s="181"/>
      <c r="AK354" s="40"/>
      <c r="AL354" s="40"/>
      <c r="AM354" s="40"/>
      <c r="AN354" s="212" t="s">
        <v>1291</v>
      </c>
      <c r="AO354" s="34"/>
      <c r="AP354" s="37"/>
      <c r="AQ354" s="37"/>
      <c r="AR354" s="37"/>
      <c r="AS354" s="37"/>
      <c r="AT354" s="37">
        <f>AS354-AD354</f>
        <v>-2</v>
      </c>
      <c r="AU354" s="36" t="str">
        <f>IF(AR354=0,"Waiting",IF(AR354&lt;AH354,"Kurang",IF(AR354=AH354,"Sesuai",IF(AR354&gt;AH354,"Over Shared"))))</f>
        <v>Waiting</v>
      </c>
      <c r="AV354" s="37"/>
      <c r="AW354" s="37" t="str">
        <f>IFERROR(DATEDIF(AH354,AK354,"d"),"0")&amp;"-DAY"</f>
        <v>0-DAY</v>
      </c>
      <c r="AX354" s="37" t="str">
        <f>IFERROR(DATEDIF(B354,AB354,"d"),"0")&amp;"-DAY"</f>
        <v>63-DAY</v>
      </c>
      <c r="AY354" s="37"/>
      <c r="AZ354" s="181">
        <f>L354-AD354</f>
        <v>0</v>
      </c>
    </row>
    <row r="355" spans="1:52" ht="15.5" customHeight="1">
      <c r="A355" s="360" t="s">
        <v>372</v>
      </c>
      <c r="B355" s="340">
        <v>46245</v>
      </c>
      <c r="C355" s="181">
        <v>49333</v>
      </c>
      <c r="D355" s="30">
        <v>46245</v>
      </c>
      <c r="E355" s="30">
        <v>46240</v>
      </c>
      <c r="F355" s="30">
        <v>46273</v>
      </c>
      <c r="G355" s="37">
        <v>4420230901</v>
      </c>
      <c r="H355" s="37" t="s">
        <v>373</v>
      </c>
      <c r="I355" s="37">
        <v>9040040588</v>
      </c>
      <c r="J355" s="37" t="s">
        <v>76</v>
      </c>
      <c r="K355" s="325" t="s">
        <v>77</v>
      </c>
      <c r="L355" s="181">
        <v>6</v>
      </c>
      <c r="M355" s="181" t="s">
        <v>375</v>
      </c>
      <c r="N355" s="37" t="s">
        <v>376</v>
      </c>
      <c r="O355" s="31">
        <f>IF(F355&gt;0,F355-AB355,"")</f>
        <v>1</v>
      </c>
      <c r="P355" s="37" t="str">
        <f>IF(F355&gt;0,IF(AB355="","PLANNING SUPPLY",IF(AB355&lt;=F355,"ONTIME DELIVERY","DELAY")),"")</f>
        <v>ONTIME DELIVERY</v>
      </c>
      <c r="Q355" s="181" t="str">
        <f>IFERROR(IF(J355&gt;0,VLOOKUP(J355,#REF!,MATCH($Q$6,#REF!,0),0),""),"")</f>
        <v/>
      </c>
      <c r="R355" s="181" t="str">
        <f>IFERROR(IF(J355&gt;0,VLOOKUP(J355,#REF!,MATCH($R$6,#REF!,0),0),""),"")</f>
        <v/>
      </c>
      <c r="S355" s="181" t="e">
        <f>IF(I358&gt;0,Q355+R355,"")</f>
        <v>#VALUE!</v>
      </c>
      <c r="T355" s="181"/>
      <c r="U355" s="181"/>
      <c r="V355" s="37"/>
      <c r="W355" s="181" t="e">
        <f>IF(I358&gt;0,IF(S355&gt;L355,"READY STOCK",IF(S355=0,"OUT OF STOCK",IF(S355&lt;L355,"LOW STOCK",""))),"")</f>
        <v>#VALUE!</v>
      </c>
      <c r="X355" s="38"/>
      <c r="Y355" s="38"/>
      <c r="Z355" s="38"/>
      <c r="AA355" s="38"/>
      <c r="AB355" s="50">
        <v>46272</v>
      </c>
      <c r="AC355" s="181">
        <v>34089</v>
      </c>
      <c r="AD355" s="51">
        <v>6</v>
      </c>
      <c r="AE355" s="37" t="s">
        <v>383</v>
      </c>
      <c r="AF355" s="37" t="s">
        <v>381</v>
      </c>
      <c r="AG355" s="33" t="str">
        <f>IF(G355&gt;0,IF(AD355&gt;0,IF(AD355=0,"Waiting",IF(AD355&lt;L355,"Partial",IF(AD355=L355,"Full Supply",IF(AD355&gt;L355,"Over Shared")))),"Waiting"),"")</f>
        <v>Full Supply</v>
      </c>
      <c r="AH355" s="56">
        <v>46247</v>
      </c>
      <c r="AI355" s="37" t="s">
        <v>646</v>
      </c>
      <c r="AJ355" s="181">
        <v>201</v>
      </c>
      <c r="AK355" s="40">
        <v>26391</v>
      </c>
      <c r="AL355" s="42">
        <v>46287</v>
      </c>
      <c r="AM355" s="40">
        <v>201</v>
      </c>
      <c r="AN355" s="37"/>
      <c r="AO355" s="41">
        <v>46295</v>
      </c>
      <c r="AP355" s="37"/>
      <c r="AQ355" s="37"/>
      <c r="AR355" s="37"/>
      <c r="AS355" s="37"/>
      <c r="AT355" s="37">
        <f>AS355-AD355</f>
        <v>-6</v>
      </c>
      <c r="AU355" s="36" t="str">
        <f>IF(AR355=0,"Waiting",IF(AR355&lt;AH355,"Kurang",IF(AR355=AH355,"Sesuai",IF(AR355&gt;AH355,"Over Shared"))))</f>
        <v>Waiting</v>
      </c>
      <c r="AV355" s="37"/>
      <c r="AW355" s="37" t="str">
        <f>IFERROR(DATEDIF(AH355,AK355,"d"),"0")&amp;"-DAY"</f>
        <v>0-DAY</v>
      </c>
      <c r="AX355" s="37" t="str">
        <f>IFERROR(DATEDIF(B355,AB355,"d"),"0")&amp;"-DAY"</f>
        <v>27-DAY</v>
      </c>
      <c r="AY355" s="37"/>
      <c r="AZ355" s="181">
        <f>L355-AD355</f>
        <v>0</v>
      </c>
    </row>
    <row r="356" spans="1:52" ht="15.5" customHeight="1">
      <c r="A356" s="360" t="s">
        <v>372</v>
      </c>
      <c r="B356" s="340">
        <v>46245</v>
      </c>
      <c r="C356" s="181">
        <v>49333</v>
      </c>
      <c r="D356" s="30">
        <v>46245</v>
      </c>
      <c r="E356" s="30">
        <v>46240</v>
      </c>
      <c r="F356" s="30">
        <v>46273</v>
      </c>
      <c r="G356" s="37">
        <v>4420230901</v>
      </c>
      <c r="H356" s="37" t="s">
        <v>373</v>
      </c>
      <c r="I356" s="37">
        <v>9040042451</v>
      </c>
      <c r="J356" s="37" t="s">
        <v>295</v>
      </c>
      <c r="K356" s="325" t="s">
        <v>296</v>
      </c>
      <c r="L356" s="181">
        <v>3</v>
      </c>
      <c r="M356" s="181" t="s">
        <v>375</v>
      </c>
      <c r="N356" s="37" t="s">
        <v>376</v>
      </c>
      <c r="O356" s="31">
        <f>IF(F356&gt;0,F356-AB356,"")</f>
        <v>20</v>
      </c>
      <c r="P356" s="37" t="str">
        <f>IF(F356&gt;0,IF(AB356="","PLANNING SUPPLY",IF(AB356&lt;=F356,"ONTIME DELIVERY","DELAY")),"")</f>
        <v>ONTIME DELIVERY</v>
      </c>
      <c r="Q356" s="181" t="str">
        <f>IFERROR(IF(J356&gt;0,VLOOKUP(J356,#REF!,MATCH($Q$6,#REF!,0),0),""),"")</f>
        <v/>
      </c>
      <c r="R356" s="181" t="str">
        <f>IFERROR(IF(J356&gt;0,VLOOKUP(J356,#REF!,MATCH($R$6,#REF!,0),0),""),"")</f>
        <v/>
      </c>
      <c r="S356" s="181" t="e">
        <f>IF(I359&gt;0,Q356+R356,"")</f>
        <v>#VALUE!</v>
      </c>
      <c r="T356" s="181"/>
      <c r="U356" s="181"/>
      <c r="V356" s="37"/>
      <c r="W356" s="181" t="e">
        <f>IF(I359&gt;0,IF(S356&gt;L356,"READY STOCK",IF(S356=0,"OUT OF STOCK",IF(S356&lt;L356,"LOW STOCK",""))),"")</f>
        <v>#VALUE!</v>
      </c>
      <c r="X356" s="38"/>
      <c r="Y356" s="38"/>
      <c r="Z356" s="38"/>
      <c r="AA356" s="38"/>
      <c r="AB356" s="50">
        <v>46253</v>
      </c>
      <c r="AC356" s="181">
        <v>33751</v>
      </c>
      <c r="AD356" s="51">
        <v>3</v>
      </c>
      <c r="AE356" s="37" t="s">
        <v>383</v>
      </c>
      <c r="AF356" s="37" t="s">
        <v>381</v>
      </c>
      <c r="AG356" s="33" t="str">
        <f>IF(G356&gt;0,IF(AD356&gt;0,IF(AD356=0,"Waiting",IF(AD356&lt;L356,"Partial",IF(AD356=L356,"Full Supply",IF(AD356&gt;L356,"Over Shared")))),"Waiting"),"")</f>
        <v>Full Supply</v>
      </c>
      <c r="AH356" s="37"/>
      <c r="AI356" s="37"/>
      <c r="AJ356" s="181"/>
      <c r="AK356" s="40"/>
      <c r="AL356" s="40"/>
      <c r="AM356" s="40"/>
      <c r="AN356" s="37"/>
      <c r="AO356" s="34"/>
      <c r="AP356" s="37"/>
      <c r="AQ356" s="37"/>
      <c r="AR356" s="37"/>
      <c r="AS356" s="37"/>
      <c r="AT356" s="37">
        <f>AS356-AD356</f>
        <v>-3</v>
      </c>
      <c r="AU356" s="36" t="str">
        <f>IF(AR356=0,"Waiting",IF(AR356&lt;AH356,"Kurang",IF(AR356=AH356,"Sesuai",IF(AR356&gt;AH356,"Over Shared"))))</f>
        <v>Waiting</v>
      </c>
      <c r="AV356" s="37"/>
      <c r="AW356" s="37" t="str">
        <f>IFERROR(DATEDIF(AH356,AK356,"d"),"0")&amp;"-DAY"</f>
        <v>0-DAY</v>
      </c>
      <c r="AX356" s="37" t="str">
        <f>IFERROR(DATEDIF(B356,AB356,"d"),"0")&amp;"-DAY"</f>
        <v>8-DAY</v>
      </c>
      <c r="AY356" s="37"/>
      <c r="AZ356" s="181">
        <f>L356-AD356</f>
        <v>0</v>
      </c>
    </row>
    <row r="357" spans="1:52" ht="15.5" customHeight="1">
      <c r="A357" s="360" t="s">
        <v>372</v>
      </c>
      <c r="B357" s="340">
        <v>46245</v>
      </c>
      <c r="C357" s="181">
        <v>49333</v>
      </c>
      <c r="D357" s="30">
        <v>46245</v>
      </c>
      <c r="E357" s="30">
        <v>46240</v>
      </c>
      <c r="F357" s="30">
        <v>46273</v>
      </c>
      <c r="G357" s="37">
        <v>4420230901</v>
      </c>
      <c r="H357" s="37" t="s">
        <v>373</v>
      </c>
      <c r="I357" s="37">
        <v>9040044191</v>
      </c>
      <c r="J357" s="37" t="s">
        <v>187</v>
      </c>
      <c r="K357" s="325" t="s">
        <v>188</v>
      </c>
      <c r="L357" s="181">
        <v>2</v>
      </c>
      <c r="M357" s="181" t="s">
        <v>375</v>
      </c>
      <c r="N357" s="37" t="s">
        <v>376</v>
      </c>
      <c r="O357" s="31">
        <f>IF(F357&gt;0,F357-AB357,"")</f>
        <v>26</v>
      </c>
      <c r="P357" s="37" t="str">
        <f>IF(F357&gt;0,IF(AB357="","PLANNING SUPPLY",IF(AB357&lt;=F357,"ONTIME DELIVERY","DELAY")),"")</f>
        <v>ONTIME DELIVERY</v>
      </c>
      <c r="Q357" s="181" t="str">
        <f>IFERROR(IF(J357&gt;0,VLOOKUP(J357,#REF!,MATCH($Q$6,#REF!,0),0),""),"")</f>
        <v/>
      </c>
      <c r="R357" s="181" t="str">
        <f>IFERROR(IF(J357&gt;0,VLOOKUP(J357,#REF!,MATCH($R$6,#REF!,0),0),""),"")</f>
        <v/>
      </c>
      <c r="S357" s="181" t="e">
        <f>IF(I360&gt;0,Q357+R357,"")</f>
        <v>#VALUE!</v>
      </c>
      <c r="T357" s="181"/>
      <c r="U357" s="181"/>
      <c r="V357" s="37"/>
      <c r="W357" s="181" t="e">
        <f>IF(I360&gt;0,IF(S357&gt;L357,"READY STOCK",IF(S357=0,"OUT OF STOCK",IF(S357&lt;L357,"LOW STOCK",""))),"")</f>
        <v>#VALUE!</v>
      </c>
      <c r="X357" s="38"/>
      <c r="Y357" s="38"/>
      <c r="Z357" s="38"/>
      <c r="AA357" s="38"/>
      <c r="AB357" s="50">
        <v>46247</v>
      </c>
      <c r="AC357" s="181">
        <v>33638</v>
      </c>
      <c r="AD357" s="51">
        <v>2</v>
      </c>
      <c r="AE357" s="37" t="s">
        <v>383</v>
      </c>
      <c r="AF357" s="37" t="s">
        <v>381</v>
      </c>
      <c r="AG357" s="33" t="str">
        <f>IF(G357&gt;0,IF(AD357&gt;0,IF(AD357=0,"Waiting",IF(AD357&lt;L357,"Partial",IF(AD357=L357,"Full Supply",IF(AD357&gt;L357,"Over Shared")))),"Waiting"),"")</f>
        <v>Full Supply</v>
      </c>
      <c r="AH357" s="37"/>
      <c r="AI357" s="37"/>
      <c r="AJ357" s="181"/>
      <c r="AK357" s="40"/>
      <c r="AL357" s="40"/>
      <c r="AM357" s="40"/>
      <c r="AN357" s="37"/>
      <c r="AO357" s="34"/>
      <c r="AP357" s="37"/>
      <c r="AQ357" s="37"/>
      <c r="AR357" s="37"/>
      <c r="AS357" s="37"/>
      <c r="AT357" s="37">
        <f>AS357-AD357</f>
        <v>-2</v>
      </c>
      <c r="AU357" s="36" t="str">
        <f>IF(AR357=0,"Waiting",IF(AR357&lt;AH357,"Kurang",IF(AR357=AH357,"Sesuai",IF(AR357&gt;AH357,"Over Shared"))))</f>
        <v>Waiting</v>
      </c>
      <c r="AV357" s="37">
        <v>54581</v>
      </c>
      <c r="AW357" s="37" t="str">
        <f>IFERROR(DATEDIF(AH357,AK357,"d"),"0")&amp;"-DAY"</f>
        <v>0-DAY</v>
      </c>
      <c r="AX357" s="37" t="str">
        <f>IFERROR(DATEDIF(B357,AB357,"d"),"0")&amp;"-DAY"</f>
        <v>2-DAY</v>
      </c>
      <c r="AY357" s="37"/>
      <c r="AZ357" s="181">
        <f>L357-AD357</f>
        <v>0</v>
      </c>
    </row>
    <row r="358" spans="1:52" ht="15.5" customHeight="1">
      <c r="A358" s="360" t="s">
        <v>372</v>
      </c>
      <c r="B358" s="340">
        <v>46245</v>
      </c>
      <c r="C358" s="181">
        <v>49333</v>
      </c>
      <c r="D358" s="30">
        <v>46245</v>
      </c>
      <c r="E358" s="30">
        <v>46240</v>
      </c>
      <c r="F358" s="30">
        <v>46273</v>
      </c>
      <c r="G358" s="37">
        <v>4420230901</v>
      </c>
      <c r="H358" s="37" t="s">
        <v>373</v>
      </c>
      <c r="I358" s="37">
        <v>9040054918</v>
      </c>
      <c r="J358" s="37" t="s">
        <v>308</v>
      </c>
      <c r="K358" s="325" t="s">
        <v>309</v>
      </c>
      <c r="L358" s="181">
        <v>111</v>
      </c>
      <c r="M358" s="181" t="s">
        <v>421</v>
      </c>
      <c r="N358" s="37" t="s">
        <v>376</v>
      </c>
      <c r="O358" s="31">
        <f>IF(F358&gt;0,F358-AB358,"")</f>
        <v>-15</v>
      </c>
      <c r="P358" s="37" t="str">
        <f>IF(F358&gt;0,IF(AB358="","PLANNING SUPPLY",IF(AB358&lt;=F358,"ONTIME DELIVERY","DELAY")),"")</f>
        <v>DELAY</v>
      </c>
      <c r="Q358" s="181" t="str">
        <f>IFERROR(IF(J358&gt;0,VLOOKUP(J358,#REF!,MATCH($Q$6,#REF!,0),0),""),"")</f>
        <v/>
      </c>
      <c r="R358" s="181" t="str">
        <f>IFERROR(IF(J358&gt;0,VLOOKUP(J358,#REF!,MATCH($R$6,#REF!,0),0),""),"")</f>
        <v/>
      </c>
      <c r="S358" s="181" t="e">
        <f>IF(I361&gt;0,Q358+R358,"")</f>
        <v>#VALUE!</v>
      </c>
      <c r="T358" s="181"/>
      <c r="U358" s="181"/>
      <c r="V358" s="37"/>
      <c r="W358" s="181" t="e">
        <f>IF(I361&gt;0,IF(S358&gt;L358,"READY STOCK",IF(S358=0,"OUT OF STOCK",IF(S358&lt;L358,"LOW STOCK",""))),"")</f>
        <v>#VALUE!</v>
      </c>
      <c r="X358" s="38"/>
      <c r="Y358" s="38"/>
      <c r="Z358" s="38"/>
      <c r="AA358" s="38"/>
      <c r="AB358" s="50">
        <v>46288</v>
      </c>
      <c r="AC358" s="181">
        <v>34490</v>
      </c>
      <c r="AD358" s="51">
        <v>111</v>
      </c>
      <c r="AE358" s="37" t="s">
        <v>383</v>
      </c>
      <c r="AF358" s="37" t="s">
        <v>381</v>
      </c>
      <c r="AG358" s="33" t="str">
        <f>IF(G358&gt;0,IF(AD358&gt;0,IF(AD358=0,"Waiting",IF(AD358&lt;L358,"Partial",IF(AD358=L358,"Full Supply",IF(AD358&gt;L358,"Over Shared")))),"Waiting"),"")</f>
        <v>Full Supply</v>
      </c>
      <c r="AH358" s="37"/>
      <c r="AI358" s="37"/>
      <c r="AJ358" s="181"/>
      <c r="AK358" s="40"/>
      <c r="AL358" s="40"/>
      <c r="AM358" s="40"/>
      <c r="AN358" s="37"/>
      <c r="AO358" s="34"/>
      <c r="AP358" s="37"/>
      <c r="AQ358" s="37"/>
      <c r="AR358" s="37"/>
      <c r="AS358" s="37"/>
      <c r="AT358" s="37">
        <f>AS358-AD358</f>
        <v>-111</v>
      </c>
      <c r="AU358" s="36" t="str">
        <f>IF(AR358=0,"Waiting",IF(AR358&lt;AH358,"Kurang",IF(AR358=AH358,"Sesuai",IF(AR358&gt;AH358,"Over Shared"))))</f>
        <v>Waiting</v>
      </c>
      <c r="AV358" s="37"/>
      <c r="AW358" s="37" t="str">
        <f>IFERROR(DATEDIF(AH358,AK358,"d"),"0")&amp;"-DAY"</f>
        <v>0-DAY</v>
      </c>
      <c r="AX358" s="37" t="str">
        <f>IFERROR(DATEDIF(B358,AB358,"d"),"0")&amp;"-DAY"</f>
        <v>43-DAY</v>
      </c>
      <c r="AY358" s="37"/>
      <c r="AZ358" s="181">
        <f>L358-AD358</f>
        <v>0</v>
      </c>
    </row>
    <row r="359" spans="1:52" ht="15.5" customHeight="1">
      <c r="A359" s="360" t="s">
        <v>372</v>
      </c>
      <c r="B359" s="340">
        <v>46245</v>
      </c>
      <c r="C359" s="181">
        <v>49333</v>
      </c>
      <c r="D359" s="30">
        <v>46245</v>
      </c>
      <c r="E359" s="30">
        <v>46240</v>
      </c>
      <c r="F359" s="30">
        <v>46273</v>
      </c>
      <c r="G359" s="37">
        <v>4420230901</v>
      </c>
      <c r="H359" s="37" t="s">
        <v>373</v>
      </c>
      <c r="I359" s="37">
        <v>9040054919</v>
      </c>
      <c r="J359" s="37" t="s">
        <v>311</v>
      </c>
      <c r="K359" s="325" t="s">
        <v>312</v>
      </c>
      <c r="L359" s="181">
        <v>2</v>
      </c>
      <c r="M359" s="181" t="s">
        <v>421</v>
      </c>
      <c r="N359" s="37" t="s">
        <v>376</v>
      </c>
      <c r="O359" s="31">
        <f>IF(F359&gt;0,F359-AB359,"")</f>
        <v>20</v>
      </c>
      <c r="P359" s="37" t="str">
        <f>IF(F359&gt;0,IF(AB359="","PLANNING SUPPLY",IF(AB359&lt;=F359,"ONTIME DELIVERY","DELAY")),"")</f>
        <v>ONTIME DELIVERY</v>
      </c>
      <c r="Q359" s="181" t="str">
        <f>IFERROR(IF(J359&gt;0,VLOOKUP(J359,#REF!,MATCH($Q$6,#REF!,0),0),""),"")</f>
        <v/>
      </c>
      <c r="R359" s="181" t="str">
        <f>IFERROR(IF(J359&gt;0,VLOOKUP(J359,#REF!,MATCH($R$6,#REF!,0),0),""),"")</f>
        <v/>
      </c>
      <c r="S359" s="181" t="e">
        <f>IF(I362&gt;0,Q359+R359,"")</f>
        <v>#VALUE!</v>
      </c>
      <c r="T359" s="181"/>
      <c r="U359" s="181"/>
      <c r="V359" s="37"/>
      <c r="W359" s="181" t="e">
        <f>IF(I362&gt;0,IF(S359&gt;L359,"READY STOCK",IF(S359=0,"OUT OF STOCK",IF(S359&lt;L359,"LOW STOCK",""))),"")</f>
        <v>#VALUE!</v>
      </c>
      <c r="X359" s="38"/>
      <c r="Y359" s="38"/>
      <c r="Z359" s="38"/>
      <c r="AA359" s="38"/>
      <c r="AB359" s="50">
        <v>46253</v>
      </c>
      <c r="AC359" s="181">
        <v>33751</v>
      </c>
      <c r="AD359" s="51">
        <v>2</v>
      </c>
      <c r="AE359" s="37" t="s">
        <v>383</v>
      </c>
      <c r="AF359" s="37" t="s">
        <v>381</v>
      </c>
      <c r="AG359" s="33" t="str">
        <f>IF(G359&gt;0,IF(AD359&gt;0,IF(AD359=0,"Waiting",IF(AD359&lt;L359,"Partial",IF(AD359=L359,"Full Supply",IF(AD359&gt;L359,"Over Shared")))),"Waiting"),"")</f>
        <v>Full Supply</v>
      </c>
      <c r="AH359" s="37"/>
      <c r="AI359" s="37"/>
      <c r="AJ359" s="181"/>
      <c r="AK359" s="40"/>
      <c r="AL359" s="40"/>
      <c r="AM359" s="40"/>
      <c r="AN359" s="37"/>
      <c r="AO359" s="34"/>
      <c r="AP359" s="37"/>
      <c r="AQ359" s="37"/>
      <c r="AR359" s="37"/>
      <c r="AS359" s="37"/>
      <c r="AT359" s="37">
        <f>AS359-AD359</f>
        <v>-2</v>
      </c>
      <c r="AU359" s="36" t="str">
        <f>IF(AR359=0,"Waiting",IF(AR359&lt;AH359,"Kurang",IF(AR359=AH359,"Sesuai",IF(AR359&gt;AH359,"Over Shared"))))</f>
        <v>Waiting</v>
      </c>
      <c r="AV359" s="37"/>
      <c r="AW359" s="37" t="str">
        <f>IFERROR(DATEDIF(AH359,AK359,"d"),"0")&amp;"-DAY"</f>
        <v>0-DAY</v>
      </c>
      <c r="AX359" s="37" t="str">
        <f>IFERROR(DATEDIF(B359,AB359,"d"),"0")&amp;"-DAY"</f>
        <v>8-DAY</v>
      </c>
      <c r="AY359" s="37"/>
      <c r="AZ359" s="181">
        <f>L359-AD359</f>
        <v>0</v>
      </c>
    </row>
    <row r="360" spans="1:52" ht="15.5" customHeight="1">
      <c r="A360" s="360" t="s">
        <v>372</v>
      </c>
      <c r="B360" s="340">
        <v>46246</v>
      </c>
      <c r="C360" s="181">
        <v>49359</v>
      </c>
      <c r="D360" s="30">
        <v>46246</v>
      </c>
      <c r="E360" s="30">
        <v>46244</v>
      </c>
      <c r="F360" s="30">
        <v>46264</v>
      </c>
      <c r="G360" s="37">
        <v>4420231078</v>
      </c>
      <c r="H360" s="37" t="s">
        <v>373</v>
      </c>
      <c r="I360" s="37">
        <v>9040024721</v>
      </c>
      <c r="J360" s="37" t="s">
        <v>239</v>
      </c>
      <c r="K360" s="325" t="s">
        <v>240</v>
      </c>
      <c r="L360" s="181">
        <v>1</v>
      </c>
      <c r="M360" s="181" t="s">
        <v>389</v>
      </c>
      <c r="N360" s="37" t="s">
        <v>382</v>
      </c>
      <c r="O360" s="31">
        <f>IF(F360&gt;0,F360-AB360,"")</f>
        <v>-40</v>
      </c>
      <c r="P360" s="37" t="str">
        <f>IF(F360&gt;0,IF(AB360="","PLANNING SUPPLY",IF(AB360&lt;=F360,"ONTIME DELIVERY","DELAY")),"")</f>
        <v>DELAY</v>
      </c>
      <c r="Q360" s="181" t="str">
        <f>IFERROR(IF(J360&gt;0,VLOOKUP(J360,#REF!,MATCH($Q$6,#REF!,0),0),""),"")</f>
        <v/>
      </c>
      <c r="R360" s="181" t="str">
        <f>IFERROR(IF(J360&gt;0,VLOOKUP(J360,#REF!,MATCH($R$6,#REF!,0),0),""),"")</f>
        <v/>
      </c>
      <c r="S360" s="181" t="e">
        <f>IF(I363&gt;0,Q360+R360,"")</f>
        <v>#VALUE!</v>
      </c>
      <c r="T360" s="181"/>
      <c r="U360" s="181"/>
      <c r="V360" s="37"/>
      <c r="W360" s="181" t="e">
        <f>IF(I363&gt;0,IF(S360&gt;L360,"READY STOCK",IF(S360=0,"OUT OF STOCK",IF(S360&lt;L360,"LOW STOCK",""))),"")</f>
        <v>#VALUE!</v>
      </c>
      <c r="X360" s="38"/>
      <c r="Y360" s="38"/>
      <c r="Z360" s="38"/>
      <c r="AA360" s="38"/>
      <c r="AB360" s="57">
        <v>46304</v>
      </c>
      <c r="AC360" s="181">
        <v>34896</v>
      </c>
      <c r="AD360" s="53">
        <v>1</v>
      </c>
      <c r="AE360" s="58" t="s">
        <v>387</v>
      </c>
      <c r="AF360" s="58" t="s">
        <v>381</v>
      </c>
      <c r="AG360" s="33" t="str">
        <f>IF(G360&gt;0,IF(AD360&gt;0,IF(AD360=0,"Waiting",IF(AD360&lt;L360,"Partial",IF(AD360=L360,"Full Supply",IF(AD360&gt;L360,"Over Shared")))),"Waiting"),"")</f>
        <v>Full Supply</v>
      </c>
      <c r="AH360" s="56">
        <v>46247</v>
      </c>
      <c r="AI360" s="37" t="s">
        <v>646</v>
      </c>
      <c r="AJ360" s="181">
        <v>3</v>
      </c>
      <c r="AK360" s="40">
        <v>26392</v>
      </c>
      <c r="AL360" s="42">
        <v>46287</v>
      </c>
      <c r="AM360" s="40">
        <v>3</v>
      </c>
      <c r="AN360" s="37"/>
      <c r="AO360" s="232"/>
      <c r="AP360" s="37"/>
      <c r="AQ360" s="37"/>
      <c r="AR360" s="37"/>
      <c r="AS360" s="37"/>
      <c r="AT360" s="37">
        <f>AS360-AD360</f>
        <v>-1</v>
      </c>
      <c r="AU360" s="36" t="str">
        <f>IF(AR360=0,"Waiting",IF(AR360&lt;AH360,"Kurang",IF(AR360=AH360,"Sesuai",IF(AR360&gt;AH360,"Over Shared"))))</f>
        <v>Waiting</v>
      </c>
      <c r="AV360" s="37"/>
      <c r="AW360" s="37" t="str">
        <f>IFERROR(DATEDIF(AH360,AK360,"d"),"0")&amp;"-DAY"</f>
        <v>0-DAY</v>
      </c>
      <c r="AX360" s="37" t="str">
        <f>IFERROR(DATEDIF(B360,AB360,"d"),"0")&amp;"-DAY"</f>
        <v>58-DAY</v>
      </c>
      <c r="AY360" s="37"/>
      <c r="AZ360" s="181">
        <f>L360-AD360</f>
        <v>0</v>
      </c>
    </row>
    <row r="361" spans="1:52" ht="15.5" customHeight="1">
      <c r="A361" s="360" t="s">
        <v>372</v>
      </c>
      <c r="B361" s="340">
        <v>46246</v>
      </c>
      <c r="C361" s="181">
        <v>49359</v>
      </c>
      <c r="D361" s="30">
        <v>46246</v>
      </c>
      <c r="E361" s="30">
        <v>46244</v>
      </c>
      <c r="F361" s="30">
        <v>46264</v>
      </c>
      <c r="G361" s="37">
        <v>4420231078</v>
      </c>
      <c r="H361" s="37" t="s">
        <v>373</v>
      </c>
      <c r="I361" s="37">
        <v>9040051092</v>
      </c>
      <c r="J361" s="37" t="s">
        <v>89</v>
      </c>
      <c r="K361" s="325" t="s">
        <v>90</v>
      </c>
      <c r="L361" s="181">
        <v>4</v>
      </c>
      <c r="M361" s="181" t="s">
        <v>375</v>
      </c>
      <c r="N361" s="37" t="s">
        <v>382</v>
      </c>
      <c r="O361" s="31">
        <f>IF(F361&gt;0,F361-AB361,"")</f>
        <v>-18</v>
      </c>
      <c r="P361" s="37" t="str">
        <f>IF(F361&gt;0,IF(AB361="","PLANNING SUPPLY",IF(AB361&lt;=F361,"ONTIME DELIVERY","DELAY")),"")</f>
        <v>DELAY</v>
      </c>
      <c r="Q361" s="181" t="str">
        <f>IFERROR(IF(J361&gt;0,VLOOKUP(J361,#REF!,MATCH($Q$6,#REF!,0),0),""),"")</f>
        <v/>
      </c>
      <c r="R361" s="181" t="str">
        <f>IFERROR(IF(J361&gt;0,VLOOKUP(J361,#REF!,MATCH($R$6,#REF!,0),0),""),"")</f>
        <v/>
      </c>
      <c r="S361" s="181" t="e">
        <f>IF(I364&gt;0,Q361+R361,"")</f>
        <v>#VALUE!</v>
      </c>
      <c r="T361" s="181"/>
      <c r="U361" s="181"/>
      <c r="V361" s="37"/>
      <c r="W361" s="181" t="e">
        <f>IF(I364&gt;0,IF(S361&gt;L361,"READY STOCK",IF(S361=0,"OUT OF STOCK",IF(S361&lt;L361,"LOW STOCK",""))),"")</f>
        <v>#VALUE!</v>
      </c>
      <c r="X361" s="38"/>
      <c r="Y361" s="38"/>
      <c r="Z361" s="38"/>
      <c r="AA361" s="38"/>
      <c r="AB361" s="50">
        <v>46282</v>
      </c>
      <c r="AC361" s="181">
        <v>34389</v>
      </c>
      <c r="AD361" s="51">
        <v>4</v>
      </c>
      <c r="AE361" s="37" t="s">
        <v>387</v>
      </c>
      <c r="AF361" s="37" t="s">
        <v>381</v>
      </c>
      <c r="AG361" s="33" t="str">
        <f>IF(G361&gt;0,IF(AD361&gt;0,IF(AD361=0,"Waiting",IF(AD361&lt;L361,"Partial",IF(AD361=L361,"Full Supply",IF(AD361&gt;L361,"Over Shared")))),"Waiting"),"")</f>
        <v>Full Supply</v>
      </c>
      <c r="AH361" s="56">
        <v>46247</v>
      </c>
      <c r="AI361" s="37" t="s">
        <v>646</v>
      </c>
      <c r="AJ361" s="181">
        <v>18</v>
      </c>
      <c r="AK361" s="40">
        <v>26191</v>
      </c>
      <c r="AL361" s="189">
        <v>46269</v>
      </c>
      <c r="AM361" s="40">
        <v>16</v>
      </c>
      <c r="AN361" s="212"/>
      <c r="AO361" s="214">
        <v>46275</v>
      </c>
      <c r="AP361" s="37"/>
      <c r="AQ361" s="37"/>
      <c r="AR361" s="37"/>
      <c r="AS361" s="37"/>
      <c r="AT361" s="37">
        <f>AS361-AD361</f>
        <v>-4</v>
      </c>
      <c r="AU361" s="36" t="str">
        <f>IF(AR361=0,"Waiting",IF(AR361&lt;AH361,"Kurang",IF(AR361=AH361,"Sesuai",IF(AR361&gt;AH361,"Over Shared"))))</f>
        <v>Waiting</v>
      </c>
      <c r="AV361" s="37"/>
      <c r="AW361" s="37" t="str">
        <f>IFERROR(DATEDIF(AH361,AK361,"d"),"0")&amp;"-DAY"</f>
        <v>0-DAY</v>
      </c>
      <c r="AX361" s="37" t="str">
        <f>IFERROR(DATEDIF(B361,AB361,"d"),"0")&amp;"-DAY"</f>
        <v>36-DAY</v>
      </c>
      <c r="AY361" s="37"/>
      <c r="AZ361" s="181">
        <f>L361-AD361</f>
        <v>0</v>
      </c>
    </row>
    <row r="362" spans="1:52" ht="15.5" customHeight="1">
      <c r="A362" s="360" t="s">
        <v>372</v>
      </c>
      <c r="B362" s="340">
        <v>46246</v>
      </c>
      <c r="C362" s="181">
        <v>49359</v>
      </c>
      <c r="D362" s="30">
        <v>46246</v>
      </c>
      <c r="E362" s="30">
        <v>46244</v>
      </c>
      <c r="F362" s="30">
        <v>46264</v>
      </c>
      <c r="G362" s="37">
        <v>4420231078</v>
      </c>
      <c r="H362" s="37" t="s">
        <v>373</v>
      </c>
      <c r="I362" s="37">
        <v>9040073264</v>
      </c>
      <c r="J362" s="37" t="s">
        <v>85</v>
      </c>
      <c r="K362" s="325" t="s">
        <v>86</v>
      </c>
      <c r="L362" s="181">
        <v>2</v>
      </c>
      <c r="M362" s="181" t="s">
        <v>375</v>
      </c>
      <c r="N362" s="37" t="s">
        <v>382</v>
      </c>
      <c r="O362" s="31">
        <f>IF(F362&gt;0,F362-AB362,"")</f>
        <v>-18</v>
      </c>
      <c r="P362" s="37" t="str">
        <f>IF(F362&gt;0,IF(AB362="","PLANNING SUPPLY",IF(AB362&lt;=F362,"ONTIME DELIVERY","DELAY")),"")</f>
        <v>DELAY</v>
      </c>
      <c r="Q362" s="181" t="str">
        <f>IFERROR(IF(J362&gt;0,VLOOKUP(J362,#REF!,MATCH($Q$6,#REF!,0),0),""),"")</f>
        <v/>
      </c>
      <c r="R362" s="181" t="str">
        <f>IFERROR(IF(J362&gt;0,VLOOKUP(J362,#REF!,MATCH($R$6,#REF!,0),0),""),"")</f>
        <v/>
      </c>
      <c r="S362" s="181" t="e">
        <f>IF(I365&gt;0,Q362+R362,"")</f>
        <v>#VALUE!</v>
      </c>
      <c r="T362" s="181"/>
      <c r="U362" s="181"/>
      <c r="V362" s="37"/>
      <c r="W362" s="181" t="e">
        <f>IF(I365&gt;0,IF(S362&gt;L362,"READY STOCK",IF(S362=0,"OUT OF STOCK",IF(S362&lt;L362,"LOW STOCK",""))),"")</f>
        <v>#VALUE!</v>
      </c>
      <c r="X362" s="38"/>
      <c r="Y362" s="38"/>
      <c r="Z362" s="38"/>
      <c r="AA362" s="38"/>
      <c r="AB362" s="50">
        <v>46282</v>
      </c>
      <c r="AC362" s="181">
        <v>34382</v>
      </c>
      <c r="AD362" s="51">
        <v>2</v>
      </c>
      <c r="AE362" s="37" t="s">
        <v>387</v>
      </c>
      <c r="AF362" s="37" t="s">
        <v>381</v>
      </c>
      <c r="AG362" s="33" t="str">
        <f>IF(G362&gt;0,IF(AD362&gt;0,IF(AD362=0,"Waiting",IF(AD362&lt;L362,"Partial",IF(AD362=L362,"Full Supply",IF(AD362&gt;L362,"Over Shared")))),"Waiting"),"")</f>
        <v>Full Supply</v>
      </c>
      <c r="AH362" s="56">
        <v>46247</v>
      </c>
      <c r="AI362" s="37" t="s">
        <v>646</v>
      </c>
      <c r="AJ362" s="181">
        <v>5</v>
      </c>
      <c r="AK362" s="40">
        <v>26191</v>
      </c>
      <c r="AL362" s="189">
        <v>46269</v>
      </c>
      <c r="AM362" s="40">
        <v>8</v>
      </c>
      <c r="AN362" s="212"/>
      <c r="AO362" s="214">
        <v>46275</v>
      </c>
      <c r="AP362" s="37"/>
      <c r="AQ362" s="37"/>
      <c r="AR362" s="37"/>
      <c r="AS362" s="37"/>
      <c r="AT362" s="37">
        <f>AS362-AD362</f>
        <v>-2</v>
      </c>
      <c r="AU362" s="36" t="str">
        <f>IF(AR362=0,"Waiting",IF(AR362&lt;AH362,"Kurang",IF(AR362=AH362,"Sesuai",IF(AR362&gt;AH362,"Over Shared"))))</f>
        <v>Waiting</v>
      </c>
      <c r="AV362" s="37"/>
      <c r="AW362" s="37" t="str">
        <f>IFERROR(DATEDIF(AH362,AK362,"d"),"0")&amp;"-DAY"</f>
        <v>0-DAY</v>
      </c>
      <c r="AX362" s="37" t="str">
        <f>IFERROR(DATEDIF(B362,AB362,"d"),"0")&amp;"-DAY"</f>
        <v>36-DAY</v>
      </c>
      <c r="AY362" s="37"/>
      <c r="AZ362" s="181">
        <f>L362-AD362</f>
        <v>0</v>
      </c>
    </row>
    <row r="363" spans="1:52" ht="15.5" customHeight="1">
      <c r="A363" s="360" t="s">
        <v>372</v>
      </c>
      <c r="B363" s="340">
        <v>46246</v>
      </c>
      <c r="C363" s="181">
        <v>49359</v>
      </c>
      <c r="D363" s="30">
        <v>46246</v>
      </c>
      <c r="E363" s="30">
        <v>46244</v>
      </c>
      <c r="F363" s="30">
        <v>46264</v>
      </c>
      <c r="G363" s="37">
        <v>4420231078</v>
      </c>
      <c r="H363" s="37" t="s">
        <v>373</v>
      </c>
      <c r="I363" s="37">
        <v>9040024721</v>
      </c>
      <c r="J363" s="37" t="s">
        <v>239</v>
      </c>
      <c r="K363" s="325" t="s">
        <v>240</v>
      </c>
      <c r="L363" s="181">
        <v>2</v>
      </c>
      <c r="M363" s="181" t="s">
        <v>389</v>
      </c>
      <c r="N363" s="37" t="s">
        <v>382</v>
      </c>
      <c r="O363" s="31">
        <f>IF(F363&gt;0,F363-AB363,"")</f>
        <v>-50</v>
      </c>
      <c r="P363" s="37" t="str">
        <f>IF(F363&gt;0,IF(AB363="","PLANNING SUPPLY",IF(AB363&lt;=F363,"ONTIME DELIVERY","DELAY")),"")</f>
        <v>DELAY</v>
      </c>
      <c r="Q363" s="181" t="str">
        <f>IFERROR(IF(J363&gt;0,VLOOKUP(J363,#REF!,MATCH($Q$6,#REF!,0),0),""),"")</f>
        <v/>
      </c>
      <c r="R363" s="181" t="str">
        <f>IFERROR(IF(J363&gt;0,VLOOKUP(J363,#REF!,MATCH($R$6,#REF!,0),0),""),"")</f>
        <v/>
      </c>
      <c r="S363" s="181" t="e">
        <f>IF(I366&gt;0,Q363+R363,"")</f>
        <v>#VALUE!</v>
      </c>
      <c r="T363" s="181"/>
      <c r="U363" s="181"/>
      <c r="V363" s="37"/>
      <c r="W363" s="181" t="e">
        <f>IF(I366&gt;0,IF(S363&gt;L363,"READY STOCK",IF(S363=0,"OUT OF STOCK",IF(S363&lt;L363,"LOW STOCK",""))),"")</f>
        <v>#VALUE!</v>
      </c>
      <c r="X363" s="38"/>
      <c r="Y363" s="38"/>
      <c r="Z363" s="38"/>
      <c r="AA363" s="38"/>
      <c r="AB363" s="50">
        <v>46314</v>
      </c>
      <c r="AC363" s="44" t="s">
        <v>1301</v>
      </c>
      <c r="AD363" s="51">
        <v>2</v>
      </c>
      <c r="AE363" s="37" t="s">
        <v>387</v>
      </c>
      <c r="AF363" s="37" t="s">
        <v>381</v>
      </c>
      <c r="AG363" s="33" t="str">
        <f>IF(G363&gt;0,IF(AD363&gt;0,IF(AD363=0,"Waiting",IF(AD363&lt;L363,"Partial",IF(AD363=L363,"Full Supply",IF(AD363&gt;L363,"Over Shared")))),"Waiting"),"")</f>
        <v>Full Supply</v>
      </c>
      <c r="AH363" s="56">
        <v>46247</v>
      </c>
      <c r="AI363" s="37" t="s">
        <v>646</v>
      </c>
      <c r="AJ363" s="181">
        <v>3</v>
      </c>
      <c r="AK363" s="40">
        <v>26392</v>
      </c>
      <c r="AL363" s="42">
        <v>46287</v>
      </c>
      <c r="AM363" s="40">
        <v>3</v>
      </c>
      <c r="AN363" s="37"/>
      <c r="AO363" s="232"/>
      <c r="AP363" s="37"/>
      <c r="AQ363" s="37"/>
      <c r="AR363" s="37"/>
      <c r="AS363" s="37"/>
      <c r="AT363" s="37">
        <f>AS363-AD363</f>
        <v>-2</v>
      </c>
      <c r="AU363" s="36" t="str">
        <f>IF(AR363=0,"Waiting",IF(AR363&lt;AH363,"Kurang",IF(AR363=AH363,"Sesuai",IF(AR363&gt;AH363,"Over Shared"))))</f>
        <v>Waiting</v>
      </c>
      <c r="AV363" s="37"/>
      <c r="AW363" s="37" t="str">
        <f>IFERROR(DATEDIF(AH363,AK363,"d"),"0")&amp;"-DAY"</f>
        <v>0-DAY</v>
      </c>
      <c r="AX363" s="37" t="str">
        <f>IFERROR(DATEDIF(B363,AB363,"d"),"0")&amp;"-DAY"</f>
        <v>68-DAY</v>
      </c>
      <c r="AY363" s="37"/>
      <c r="AZ363" s="181">
        <f>L363-AD363</f>
        <v>0</v>
      </c>
    </row>
    <row r="364" spans="1:52" ht="15.5" customHeight="1">
      <c r="A364" s="360" t="s">
        <v>372</v>
      </c>
      <c r="B364" s="340">
        <v>46246</v>
      </c>
      <c r="C364" s="181">
        <v>49359</v>
      </c>
      <c r="D364" s="30">
        <v>46246</v>
      </c>
      <c r="E364" s="30">
        <v>46244</v>
      </c>
      <c r="F364" s="30">
        <v>46264</v>
      </c>
      <c r="G364" s="37">
        <v>4420231078</v>
      </c>
      <c r="H364" s="37" t="s">
        <v>373</v>
      </c>
      <c r="I364" s="37">
        <v>9040051092</v>
      </c>
      <c r="J364" s="37" t="s">
        <v>89</v>
      </c>
      <c r="K364" s="325" t="s">
        <v>90</v>
      </c>
      <c r="L364" s="181">
        <v>8</v>
      </c>
      <c r="M364" s="181" t="s">
        <v>375</v>
      </c>
      <c r="N364" s="37" t="s">
        <v>382</v>
      </c>
      <c r="O364" s="31">
        <f>IF(F364&gt;0,F364-AB364,"")</f>
        <v>-18</v>
      </c>
      <c r="P364" s="37" t="str">
        <f>IF(F364&gt;0,IF(AB364="","PLANNING SUPPLY",IF(AB364&lt;=F364,"ONTIME DELIVERY","DELAY")),"")</f>
        <v>DELAY</v>
      </c>
      <c r="Q364" s="181" t="str">
        <f>IFERROR(IF(J364&gt;0,VLOOKUP(J364,#REF!,MATCH($Q$6,#REF!,0),0),""),"")</f>
        <v/>
      </c>
      <c r="R364" s="181" t="str">
        <f>IFERROR(IF(J364&gt;0,VLOOKUP(J364,#REF!,MATCH($R$6,#REF!,0),0),""),"")</f>
        <v/>
      </c>
      <c r="S364" s="181" t="e">
        <f>IF(I367&gt;0,Q364+R364,"")</f>
        <v>#VALUE!</v>
      </c>
      <c r="T364" s="181"/>
      <c r="U364" s="181"/>
      <c r="V364" s="37"/>
      <c r="W364" s="181" t="e">
        <f>IF(I367&gt;0,IF(S364&gt;L364,"READY STOCK",IF(S364=0,"OUT OF STOCK",IF(S364&lt;L364,"LOW STOCK",""))),"")</f>
        <v>#VALUE!</v>
      </c>
      <c r="X364" s="38"/>
      <c r="Y364" s="38"/>
      <c r="Z364" s="38"/>
      <c r="AA364" s="38"/>
      <c r="AB364" s="50">
        <v>46282</v>
      </c>
      <c r="AC364" s="181">
        <v>34389</v>
      </c>
      <c r="AD364" s="51">
        <v>8</v>
      </c>
      <c r="AE364" s="37" t="s">
        <v>387</v>
      </c>
      <c r="AF364" s="37" t="s">
        <v>381</v>
      </c>
      <c r="AG364" s="33" t="str">
        <f>IF(G364&gt;0,IF(AD364&gt;0,IF(AD364=0,"Waiting",IF(AD364&lt;L364,"Partial",IF(AD364=L364,"Full Supply",IF(AD364&gt;L364,"Over Shared")))),"Waiting"),"")</f>
        <v>Full Supply</v>
      </c>
      <c r="AH364" s="56">
        <v>46247</v>
      </c>
      <c r="AI364" s="37" t="s">
        <v>646</v>
      </c>
      <c r="AJ364" s="181">
        <v>18</v>
      </c>
      <c r="AK364" s="40">
        <v>26191</v>
      </c>
      <c r="AL364" s="189">
        <v>46269</v>
      </c>
      <c r="AM364" s="40">
        <v>16</v>
      </c>
      <c r="AN364" s="212"/>
      <c r="AO364" s="214">
        <v>46275</v>
      </c>
      <c r="AP364" s="37"/>
      <c r="AQ364" s="37"/>
      <c r="AR364" s="37"/>
      <c r="AS364" s="37"/>
      <c r="AT364" s="37">
        <f>AS364-AD364</f>
        <v>-8</v>
      </c>
      <c r="AU364" s="36" t="str">
        <f>IF(AR364=0,"Waiting",IF(AR364&lt;AH364,"Kurang",IF(AR364=AH364,"Sesuai",IF(AR364&gt;AH364,"Over Shared"))))</f>
        <v>Waiting</v>
      </c>
      <c r="AV364" s="37"/>
      <c r="AW364" s="37" t="str">
        <f>IFERROR(DATEDIF(AH364,AK364,"d"),"0")&amp;"-DAY"</f>
        <v>0-DAY</v>
      </c>
      <c r="AX364" s="37" t="str">
        <f>IFERROR(DATEDIF(B364,AB364,"d"),"0")&amp;"-DAY"</f>
        <v>36-DAY</v>
      </c>
      <c r="AY364" s="37"/>
      <c r="AZ364" s="181">
        <f>L364-AD364</f>
        <v>0</v>
      </c>
    </row>
    <row r="365" spans="1:52" ht="15.5" customHeight="1">
      <c r="A365" s="360" t="s">
        <v>372</v>
      </c>
      <c r="B365" s="340">
        <v>46247</v>
      </c>
      <c r="C365" s="181">
        <v>49381</v>
      </c>
      <c r="D365" s="30">
        <v>46247</v>
      </c>
      <c r="E365" s="30">
        <v>46243</v>
      </c>
      <c r="F365" s="30">
        <v>46251</v>
      </c>
      <c r="G365" s="37">
        <v>4420231026</v>
      </c>
      <c r="H365" s="37" t="s">
        <v>373</v>
      </c>
      <c r="I365" s="37">
        <v>9040009391</v>
      </c>
      <c r="J365" s="37" t="s">
        <v>293</v>
      </c>
      <c r="K365" s="325" t="s">
        <v>294</v>
      </c>
      <c r="L365" s="181">
        <v>15</v>
      </c>
      <c r="M365" s="181" t="s">
        <v>375</v>
      </c>
      <c r="N365" s="37" t="s">
        <v>449</v>
      </c>
      <c r="O365" s="31">
        <f>IF(F365&gt;0,F365-AB365,"")</f>
        <v>-10</v>
      </c>
      <c r="P365" s="37" t="str">
        <f>IF(F365&gt;0,IF(AB365="","PLANNING SUPPLY",IF(AB365&lt;=F365,"ONTIME DELIVERY","DELAY")),"")</f>
        <v>DELAY</v>
      </c>
      <c r="Q365" s="181" t="str">
        <f>IFERROR(IF(J365&gt;0,VLOOKUP(J365,#REF!,MATCH($Q$6,#REF!,0),0),""),"")</f>
        <v/>
      </c>
      <c r="R365" s="181" t="str">
        <f>IFERROR(IF(J365&gt;0,VLOOKUP(J365,#REF!,MATCH($R$6,#REF!,0),0),""),"")</f>
        <v/>
      </c>
      <c r="S365" s="181" t="e">
        <f>IF(I368&gt;0,Q365+R365,"")</f>
        <v>#VALUE!</v>
      </c>
      <c r="T365" s="181"/>
      <c r="U365" s="181"/>
      <c r="V365" s="37"/>
      <c r="W365" s="181" t="e">
        <f>IF(I368&gt;0,IF(S365&gt;L365,"READY STOCK",IF(S365=0,"OUT OF STOCK",IF(S365&lt;L365,"LOW STOCK",""))),"")</f>
        <v>#VALUE!</v>
      </c>
      <c r="X365" s="38"/>
      <c r="Y365" s="38"/>
      <c r="Z365" s="38"/>
      <c r="AA365" s="38"/>
      <c r="AB365" s="50">
        <v>46261</v>
      </c>
      <c r="AC365" s="181">
        <v>33899</v>
      </c>
      <c r="AD365" s="51">
        <v>15</v>
      </c>
      <c r="AE365" s="37" t="s">
        <v>383</v>
      </c>
      <c r="AF365" s="37" t="s">
        <v>381</v>
      </c>
      <c r="AG365" s="33" t="str">
        <f>IF(G365&gt;0,IF(AD365&gt;0,IF(AD365=0,"Waiting",IF(AD365&lt;L365,"Partial",IF(AD365=L365,"Full Supply",IF(AD365&gt;L365,"Over Shared")))),"Waiting"),"")</f>
        <v>Full Supply</v>
      </c>
      <c r="AH365" s="56">
        <v>46253</v>
      </c>
      <c r="AI365" s="37" t="s">
        <v>1302</v>
      </c>
      <c r="AJ365" s="181">
        <v>31</v>
      </c>
      <c r="AK365" s="40">
        <v>26062</v>
      </c>
      <c r="AL365" s="189">
        <v>46266</v>
      </c>
      <c r="AM365" s="40">
        <v>31</v>
      </c>
      <c r="AN365" s="37"/>
      <c r="AO365" s="239">
        <v>46297</v>
      </c>
      <c r="AP365" s="37"/>
      <c r="AQ365" s="37"/>
      <c r="AR365" s="37"/>
      <c r="AS365" s="37"/>
      <c r="AT365" s="37">
        <f>AS365-AD365</f>
        <v>-15</v>
      </c>
      <c r="AU365" s="36" t="str">
        <f>IF(AR365=0,"Waiting",IF(AR365&lt;AH365,"Kurang",IF(AR365=AH365,"Sesuai",IF(AR365&gt;AH365,"Over Shared"))))</f>
        <v>Waiting</v>
      </c>
      <c r="AV365" s="37"/>
      <c r="AW365" s="37" t="str">
        <f>IFERROR(DATEDIF(AH365,AK365,"d"),"0")&amp;"-DAY"</f>
        <v>0-DAY</v>
      </c>
      <c r="AX365" s="37" t="str">
        <f>IFERROR(DATEDIF(B365,AB365,"d"),"0")&amp;"-DAY"</f>
        <v>14-DAY</v>
      </c>
      <c r="AY365" s="37"/>
      <c r="AZ365" s="181">
        <f>L365-AD365</f>
        <v>0</v>
      </c>
    </row>
    <row r="366" spans="1:52" ht="15.5" customHeight="1">
      <c r="A366" s="360" t="s">
        <v>372</v>
      </c>
      <c r="B366" s="340">
        <v>46247</v>
      </c>
      <c r="C366" s="181">
        <v>49381</v>
      </c>
      <c r="D366" s="30">
        <v>46247</v>
      </c>
      <c r="E366" s="30">
        <v>46243</v>
      </c>
      <c r="F366" s="30">
        <v>46251</v>
      </c>
      <c r="G366" s="37">
        <v>4420231026</v>
      </c>
      <c r="H366" s="37" t="s">
        <v>373</v>
      </c>
      <c r="I366" s="37">
        <v>9040012343</v>
      </c>
      <c r="J366" s="37" t="s">
        <v>303</v>
      </c>
      <c r="K366" s="325" t="s">
        <v>304</v>
      </c>
      <c r="L366" s="181">
        <v>2</v>
      </c>
      <c r="M366" s="181" t="s">
        <v>375</v>
      </c>
      <c r="N366" s="37" t="s">
        <v>449</v>
      </c>
      <c r="O366" s="31">
        <f>IF(F366&gt;0,F366-AB366,"")</f>
        <v>-16</v>
      </c>
      <c r="P366" s="37" t="str">
        <f>IF(F366&gt;0,IF(AB366="","PLANNING SUPPLY",IF(AB366&lt;=F366,"ONTIME DELIVERY","DELAY")),"")</f>
        <v>DELAY</v>
      </c>
      <c r="Q366" s="181" t="str">
        <f>IFERROR(IF(J366&gt;0,VLOOKUP(J366,#REF!,MATCH($Q$6,#REF!,0),0),""),"")</f>
        <v/>
      </c>
      <c r="R366" s="181" t="str">
        <f>IFERROR(IF(J366&gt;0,VLOOKUP(J366,#REF!,MATCH($R$6,#REF!,0),0),""),"")</f>
        <v/>
      </c>
      <c r="S366" s="181" t="e">
        <f>IF(I369&gt;0,Q366+R366,"")</f>
        <v>#VALUE!</v>
      </c>
      <c r="T366" s="181"/>
      <c r="U366" s="181"/>
      <c r="V366" s="37"/>
      <c r="W366" s="181" t="e">
        <f>IF(I369&gt;0,IF(S366&gt;L366,"READY STOCK",IF(S366=0,"OUT OF STOCK",IF(S366&lt;L366,"LOW STOCK",""))),"")</f>
        <v>#VALUE!</v>
      </c>
      <c r="X366" s="38"/>
      <c r="Y366" s="38"/>
      <c r="Z366" s="38"/>
      <c r="AA366" s="38"/>
      <c r="AB366" s="50">
        <v>46267</v>
      </c>
      <c r="AC366" s="181">
        <v>33933</v>
      </c>
      <c r="AD366" s="51">
        <v>2</v>
      </c>
      <c r="AE366" s="37" t="s">
        <v>383</v>
      </c>
      <c r="AF366" s="37" t="s">
        <v>381</v>
      </c>
      <c r="AG366" s="33" t="str">
        <f>IF(G366&gt;0,IF(AD366&gt;0,IF(AD366=0,"Waiting",IF(AD366&lt;L366,"Partial",IF(AD366=L366,"Full Supply",IF(AD366&gt;L366,"Over Shared")))),"Waiting"),"")</f>
        <v>Full Supply</v>
      </c>
      <c r="AH366" s="56">
        <v>46253</v>
      </c>
      <c r="AI366" s="37" t="s">
        <v>1302</v>
      </c>
      <c r="AJ366" s="181">
        <v>2</v>
      </c>
      <c r="AK366" s="40"/>
      <c r="AL366" s="40"/>
      <c r="AM366" s="40"/>
      <c r="AN366" s="216" t="s">
        <v>468</v>
      </c>
      <c r="AO366" s="232"/>
      <c r="AP366" s="37"/>
      <c r="AQ366" s="37"/>
      <c r="AR366" s="37"/>
      <c r="AS366" s="37"/>
      <c r="AT366" s="37">
        <f>AS366-AD366</f>
        <v>-2</v>
      </c>
      <c r="AU366" s="36" t="str">
        <f>IF(AR366=0,"Waiting",IF(AR366&lt;AH366,"Kurang",IF(AR366=AH366,"Sesuai",IF(AR366&gt;AH366,"Over Shared"))))</f>
        <v>Waiting</v>
      </c>
      <c r="AV366" s="37"/>
      <c r="AW366" s="37" t="str">
        <f>IFERROR(DATEDIF(AH366,AK366,"d"),"0")&amp;"-DAY"</f>
        <v>0-DAY</v>
      </c>
      <c r="AX366" s="37" t="str">
        <f>IFERROR(DATEDIF(B366,AB366,"d"),"0")&amp;"-DAY"</f>
        <v>20-DAY</v>
      </c>
      <c r="AY366" s="37"/>
      <c r="AZ366" s="181">
        <f>L366-AD366</f>
        <v>0</v>
      </c>
    </row>
    <row r="367" spans="1:52" ht="15.5" customHeight="1">
      <c r="A367" s="360" t="s">
        <v>372</v>
      </c>
      <c r="B367" s="340">
        <v>46247</v>
      </c>
      <c r="C367" s="181">
        <v>49381</v>
      </c>
      <c r="D367" s="30">
        <v>46247</v>
      </c>
      <c r="E367" s="30">
        <v>46243</v>
      </c>
      <c r="F367" s="30">
        <v>46251</v>
      </c>
      <c r="G367" s="37">
        <v>4420231026</v>
      </c>
      <c r="H367" s="37" t="s">
        <v>373</v>
      </c>
      <c r="I367" s="37">
        <v>9040014656</v>
      </c>
      <c r="J367" s="217" t="s">
        <v>205</v>
      </c>
      <c r="K367" s="325" t="s">
        <v>206</v>
      </c>
      <c r="L367" s="181">
        <v>5</v>
      </c>
      <c r="M367" s="181" t="s">
        <v>389</v>
      </c>
      <c r="N367" s="58" t="s">
        <v>449</v>
      </c>
      <c r="O367" s="31">
        <f>IF(F367&gt;0,F367-AB367,"")</f>
        <v>46251</v>
      </c>
      <c r="P367" s="37" t="str">
        <f>IF(F367&gt;0,IF(AB367="","PLANNING SUPPLY",IF(AB367&lt;=F367,"ONTIME DELIVERY","DELAY")),"")</f>
        <v>PLANNING SUPPLY</v>
      </c>
      <c r="Q367" s="181" t="str">
        <f>IFERROR(IF(J367&gt;0,VLOOKUP(J367,#REF!,MATCH($Q$6,#REF!,0),0),""),"")</f>
        <v/>
      </c>
      <c r="R367" s="181" t="str">
        <f>IFERROR(IF(J367&gt;0,VLOOKUP(J367,#REF!,MATCH($R$6,#REF!,0),0),""),"")</f>
        <v/>
      </c>
      <c r="S367" s="181" t="e">
        <f>IF(I370&gt;0,Q367+R367,"")</f>
        <v>#VALUE!</v>
      </c>
      <c r="T367" s="181"/>
      <c r="U367" s="181"/>
      <c r="V367" s="37"/>
      <c r="W367" s="181" t="e">
        <f>IF(I370&gt;0,IF(S367&gt;L367,"READY STOCK",IF(S367=0,"OUT OF STOCK",IF(S367&lt;L367,"LOW STOCK",""))),"")</f>
        <v>#VALUE!</v>
      </c>
      <c r="X367" s="38"/>
      <c r="Y367" s="38"/>
      <c r="Z367" s="38"/>
      <c r="AA367" s="38"/>
      <c r="AB367" s="50"/>
      <c r="AC367" s="181"/>
      <c r="AD367" s="51"/>
      <c r="AE367" s="37"/>
      <c r="AF367" s="37"/>
      <c r="AG367" s="33" t="str">
        <f>IF(G367&gt;0,IF(AD367&gt;0,IF(AD367=0,"Waiting",IF(AD367&lt;L367,"Partial",IF(AD367=L367,"Full Supply",IF(AD367&gt;L367,"Over Shared")))),"Waiting"),"")</f>
        <v>Waiting</v>
      </c>
      <c r="AH367" s="56">
        <v>46253</v>
      </c>
      <c r="AI367" s="37" t="s">
        <v>1302</v>
      </c>
      <c r="AJ367" s="181">
        <v>5</v>
      </c>
      <c r="AK367" s="40">
        <v>26498</v>
      </c>
      <c r="AL367" s="42">
        <v>46295</v>
      </c>
      <c r="AM367" s="40">
        <v>6</v>
      </c>
      <c r="AN367" s="40"/>
      <c r="AO367" s="239">
        <v>46297</v>
      </c>
      <c r="AP367" s="37"/>
      <c r="AQ367" s="37"/>
      <c r="AR367" s="37"/>
      <c r="AS367" s="37"/>
      <c r="AT367" s="37">
        <f>AS367-AD367</f>
        <v>0</v>
      </c>
      <c r="AU367" s="36" t="str">
        <f>IF(AR367=0,"Waiting",IF(AR367&lt;AH367,"Kurang",IF(AR367=AH367,"Sesuai",IF(AR367&gt;AH367,"Over Shared"))))</f>
        <v>Waiting</v>
      </c>
      <c r="AV367" s="37"/>
      <c r="AW367" s="37" t="str">
        <f>IFERROR(DATEDIF(AH367,AK367,"d"),"0")&amp;"-DAY"</f>
        <v>0-DAY</v>
      </c>
      <c r="AX367" s="37" t="str">
        <f>IFERROR(DATEDIF(B367,AB367,"d"),"0")&amp;"-DAY"</f>
        <v>0-DAY</v>
      </c>
      <c r="AY367" s="37"/>
      <c r="AZ367" s="181">
        <f>L367-AD367</f>
        <v>5</v>
      </c>
    </row>
    <row r="368" spans="1:52" ht="15.5" customHeight="1">
      <c r="A368" s="360" t="s">
        <v>372</v>
      </c>
      <c r="B368" s="340">
        <v>46247</v>
      </c>
      <c r="C368" s="181">
        <v>49381</v>
      </c>
      <c r="D368" s="30">
        <v>46247</v>
      </c>
      <c r="E368" s="30">
        <v>46243</v>
      </c>
      <c r="F368" s="30">
        <v>46251</v>
      </c>
      <c r="G368" s="37">
        <v>4420231026</v>
      </c>
      <c r="H368" s="37" t="s">
        <v>373</v>
      </c>
      <c r="I368" s="37">
        <v>9040016581</v>
      </c>
      <c r="J368" s="37" t="s">
        <v>185</v>
      </c>
      <c r="K368" s="325" t="s">
        <v>186</v>
      </c>
      <c r="L368" s="181">
        <v>4</v>
      </c>
      <c r="M368" s="181" t="s">
        <v>375</v>
      </c>
      <c r="N368" s="37" t="s">
        <v>449</v>
      </c>
      <c r="O368" s="31">
        <f>IF(F368&gt;0,F368-AB368,"")</f>
        <v>-24</v>
      </c>
      <c r="P368" s="37" t="str">
        <f>IF(F368&gt;0,IF(AB368="","PLANNING SUPPLY",IF(AB368&lt;=F368,"ONTIME DELIVERY","DELAY")),"")</f>
        <v>DELAY</v>
      </c>
      <c r="Q368" s="181" t="str">
        <f>IFERROR(IF(J368&gt;0,VLOOKUP(J368,#REF!,MATCH($Q$6,#REF!,0),0),""),"")</f>
        <v/>
      </c>
      <c r="R368" s="181" t="str">
        <f>IFERROR(IF(J368&gt;0,VLOOKUP(J368,#REF!,MATCH($R$6,#REF!,0),0),""),"")</f>
        <v/>
      </c>
      <c r="S368" s="181" t="e">
        <f>IF(I371&gt;0,Q368+R368,"")</f>
        <v>#VALUE!</v>
      </c>
      <c r="T368" s="181"/>
      <c r="U368" s="181"/>
      <c r="V368" s="37"/>
      <c r="W368" s="181" t="e">
        <f>IF(I371&gt;0,IF(S368&gt;L368,"READY STOCK",IF(S368=0,"OUT OF STOCK",IF(S368&lt;L368,"LOW STOCK",""))),"")</f>
        <v>#VALUE!</v>
      </c>
      <c r="X368" s="38"/>
      <c r="Y368" s="38"/>
      <c r="Z368" s="38"/>
      <c r="AA368" s="38"/>
      <c r="AB368" s="50">
        <v>46275</v>
      </c>
      <c r="AC368" s="181">
        <v>34185</v>
      </c>
      <c r="AD368" s="51">
        <v>4</v>
      </c>
      <c r="AE368" s="37" t="s">
        <v>383</v>
      </c>
      <c r="AF368" s="37" t="s">
        <v>381</v>
      </c>
      <c r="AG368" s="33" t="str">
        <f>IF(G368&gt;0,IF(AD368&gt;0,IF(AD368=0,"Waiting",IF(AD368&lt;L368,"Partial",IF(AD368=L368,"Full Supply",IF(AD368&gt;L368,"Over Shared")))),"Waiting"),"")</f>
        <v>Full Supply</v>
      </c>
      <c r="AH368" s="37"/>
      <c r="AI368" s="37"/>
      <c r="AJ368" s="181"/>
      <c r="AK368" s="40"/>
      <c r="AL368" s="40"/>
      <c r="AM368" s="40"/>
      <c r="AN368" s="37"/>
      <c r="AO368" s="34"/>
      <c r="AP368" s="37"/>
      <c r="AQ368" s="37"/>
      <c r="AR368" s="37"/>
      <c r="AS368" s="37"/>
      <c r="AT368" s="37">
        <f>AS368-AD368</f>
        <v>-4</v>
      </c>
      <c r="AU368" s="36" t="str">
        <f>IF(AR368=0,"Waiting",IF(AR368&lt;AH368,"Kurang",IF(AR368=AH368,"Sesuai",IF(AR368&gt;AH368,"Over Shared"))))</f>
        <v>Waiting</v>
      </c>
      <c r="AV368" s="37"/>
      <c r="AW368" s="37" t="str">
        <f>IFERROR(DATEDIF(AH368,AK368,"d"),"0")&amp;"-DAY"</f>
        <v>0-DAY</v>
      </c>
      <c r="AX368" s="37" t="str">
        <f>IFERROR(DATEDIF(B368,AB368,"d"),"0")&amp;"-DAY"</f>
        <v>28-DAY</v>
      </c>
      <c r="AY368" s="37"/>
      <c r="AZ368" s="181">
        <f>L368-AD368</f>
        <v>0</v>
      </c>
    </row>
    <row r="369" spans="1:52" ht="15.5" customHeight="1">
      <c r="A369" s="360" t="s">
        <v>372</v>
      </c>
      <c r="B369" s="340">
        <v>46247</v>
      </c>
      <c r="C369" s="181">
        <v>49381</v>
      </c>
      <c r="D369" s="30">
        <v>46247</v>
      </c>
      <c r="E369" s="30">
        <v>46243</v>
      </c>
      <c r="F369" s="30">
        <v>46251</v>
      </c>
      <c r="G369" s="37">
        <v>4420231026</v>
      </c>
      <c r="H369" s="37" t="s">
        <v>373</v>
      </c>
      <c r="I369" s="37">
        <v>9040016582</v>
      </c>
      <c r="J369" s="37" t="s">
        <v>183</v>
      </c>
      <c r="K369" s="325" t="s">
        <v>184</v>
      </c>
      <c r="L369" s="181">
        <v>4</v>
      </c>
      <c r="M369" s="181" t="s">
        <v>375</v>
      </c>
      <c r="N369" s="37" t="s">
        <v>449</v>
      </c>
      <c r="O369" s="31">
        <f>IF(F369&gt;0,F369-AB369,"")</f>
        <v>-10</v>
      </c>
      <c r="P369" s="37" t="str">
        <f>IF(F369&gt;0,IF(AB369="","PLANNING SUPPLY",IF(AB369&lt;=F369,"ONTIME DELIVERY","DELAY")),"")</f>
        <v>DELAY</v>
      </c>
      <c r="Q369" s="181" t="str">
        <f>IFERROR(IF(J369&gt;0,VLOOKUP(J369,#REF!,MATCH($Q$6,#REF!,0),0),""),"")</f>
        <v/>
      </c>
      <c r="R369" s="181" t="str">
        <f>IFERROR(IF(J369&gt;0,VLOOKUP(J369,#REF!,MATCH($R$6,#REF!,0),0),""),"")</f>
        <v/>
      </c>
      <c r="S369" s="181" t="e">
        <f>IF(I372&gt;0,Q369+R369,"")</f>
        <v>#VALUE!</v>
      </c>
      <c r="T369" s="181"/>
      <c r="U369" s="181"/>
      <c r="V369" s="37"/>
      <c r="W369" s="181" t="e">
        <f>IF(I372&gt;0,IF(S369&gt;L369,"READY STOCK",IF(S369=0,"OUT OF STOCK",IF(S369&lt;L369,"LOW STOCK",""))),"")</f>
        <v>#VALUE!</v>
      </c>
      <c r="X369" s="38"/>
      <c r="Y369" s="38"/>
      <c r="Z369" s="38"/>
      <c r="AA369" s="38"/>
      <c r="AB369" s="50">
        <v>46261</v>
      </c>
      <c r="AC369" s="181">
        <v>33899</v>
      </c>
      <c r="AD369" s="51">
        <v>4</v>
      </c>
      <c r="AE369" s="37" t="s">
        <v>383</v>
      </c>
      <c r="AF369" s="37" t="s">
        <v>381</v>
      </c>
      <c r="AG369" s="33" t="str">
        <f>IF(G369&gt;0,IF(AD369&gt;0,IF(AD369=0,"Waiting",IF(AD369&lt;L369,"Partial",IF(AD369=L369,"Full Supply",IF(AD369&gt;L369,"Over Shared")))),"Waiting"),"")</f>
        <v>Full Supply</v>
      </c>
      <c r="AH369" s="37"/>
      <c r="AI369" s="37"/>
      <c r="AJ369" s="181"/>
      <c r="AK369" s="40"/>
      <c r="AL369" s="40"/>
      <c r="AM369" s="40"/>
      <c r="AN369" s="37"/>
      <c r="AO369" s="34"/>
      <c r="AP369" s="37"/>
      <c r="AQ369" s="37"/>
      <c r="AR369" s="37"/>
      <c r="AS369" s="37"/>
      <c r="AT369" s="37">
        <f>AS369-AD369</f>
        <v>-4</v>
      </c>
      <c r="AU369" s="36" t="str">
        <f>IF(AR369=0,"Waiting",IF(AR369&lt;AH369,"Kurang",IF(AR369=AH369,"Sesuai",IF(AR369&gt;AH369,"Over Shared"))))</f>
        <v>Waiting</v>
      </c>
      <c r="AV369" s="37"/>
      <c r="AW369" s="37" t="str">
        <f>IFERROR(DATEDIF(AH369,AK369,"d"),"0")&amp;"-DAY"</f>
        <v>0-DAY</v>
      </c>
      <c r="AX369" s="37" t="str">
        <f>IFERROR(DATEDIF(B369,AB369,"d"),"0")&amp;"-DAY"</f>
        <v>14-DAY</v>
      </c>
      <c r="AY369" s="37"/>
      <c r="AZ369" s="181">
        <f>L369-AD369</f>
        <v>0</v>
      </c>
    </row>
    <row r="370" spans="1:52" ht="15.5" customHeight="1">
      <c r="A370" s="360" t="s">
        <v>372</v>
      </c>
      <c r="B370" s="340">
        <v>46247</v>
      </c>
      <c r="C370" s="181">
        <v>49381</v>
      </c>
      <c r="D370" s="30">
        <v>46247</v>
      </c>
      <c r="E370" s="30">
        <v>46243</v>
      </c>
      <c r="F370" s="30">
        <v>46251</v>
      </c>
      <c r="G370" s="37">
        <v>4420231026</v>
      </c>
      <c r="H370" s="37" t="s">
        <v>373</v>
      </c>
      <c r="I370" s="37">
        <v>9040020554</v>
      </c>
      <c r="J370" s="37" t="s">
        <v>297</v>
      </c>
      <c r="K370" s="325" t="s">
        <v>298</v>
      </c>
      <c r="L370" s="181">
        <v>10</v>
      </c>
      <c r="M370" s="181" t="s">
        <v>375</v>
      </c>
      <c r="N370" s="37" t="s">
        <v>449</v>
      </c>
      <c r="O370" s="31">
        <f>IF(F370&gt;0,F370-AB370,"")</f>
        <v>3</v>
      </c>
      <c r="P370" s="37" t="str">
        <f>IF(F370&gt;0,IF(AB370="","PLANNING SUPPLY",IF(AB370&lt;=F370,"ONTIME DELIVERY","DELAY")),"")</f>
        <v>ONTIME DELIVERY</v>
      </c>
      <c r="Q370" s="181" t="str">
        <f>IFERROR(IF(J370&gt;0,VLOOKUP(J370,#REF!,MATCH($Q$6,#REF!,0),0),""),"")</f>
        <v/>
      </c>
      <c r="R370" s="181" t="str">
        <f>IFERROR(IF(J370&gt;0,VLOOKUP(J370,#REF!,MATCH($R$6,#REF!,0),0),""),"")</f>
        <v/>
      </c>
      <c r="S370" s="181" t="e">
        <f>IF(I373&gt;0,Q370+R370,"")</f>
        <v>#VALUE!</v>
      </c>
      <c r="T370" s="181"/>
      <c r="U370" s="181"/>
      <c r="V370" s="37"/>
      <c r="W370" s="181" t="e">
        <f>IF(I373&gt;0,IF(S370&gt;L370,"READY STOCK",IF(S370=0,"OUT OF STOCK",IF(S370&lt;L370,"LOW STOCK",""))),"")</f>
        <v>#VALUE!</v>
      </c>
      <c r="X370" s="38"/>
      <c r="Y370" s="38"/>
      <c r="Z370" s="38"/>
      <c r="AA370" s="38"/>
      <c r="AB370" s="50">
        <v>46248</v>
      </c>
      <c r="AC370" s="181">
        <v>33684</v>
      </c>
      <c r="AD370" s="51">
        <v>10</v>
      </c>
      <c r="AE370" s="37" t="s">
        <v>387</v>
      </c>
      <c r="AF370" s="37" t="s">
        <v>381</v>
      </c>
      <c r="AG370" s="33" t="str">
        <f>IF(G370&gt;0,IF(AD370&gt;0,IF(AD370=0,"Waiting",IF(AD370&lt;L370,"Partial",IF(AD370=L370,"Full Supply",IF(AD370&gt;L370,"Over Shared")))),"Waiting"),"")</f>
        <v>Full Supply</v>
      </c>
      <c r="AH370" s="37"/>
      <c r="AI370" s="37"/>
      <c r="AJ370" s="181"/>
      <c r="AK370" s="40"/>
      <c r="AL370" s="40"/>
      <c r="AM370" s="40"/>
      <c r="AN370" s="37"/>
      <c r="AO370" s="34"/>
      <c r="AP370" s="37"/>
      <c r="AQ370" s="37"/>
      <c r="AR370" s="37"/>
      <c r="AS370" s="37"/>
      <c r="AT370" s="37">
        <f>AS370-AD370</f>
        <v>-10</v>
      </c>
      <c r="AU370" s="36" t="str">
        <f>IF(AR370=0,"Waiting",IF(AR370&lt;AH370,"Kurang",IF(AR370=AH370,"Sesuai",IF(AR370&gt;AH370,"Over Shared"))))</f>
        <v>Waiting</v>
      </c>
      <c r="AV370" s="37"/>
      <c r="AW370" s="37" t="str">
        <f>IFERROR(DATEDIF(AH370,AK370,"d"),"0")&amp;"-DAY"</f>
        <v>0-DAY</v>
      </c>
      <c r="AX370" s="37" t="str">
        <f>IFERROR(DATEDIF(B370,AB370,"d"),"0")&amp;"-DAY"</f>
        <v>1-DAY</v>
      </c>
      <c r="AY370" s="37"/>
      <c r="AZ370" s="181">
        <f>L370-AD370</f>
        <v>0</v>
      </c>
    </row>
    <row r="371" spans="1:52" ht="15.5" customHeight="1">
      <c r="A371" s="360" t="s">
        <v>372</v>
      </c>
      <c r="B371" s="340">
        <v>46247</v>
      </c>
      <c r="C371" s="181">
        <v>49381</v>
      </c>
      <c r="D371" s="30">
        <v>46247</v>
      </c>
      <c r="E371" s="30">
        <v>46243</v>
      </c>
      <c r="F371" s="30">
        <v>46251</v>
      </c>
      <c r="G371" s="37">
        <v>4420231026</v>
      </c>
      <c r="H371" s="37" t="s">
        <v>373</v>
      </c>
      <c r="I371" s="37">
        <v>9040031134</v>
      </c>
      <c r="J371" s="37" t="s">
        <v>254</v>
      </c>
      <c r="K371" s="325" t="s">
        <v>255</v>
      </c>
      <c r="L371" s="181">
        <v>15</v>
      </c>
      <c r="M371" s="181" t="s">
        <v>375</v>
      </c>
      <c r="N371" s="37" t="s">
        <v>449</v>
      </c>
      <c r="O371" s="31">
        <f>IF(F371&gt;0,F371-AB371,"")</f>
        <v>3</v>
      </c>
      <c r="P371" s="37" t="str">
        <f>IF(F371&gt;0,IF(AB371="","PLANNING SUPPLY",IF(AB371&lt;=F371,"ONTIME DELIVERY","DELAY")),"")</f>
        <v>ONTIME DELIVERY</v>
      </c>
      <c r="Q371" s="181" t="str">
        <f>IFERROR(IF(J371&gt;0,VLOOKUP(J371,#REF!,MATCH($Q$6,#REF!,0),0),""),"")</f>
        <v/>
      </c>
      <c r="R371" s="181" t="str">
        <f>IFERROR(IF(J371&gt;0,VLOOKUP(J371,#REF!,MATCH($R$6,#REF!,0),0),""),"")</f>
        <v/>
      </c>
      <c r="S371" s="181" t="e">
        <f>IF(I374&gt;0,Q371+R371,"")</f>
        <v>#VALUE!</v>
      </c>
      <c r="T371" s="181"/>
      <c r="U371" s="181"/>
      <c r="V371" s="37"/>
      <c r="W371" s="181" t="e">
        <f>IF(I374&gt;0,IF(S371&gt;L371,"READY STOCK",IF(S371=0,"OUT OF STOCK",IF(S371&lt;L371,"LOW STOCK",""))),"")</f>
        <v>#VALUE!</v>
      </c>
      <c r="X371" s="38"/>
      <c r="Y371" s="38"/>
      <c r="Z371" s="38"/>
      <c r="AA371" s="38"/>
      <c r="AB371" s="50">
        <v>46248</v>
      </c>
      <c r="AC371" s="181">
        <v>33681</v>
      </c>
      <c r="AD371" s="51">
        <v>15</v>
      </c>
      <c r="AE371" s="37" t="s">
        <v>387</v>
      </c>
      <c r="AF371" s="37" t="s">
        <v>381</v>
      </c>
      <c r="AG371" s="33" t="str">
        <f>IF(G371&gt;0,IF(AD371&gt;0,IF(AD371=0,"Waiting",IF(AD371&lt;L371,"Partial",IF(AD371=L371,"Full Supply",IF(AD371&gt;L371,"Over Shared")))),"Waiting"),"")</f>
        <v>Full Supply</v>
      </c>
      <c r="AH371" s="37"/>
      <c r="AI371" s="37"/>
      <c r="AJ371" s="181"/>
      <c r="AK371" s="40"/>
      <c r="AL371" s="40"/>
      <c r="AM371" s="40"/>
      <c r="AN371" s="37"/>
      <c r="AO371" s="34"/>
      <c r="AP371" s="37"/>
      <c r="AQ371" s="37"/>
      <c r="AR371" s="37"/>
      <c r="AS371" s="37"/>
      <c r="AT371" s="37">
        <f>AS371-AD371</f>
        <v>-15</v>
      </c>
      <c r="AU371" s="36" t="str">
        <f>IF(AR371=0,"Waiting",IF(AR371&lt;AH371,"Kurang",IF(AR371=AH371,"Sesuai",IF(AR371&gt;AH371,"Over Shared"))))</f>
        <v>Waiting</v>
      </c>
      <c r="AV371" s="37"/>
      <c r="AW371" s="37" t="str">
        <f>IFERROR(DATEDIF(AH371,AK371,"d"),"0")&amp;"-DAY"</f>
        <v>0-DAY</v>
      </c>
      <c r="AX371" s="37" t="str">
        <f>IFERROR(DATEDIF(B371,AB371,"d"),"0")&amp;"-DAY"</f>
        <v>1-DAY</v>
      </c>
      <c r="AY371" s="37"/>
      <c r="AZ371" s="181">
        <f>L371-AD371</f>
        <v>0</v>
      </c>
    </row>
    <row r="372" spans="1:52" ht="15.5" customHeight="1">
      <c r="A372" s="360" t="s">
        <v>372</v>
      </c>
      <c r="B372" s="340">
        <v>46247</v>
      </c>
      <c r="C372" s="181">
        <v>49381</v>
      </c>
      <c r="D372" s="30">
        <v>46247</v>
      </c>
      <c r="E372" s="30">
        <v>46243</v>
      </c>
      <c r="F372" s="30">
        <v>46251</v>
      </c>
      <c r="G372" s="37">
        <v>4420231026</v>
      </c>
      <c r="H372" s="37" t="s">
        <v>373</v>
      </c>
      <c r="I372" s="37">
        <v>9040044219</v>
      </c>
      <c r="J372" s="37" t="s">
        <v>262</v>
      </c>
      <c r="K372" s="325" t="s">
        <v>263</v>
      </c>
      <c r="L372" s="181">
        <v>10</v>
      </c>
      <c r="M372" s="181" t="s">
        <v>375</v>
      </c>
      <c r="N372" s="37" t="s">
        <v>449</v>
      </c>
      <c r="O372" s="31">
        <f>IF(F372&gt;0,F372-AB372,"")</f>
        <v>-7</v>
      </c>
      <c r="P372" s="37" t="str">
        <f>IF(F372&gt;0,IF(AB372="","PLANNING SUPPLY",IF(AB372&lt;=F372,"ONTIME DELIVERY","DELAY")),"")</f>
        <v>DELAY</v>
      </c>
      <c r="Q372" s="181" t="str">
        <f>IFERROR(IF(J372&gt;0,VLOOKUP(J372,#REF!,MATCH($Q$6,#REF!,0),0),""),"")</f>
        <v/>
      </c>
      <c r="R372" s="181" t="str">
        <f>IFERROR(IF(J372&gt;0,VLOOKUP(J372,#REF!,MATCH($R$6,#REF!,0),0),""),"")</f>
        <v/>
      </c>
      <c r="S372" s="181" t="e">
        <f>IF(I375&gt;0,Q372+R372,"")</f>
        <v>#VALUE!</v>
      </c>
      <c r="T372" s="181"/>
      <c r="U372" s="181"/>
      <c r="V372" s="37"/>
      <c r="W372" s="181" t="e">
        <f>IF(I375&gt;0,IF(S372&gt;L372,"READY STOCK",IF(S372=0,"OUT OF STOCK",IF(S372&lt;L372,"LOW STOCK",""))),"")</f>
        <v>#VALUE!</v>
      </c>
      <c r="X372" s="38"/>
      <c r="Y372" s="38"/>
      <c r="Z372" s="38"/>
      <c r="AA372" s="38"/>
      <c r="AB372" s="50">
        <v>46258</v>
      </c>
      <c r="AC372" s="181">
        <v>33805</v>
      </c>
      <c r="AD372" s="51">
        <v>10</v>
      </c>
      <c r="AE372" s="37" t="s">
        <v>383</v>
      </c>
      <c r="AF372" s="37" t="s">
        <v>381</v>
      </c>
      <c r="AG372" s="33" t="str">
        <f>IF(G372&gt;0,IF(AD372&gt;0,IF(AD372=0,"Waiting",IF(AD372&lt;L372,"Partial",IF(AD372=L372,"Full Supply",IF(AD372&gt;L372,"Over Shared")))),"Waiting"),"")</f>
        <v>Full Supply</v>
      </c>
      <c r="AH372" s="37"/>
      <c r="AI372" s="37"/>
      <c r="AJ372" s="181"/>
      <c r="AK372" s="40"/>
      <c r="AL372" s="40"/>
      <c r="AM372" s="40"/>
      <c r="AN372" s="37"/>
      <c r="AO372" s="34"/>
      <c r="AP372" s="37"/>
      <c r="AQ372" s="37"/>
      <c r="AR372" s="37"/>
      <c r="AS372" s="37"/>
      <c r="AT372" s="37">
        <f>AS372-AD372</f>
        <v>-10</v>
      </c>
      <c r="AU372" s="36" t="str">
        <f>IF(AR372=0,"Waiting",IF(AR372&lt;AH372,"Kurang",IF(AR372=AH372,"Sesuai",IF(AR372&gt;AH372,"Over Shared"))))</f>
        <v>Waiting</v>
      </c>
      <c r="AV372" s="37"/>
      <c r="AW372" s="37" t="str">
        <f>IFERROR(DATEDIF(AH372,AK372,"d"),"0")&amp;"-DAY"</f>
        <v>0-DAY</v>
      </c>
      <c r="AX372" s="37" t="str">
        <f>IFERROR(DATEDIF(B372,AB372,"d"),"0")&amp;"-DAY"</f>
        <v>11-DAY</v>
      </c>
      <c r="AY372" s="37"/>
      <c r="AZ372" s="181">
        <f>L372-AD372</f>
        <v>0</v>
      </c>
    </row>
    <row r="373" spans="1:52" ht="15.5" customHeight="1">
      <c r="A373" s="360" t="s">
        <v>372</v>
      </c>
      <c r="B373" s="340">
        <v>46247</v>
      </c>
      <c r="C373" s="181">
        <v>49381</v>
      </c>
      <c r="D373" s="30">
        <v>46247</v>
      </c>
      <c r="E373" s="30">
        <v>46243</v>
      </c>
      <c r="F373" s="30">
        <v>46251</v>
      </c>
      <c r="G373" s="37">
        <v>4420231026</v>
      </c>
      <c r="H373" s="37" t="s">
        <v>373</v>
      </c>
      <c r="I373" s="37">
        <v>9040009393</v>
      </c>
      <c r="J373" s="37" t="s">
        <v>161</v>
      </c>
      <c r="K373" s="325" t="s">
        <v>162</v>
      </c>
      <c r="L373" s="181">
        <v>1</v>
      </c>
      <c r="M373" s="181" t="s">
        <v>375</v>
      </c>
      <c r="N373" s="37" t="s">
        <v>449</v>
      </c>
      <c r="O373" s="31">
        <f>IF(F373&gt;0,F373-AB373,"")</f>
        <v>3</v>
      </c>
      <c r="P373" s="37" t="str">
        <f>IF(F373&gt;0,IF(AB373="","PLANNING SUPPLY",IF(AB373&lt;=F373,"ONTIME DELIVERY","DELAY")),"")</f>
        <v>ONTIME DELIVERY</v>
      </c>
      <c r="Q373" s="181" t="str">
        <f>IFERROR(IF(J373&gt;0,VLOOKUP(J373,#REF!,MATCH($Q$6,#REF!,0),0),""),"")</f>
        <v/>
      </c>
      <c r="R373" s="181" t="str">
        <f>IFERROR(IF(J373&gt;0,VLOOKUP(J373,#REF!,MATCH($R$6,#REF!,0),0),""),"")</f>
        <v/>
      </c>
      <c r="S373" s="181" t="e">
        <f>IF(I376&gt;0,Q373+R373,"")</f>
        <v>#VALUE!</v>
      </c>
      <c r="T373" s="181"/>
      <c r="U373" s="181"/>
      <c r="V373" s="37"/>
      <c r="W373" s="181" t="e">
        <f>IF(I376&gt;0,IF(S373&gt;L373,"READY STOCK",IF(S373=0,"OUT OF STOCK",IF(S373&lt;L373,"LOW STOCK",""))),"")</f>
        <v>#VALUE!</v>
      </c>
      <c r="X373" s="38"/>
      <c r="Y373" s="38"/>
      <c r="Z373" s="38"/>
      <c r="AA373" s="38"/>
      <c r="AB373" s="50">
        <v>46248</v>
      </c>
      <c r="AC373" s="181">
        <v>33691</v>
      </c>
      <c r="AD373" s="51">
        <v>1</v>
      </c>
      <c r="AE373" s="37" t="s">
        <v>383</v>
      </c>
      <c r="AF373" s="37" t="s">
        <v>381</v>
      </c>
      <c r="AG373" s="33" t="str">
        <f>IF(G373&gt;0,IF(AD373&gt;0,IF(AD373=0,"Waiting",IF(AD373&lt;L373,"Partial",IF(AD373=L373,"Full Supply",IF(AD373&gt;L373,"Over Shared")))),"Waiting"),"")</f>
        <v>Full Supply</v>
      </c>
      <c r="AH373" s="37"/>
      <c r="AI373" s="37"/>
      <c r="AJ373" s="181"/>
      <c r="AK373" s="40"/>
      <c r="AL373" s="40"/>
      <c r="AM373" s="40"/>
      <c r="AN373" s="37"/>
      <c r="AO373" s="34"/>
      <c r="AP373" s="37"/>
      <c r="AQ373" s="37"/>
      <c r="AR373" s="37"/>
      <c r="AS373" s="37"/>
      <c r="AT373" s="37">
        <f>AS373-AD373</f>
        <v>-1</v>
      </c>
      <c r="AU373" s="36" t="str">
        <f>IF(AR373=0,"Waiting",IF(AR373&lt;AH373,"Kurang",IF(AR373=AH373,"Sesuai",IF(AR373&gt;AH373,"Over Shared"))))</f>
        <v>Waiting</v>
      </c>
      <c r="AV373" s="37"/>
      <c r="AW373" s="37" t="str">
        <f>IFERROR(DATEDIF(AH373,AK373,"d"),"0")&amp;"-DAY"</f>
        <v>0-DAY</v>
      </c>
      <c r="AX373" s="37" t="str">
        <f>IFERROR(DATEDIF(B373,AB373,"d"),"0")&amp;"-DAY"</f>
        <v>1-DAY</v>
      </c>
      <c r="AY373" s="37"/>
      <c r="AZ373" s="181">
        <f>L373-AD373</f>
        <v>0</v>
      </c>
    </row>
    <row r="374" spans="1:52" ht="15.5" customHeight="1">
      <c r="A374" s="360" t="s">
        <v>372</v>
      </c>
      <c r="B374" s="340">
        <v>46247</v>
      </c>
      <c r="C374" s="181">
        <v>49381</v>
      </c>
      <c r="D374" s="30">
        <v>46247</v>
      </c>
      <c r="E374" s="30">
        <v>46243</v>
      </c>
      <c r="F374" s="30">
        <v>46251</v>
      </c>
      <c r="G374" s="37">
        <v>4420231026</v>
      </c>
      <c r="H374" s="37" t="s">
        <v>373</v>
      </c>
      <c r="I374" s="37">
        <v>9040009398</v>
      </c>
      <c r="J374" s="37" t="s">
        <v>282</v>
      </c>
      <c r="K374" s="325" t="s">
        <v>283</v>
      </c>
      <c r="L374" s="181">
        <v>4</v>
      </c>
      <c r="M374" s="181" t="s">
        <v>421</v>
      </c>
      <c r="N374" s="37" t="s">
        <v>449</v>
      </c>
      <c r="O374" s="31">
        <f>IF(F374&gt;0,F374-AB374,"")</f>
        <v>-14</v>
      </c>
      <c r="P374" s="37" t="str">
        <f>IF(F374&gt;0,IF(AB374="","PLANNING SUPPLY",IF(AB374&lt;=F374,"ONTIME DELIVERY","DELAY")),"")</f>
        <v>DELAY</v>
      </c>
      <c r="Q374" s="181" t="str">
        <f>IFERROR(IF(J374&gt;0,VLOOKUP(J374,#REF!,MATCH($Q$6,#REF!,0),0),""),"")</f>
        <v/>
      </c>
      <c r="R374" s="181" t="str">
        <f>IFERROR(IF(J374&gt;0,VLOOKUP(J374,#REF!,MATCH($R$6,#REF!,0),0),""),"")</f>
        <v/>
      </c>
      <c r="S374" s="181" t="e">
        <f>IF(I377&gt;0,Q374+R374,"")</f>
        <v>#VALUE!</v>
      </c>
      <c r="T374" s="181"/>
      <c r="U374" s="181"/>
      <c r="V374" s="37"/>
      <c r="W374" s="181" t="e">
        <f>IF(I377&gt;0,IF(S374&gt;L374,"READY STOCK",IF(S374=0,"OUT OF STOCK",IF(S374&lt;L374,"LOW STOCK",""))),"")</f>
        <v>#VALUE!</v>
      </c>
      <c r="X374" s="38"/>
      <c r="Y374" s="38"/>
      <c r="Z374" s="38"/>
      <c r="AA374" s="38"/>
      <c r="AB374" s="50">
        <v>46265</v>
      </c>
      <c r="AC374" s="181">
        <v>33936</v>
      </c>
      <c r="AD374" s="51">
        <v>4</v>
      </c>
      <c r="AE374" s="37" t="s">
        <v>383</v>
      </c>
      <c r="AF374" s="37" t="s">
        <v>381</v>
      </c>
      <c r="AG374" s="33" t="str">
        <f>IF(G374&gt;0,IF(AD374&gt;0,IF(AD374=0,"Waiting",IF(AD374&lt;L374,"Partial",IF(AD374=L374,"Full Supply",IF(AD374&gt;L374,"Over Shared")))),"Waiting"),"")</f>
        <v>Full Supply</v>
      </c>
      <c r="AH374" s="37"/>
      <c r="AI374" s="37"/>
      <c r="AJ374" s="181"/>
      <c r="AK374" s="40"/>
      <c r="AL374" s="40"/>
      <c r="AM374" s="40"/>
      <c r="AN374" s="37"/>
      <c r="AO374" s="34"/>
      <c r="AP374" s="37"/>
      <c r="AQ374" s="37"/>
      <c r="AR374" s="37"/>
      <c r="AS374" s="37"/>
      <c r="AT374" s="37">
        <f>AS374-AD374</f>
        <v>-4</v>
      </c>
      <c r="AU374" s="36" t="str">
        <f>IF(AR374=0,"Waiting",IF(AR374&lt;AH374,"Kurang",IF(AR374=AH374,"Sesuai",IF(AR374&gt;AH374,"Over Shared"))))</f>
        <v>Waiting</v>
      </c>
      <c r="AV374" s="37"/>
      <c r="AW374" s="37" t="str">
        <f>IFERROR(DATEDIF(AH374,AK374,"d"),"0")&amp;"-DAY"</f>
        <v>0-DAY</v>
      </c>
      <c r="AX374" s="37" t="str">
        <f>IFERROR(DATEDIF(B374,AB374,"d"),"0")&amp;"-DAY"</f>
        <v>18-DAY</v>
      </c>
      <c r="AY374" s="37"/>
      <c r="AZ374" s="181">
        <f>L374-AD374</f>
        <v>0</v>
      </c>
    </row>
    <row r="375" spans="1:52" ht="15.5" customHeight="1">
      <c r="A375" s="360" t="s">
        <v>372</v>
      </c>
      <c r="B375" s="340">
        <v>46247</v>
      </c>
      <c r="C375" s="181">
        <v>49381</v>
      </c>
      <c r="D375" s="30">
        <v>46247</v>
      </c>
      <c r="E375" s="30">
        <v>46243</v>
      </c>
      <c r="F375" s="30">
        <v>46251</v>
      </c>
      <c r="G375" s="37">
        <v>4420231026</v>
      </c>
      <c r="H375" s="37" t="s">
        <v>373</v>
      </c>
      <c r="I375" s="37">
        <v>9040040420</v>
      </c>
      <c r="J375" s="37" t="s">
        <v>219</v>
      </c>
      <c r="K375" s="325" t="s">
        <v>220</v>
      </c>
      <c r="L375" s="181">
        <v>8</v>
      </c>
      <c r="M375" s="181" t="s">
        <v>389</v>
      </c>
      <c r="N375" s="37" t="s">
        <v>449</v>
      </c>
      <c r="O375" s="31">
        <f>IF(F375&gt;0,F375-AB375,"")</f>
        <v>-57</v>
      </c>
      <c r="P375" s="37" t="str">
        <f>IF(F375&gt;0,IF(AB375="","PLANNING SUPPLY",IF(AB375&lt;=F375,"ONTIME DELIVERY","DELAY")),"")</f>
        <v>DELAY</v>
      </c>
      <c r="Q375" s="181" t="str">
        <f>IFERROR(IF(J375&gt;0,VLOOKUP(J375,#REF!,MATCH($Q$6,#REF!,0),0),""),"")</f>
        <v/>
      </c>
      <c r="R375" s="181" t="str">
        <f>IFERROR(IF(J375&gt;0,VLOOKUP(J375,#REF!,MATCH($R$6,#REF!,0),0),""),"")</f>
        <v/>
      </c>
      <c r="S375" s="181" t="e">
        <f>IF(I378&gt;0,Q375+R375,"")</f>
        <v>#VALUE!</v>
      </c>
      <c r="T375" s="181"/>
      <c r="U375" s="181"/>
      <c r="V375" s="37"/>
      <c r="W375" s="181" t="e">
        <f>IF(I378&gt;0,IF(S375&gt;L375,"READY STOCK",IF(S375=0,"OUT OF STOCK",IF(S375&lt;L375,"LOW STOCK",""))),"")</f>
        <v>#VALUE!</v>
      </c>
      <c r="X375" s="38"/>
      <c r="Y375" s="38"/>
      <c r="Z375" s="38"/>
      <c r="AA375" s="38"/>
      <c r="AB375" s="57">
        <v>46308</v>
      </c>
      <c r="AC375" s="246">
        <v>34970</v>
      </c>
      <c r="AD375" s="53">
        <v>8</v>
      </c>
      <c r="AE375" s="58" t="s">
        <v>387</v>
      </c>
      <c r="AF375" s="58" t="s">
        <v>381</v>
      </c>
      <c r="AG375" s="33" t="str">
        <f>IF(G375&gt;0,IF(AD375&gt;0,IF(AD375=0,"Waiting",IF(AD375&lt;L375,"Partial",IF(AD375=L375,"Full Supply",IF(AD375&gt;L375,"Over Shared")))),"Waiting"),"")</f>
        <v>Full Supply</v>
      </c>
      <c r="AH375" s="56">
        <v>46253</v>
      </c>
      <c r="AI375" s="37" t="s">
        <v>1302</v>
      </c>
      <c r="AJ375" s="181">
        <v>8</v>
      </c>
      <c r="AK375" s="40">
        <v>26385</v>
      </c>
      <c r="AL375" s="42">
        <v>46287</v>
      </c>
      <c r="AM375" s="40"/>
      <c r="AN375" s="37"/>
      <c r="AO375" s="41">
        <v>46294</v>
      </c>
      <c r="AP375" s="37"/>
      <c r="AQ375" s="37"/>
      <c r="AR375" s="37"/>
      <c r="AS375" s="37"/>
      <c r="AT375" s="37">
        <f>AS375-AD375</f>
        <v>-8</v>
      </c>
      <c r="AU375" s="36" t="str">
        <f>IF(AR375=0,"Waiting",IF(AR375&lt;AH375,"Kurang",IF(AR375=AH375,"Sesuai",IF(AR375&gt;AH375,"Over Shared"))))</f>
        <v>Waiting</v>
      </c>
      <c r="AV375" s="37"/>
      <c r="AW375" s="37" t="str">
        <f>IFERROR(DATEDIF(AH375,AK375,"d"),"0")&amp;"-DAY"</f>
        <v>0-DAY</v>
      </c>
      <c r="AX375" s="37" t="str">
        <f>IFERROR(DATEDIF(B375,AB375,"d"),"0")&amp;"-DAY"</f>
        <v>61-DAY</v>
      </c>
      <c r="AY375" s="37"/>
      <c r="AZ375" s="181">
        <f>L375-AD375</f>
        <v>0</v>
      </c>
    </row>
    <row r="376" spans="1:52" ht="15.5" customHeight="1">
      <c r="A376" s="360" t="s">
        <v>372</v>
      </c>
      <c r="B376" s="340">
        <v>46247</v>
      </c>
      <c r="C376" s="181">
        <v>49381</v>
      </c>
      <c r="D376" s="30">
        <v>46247</v>
      </c>
      <c r="E376" s="30">
        <v>46243</v>
      </c>
      <c r="F376" s="30">
        <v>46251</v>
      </c>
      <c r="G376" s="37">
        <v>4420231026</v>
      </c>
      <c r="H376" s="37" t="s">
        <v>373</v>
      </c>
      <c r="I376" s="37">
        <v>9040042096</v>
      </c>
      <c r="J376" s="37" t="s">
        <v>159</v>
      </c>
      <c r="K376" s="325" t="s">
        <v>160</v>
      </c>
      <c r="L376" s="181">
        <v>20</v>
      </c>
      <c r="M376" s="181" t="s">
        <v>375</v>
      </c>
      <c r="N376" s="37" t="s">
        <v>449</v>
      </c>
      <c r="O376" s="31">
        <f>IF(F376&gt;0,F376-AB376,"")</f>
        <v>3</v>
      </c>
      <c r="P376" s="37" t="str">
        <f>IF(F376&gt;0,IF(AB376="","PLANNING SUPPLY",IF(AB376&lt;=F376,"ONTIME DELIVERY","DELAY")),"")</f>
        <v>ONTIME DELIVERY</v>
      </c>
      <c r="Q376" s="181" t="str">
        <f>IFERROR(IF(J376&gt;0,VLOOKUP(J376,#REF!,MATCH($Q$6,#REF!,0),0),""),"")</f>
        <v/>
      </c>
      <c r="R376" s="181" t="str">
        <f>IFERROR(IF(J376&gt;0,VLOOKUP(J376,#REF!,MATCH($R$6,#REF!,0),0),""),"")</f>
        <v/>
      </c>
      <c r="S376" s="181" t="e">
        <f>IF(I379&gt;0,Q376+R376,"")</f>
        <v>#VALUE!</v>
      </c>
      <c r="T376" s="181"/>
      <c r="U376" s="181"/>
      <c r="V376" s="37"/>
      <c r="W376" s="181" t="e">
        <f>IF(I379&gt;0,IF(S376&gt;L376,"READY STOCK",IF(S376=0,"OUT OF STOCK",IF(S376&lt;L376,"LOW STOCK",""))),"")</f>
        <v>#VALUE!</v>
      </c>
      <c r="X376" s="38"/>
      <c r="Y376" s="38"/>
      <c r="Z376" s="38"/>
      <c r="AA376" s="38"/>
      <c r="AB376" s="50">
        <v>46248</v>
      </c>
      <c r="AC376" s="181">
        <v>33690</v>
      </c>
      <c r="AD376" s="51">
        <v>20</v>
      </c>
      <c r="AE376" s="37" t="s">
        <v>387</v>
      </c>
      <c r="AF376" s="37" t="s">
        <v>381</v>
      </c>
      <c r="AG376" s="33" t="str">
        <f>IF(G376&gt;0,IF(AD376&gt;0,IF(AD376=0,"Waiting",IF(AD376&lt;L376,"Partial",IF(AD376=L376,"Full Supply",IF(AD376&gt;L376,"Over Shared")))),"Waiting"),"")</f>
        <v>Full Supply</v>
      </c>
      <c r="AH376" s="37"/>
      <c r="AI376" s="37"/>
      <c r="AJ376" s="181"/>
      <c r="AK376" s="40"/>
      <c r="AL376" s="40"/>
      <c r="AM376" s="40"/>
      <c r="AN376" s="37"/>
      <c r="AO376" s="34"/>
      <c r="AP376" s="37"/>
      <c r="AQ376" s="37"/>
      <c r="AR376" s="37"/>
      <c r="AS376" s="37"/>
      <c r="AT376" s="37">
        <f>AS376-AD376</f>
        <v>-20</v>
      </c>
      <c r="AU376" s="36" t="str">
        <f>IF(AR376=0,"Waiting",IF(AR376&lt;AH376,"Kurang",IF(AR376=AH376,"Sesuai",IF(AR376&gt;AH376,"Over Shared"))))</f>
        <v>Waiting</v>
      </c>
      <c r="AV376" s="37">
        <v>56080</v>
      </c>
      <c r="AW376" s="37" t="str">
        <f>IFERROR(DATEDIF(AH376,AK376,"d"),"0")&amp;"-DAY"</f>
        <v>0-DAY</v>
      </c>
      <c r="AX376" s="37" t="str">
        <f>IFERROR(DATEDIF(B376,AB376,"d"),"0")&amp;"-DAY"</f>
        <v>1-DAY</v>
      </c>
      <c r="AY376" s="37"/>
      <c r="AZ376" s="181">
        <f>L376-AD376</f>
        <v>0</v>
      </c>
    </row>
    <row r="377" spans="1:52" ht="15.5" customHeight="1">
      <c r="A377" s="360" t="s">
        <v>372</v>
      </c>
      <c r="B377" s="340">
        <v>46247</v>
      </c>
      <c r="C377" s="181">
        <v>49381</v>
      </c>
      <c r="D377" s="30">
        <v>46247</v>
      </c>
      <c r="E377" s="30">
        <v>46243</v>
      </c>
      <c r="F377" s="30">
        <v>46251</v>
      </c>
      <c r="G377" s="37">
        <v>4420231026</v>
      </c>
      <c r="H377" s="37" t="s">
        <v>373</v>
      </c>
      <c r="I377" s="37">
        <v>9040044191</v>
      </c>
      <c r="J377" s="37" t="s">
        <v>187</v>
      </c>
      <c r="K377" s="325" t="s">
        <v>188</v>
      </c>
      <c r="L377" s="181">
        <v>30</v>
      </c>
      <c r="M377" s="181" t="s">
        <v>375</v>
      </c>
      <c r="N377" s="37" t="s">
        <v>449</v>
      </c>
      <c r="O377" s="31">
        <f>IF(F377&gt;0,F377-AB377,"")</f>
        <v>-21</v>
      </c>
      <c r="P377" s="37" t="str">
        <f>IF(F377&gt;0,IF(AB377="","PLANNING SUPPLY",IF(AB377&lt;=F377,"ONTIME DELIVERY","DELAY")),"")</f>
        <v>DELAY</v>
      </c>
      <c r="Q377" s="181" t="str">
        <f>IFERROR(IF(J377&gt;0,VLOOKUP(J377,#REF!,MATCH($Q$6,#REF!,0),0),""),"")</f>
        <v/>
      </c>
      <c r="R377" s="181" t="str">
        <f>IFERROR(IF(J377&gt;0,VLOOKUP(J377,#REF!,MATCH($R$6,#REF!,0),0),""),"")</f>
        <v/>
      </c>
      <c r="S377" s="181" t="e">
        <f>IF(I380&gt;0,Q377+R377,"")</f>
        <v>#VALUE!</v>
      </c>
      <c r="T377" s="181"/>
      <c r="U377" s="181"/>
      <c r="V377" s="37"/>
      <c r="W377" s="181" t="e">
        <f>IF(I380&gt;0,IF(S377&gt;L377,"READY STOCK",IF(S377=0,"OUT OF STOCK",IF(S377&lt;L377,"LOW STOCK",""))),"")</f>
        <v>#VALUE!</v>
      </c>
      <c r="X377" s="38"/>
      <c r="Y377" s="38"/>
      <c r="Z377" s="38"/>
      <c r="AA377" s="38"/>
      <c r="AB377" s="50">
        <v>46272</v>
      </c>
      <c r="AC377" s="181">
        <v>34098</v>
      </c>
      <c r="AD377" s="51">
        <v>30</v>
      </c>
      <c r="AE377" s="37" t="s">
        <v>383</v>
      </c>
      <c r="AF377" s="37" t="s">
        <v>381</v>
      </c>
      <c r="AG377" s="33" t="str">
        <f>IF(G377&gt;0,IF(AD377&gt;0,IF(AD377=0,"Waiting",IF(AD377&lt;L377,"Partial",IF(AD377=L377,"Full Supply",IF(AD377&gt;L377,"Over Shared")))),"Waiting"),"")</f>
        <v>Full Supply</v>
      </c>
      <c r="AH377" s="37"/>
      <c r="AI377" s="37"/>
      <c r="AJ377" s="181"/>
      <c r="AK377" s="40"/>
      <c r="AL377" s="40"/>
      <c r="AM377" s="40"/>
      <c r="AN377" s="37"/>
      <c r="AO377" s="34"/>
      <c r="AP377" s="37"/>
      <c r="AQ377" s="37"/>
      <c r="AR377" s="37"/>
      <c r="AS377" s="37"/>
      <c r="AT377" s="37">
        <f>AS377-AD377</f>
        <v>-30</v>
      </c>
      <c r="AU377" s="36" t="str">
        <f>IF(AR377=0,"Waiting",IF(AR377&lt;AH377,"Kurang",IF(AR377=AH377,"Sesuai",IF(AR377&gt;AH377,"Over Shared"))))</f>
        <v>Waiting</v>
      </c>
      <c r="AV377" s="37"/>
      <c r="AW377" s="37" t="str">
        <f>IFERROR(DATEDIF(AH377,AK377,"d"),"0")&amp;"-DAY"</f>
        <v>0-DAY</v>
      </c>
      <c r="AX377" s="37" t="str">
        <f>IFERROR(DATEDIF(B377,AB377,"d"),"0")&amp;"-DAY"</f>
        <v>25-DAY</v>
      </c>
      <c r="AY377" s="37"/>
      <c r="AZ377" s="181">
        <f>L377-AD377</f>
        <v>0</v>
      </c>
    </row>
    <row r="378" spans="1:52" ht="15.5" customHeight="1">
      <c r="A378" s="360" t="s">
        <v>372</v>
      </c>
      <c r="B378" s="340">
        <v>46247</v>
      </c>
      <c r="C378" s="181">
        <v>49381</v>
      </c>
      <c r="D378" s="30">
        <v>46247</v>
      </c>
      <c r="E378" s="30">
        <v>46243</v>
      </c>
      <c r="F378" s="30">
        <v>46251</v>
      </c>
      <c r="G378" s="37">
        <v>4420231026</v>
      </c>
      <c r="H378" s="37" t="s">
        <v>373</v>
      </c>
      <c r="I378" s="37">
        <v>9040044304</v>
      </c>
      <c r="J378" s="37" t="s">
        <v>290</v>
      </c>
      <c r="K378" s="325" t="s">
        <v>291</v>
      </c>
      <c r="L378" s="181">
        <v>1</v>
      </c>
      <c r="M378" s="181" t="s">
        <v>375</v>
      </c>
      <c r="N378" s="37" t="s">
        <v>449</v>
      </c>
      <c r="O378" s="31">
        <f>IF(F378&gt;0,F378-AB378,"")</f>
        <v>46251</v>
      </c>
      <c r="P378" s="37" t="str">
        <f>IF(F378&gt;0,IF(AB378="","PLANNING SUPPLY",IF(AB378&lt;=F378,"ONTIME DELIVERY","DELAY")),"")</f>
        <v>PLANNING SUPPLY</v>
      </c>
      <c r="Q378" s="181" t="str">
        <f>IFERROR(IF(J378&gt;0,VLOOKUP(J378,#REF!,MATCH($Q$6,#REF!,0),0),""),"")</f>
        <v/>
      </c>
      <c r="R378" s="181" t="str">
        <f>IFERROR(IF(J378&gt;0,VLOOKUP(J378,#REF!,MATCH($R$6,#REF!,0),0),""),"")</f>
        <v/>
      </c>
      <c r="S378" s="181" t="e">
        <f>IF(I381&gt;0,Q378+R378,"")</f>
        <v>#VALUE!</v>
      </c>
      <c r="T378" s="181"/>
      <c r="U378" s="181"/>
      <c r="V378" s="37"/>
      <c r="W378" s="181" t="e">
        <f>IF(I381&gt;0,IF(S378&gt;L378,"READY STOCK",IF(S378=0,"OUT OF STOCK",IF(S378&lt;L378,"LOW STOCK",""))),"")</f>
        <v>#VALUE!</v>
      </c>
      <c r="X378" s="38"/>
      <c r="Y378" s="38"/>
      <c r="Z378" s="38"/>
      <c r="AA378" s="38"/>
      <c r="AB378" s="50"/>
      <c r="AC378" s="181"/>
      <c r="AD378" s="51"/>
      <c r="AE378" s="37"/>
      <c r="AF378" s="37"/>
      <c r="AG378" s="33" t="str">
        <f>IF(G378&gt;0,IF(AD378&gt;0,IF(AD378=0,"Waiting",IF(AD378&lt;L378,"Partial",IF(AD378=L378,"Full Supply",IF(AD378&gt;L378,"Over Shared")))),"Waiting"),"")</f>
        <v>Waiting</v>
      </c>
      <c r="AH378" s="56">
        <v>46253</v>
      </c>
      <c r="AI378" s="37" t="s">
        <v>1302</v>
      </c>
      <c r="AJ378" s="181">
        <v>1</v>
      </c>
      <c r="AK378" s="40">
        <v>26497</v>
      </c>
      <c r="AL378" s="42">
        <v>46295</v>
      </c>
      <c r="AM378" s="40">
        <v>1</v>
      </c>
      <c r="AN378" s="40" t="s">
        <v>1290</v>
      </c>
      <c r="AO378" s="46">
        <v>46296</v>
      </c>
      <c r="AP378" s="37"/>
      <c r="AQ378" s="37"/>
      <c r="AR378" s="37"/>
      <c r="AS378" s="37"/>
      <c r="AT378" s="37">
        <f>AS378-AD378</f>
        <v>0</v>
      </c>
      <c r="AU378" s="36" t="str">
        <f>IF(AR378=0,"Waiting",IF(AR378&lt;AH378,"Kurang",IF(AR378=AH378,"Sesuai",IF(AR378&gt;AH378,"Over Shared"))))</f>
        <v>Waiting</v>
      </c>
      <c r="AV378" s="37"/>
      <c r="AW378" s="37" t="str">
        <f>IFERROR(DATEDIF(AH378,AK378,"d"),"0")&amp;"-DAY"</f>
        <v>0-DAY</v>
      </c>
      <c r="AX378" s="37" t="str">
        <f>IFERROR(DATEDIF(B378,AB378,"d"),"0")&amp;"-DAY"</f>
        <v>0-DAY</v>
      </c>
      <c r="AY378" s="37"/>
      <c r="AZ378" s="181">
        <f>L378-AD378</f>
        <v>1</v>
      </c>
    </row>
    <row r="379" spans="1:52" ht="15.5" customHeight="1">
      <c r="A379" s="360" t="s">
        <v>372</v>
      </c>
      <c r="B379" s="340">
        <v>46252</v>
      </c>
      <c r="C379" s="181">
        <v>49657</v>
      </c>
      <c r="D379" s="30">
        <v>46252</v>
      </c>
      <c r="E379" s="30">
        <v>46246</v>
      </c>
      <c r="F379" s="30">
        <v>46255</v>
      </c>
      <c r="G379" s="37">
        <v>4420231243</v>
      </c>
      <c r="H379" s="37" t="s">
        <v>373</v>
      </c>
      <c r="I379" s="37">
        <v>9040020108</v>
      </c>
      <c r="J379" s="37" t="s">
        <v>315</v>
      </c>
      <c r="K379" s="325" t="s">
        <v>316</v>
      </c>
      <c r="L379" s="181">
        <v>3</v>
      </c>
      <c r="M379" s="181" t="s">
        <v>375</v>
      </c>
      <c r="N379" s="37" t="s">
        <v>482</v>
      </c>
      <c r="O379" s="31">
        <f>IF(F379&gt;0,F379-AB379,"")</f>
        <v>46255</v>
      </c>
      <c r="P379" s="37" t="str">
        <f>IF(F379&gt;0,IF(AB379="","PLANNING SUPPLY",IF(AB379&lt;=F379,"ONTIME DELIVERY","DELAY")),"")</f>
        <v>PLANNING SUPPLY</v>
      </c>
      <c r="Q379" s="181" t="str">
        <f>IFERROR(IF(J379&gt;0,VLOOKUP(J379,#REF!,MATCH($Q$6,#REF!,0),0),""),"")</f>
        <v/>
      </c>
      <c r="R379" s="181" t="str">
        <f>IFERROR(IF(J379&gt;0,VLOOKUP(J379,#REF!,MATCH($R$6,#REF!,0),0),""),"")</f>
        <v/>
      </c>
      <c r="S379" s="181" t="e">
        <f>IF(I382&gt;0,Q379+R379,"")</f>
        <v>#VALUE!</v>
      </c>
      <c r="T379" s="181"/>
      <c r="U379" s="181"/>
      <c r="V379" s="37"/>
      <c r="W379" s="181" t="e">
        <f>IF(I382&gt;0,IF(S379&gt;L379,"READY STOCK",IF(S379=0,"OUT OF STOCK",IF(S379&lt;L379,"LOW STOCK",""))),"")</f>
        <v>#VALUE!</v>
      </c>
      <c r="X379" s="38"/>
      <c r="Y379" s="38"/>
      <c r="Z379" s="38"/>
      <c r="AA379" s="38"/>
      <c r="AB379" s="50"/>
      <c r="AC379" s="181"/>
      <c r="AD379" s="51"/>
      <c r="AE379" s="37"/>
      <c r="AF379" s="37"/>
      <c r="AG379" s="33" t="str">
        <f>IF(G379&gt;0,IF(AD379&gt;0,IF(AD379=0,"Waiting",IF(AD379&lt;L379,"Partial",IF(AD379=L379,"Full Supply",IF(AD379&gt;L379,"Over Shared")))),"Waiting"),"")</f>
        <v>Waiting</v>
      </c>
      <c r="AH379" s="56">
        <v>46253</v>
      </c>
      <c r="AI379" s="37" t="s">
        <v>1302</v>
      </c>
      <c r="AJ379" s="181">
        <v>3</v>
      </c>
      <c r="AK379" s="40"/>
      <c r="AL379" s="40"/>
      <c r="AM379" s="40"/>
      <c r="AN379" s="216" t="s">
        <v>466</v>
      </c>
      <c r="AO379" s="232"/>
      <c r="AP379" s="37"/>
      <c r="AQ379" s="37"/>
      <c r="AR379" s="37"/>
      <c r="AS379" s="37"/>
      <c r="AT379" s="37">
        <f>AS379-AD379</f>
        <v>0</v>
      </c>
      <c r="AU379" s="36" t="str">
        <f>IF(AR379=0,"Waiting",IF(AR379&lt;AH379,"Kurang",IF(AR379=AH379,"Sesuai",IF(AR379&gt;AH379,"Over Shared"))))</f>
        <v>Waiting</v>
      </c>
      <c r="AV379" s="37"/>
      <c r="AW379" s="37" t="str">
        <f>IFERROR(DATEDIF(AH379,AK379,"d"),"0")&amp;"-DAY"</f>
        <v>0-DAY</v>
      </c>
      <c r="AX379" s="37" t="str">
        <f>IFERROR(DATEDIF(B379,AB379,"d"),"0")&amp;"-DAY"</f>
        <v>0-DAY</v>
      </c>
      <c r="AY379" s="37"/>
      <c r="AZ379" s="181">
        <f>L379-AD379</f>
        <v>3</v>
      </c>
    </row>
    <row r="380" spans="1:52" ht="15.5" customHeight="1">
      <c r="A380" s="360" t="s">
        <v>372</v>
      </c>
      <c r="B380" s="340">
        <v>46252</v>
      </c>
      <c r="C380" s="181">
        <v>49660</v>
      </c>
      <c r="D380" s="30">
        <v>46252</v>
      </c>
      <c r="E380" s="30">
        <v>46246</v>
      </c>
      <c r="F380" s="30">
        <v>46295</v>
      </c>
      <c r="G380" s="37">
        <v>4420231298</v>
      </c>
      <c r="H380" s="37" t="s">
        <v>373</v>
      </c>
      <c r="I380" s="37">
        <v>9040016581</v>
      </c>
      <c r="J380" s="37" t="s">
        <v>185</v>
      </c>
      <c r="K380" s="325" t="s">
        <v>186</v>
      </c>
      <c r="L380" s="181">
        <v>11</v>
      </c>
      <c r="M380" s="181" t="s">
        <v>375</v>
      </c>
      <c r="N380" s="37" t="s">
        <v>400</v>
      </c>
      <c r="O380" s="31">
        <f>IF(F380&gt;0,F380-AB380,"")</f>
        <v>41</v>
      </c>
      <c r="P380" s="37" t="str">
        <f>IF(F380&gt;0,IF(AB380="","PLANNING SUPPLY",IF(AB380&lt;=F380,"ONTIME DELIVERY","DELAY")),"")</f>
        <v>ONTIME DELIVERY</v>
      </c>
      <c r="Q380" s="181" t="str">
        <f>IFERROR(IF(J380&gt;0,VLOOKUP(J380,#REF!,MATCH($Q$6,#REF!,0),0),""),"")</f>
        <v/>
      </c>
      <c r="R380" s="181" t="str">
        <f>IFERROR(IF(J380&gt;0,VLOOKUP(J380,#REF!,MATCH($R$6,#REF!,0),0),""),"")</f>
        <v/>
      </c>
      <c r="S380" s="181" t="e">
        <f>IF(I383&gt;0,Q380+R380,"")</f>
        <v>#VALUE!</v>
      </c>
      <c r="T380" s="181"/>
      <c r="U380" s="181"/>
      <c r="V380" s="37"/>
      <c r="W380" s="181" t="e">
        <f>IF(I383&gt;0,IF(S380&gt;L380,"READY STOCK",IF(S380=0,"OUT OF STOCK",IF(S380&lt;L380,"LOW STOCK",""))),"")</f>
        <v>#VALUE!</v>
      </c>
      <c r="X380" s="38"/>
      <c r="Y380" s="38"/>
      <c r="Z380" s="38"/>
      <c r="AA380" s="38"/>
      <c r="AB380" s="50">
        <v>46254</v>
      </c>
      <c r="AC380" s="181">
        <v>33768</v>
      </c>
      <c r="AD380" s="51">
        <v>11</v>
      </c>
      <c r="AE380" s="37" t="s">
        <v>383</v>
      </c>
      <c r="AF380" s="37" t="s">
        <v>381</v>
      </c>
      <c r="AG380" s="33" t="str">
        <f>IF(G380&gt;0,IF(AD380&gt;0,IF(AD380=0,"Waiting",IF(AD380&lt;L380,"Partial",IF(AD380=L380,"Full Supply",IF(AD380&gt;L380,"Over Shared")))),"Waiting"),"")</f>
        <v>Full Supply</v>
      </c>
      <c r="AH380" s="37"/>
      <c r="AI380" s="37"/>
      <c r="AJ380" s="181"/>
      <c r="AK380" s="40"/>
      <c r="AL380" s="40"/>
      <c r="AM380" s="40"/>
      <c r="AN380" s="37"/>
      <c r="AO380" s="34"/>
      <c r="AP380" s="37"/>
      <c r="AQ380" s="37"/>
      <c r="AR380" s="37"/>
      <c r="AS380" s="37"/>
      <c r="AT380" s="37">
        <f>AS380-AD380</f>
        <v>-11</v>
      </c>
      <c r="AU380" s="36" t="str">
        <f>IF(AR380=0,"Waiting",IF(AR380&lt;AH380,"Kurang",IF(AR380=AH380,"Sesuai",IF(AR380&gt;AH380,"Over Shared"))))</f>
        <v>Waiting</v>
      </c>
      <c r="AV380" s="37"/>
      <c r="AW380" s="37" t="str">
        <f>IFERROR(DATEDIF(AH380,AK380,"d"),"0")&amp;"-DAY"</f>
        <v>0-DAY</v>
      </c>
      <c r="AX380" s="37" t="str">
        <f>IFERROR(DATEDIF(B380,AB380,"d"),"0")&amp;"-DAY"</f>
        <v>2-DAY</v>
      </c>
      <c r="AY380" s="37"/>
      <c r="AZ380" s="181">
        <f>L380-AD380</f>
        <v>0</v>
      </c>
    </row>
    <row r="381" spans="1:52" ht="15.5" customHeight="1">
      <c r="A381" s="360" t="s">
        <v>372</v>
      </c>
      <c r="B381" s="340">
        <v>46252</v>
      </c>
      <c r="C381" s="181">
        <v>49660</v>
      </c>
      <c r="D381" s="30">
        <v>46252</v>
      </c>
      <c r="E381" s="30">
        <v>46246</v>
      </c>
      <c r="F381" s="30">
        <v>46295</v>
      </c>
      <c r="G381" s="37">
        <v>4420231298</v>
      </c>
      <c r="H381" s="37" t="s">
        <v>373</v>
      </c>
      <c r="I381" s="37">
        <v>9040055051</v>
      </c>
      <c r="J381" s="37" t="s">
        <v>10</v>
      </c>
      <c r="K381" s="325" t="s">
        <v>149</v>
      </c>
      <c r="L381" s="181">
        <v>8</v>
      </c>
      <c r="M381" s="181" t="s">
        <v>375</v>
      </c>
      <c r="N381" s="37" t="s">
        <v>400</v>
      </c>
      <c r="O381" s="31">
        <f>IF(F381&gt;0,F381-AB381,"")</f>
        <v>13</v>
      </c>
      <c r="P381" s="37" t="str">
        <f>IF(F381&gt;0,IF(AB381="","PLANNING SUPPLY",IF(AB381&lt;=F381,"ONTIME DELIVERY","DELAY")),"")</f>
        <v>ONTIME DELIVERY</v>
      </c>
      <c r="Q381" s="181" t="str">
        <f>IFERROR(IF(J381&gt;0,VLOOKUP(J381,#REF!,MATCH($Q$6,#REF!,0),0),""),"")</f>
        <v/>
      </c>
      <c r="R381" s="181" t="str">
        <f>IFERROR(IF(J381&gt;0,VLOOKUP(J381,#REF!,MATCH($R$6,#REF!,0),0),""),"")</f>
        <v/>
      </c>
      <c r="S381" s="181" t="e">
        <f>IF(I384&gt;0,Q381+R381,"")</f>
        <v>#VALUE!</v>
      </c>
      <c r="T381" s="181"/>
      <c r="U381" s="181"/>
      <c r="V381" s="37"/>
      <c r="W381" s="181" t="e">
        <f>IF(I384&gt;0,IF(S381&gt;L381,"READY STOCK",IF(S381=0,"OUT OF STOCK",IF(S381&lt;L381,"LOW STOCK",""))),"")</f>
        <v>#VALUE!</v>
      </c>
      <c r="X381" s="38"/>
      <c r="Y381" s="38"/>
      <c r="Z381" s="38"/>
      <c r="AA381" s="38"/>
      <c r="AB381" s="50">
        <v>46282</v>
      </c>
      <c r="AC381" s="181">
        <v>34342</v>
      </c>
      <c r="AD381" s="51">
        <v>8</v>
      </c>
      <c r="AE381" s="37" t="s">
        <v>383</v>
      </c>
      <c r="AF381" s="37" t="s">
        <v>381</v>
      </c>
      <c r="AG381" s="33" t="str">
        <f>IF(G381&gt;0,IF(AD381&gt;0,IF(AD381=0,"Waiting",IF(AD381&lt;L381,"Partial",IF(AD381=L381,"Full Supply",IF(AD381&gt;L381,"Over Shared")))),"Waiting"),"")</f>
        <v>Full Supply</v>
      </c>
      <c r="AH381" s="37"/>
      <c r="AI381" s="37"/>
      <c r="AJ381" s="181"/>
      <c r="AK381" s="40"/>
      <c r="AL381" s="40"/>
      <c r="AM381" s="40"/>
      <c r="AN381" s="37"/>
      <c r="AO381" s="34"/>
      <c r="AP381" s="37"/>
      <c r="AQ381" s="37"/>
      <c r="AR381" s="37"/>
      <c r="AS381" s="37"/>
      <c r="AT381" s="37">
        <f>AS381-AD381</f>
        <v>-8</v>
      </c>
      <c r="AU381" s="36" t="str">
        <f>IF(AR381=0,"Waiting",IF(AR381&lt;AH381,"Kurang",IF(AR381=AH381,"Sesuai",IF(AR381&gt;AH381,"Over Shared"))))</f>
        <v>Waiting</v>
      </c>
      <c r="AV381" s="37"/>
      <c r="AW381" s="37" t="str">
        <f>IFERROR(DATEDIF(AH381,AK381,"d"),"0")&amp;"-DAY"</f>
        <v>0-DAY</v>
      </c>
      <c r="AX381" s="37" t="str">
        <f>IFERROR(DATEDIF(B381,AB381,"d"),"0")&amp;"-DAY"</f>
        <v>30-DAY</v>
      </c>
      <c r="AY381" s="37"/>
      <c r="AZ381" s="181">
        <f>L381-AD381</f>
        <v>0</v>
      </c>
    </row>
    <row r="382" spans="1:52" ht="15.5" customHeight="1">
      <c r="A382" s="360" t="s">
        <v>372</v>
      </c>
      <c r="B382" s="340">
        <v>46252</v>
      </c>
      <c r="C382" s="181">
        <v>49660</v>
      </c>
      <c r="D382" s="30">
        <v>46252</v>
      </c>
      <c r="E382" s="30">
        <v>46246</v>
      </c>
      <c r="F382" s="30">
        <v>46295</v>
      </c>
      <c r="G382" s="37">
        <v>4420231298</v>
      </c>
      <c r="H382" s="37" t="s">
        <v>373</v>
      </c>
      <c r="I382" s="37">
        <v>9040040486</v>
      </c>
      <c r="J382" s="37" t="s">
        <v>165</v>
      </c>
      <c r="K382" s="325" t="s">
        <v>166</v>
      </c>
      <c r="L382" s="181">
        <v>28</v>
      </c>
      <c r="M382" s="181" t="s">
        <v>375</v>
      </c>
      <c r="N382" s="37" t="s">
        <v>400</v>
      </c>
      <c r="O382" s="31">
        <f>IF(F382&gt;0,F382-AB382,"")</f>
        <v>41</v>
      </c>
      <c r="P382" s="37" t="str">
        <f>IF(F382&gt;0,IF(AB382="","PLANNING SUPPLY",IF(AB382&lt;=F382,"ONTIME DELIVERY","DELAY")),"")</f>
        <v>ONTIME DELIVERY</v>
      </c>
      <c r="Q382" s="181" t="str">
        <f>IFERROR(IF(J382&gt;0,VLOOKUP(J382,#REF!,MATCH($Q$6,#REF!,0),0),""),"")</f>
        <v/>
      </c>
      <c r="R382" s="181" t="str">
        <f>IFERROR(IF(J382&gt;0,VLOOKUP(J382,#REF!,MATCH($R$6,#REF!,0),0),""),"")</f>
        <v/>
      </c>
      <c r="S382" s="181" t="e">
        <f>IF(I385&gt;0,Q382+R382,"")</f>
        <v>#VALUE!</v>
      </c>
      <c r="T382" s="181"/>
      <c r="U382" s="181"/>
      <c r="V382" s="37"/>
      <c r="W382" s="181" t="e">
        <f>IF(I385&gt;0,IF(S382&gt;L382,"READY STOCK",IF(S382=0,"OUT OF STOCK",IF(S382&lt;L382,"LOW STOCK",""))),"")</f>
        <v>#VALUE!</v>
      </c>
      <c r="X382" s="38"/>
      <c r="Y382" s="38"/>
      <c r="Z382" s="38"/>
      <c r="AA382" s="38"/>
      <c r="AB382" s="50">
        <v>46254</v>
      </c>
      <c r="AC382" s="181">
        <v>33768</v>
      </c>
      <c r="AD382" s="51">
        <v>28</v>
      </c>
      <c r="AE382" s="37" t="s">
        <v>383</v>
      </c>
      <c r="AF382" s="37" t="s">
        <v>381</v>
      </c>
      <c r="AG382" s="33" t="str">
        <f>IF(G382&gt;0,IF(AD382&gt;0,IF(AD382=0,"Waiting",IF(AD382&lt;L382,"Partial",IF(AD382=L382,"Full Supply",IF(AD382&gt;L382,"Over Shared")))),"Waiting"),"")</f>
        <v>Full Supply</v>
      </c>
      <c r="AH382" s="37"/>
      <c r="AI382" s="37"/>
      <c r="AJ382" s="181"/>
      <c r="AK382" s="40"/>
      <c r="AL382" s="40"/>
      <c r="AM382" s="40"/>
      <c r="AN382" s="37"/>
      <c r="AO382" s="34"/>
      <c r="AP382" s="37"/>
      <c r="AQ382" s="37"/>
      <c r="AR382" s="37"/>
      <c r="AS382" s="37"/>
      <c r="AT382" s="37">
        <f>AS382-AD382</f>
        <v>-28</v>
      </c>
      <c r="AU382" s="36" t="str">
        <f>IF(AR382=0,"Waiting",IF(AR382&lt;AH382,"Kurang",IF(AR382=AH382,"Sesuai",IF(AR382&gt;AH382,"Over Shared"))))</f>
        <v>Waiting</v>
      </c>
      <c r="AV382" s="37"/>
      <c r="AW382" s="37" t="str">
        <f>IFERROR(DATEDIF(AH382,AK382,"d"),"0")&amp;"-DAY"</f>
        <v>0-DAY</v>
      </c>
      <c r="AX382" s="37" t="str">
        <f>IFERROR(DATEDIF(B382,AB382,"d"),"0")&amp;"-DAY"</f>
        <v>2-DAY</v>
      </c>
      <c r="AY382" s="37"/>
      <c r="AZ382" s="181">
        <f>L382-AD382</f>
        <v>0</v>
      </c>
    </row>
    <row r="383" spans="1:52" ht="15.5" customHeight="1">
      <c r="A383" s="360" t="s">
        <v>372</v>
      </c>
      <c r="B383" s="340">
        <v>46252</v>
      </c>
      <c r="C383" s="181">
        <v>49660</v>
      </c>
      <c r="D383" s="30">
        <v>46252</v>
      </c>
      <c r="E383" s="30">
        <v>46246</v>
      </c>
      <c r="F383" s="30">
        <v>46295</v>
      </c>
      <c r="G383" s="37">
        <v>4420231298</v>
      </c>
      <c r="H383" s="37" t="s">
        <v>373</v>
      </c>
      <c r="I383" s="37">
        <v>9040044154</v>
      </c>
      <c r="J383" s="37" t="s">
        <v>301</v>
      </c>
      <c r="K383" s="325" t="s">
        <v>302</v>
      </c>
      <c r="L383" s="181">
        <v>1</v>
      </c>
      <c r="M383" s="181" t="s">
        <v>375</v>
      </c>
      <c r="N383" s="37" t="s">
        <v>400</v>
      </c>
      <c r="O383" s="31">
        <f>IF(F383&gt;0,F383-AB383,"")</f>
        <v>41</v>
      </c>
      <c r="P383" s="37" t="str">
        <f>IF(F383&gt;0,IF(AB383="","PLANNING SUPPLY",IF(AB383&lt;=F383,"ONTIME DELIVERY","DELAY")),"")</f>
        <v>ONTIME DELIVERY</v>
      </c>
      <c r="Q383" s="181" t="str">
        <f>IFERROR(IF(J383&gt;0,VLOOKUP(J383,#REF!,MATCH($Q$6,#REF!,0),0),""),"")</f>
        <v/>
      </c>
      <c r="R383" s="181" t="str">
        <f>IFERROR(IF(J383&gt;0,VLOOKUP(J383,#REF!,MATCH($R$6,#REF!,0),0),""),"")</f>
        <v/>
      </c>
      <c r="S383" s="181" t="e">
        <f>IF(I386&gt;0,Q383+R383,"")</f>
        <v>#VALUE!</v>
      </c>
      <c r="T383" s="181"/>
      <c r="U383" s="181"/>
      <c r="V383" s="37"/>
      <c r="W383" s="181" t="e">
        <f>IF(I386&gt;0,IF(S383&gt;L383,"READY STOCK",IF(S383=0,"OUT OF STOCK",IF(S383&lt;L383,"LOW STOCK",""))),"")</f>
        <v>#VALUE!</v>
      </c>
      <c r="X383" s="38"/>
      <c r="Y383" s="38"/>
      <c r="Z383" s="38"/>
      <c r="AA383" s="38"/>
      <c r="AB383" s="50">
        <v>46254</v>
      </c>
      <c r="AC383" s="181">
        <v>33768</v>
      </c>
      <c r="AD383" s="51">
        <v>1</v>
      </c>
      <c r="AE383" s="37" t="s">
        <v>383</v>
      </c>
      <c r="AF383" s="37" t="s">
        <v>381</v>
      </c>
      <c r="AG383" s="33" t="str">
        <f>IF(G383&gt;0,IF(AD383&gt;0,IF(AD383=0,"Waiting",IF(AD383&lt;L383,"Partial",IF(AD383=L383,"Full Supply",IF(AD383&gt;L383,"Over Shared")))),"Waiting"),"")</f>
        <v>Full Supply</v>
      </c>
      <c r="AH383" s="37"/>
      <c r="AI383" s="37"/>
      <c r="AJ383" s="181"/>
      <c r="AK383" s="40"/>
      <c r="AL383" s="40"/>
      <c r="AM383" s="40"/>
      <c r="AN383" s="37"/>
      <c r="AO383" s="34"/>
      <c r="AP383" s="37"/>
      <c r="AQ383" s="37"/>
      <c r="AR383" s="37"/>
      <c r="AS383" s="37"/>
      <c r="AT383" s="37">
        <f>AS383-AD383</f>
        <v>-1</v>
      </c>
      <c r="AU383" s="36" t="str">
        <f>IF(AR383=0,"Waiting",IF(AR383&lt;AH383,"Kurang",IF(AR383=AH383,"Sesuai",IF(AR383&gt;AH383,"Over Shared"))))</f>
        <v>Waiting</v>
      </c>
      <c r="AV383" s="37"/>
      <c r="AW383" s="37" t="str">
        <f>IFERROR(DATEDIF(AH383,AK383,"d"),"0")&amp;"-DAY"</f>
        <v>0-DAY</v>
      </c>
      <c r="AX383" s="37" t="str">
        <f>IFERROR(DATEDIF(B383,AB383,"d"),"0")&amp;"-DAY"</f>
        <v>2-DAY</v>
      </c>
      <c r="AY383" s="37"/>
      <c r="AZ383" s="181">
        <f>L383-AD383</f>
        <v>0</v>
      </c>
    </row>
    <row r="384" spans="1:52" ht="15.5" customHeight="1">
      <c r="A384" s="360" t="s">
        <v>372</v>
      </c>
      <c r="B384" s="340">
        <v>46252</v>
      </c>
      <c r="C384" s="181">
        <v>49660</v>
      </c>
      <c r="D384" s="30">
        <v>46252</v>
      </c>
      <c r="E384" s="30">
        <v>46246</v>
      </c>
      <c r="F384" s="30">
        <v>46295</v>
      </c>
      <c r="G384" s="37">
        <v>4420231298</v>
      </c>
      <c r="H384" s="37" t="s">
        <v>373</v>
      </c>
      <c r="I384" s="37">
        <v>9040044349</v>
      </c>
      <c r="J384" s="37" t="s">
        <v>157</v>
      </c>
      <c r="K384" s="325" t="s">
        <v>158</v>
      </c>
      <c r="L384" s="181">
        <v>48</v>
      </c>
      <c r="M384" s="181" t="s">
        <v>375</v>
      </c>
      <c r="N384" s="37" t="s">
        <v>400</v>
      </c>
      <c r="O384" s="31">
        <f>IF(F384&gt;0,F384-AB384,"")</f>
        <v>41</v>
      </c>
      <c r="P384" s="37" t="str">
        <f>IF(F384&gt;0,IF(AB384="","PLANNING SUPPLY",IF(AB384&lt;=F384,"ONTIME DELIVERY","DELAY")),"")</f>
        <v>ONTIME DELIVERY</v>
      </c>
      <c r="Q384" s="181" t="str">
        <f>IFERROR(IF(J384&gt;0,VLOOKUP(J384,#REF!,MATCH($Q$6,#REF!,0),0),""),"")</f>
        <v/>
      </c>
      <c r="R384" s="181" t="str">
        <f>IFERROR(IF(J384&gt;0,VLOOKUP(J384,#REF!,MATCH($R$6,#REF!,0),0),""),"")</f>
        <v/>
      </c>
      <c r="S384" s="181" t="e">
        <f>IF(I387&gt;0,Q384+R384,"")</f>
        <v>#VALUE!</v>
      </c>
      <c r="T384" s="181"/>
      <c r="U384" s="181"/>
      <c r="V384" s="37"/>
      <c r="W384" s="181" t="e">
        <f>IF(I387&gt;0,IF(S384&gt;L384,"READY STOCK",IF(S384=0,"OUT OF STOCK",IF(S384&lt;L384,"LOW STOCK",""))),"")</f>
        <v>#VALUE!</v>
      </c>
      <c r="X384" s="38"/>
      <c r="Y384" s="38"/>
      <c r="Z384" s="38"/>
      <c r="AA384" s="38"/>
      <c r="AB384" s="50">
        <v>46254</v>
      </c>
      <c r="AC384" s="181">
        <v>33768</v>
      </c>
      <c r="AD384" s="51">
        <v>48</v>
      </c>
      <c r="AE384" s="37" t="s">
        <v>383</v>
      </c>
      <c r="AF384" s="37" t="s">
        <v>381</v>
      </c>
      <c r="AG384" s="33" t="str">
        <f>IF(G384&gt;0,IF(AD384&gt;0,IF(AD384=0,"Waiting",IF(AD384&lt;L384,"Partial",IF(AD384=L384,"Full Supply",IF(AD384&gt;L384,"Over Shared")))),"Waiting"),"")</f>
        <v>Full Supply</v>
      </c>
      <c r="AH384" s="37"/>
      <c r="AI384" s="37"/>
      <c r="AJ384" s="181"/>
      <c r="AK384" s="40"/>
      <c r="AL384" s="40"/>
      <c r="AM384" s="40"/>
      <c r="AN384" s="37"/>
      <c r="AO384" s="34"/>
      <c r="AP384" s="37"/>
      <c r="AQ384" s="37"/>
      <c r="AR384" s="37"/>
      <c r="AS384" s="37"/>
      <c r="AT384" s="37">
        <f>AS384-AD384</f>
        <v>-48</v>
      </c>
      <c r="AU384" s="36" t="str">
        <f>IF(AR384=0,"Waiting",IF(AR384&lt;AH384,"Kurang",IF(AR384=AH384,"Sesuai",IF(AR384&gt;AH384,"Over Shared"))))</f>
        <v>Waiting</v>
      </c>
      <c r="AV384" s="37"/>
      <c r="AW384" s="37" t="str">
        <f>IFERROR(DATEDIF(AH384,AK384,"d"),"0")&amp;"-DAY"</f>
        <v>0-DAY</v>
      </c>
      <c r="AX384" s="37" t="str">
        <f>IFERROR(DATEDIF(B384,AB384,"d"),"0")&amp;"-DAY"</f>
        <v>2-DAY</v>
      </c>
      <c r="AY384" s="37"/>
      <c r="AZ384" s="181">
        <f>L384-AD384</f>
        <v>0</v>
      </c>
    </row>
    <row r="385" spans="1:52" ht="15.5" customHeight="1">
      <c r="A385" s="360" t="s">
        <v>372</v>
      </c>
      <c r="B385" s="340">
        <v>46252</v>
      </c>
      <c r="C385" s="181">
        <v>49662</v>
      </c>
      <c r="D385" s="30">
        <v>46252</v>
      </c>
      <c r="E385" s="30">
        <v>46247</v>
      </c>
      <c r="F385" s="30">
        <v>46275</v>
      </c>
      <c r="G385" s="37">
        <v>4420231436</v>
      </c>
      <c r="H385" s="37" t="s">
        <v>373</v>
      </c>
      <c r="I385" s="37">
        <v>9040014955</v>
      </c>
      <c r="J385" s="37" t="s">
        <v>27</v>
      </c>
      <c r="K385" s="325" t="s">
        <v>28</v>
      </c>
      <c r="L385" s="181">
        <v>8</v>
      </c>
      <c r="M385" s="181" t="s">
        <v>375</v>
      </c>
      <c r="N385" s="37" t="s">
        <v>408</v>
      </c>
      <c r="O385" s="31">
        <f>IF(F385&gt;0,F385-AB385,"")</f>
        <v>14</v>
      </c>
      <c r="P385" s="37" t="str">
        <f>IF(F385&gt;0,IF(AB385="","PLANNING SUPPLY",IF(AB385&lt;=F385,"ONTIME DELIVERY","DELAY")),"")</f>
        <v>ONTIME DELIVERY</v>
      </c>
      <c r="Q385" s="181" t="str">
        <f>IFERROR(IF(J385&gt;0,VLOOKUP(J385,#REF!,MATCH($Q$6,#REF!,0),0),""),"")</f>
        <v/>
      </c>
      <c r="R385" s="181" t="str">
        <f>IFERROR(IF(J385&gt;0,VLOOKUP(J385,#REF!,MATCH($R$6,#REF!,0),0),""),"")</f>
        <v/>
      </c>
      <c r="S385" s="181" t="e">
        <f>IF(I388&gt;0,Q385+R385,"")</f>
        <v>#VALUE!</v>
      </c>
      <c r="T385" s="181"/>
      <c r="U385" s="181"/>
      <c r="V385" s="37"/>
      <c r="W385" s="181" t="e">
        <f>IF(I388&gt;0,IF(S385&gt;L385,"READY STOCK",IF(S385=0,"OUT OF STOCK",IF(S385&lt;L385,"LOW STOCK",""))),"")</f>
        <v>#VALUE!</v>
      </c>
      <c r="X385" s="38"/>
      <c r="Y385" s="38"/>
      <c r="Z385" s="38"/>
      <c r="AA385" s="38"/>
      <c r="AB385" s="50">
        <v>46261</v>
      </c>
      <c r="AC385" s="181">
        <v>33886</v>
      </c>
      <c r="AD385" s="51">
        <v>8</v>
      </c>
      <c r="AE385" s="37" t="s">
        <v>383</v>
      </c>
      <c r="AF385" s="37" t="s">
        <v>381</v>
      </c>
      <c r="AG385" s="33" t="str">
        <f>IF(G385&gt;0,IF(AD385&gt;0,IF(AD385=0,"Waiting",IF(AD385&lt;L385,"Partial",IF(AD385=L385,"Full Supply",IF(AD385&gt;L385,"Over Shared")))),"Waiting"),"")</f>
        <v>Full Supply</v>
      </c>
      <c r="AH385" s="37"/>
      <c r="AI385" s="37"/>
      <c r="AJ385" s="181"/>
      <c r="AK385" s="40"/>
      <c r="AL385" s="40"/>
      <c r="AM385" s="40"/>
      <c r="AN385" s="37"/>
      <c r="AO385" s="34"/>
      <c r="AP385" s="37"/>
      <c r="AQ385" s="37"/>
      <c r="AR385" s="37"/>
      <c r="AS385" s="37"/>
      <c r="AT385" s="37">
        <f>AS385-AD385</f>
        <v>-8</v>
      </c>
      <c r="AU385" s="36" t="str">
        <f>IF(AR385=0,"Waiting",IF(AR385&lt;AH385,"Kurang",IF(AR385=AH385,"Sesuai",IF(AR385&gt;AH385,"Over Shared"))))</f>
        <v>Waiting</v>
      </c>
      <c r="AV385" s="37"/>
      <c r="AW385" s="37" t="str">
        <f>IFERROR(DATEDIF(AH385,AK385,"d"),"0")&amp;"-DAY"</f>
        <v>0-DAY</v>
      </c>
      <c r="AX385" s="37" t="str">
        <f>IFERROR(DATEDIF(B385,AB385,"d"),"0")&amp;"-DAY"</f>
        <v>9-DAY</v>
      </c>
      <c r="AY385" s="37"/>
      <c r="AZ385" s="181">
        <f>L385-AD385</f>
        <v>0</v>
      </c>
    </row>
    <row r="386" spans="1:52" ht="15.5" customHeight="1">
      <c r="A386" s="360" t="s">
        <v>372</v>
      </c>
      <c r="B386" s="340">
        <v>46252</v>
      </c>
      <c r="C386" s="181">
        <v>49662</v>
      </c>
      <c r="D386" s="30">
        <v>46252</v>
      </c>
      <c r="E386" s="30">
        <v>46247</v>
      </c>
      <c r="F386" s="30">
        <v>46275</v>
      </c>
      <c r="G386" s="37">
        <v>4420231436</v>
      </c>
      <c r="H386" s="37" t="s">
        <v>373</v>
      </c>
      <c r="I386" s="37">
        <v>9040016343</v>
      </c>
      <c r="J386" s="37" t="s">
        <v>211</v>
      </c>
      <c r="K386" s="325" t="s">
        <v>212</v>
      </c>
      <c r="L386" s="181">
        <v>5</v>
      </c>
      <c r="M386" s="181" t="s">
        <v>421</v>
      </c>
      <c r="N386" s="37" t="s">
        <v>408</v>
      </c>
      <c r="O386" s="31">
        <f>IF(F386&gt;0,F386-AB386,"")</f>
        <v>-6</v>
      </c>
      <c r="P386" s="37" t="str">
        <f>IF(F386&gt;0,IF(AB386="","PLANNING SUPPLY",IF(AB386&lt;=F386,"ONTIME DELIVERY","DELAY")),"")</f>
        <v>DELAY</v>
      </c>
      <c r="Q386" s="181" t="str">
        <f>IFERROR(IF(J386&gt;0,VLOOKUP(J386,#REF!,MATCH($Q$6,#REF!,0),0),""),"")</f>
        <v/>
      </c>
      <c r="R386" s="181" t="str">
        <f>IFERROR(IF(J386&gt;0,VLOOKUP(J386,#REF!,MATCH($R$6,#REF!,0),0),""),"")</f>
        <v/>
      </c>
      <c r="S386" s="181" t="e">
        <f>IF(I389&gt;0,Q386+R386,"")</f>
        <v>#VALUE!</v>
      </c>
      <c r="T386" s="181"/>
      <c r="U386" s="181"/>
      <c r="V386" s="37"/>
      <c r="W386" s="181" t="e">
        <f>IF(I389&gt;0,IF(S386&gt;L386,"READY STOCK",IF(S386=0,"OUT OF STOCK",IF(S386&lt;L386,"LOW STOCK",""))),"")</f>
        <v>#VALUE!</v>
      </c>
      <c r="X386" s="38"/>
      <c r="Y386" s="38"/>
      <c r="Z386" s="38"/>
      <c r="AA386" s="38"/>
      <c r="AB386" s="50">
        <v>46281</v>
      </c>
      <c r="AC386" s="181">
        <v>34316</v>
      </c>
      <c r="AD386" s="51">
        <v>5</v>
      </c>
      <c r="AE386" s="37" t="s">
        <v>383</v>
      </c>
      <c r="AF386" s="37" t="s">
        <v>381</v>
      </c>
      <c r="AG386" s="33" t="str">
        <f>IF(G386&gt;0,IF(AD386&gt;0,IF(AD386=0,"Waiting",IF(AD386&lt;L386,"Partial",IF(AD386=L386,"Full Supply",IF(AD386&gt;L386,"Over Shared")))),"Waiting"),"")</f>
        <v>Full Supply</v>
      </c>
      <c r="AH386" s="56">
        <v>46253</v>
      </c>
      <c r="AI386" s="37" t="s">
        <v>1302</v>
      </c>
      <c r="AJ386" s="181">
        <v>5</v>
      </c>
      <c r="AK386" s="40">
        <v>26064</v>
      </c>
      <c r="AL386" s="189">
        <v>46266</v>
      </c>
      <c r="AM386" s="40">
        <v>5</v>
      </c>
      <c r="AN386" s="37"/>
      <c r="AO386" s="190">
        <v>46296</v>
      </c>
      <c r="AP386" s="37"/>
      <c r="AQ386" s="37"/>
      <c r="AR386" s="37"/>
      <c r="AS386" s="37"/>
      <c r="AT386" s="37">
        <f>AS386-AD386</f>
        <v>-5</v>
      </c>
      <c r="AU386" s="36" t="str">
        <f>IF(AR386=0,"Waiting",IF(AR386&lt;AH386,"Kurang",IF(AR386=AH386,"Sesuai",IF(AR386&gt;AH386,"Over Shared"))))</f>
        <v>Waiting</v>
      </c>
      <c r="AV386" s="37"/>
      <c r="AW386" s="37" t="str">
        <f>IFERROR(DATEDIF(AH386,AK386,"d"),"0")&amp;"-DAY"</f>
        <v>0-DAY</v>
      </c>
      <c r="AX386" s="37" t="str">
        <f>IFERROR(DATEDIF(B386,AB386,"d"),"0")&amp;"-DAY"</f>
        <v>29-DAY</v>
      </c>
      <c r="AY386" s="37"/>
      <c r="AZ386" s="181">
        <f>L386-AD386</f>
        <v>0</v>
      </c>
    </row>
    <row r="387" spans="1:52" ht="15.5" customHeight="1">
      <c r="A387" s="360" t="s">
        <v>372</v>
      </c>
      <c r="B387" s="340">
        <v>46252</v>
      </c>
      <c r="C387" s="181">
        <v>49662</v>
      </c>
      <c r="D387" s="30">
        <v>46252</v>
      </c>
      <c r="E387" s="30">
        <v>46247</v>
      </c>
      <c r="F387" s="30">
        <v>46275</v>
      </c>
      <c r="G387" s="37">
        <v>4420231436</v>
      </c>
      <c r="H387" s="37" t="s">
        <v>373</v>
      </c>
      <c r="I387" s="37">
        <v>9040016582</v>
      </c>
      <c r="J387" s="37" t="s">
        <v>183</v>
      </c>
      <c r="K387" s="325" t="s">
        <v>184</v>
      </c>
      <c r="L387" s="181">
        <v>11</v>
      </c>
      <c r="M387" s="181" t="s">
        <v>375</v>
      </c>
      <c r="N387" s="37" t="s">
        <v>408</v>
      </c>
      <c r="O387" s="31">
        <f>IF(F387&gt;0,F387-AB387,"")</f>
        <v>14</v>
      </c>
      <c r="P387" s="37" t="str">
        <f>IF(F387&gt;0,IF(AB387="","PLANNING SUPPLY",IF(AB387&lt;=F387,"ONTIME DELIVERY","DELAY")),"")</f>
        <v>ONTIME DELIVERY</v>
      </c>
      <c r="Q387" s="181" t="str">
        <f>IFERROR(IF(J387&gt;0,VLOOKUP(J387,#REF!,MATCH($Q$6,#REF!,0),0),""),"")</f>
        <v/>
      </c>
      <c r="R387" s="181" t="str">
        <f>IFERROR(IF(J387&gt;0,VLOOKUP(J387,#REF!,MATCH($R$6,#REF!,0),0),""),"")</f>
        <v/>
      </c>
      <c r="S387" s="181" t="e">
        <f>IF(I390&gt;0,Q387+R387,"")</f>
        <v>#VALUE!</v>
      </c>
      <c r="T387" s="181"/>
      <c r="U387" s="181"/>
      <c r="V387" s="37"/>
      <c r="W387" s="181" t="e">
        <f>IF(I390&gt;0,IF(S387&gt;L387,"READY STOCK",IF(S387=0,"OUT OF STOCK",IF(S387&lt;L387,"LOW STOCK",""))),"")</f>
        <v>#VALUE!</v>
      </c>
      <c r="X387" s="38"/>
      <c r="Y387" s="38"/>
      <c r="Z387" s="38"/>
      <c r="AA387" s="38"/>
      <c r="AB387" s="50">
        <v>46261</v>
      </c>
      <c r="AC387" s="181">
        <v>33886</v>
      </c>
      <c r="AD387" s="51">
        <v>11</v>
      </c>
      <c r="AE387" s="37" t="s">
        <v>383</v>
      </c>
      <c r="AF387" s="37" t="s">
        <v>381</v>
      </c>
      <c r="AG387" s="33" t="str">
        <f>IF(G387&gt;0,IF(AD387&gt;0,IF(AD387=0,"Waiting",IF(AD387&lt;L387,"Partial",IF(AD387=L387,"Full Supply",IF(AD387&gt;L387,"Over Shared")))),"Waiting"),"")</f>
        <v>Full Supply</v>
      </c>
      <c r="AH387" s="37"/>
      <c r="AI387" s="37"/>
      <c r="AJ387" s="181"/>
      <c r="AK387" s="40"/>
      <c r="AL387" s="40"/>
      <c r="AM387" s="40"/>
      <c r="AN387" s="37"/>
      <c r="AO387" s="34"/>
      <c r="AP387" s="37"/>
      <c r="AQ387" s="37"/>
      <c r="AR387" s="37"/>
      <c r="AS387" s="37"/>
      <c r="AT387" s="37">
        <f>AS387-AD387</f>
        <v>-11</v>
      </c>
      <c r="AU387" s="36" t="str">
        <f>IF(AR387=0,"Waiting",IF(AR387&lt;AH387,"Kurang",IF(AR387=AH387,"Sesuai",IF(AR387&gt;AH387,"Over Shared"))))</f>
        <v>Waiting</v>
      </c>
      <c r="AV387" s="37"/>
      <c r="AW387" s="37" t="str">
        <f>IFERROR(DATEDIF(AH387,AK387,"d"),"0")&amp;"-DAY"</f>
        <v>0-DAY</v>
      </c>
      <c r="AX387" s="37" t="str">
        <f>IFERROR(DATEDIF(B387,AB387,"d"),"0")&amp;"-DAY"</f>
        <v>9-DAY</v>
      </c>
      <c r="AY387" s="37"/>
      <c r="AZ387" s="181">
        <f>L387-AD387</f>
        <v>0</v>
      </c>
    </row>
    <row r="388" spans="1:52" ht="15.5" customHeight="1">
      <c r="A388" s="360" t="s">
        <v>372</v>
      </c>
      <c r="B388" s="340">
        <v>46252</v>
      </c>
      <c r="C388" s="181">
        <v>49662</v>
      </c>
      <c r="D388" s="30">
        <v>46252</v>
      </c>
      <c r="E388" s="30">
        <v>46247</v>
      </c>
      <c r="F388" s="30">
        <v>46275</v>
      </c>
      <c r="G388" s="37">
        <v>4420231436</v>
      </c>
      <c r="H388" s="37" t="s">
        <v>373</v>
      </c>
      <c r="I388" s="37">
        <v>9040028877</v>
      </c>
      <c r="J388" s="37" t="s">
        <v>199</v>
      </c>
      <c r="K388" s="325" t="s">
        <v>200</v>
      </c>
      <c r="L388" s="181">
        <v>36</v>
      </c>
      <c r="M388" s="181" t="s">
        <v>375</v>
      </c>
      <c r="N388" s="37" t="s">
        <v>408</v>
      </c>
      <c r="O388" s="31">
        <f>IF(F388&gt;0,F388-AB388,"")</f>
        <v>-14</v>
      </c>
      <c r="P388" s="37" t="str">
        <f>IF(F388&gt;0,IF(AB388="","PLANNING SUPPLY",IF(AB388&lt;=F388,"ONTIME DELIVERY","DELAY")),"")</f>
        <v>DELAY</v>
      </c>
      <c r="Q388" s="181" t="str">
        <f>IFERROR(IF(G386&gt;0,VLOOKUP(G386,#REF!,MATCH($Q$6,#REF!,0),0),""),"")</f>
        <v/>
      </c>
      <c r="R388" s="181" t="str">
        <f>IFERROR(IF(G386&gt;0,VLOOKUP(G386,#REF!,MATCH($R$6,#REF!,0),0),""),"")</f>
        <v/>
      </c>
      <c r="S388" s="181" t="e">
        <f>IF(I391&gt;0,Q388+R388,"")</f>
        <v>#VALUE!</v>
      </c>
      <c r="T388" s="181"/>
      <c r="U388" s="181"/>
      <c r="V388" s="37"/>
      <c r="W388" s="181" t="e">
        <f>IF(I391&gt;0,IF(S388&gt;L388,"READY STOCK",IF(S388=0,"OUT OF STOCK",IF(S388&lt;L388,"LOW STOCK",""))),"")</f>
        <v>#VALUE!</v>
      </c>
      <c r="X388" s="38"/>
      <c r="Y388" s="38"/>
      <c r="Z388" s="38"/>
      <c r="AA388" s="38"/>
      <c r="AB388" s="50">
        <v>46289</v>
      </c>
      <c r="AC388" s="181">
        <v>34578</v>
      </c>
      <c r="AD388" s="51">
        <v>36</v>
      </c>
      <c r="AE388" s="37" t="s">
        <v>2</v>
      </c>
      <c r="AF388" s="37" t="s">
        <v>1295</v>
      </c>
      <c r="AG388" s="33" t="str">
        <f>IF(G388&gt;0,IF(AD388&gt;0,IF(AD388=0,"Waiting",IF(AD388&lt;L388,"Partial",IF(AD388=L388,"Full Supply",IF(AD388&gt;L388,"Over Shared")))),"Waiting"),"")</f>
        <v>Full Supply</v>
      </c>
      <c r="AH388" s="37"/>
      <c r="AI388" s="37"/>
      <c r="AJ388" s="181"/>
      <c r="AK388" s="40"/>
      <c r="AL388" s="40"/>
      <c r="AM388" s="40"/>
      <c r="AN388" s="37"/>
      <c r="AO388" s="34"/>
      <c r="AP388" s="37"/>
      <c r="AQ388" s="37"/>
      <c r="AR388" s="37"/>
      <c r="AS388" s="37"/>
      <c r="AT388" s="37">
        <f>AS388-AD388</f>
        <v>-36</v>
      </c>
      <c r="AU388" s="36" t="str">
        <f>IF(AR388=0,"Waiting",IF(AR388&lt;AH388,"Kurang",IF(AR388=AH388,"Sesuai",IF(AR388&gt;AH388,"Over Shared"))))</f>
        <v>Waiting</v>
      </c>
      <c r="AV388" s="37"/>
      <c r="AW388" s="37" t="str">
        <f>IFERROR(DATEDIF(AH388,AK388,"d"),"0")&amp;"-DAY"</f>
        <v>0-DAY</v>
      </c>
      <c r="AX388" s="37" t="str">
        <f>IFERROR(DATEDIF(B388,AB388,"d"),"0")&amp;"-DAY"</f>
        <v>37-DAY</v>
      </c>
      <c r="AY388" s="37"/>
      <c r="AZ388" s="181">
        <f>L388-AD388</f>
        <v>0</v>
      </c>
    </row>
    <row r="389" spans="1:52" ht="15.5" customHeight="1">
      <c r="A389" s="360" t="s">
        <v>372</v>
      </c>
      <c r="B389" s="340">
        <v>46252</v>
      </c>
      <c r="C389" s="181">
        <v>49662</v>
      </c>
      <c r="D389" s="30">
        <v>46252</v>
      </c>
      <c r="E389" s="30">
        <v>46247</v>
      </c>
      <c r="F389" s="30">
        <v>46275</v>
      </c>
      <c r="G389" s="37">
        <v>4420231436</v>
      </c>
      <c r="H389" s="37" t="s">
        <v>373</v>
      </c>
      <c r="I389" s="37">
        <v>9040041385</v>
      </c>
      <c r="J389" s="37" t="s">
        <v>6</v>
      </c>
      <c r="K389" s="325" t="s">
        <v>7</v>
      </c>
      <c r="L389" s="181">
        <v>3</v>
      </c>
      <c r="M389" s="181" t="s">
        <v>375</v>
      </c>
      <c r="N389" s="37" t="s">
        <v>408</v>
      </c>
      <c r="O389" s="31">
        <f>IF(F389&gt;0,F389-AB389,"")</f>
        <v>8</v>
      </c>
      <c r="P389" s="37" t="str">
        <f>IF(F389&gt;0,IF(AB389="","PLANNING SUPPLY",IF(AB389&lt;=F389,"ONTIME DELIVERY","DELAY")),"")</f>
        <v>ONTIME DELIVERY</v>
      </c>
      <c r="Q389" s="181" t="str">
        <f>IFERROR(IF(J389&gt;0,VLOOKUP(J389,#REF!,MATCH($Q$6,#REF!,0),0),""),"")</f>
        <v/>
      </c>
      <c r="R389" s="181" t="str">
        <f>IFERROR(IF(J389&gt;0,VLOOKUP(J389,#REF!,MATCH($R$6,#REF!,0),0),""),"")</f>
        <v/>
      </c>
      <c r="S389" s="181" t="e">
        <f>IF(I392&gt;0,Q389+R389,"")</f>
        <v>#VALUE!</v>
      </c>
      <c r="T389" s="181"/>
      <c r="U389" s="181"/>
      <c r="V389" s="37"/>
      <c r="W389" s="181" t="e">
        <f>IF(I392&gt;0,IF(S389&gt;L389,"READY STOCK",IF(S389=0,"OUT OF STOCK",IF(S389&lt;L389,"LOW STOCK",""))),"")</f>
        <v>#VALUE!</v>
      </c>
      <c r="X389" s="38"/>
      <c r="Y389" s="38"/>
      <c r="Z389" s="38"/>
      <c r="AA389" s="38"/>
      <c r="AB389" s="50">
        <v>46267</v>
      </c>
      <c r="AC389" s="181">
        <v>33978</v>
      </c>
      <c r="AD389" s="51">
        <v>3</v>
      </c>
      <c r="AE389" s="37" t="s">
        <v>383</v>
      </c>
      <c r="AF389" s="37" t="s">
        <v>381</v>
      </c>
      <c r="AG389" s="33" t="str">
        <f>IF(G389&gt;0,IF(AD389&gt;0,IF(AD389=0,"Waiting",IF(AD389&lt;L389,"Partial",IF(AD389=L389,"Full Supply",IF(AD389&gt;L389,"Over Shared")))),"Waiting"),"")</f>
        <v>Full Supply</v>
      </c>
      <c r="AH389" s="37"/>
      <c r="AI389" s="37"/>
      <c r="AJ389" s="181"/>
      <c r="AK389" s="40"/>
      <c r="AL389" s="40"/>
      <c r="AM389" s="40"/>
      <c r="AN389" s="37"/>
      <c r="AO389" s="34"/>
      <c r="AP389" s="37"/>
      <c r="AQ389" s="37"/>
      <c r="AR389" s="37"/>
      <c r="AS389" s="37"/>
      <c r="AT389" s="37">
        <f>AS389-AD389</f>
        <v>-3</v>
      </c>
      <c r="AU389" s="36" t="str">
        <f>IF(AR389=0,"Waiting",IF(AR389&lt;AH389,"Kurang",IF(AR389=AH389,"Sesuai",IF(AR389&gt;AH389,"Over Shared"))))</f>
        <v>Waiting</v>
      </c>
      <c r="AV389" s="37"/>
      <c r="AW389" s="37" t="str">
        <f>IFERROR(DATEDIF(AH389,AK389,"d"),"0")&amp;"-DAY"</f>
        <v>0-DAY</v>
      </c>
      <c r="AX389" s="37" t="str">
        <f>IFERROR(DATEDIF(B389,AB389,"d"),"0")&amp;"-DAY"</f>
        <v>15-DAY</v>
      </c>
      <c r="AY389" s="37"/>
      <c r="AZ389" s="181">
        <f>L389-AD389</f>
        <v>0</v>
      </c>
    </row>
    <row r="390" spans="1:52" ht="15.5" customHeight="1">
      <c r="A390" s="360" t="s">
        <v>372</v>
      </c>
      <c r="B390" s="340">
        <v>46252</v>
      </c>
      <c r="C390" s="181">
        <v>49662</v>
      </c>
      <c r="D390" s="30">
        <v>46252</v>
      </c>
      <c r="E390" s="30">
        <v>46247</v>
      </c>
      <c r="F390" s="30">
        <v>46275</v>
      </c>
      <c r="G390" s="37">
        <v>4420231436</v>
      </c>
      <c r="H390" s="37" t="s">
        <v>373</v>
      </c>
      <c r="I390" s="37">
        <v>9040044154</v>
      </c>
      <c r="J390" s="37" t="s">
        <v>301</v>
      </c>
      <c r="K390" s="325" t="s">
        <v>302</v>
      </c>
      <c r="L390" s="181">
        <v>3</v>
      </c>
      <c r="M390" s="181" t="s">
        <v>375</v>
      </c>
      <c r="N390" s="37" t="s">
        <v>408</v>
      </c>
      <c r="O390" s="31">
        <f>IF(F390&gt;0,F390-AB390,"")</f>
        <v>-14</v>
      </c>
      <c r="P390" s="37" t="str">
        <f>IF(F390&gt;0,IF(AB390="","PLANNING SUPPLY",IF(AB390&lt;=F390,"ONTIME DELIVERY","DELAY")),"")</f>
        <v>DELAY</v>
      </c>
      <c r="Q390" s="181" t="str">
        <f>IFERROR(IF(J390&gt;0,VLOOKUP(J390,#REF!,MATCH($Q$6,#REF!,0),0),""),"")</f>
        <v/>
      </c>
      <c r="R390" s="181" t="str">
        <f>IFERROR(IF(J390&gt;0,VLOOKUP(J390,#REF!,MATCH($R$6,#REF!,0),0),""),"")</f>
        <v/>
      </c>
      <c r="S390" s="181" t="e">
        <f>IF(I393&gt;0,Q390+R390,"")</f>
        <v>#VALUE!</v>
      </c>
      <c r="T390" s="181"/>
      <c r="U390" s="181"/>
      <c r="V390" s="37"/>
      <c r="W390" s="181" t="e">
        <f>IF(I393&gt;0,IF(S390&gt;L390,"READY STOCK",IF(S390=0,"OUT OF STOCK",IF(S390&lt;L390,"LOW STOCK",""))),"")</f>
        <v>#VALUE!</v>
      </c>
      <c r="X390" s="38"/>
      <c r="Y390" s="38"/>
      <c r="Z390" s="38"/>
      <c r="AA390" s="38"/>
      <c r="AB390" s="50">
        <v>46289</v>
      </c>
      <c r="AC390" s="181">
        <v>34578</v>
      </c>
      <c r="AD390" s="51">
        <v>3</v>
      </c>
      <c r="AE390" s="37" t="s">
        <v>2</v>
      </c>
      <c r="AF390" s="37" t="s">
        <v>1295</v>
      </c>
      <c r="AG390" s="33" t="str">
        <f>IF(G390&gt;0,IF(AD390&gt;0,IF(AD390=0,"Waiting",IF(AD390&lt;L390,"Partial",IF(AD390=L390,"Full Supply",IF(AD390&gt;L390,"Over Shared")))),"Waiting"),"")</f>
        <v>Full Supply</v>
      </c>
      <c r="AH390" s="56">
        <v>46282</v>
      </c>
      <c r="AI390" s="37" t="s">
        <v>1303</v>
      </c>
      <c r="AJ390" s="181">
        <v>30</v>
      </c>
      <c r="AK390" s="40">
        <v>26382</v>
      </c>
      <c r="AL390" s="218">
        <v>46287</v>
      </c>
      <c r="AM390" s="40">
        <v>30</v>
      </c>
      <c r="AN390" s="37"/>
      <c r="AO390" s="239">
        <v>46298</v>
      </c>
      <c r="AP390" s="37"/>
      <c r="AQ390" s="37"/>
      <c r="AR390" s="37"/>
      <c r="AS390" s="37"/>
      <c r="AT390" s="37">
        <f>AS390-AD390</f>
        <v>-3</v>
      </c>
      <c r="AU390" s="36" t="str">
        <f>IF(AR390=0,"Waiting",IF(AR390&lt;AH390,"Kurang",IF(AR390=AH390,"Sesuai",IF(AR390&gt;AH390,"Over Shared"))))</f>
        <v>Waiting</v>
      </c>
      <c r="AV390" s="37"/>
      <c r="AW390" s="37" t="str">
        <f>IFERROR(DATEDIF(AH390,AK390,"d"),"0")&amp;"-DAY"</f>
        <v>0-DAY</v>
      </c>
      <c r="AX390" s="37" t="str">
        <f>IFERROR(DATEDIF(B390,AB390,"d"),"0")&amp;"-DAY"</f>
        <v>37-DAY</v>
      </c>
      <c r="AY390" s="37"/>
      <c r="AZ390" s="181">
        <f>L390-AD390</f>
        <v>0</v>
      </c>
    </row>
    <row r="391" spans="1:52" ht="15.5" customHeight="1">
      <c r="A391" s="360" t="s">
        <v>372</v>
      </c>
      <c r="B391" s="340">
        <v>46252</v>
      </c>
      <c r="C391" s="181">
        <v>49662</v>
      </c>
      <c r="D391" s="30">
        <v>46252</v>
      </c>
      <c r="E391" s="30">
        <v>46247</v>
      </c>
      <c r="F391" s="30">
        <v>46275</v>
      </c>
      <c r="G391" s="37">
        <v>4420231436</v>
      </c>
      <c r="H391" s="37" t="s">
        <v>373</v>
      </c>
      <c r="I391" s="37">
        <v>9040044191</v>
      </c>
      <c r="J391" s="37" t="s">
        <v>187</v>
      </c>
      <c r="K391" s="325" t="s">
        <v>188</v>
      </c>
      <c r="L391" s="181">
        <v>4</v>
      </c>
      <c r="M391" s="181" t="s">
        <v>375</v>
      </c>
      <c r="N391" s="37" t="s">
        <v>408</v>
      </c>
      <c r="O391" s="31">
        <f>IF(F391&gt;0,F391-AB391,"")</f>
        <v>14</v>
      </c>
      <c r="P391" s="37" t="str">
        <f>IF(F391&gt;0,IF(AB391="","PLANNING SUPPLY",IF(AB391&lt;=F391,"ONTIME DELIVERY","DELAY")),"")</f>
        <v>ONTIME DELIVERY</v>
      </c>
      <c r="Q391" s="181" t="str">
        <f>IFERROR(IF(J391&gt;0,VLOOKUP(J391,#REF!,MATCH($Q$6,#REF!,0),0),""),"")</f>
        <v/>
      </c>
      <c r="R391" s="181" t="str">
        <f>IFERROR(IF(J391&gt;0,VLOOKUP(J391,#REF!,MATCH($R$6,#REF!,0),0),""),"")</f>
        <v/>
      </c>
      <c r="S391" s="181" t="e">
        <f>IF(I394&gt;0,Q391+R391,"")</f>
        <v>#VALUE!</v>
      </c>
      <c r="T391" s="181"/>
      <c r="U391" s="181"/>
      <c r="V391" s="37"/>
      <c r="W391" s="181" t="e">
        <f>IF(I394&gt;0,IF(S391&gt;L391,"READY STOCK",IF(S391=0,"OUT OF STOCK",IF(S391&lt;L391,"LOW STOCK",""))),"")</f>
        <v>#VALUE!</v>
      </c>
      <c r="X391" s="38"/>
      <c r="Y391" s="38"/>
      <c r="Z391" s="38"/>
      <c r="AA391" s="38"/>
      <c r="AB391" s="50">
        <v>46261</v>
      </c>
      <c r="AC391" s="181">
        <v>33887</v>
      </c>
      <c r="AD391" s="51">
        <v>4</v>
      </c>
      <c r="AE391" s="37" t="s">
        <v>383</v>
      </c>
      <c r="AF391" s="37" t="s">
        <v>381</v>
      </c>
      <c r="AG391" s="33" t="str">
        <f>IF(G391&gt;0,IF(AD391&gt;0,IF(AD391=0,"Waiting",IF(AD391&lt;L391,"Partial",IF(AD391=L391,"Full Supply",IF(AD391&gt;L391,"Over Shared")))),"Waiting"),"")</f>
        <v>Full Supply</v>
      </c>
      <c r="AH391" s="37"/>
      <c r="AI391" s="37"/>
      <c r="AJ391" s="181"/>
      <c r="AK391" s="40"/>
      <c r="AL391" s="40"/>
      <c r="AM391" s="40"/>
      <c r="AN391" s="37"/>
      <c r="AO391" s="34"/>
      <c r="AP391" s="37"/>
      <c r="AQ391" s="37"/>
      <c r="AR391" s="37"/>
      <c r="AS391" s="37"/>
      <c r="AT391" s="37">
        <f>AS391-AD391</f>
        <v>-4</v>
      </c>
      <c r="AU391" s="36" t="str">
        <f>IF(AR391=0,"Waiting",IF(AR391&lt;AH391,"Kurang",IF(AR391=AH391,"Sesuai",IF(AR391&gt;AH391,"Over Shared"))))</f>
        <v>Waiting</v>
      </c>
      <c r="AV391" s="37"/>
      <c r="AW391" s="37" t="str">
        <f>IFERROR(DATEDIF(AH391,AK391,"d"),"0")&amp;"-DAY"</f>
        <v>0-DAY</v>
      </c>
      <c r="AX391" s="37" t="str">
        <f>IFERROR(DATEDIF(B391,AB391,"d"),"0")&amp;"-DAY"</f>
        <v>9-DAY</v>
      </c>
      <c r="AY391" s="37"/>
      <c r="AZ391" s="181">
        <f>L391-AD391</f>
        <v>0</v>
      </c>
    </row>
    <row r="392" spans="1:52" ht="15.5" customHeight="1">
      <c r="A392" s="360" t="s">
        <v>372</v>
      </c>
      <c r="B392" s="340">
        <v>46252</v>
      </c>
      <c r="C392" s="181">
        <v>49662</v>
      </c>
      <c r="D392" s="30">
        <v>46252</v>
      </c>
      <c r="E392" s="30">
        <v>46247</v>
      </c>
      <c r="F392" s="30">
        <v>46275</v>
      </c>
      <c r="G392" s="37">
        <v>4420231436</v>
      </c>
      <c r="H392" s="37" t="s">
        <v>373</v>
      </c>
      <c r="I392" s="37">
        <v>9040003053</v>
      </c>
      <c r="J392" s="37" t="s">
        <v>98</v>
      </c>
      <c r="K392" s="325" t="s">
        <v>99</v>
      </c>
      <c r="L392" s="181">
        <v>3</v>
      </c>
      <c r="M392" s="181" t="s">
        <v>375</v>
      </c>
      <c r="N392" s="37" t="s">
        <v>408</v>
      </c>
      <c r="O392" s="31">
        <f>IF(F392&gt;0,F392-AB392,"")</f>
        <v>8</v>
      </c>
      <c r="P392" s="37" t="str">
        <f>IF(F392&gt;0,IF(AB392="","PLANNING SUPPLY",IF(AB392&lt;=F392,"ONTIME DELIVERY","DELAY")),"")</f>
        <v>ONTIME DELIVERY</v>
      </c>
      <c r="Q392" s="181" t="str">
        <f>IFERROR(IF(J392&gt;0,VLOOKUP(J392,#REF!,MATCH($Q$6,#REF!,0),0),""),"")</f>
        <v/>
      </c>
      <c r="R392" s="181" t="str">
        <f>IFERROR(IF(J392&gt;0,VLOOKUP(J392,#REF!,MATCH($R$6,#REF!,0),0),""),"")</f>
        <v/>
      </c>
      <c r="S392" s="181" t="e">
        <f>IF(I395&gt;0,Q392+R392,"")</f>
        <v>#VALUE!</v>
      </c>
      <c r="T392" s="181"/>
      <c r="U392" s="181"/>
      <c r="V392" s="37"/>
      <c r="W392" s="181" t="e">
        <f>IF(I395&gt;0,IF(S392&gt;L392,"READY STOCK",IF(S392=0,"OUT OF STOCK",IF(S392&lt;L392,"LOW STOCK",""))),"")</f>
        <v>#VALUE!</v>
      </c>
      <c r="X392" s="38"/>
      <c r="Y392" s="38"/>
      <c r="Z392" s="38"/>
      <c r="AA392" s="38"/>
      <c r="AB392" s="50">
        <v>46267</v>
      </c>
      <c r="AC392" s="181">
        <v>33978</v>
      </c>
      <c r="AD392" s="51">
        <v>3</v>
      </c>
      <c r="AE392" s="37" t="s">
        <v>383</v>
      </c>
      <c r="AF392" s="37" t="s">
        <v>381</v>
      </c>
      <c r="AG392" s="33" t="str">
        <f>IF(G392&gt;0,IF(AD392&gt;0,IF(AD392=0,"Waiting",IF(AD392&lt;L392,"Partial",IF(AD392=L392,"Full Supply",IF(AD392&gt;L392,"Over Shared")))),"Waiting"),"")</f>
        <v>Full Supply</v>
      </c>
      <c r="AH392" s="37"/>
      <c r="AI392" s="37"/>
      <c r="AJ392" s="181"/>
      <c r="AK392" s="40"/>
      <c r="AL392" s="40"/>
      <c r="AM392" s="40"/>
      <c r="AN392" s="37"/>
      <c r="AO392" s="34"/>
      <c r="AP392" s="37"/>
      <c r="AQ392" s="37"/>
      <c r="AR392" s="37"/>
      <c r="AS392" s="37"/>
      <c r="AT392" s="37">
        <f>AS392-AD392</f>
        <v>-3</v>
      </c>
      <c r="AU392" s="36" t="str">
        <f>IF(AR392=0,"Waiting",IF(AR392&lt;AH392,"Kurang",IF(AR392=AH392,"Sesuai",IF(AR392&gt;AH392,"Over Shared"))))</f>
        <v>Waiting</v>
      </c>
      <c r="AV392" s="37"/>
      <c r="AW392" s="37" t="str">
        <f>IFERROR(DATEDIF(AH392,AK392,"d"),"0")&amp;"-DAY"</f>
        <v>0-DAY</v>
      </c>
      <c r="AX392" s="37" t="str">
        <f>IFERROR(DATEDIF(B392,AB392,"d"),"0")&amp;"-DAY"</f>
        <v>15-DAY</v>
      </c>
      <c r="AY392" s="37"/>
      <c r="AZ392" s="181">
        <f>L392-AD392</f>
        <v>0</v>
      </c>
    </row>
    <row r="393" spans="1:52" ht="15.5" customHeight="1">
      <c r="A393" s="360" t="s">
        <v>372</v>
      </c>
      <c r="B393" s="340">
        <v>46252</v>
      </c>
      <c r="C393" s="181">
        <v>49662</v>
      </c>
      <c r="D393" s="30">
        <v>46252</v>
      </c>
      <c r="E393" s="30">
        <v>46247</v>
      </c>
      <c r="F393" s="30">
        <v>46275</v>
      </c>
      <c r="G393" s="37">
        <v>4420231436</v>
      </c>
      <c r="H393" s="37" t="s">
        <v>373</v>
      </c>
      <c r="I393" s="37">
        <v>9040009391</v>
      </c>
      <c r="J393" s="37" t="s">
        <v>293</v>
      </c>
      <c r="K393" s="325" t="s">
        <v>294</v>
      </c>
      <c r="L393" s="181">
        <v>3</v>
      </c>
      <c r="M393" s="181" t="s">
        <v>375</v>
      </c>
      <c r="N393" s="37" t="s">
        <v>408</v>
      </c>
      <c r="O393" s="31">
        <f>IF(F393&gt;0,F393-AB393,"")</f>
        <v>14</v>
      </c>
      <c r="P393" s="37" t="str">
        <f>IF(F393&gt;0,IF(AB393="","PLANNING SUPPLY",IF(AB393&lt;=F393,"ONTIME DELIVERY","DELAY")),"")</f>
        <v>ONTIME DELIVERY</v>
      </c>
      <c r="Q393" s="181" t="str">
        <f>IFERROR(IF(J393&gt;0,VLOOKUP(J393,#REF!,MATCH($Q$6,#REF!,0),0),""),"")</f>
        <v/>
      </c>
      <c r="R393" s="181" t="str">
        <f>IFERROR(IF(J393&gt;0,VLOOKUP(J393,#REF!,MATCH($R$6,#REF!,0),0),""),"")</f>
        <v/>
      </c>
      <c r="S393" s="181" t="e">
        <f>IF(I396&gt;0,Q393+R393,"")</f>
        <v>#VALUE!</v>
      </c>
      <c r="T393" s="181"/>
      <c r="U393" s="181"/>
      <c r="V393" s="37"/>
      <c r="W393" s="181" t="e">
        <f>IF(I396&gt;0,IF(S393&gt;L393,"READY STOCK",IF(S393=0,"OUT OF STOCK",IF(S393&lt;L393,"LOW STOCK",""))),"")</f>
        <v>#VALUE!</v>
      </c>
      <c r="X393" s="38"/>
      <c r="Y393" s="38"/>
      <c r="Z393" s="38"/>
      <c r="AA393" s="38"/>
      <c r="AB393" s="50">
        <v>46261</v>
      </c>
      <c r="AC393" s="181">
        <v>33886</v>
      </c>
      <c r="AD393" s="51">
        <v>3</v>
      </c>
      <c r="AE393" s="37" t="s">
        <v>383</v>
      </c>
      <c r="AF393" s="37" t="s">
        <v>381</v>
      </c>
      <c r="AG393" s="33" t="str">
        <f>IF(G393&gt;0,IF(AD393&gt;0,IF(AD393=0,"Waiting",IF(AD393&lt;L393,"Partial",IF(AD393=L393,"Full Supply",IF(AD393&gt;L393,"Over Shared")))),"Waiting"),"")</f>
        <v>Full Supply</v>
      </c>
      <c r="AH393" s="56">
        <v>46253</v>
      </c>
      <c r="AI393" s="37" t="s">
        <v>1302</v>
      </c>
      <c r="AJ393" s="181">
        <v>31</v>
      </c>
      <c r="AK393" s="40">
        <v>26062</v>
      </c>
      <c r="AL393" s="189">
        <v>46266</v>
      </c>
      <c r="AM393" s="40">
        <v>31</v>
      </c>
      <c r="AN393" s="37"/>
      <c r="AO393" s="239">
        <v>46297</v>
      </c>
      <c r="AP393" s="37"/>
      <c r="AQ393" s="37"/>
      <c r="AR393" s="37"/>
      <c r="AS393" s="37"/>
      <c r="AT393" s="37">
        <f>AS393-AD393</f>
        <v>-3</v>
      </c>
      <c r="AU393" s="36" t="str">
        <f>IF(AR393=0,"Waiting",IF(AR393&lt;AH393,"Kurang",IF(AR393=AH393,"Sesuai",IF(AR393&gt;AH393,"Over Shared"))))</f>
        <v>Waiting</v>
      </c>
      <c r="AV393" s="37"/>
      <c r="AW393" s="37" t="str">
        <f>IFERROR(DATEDIF(AH393,AK393,"d"),"0")&amp;"-DAY"</f>
        <v>0-DAY</v>
      </c>
      <c r="AX393" s="37" t="str">
        <f>IFERROR(DATEDIF(B393,AB393,"d"),"0")&amp;"-DAY"</f>
        <v>9-DAY</v>
      </c>
      <c r="AY393" s="37"/>
      <c r="AZ393" s="181">
        <f>L393-AD393</f>
        <v>0</v>
      </c>
    </row>
    <row r="394" spans="1:52" ht="15.5" customHeight="1">
      <c r="A394" s="360" t="s">
        <v>372</v>
      </c>
      <c r="B394" s="340">
        <v>46252</v>
      </c>
      <c r="C394" s="181">
        <v>49662</v>
      </c>
      <c r="D394" s="30">
        <v>46252</v>
      </c>
      <c r="E394" s="30">
        <v>46247</v>
      </c>
      <c r="F394" s="30">
        <v>46275</v>
      </c>
      <c r="G394" s="37">
        <v>4420231436</v>
      </c>
      <c r="H394" s="37" t="s">
        <v>373</v>
      </c>
      <c r="I394" s="37">
        <v>9040019465</v>
      </c>
      <c r="J394" s="37" t="s">
        <v>27</v>
      </c>
      <c r="K394" s="325" t="s">
        <v>28</v>
      </c>
      <c r="L394" s="181">
        <v>4</v>
      </c>
      <c r="M394" s="181" t="s">
        <v>375</v>
      </c>
      <c r="N394" s="37" t="s">
        <v>408</v>
      </c>
      <c r="O394" s="31">
        <f>IF(F394&gt;0,F394-AB394,"")</f>
        <v>14</v>
      </c>
      <c r="P394" s="37" t="str">
        <f>IF(F394&gt;0,IF(AB394="","PLANNING SUPPLY",IF(AB394&lt;=F394,"ONTIME DELIVERY","DELAY")),"")</f>
        <v>ONTIME DELIVERY</v>
      </c>
      <c r="Q394" s="181" t="str">
        <f>IFERROR(IF(J394&gt;0,VLOOKUP(J394,#REF!,MATCH($Q$6,#REF!,0),0),""),"")</f>
        <v/>
      </c>
      <c r="R394" s="181" t="str">
        <f>IFERROR(IF(J394&gt;0,VLOOKUP(J394,#REF!,MATCH($R$6,#REF!,0),0),""),"")</f>
        <v/>
      </c>
      <c r="S394" s="181" t="e">
        <f>IF(I397&gt;0,Q394+R394,"")</f>
        <v>#VALUE!</v>
      </c>
      <c r="T394" s="181"/>
      <c r="U394" s="181"/>
      <c r="V394" s="37"/>
      <c r="W394" s="181" t="e">
        <f>IF(I397&gt;0,IF(S394&gt;L394,"READY STOCK",IF(S394=0,"OUT OF STOCK",IF(S394&lt;L394,"LOW STOCK",""))),"")</f>
        <v>#VALUE!</v>
      </c>
      <c r="X394" s="38"/>
      <c r="Y394" s="38"/>
      <c r="Z394" s="38"/>
      <c r="AA394" s="38"/>
      <c r="AB394" s="50">
        <v>46261</v>
      </c>
      <c r="AC394" s="181">
        <v>33886</v>
      </c>
      <c r="AD394" s="51">
        <v>4</v>
      </c>
      <c r="AE394" s="37" t="s">
        <v>383</v>
      </c>
      <c r="AF394" s="37" t="s">
        <v>381</v>
      </c>
      <c r="AG394" s="33" t="str">
        <f>IF(G394&gt;0,IF(AD394&gt;0,IF(AD394=0,"Waiting",IF(AD394&lt;L394,"Partial",IF(AD394=L394,"Full Supply",IF(AD394&gt;L394,"Over Shared")))),"Waiting"),"")</f>
        <v>Full Supply</v>
      </c>
      <c r="AH394" s="37"/>
      <c r="AI394" s="37"/>
      <c r="AJ394" s="181"/>
      <c r="AK394" s="40"/>
      <c r="AL394" s="40"/>
      <c r="AM394" s="40"/>
      <c r="AN394" s="37"/>
      <c r="AO394" s="34"/>
      <c r="AP394" s="37"/>
      <c r="AQ394" s="37"/>
      <c r="AR394" s="37"/>
      <c r="AS394" s="37"/>
      <c r="AT394" s="37">
        <f>AS394-AD394</f>
        <v>-4</v>
      </c>
      <c r="AU394" s="36" t="str">
        <f>IF(AR394=0,"Waiting",IF(AR394&lt;AH394,"Kurang",IF(AR394=AH394,"Sesuai",IF(AR394&gt;AH394,"Over Shared"))))</f>
        <v>Waiting</v>
      </c>
      <c r="AV394" s="37"/>
      <c r="AW394" s="37" t="str">
        <f>IFERROR(DATEDIF(AH394,AK394,"d"),"0")&amp;"-DAY"</f>
        <v>0-DAY</v>
      </c>
      <c r="AX394" s="37" t="str">
        <f>IFERROR(DATEDIF(B394,AB394,"d"),"0")&amp;"-DAY"</f>
        <v>9-DAY</v>
      </c>
      <c r="AY394" s="37"/>
      <c r="AZ394" s="181">
        <f>L394-AD394</f>
        <v>0</v>
      </c>
    </row>
    <row r="395" spans="1:52" ht="15.5" customHeight="1">
      <c r="A395" s="360" t="s">
        <v>372</v>
      </c>
      <c r="B395" s="340">
        <v>46252</v>
      </c>
      <c r="C395" s="181">
        <v>49662</v>
      </c>
      <c r="D395" s="30">
        <v>46252</v>
      </c>
      <c r="E395" s="30">
        <v>46247</v>
      </c>
      <c r="F395" s="30">
        <v>46275</v>
      </c>
      <c r="G395" s="37">
        <v>4420231436</v>
      </c>
      <c r="H395" s="37" t="s">
        <v>373</v>
      </c>
      <c r="I395" s="37">
        <v>9040024384</v>
      </c>
      <c r="J395" s="37" t="s">
        <v>54</v>
      </c>
      <c r="K395" s="325" t="s">
        <v>55</v>
      </c>
      <c r="L395" s="181">
        <v>2</v>
      </c>
      <c r="M395" s="181" t="s">
        <v>427</v>
      </c>
      <c r="N395" s="37" t="s">
        <v>408</v>
      </c>
      <c r="O395" s="31">
        <f>IF(F395&gt;0,F395-AB395,"")</f>
        <v>-14</v>
      </c>
      <c r="P395" s="37" t="str">
        <f>IF(F395&gt;0,IF(AB395="","PLANNING SUPPLY",IF(AB395&lt;=F395,"ONTIME DELIVERY","DELAY")),"")</f>
        <v>DELAY</v>
      </c>
      <c r="Q395" s="181" t="str">
        <f>IFERROR(IF(J395&gt;0,VLOOKUP(J395,#REF!,MATCH($Q$6,#REF!,0),0),""),"")</f>
        <v/>
      </c>
      <c r="R395" s="181" t="str">
        <f>IFERROR(IF(J395&gt;0,VLOOKUP(J395,#REF!,MATCH($R$6,#REF!,0),0),""),"")</f>
        <v/>
      </c>
      <c r="S395" s="181" t="e">
        <f>IF(I398&gt;0,Q395+R395,"")</f>
        <v>#VALUE!</v>
      </c>
      <c r="T395" s="181"/>
      <c r="U395" s="181"/>
      <c r="V395" s="37"/>
      <c r="W395" s="181" t="e">
        <f>IF(I398&gt;0,IF(S395&gt;L395,"READY STOCK",IF(S395=0,"OUT OF STOCK",IF(S395&lt;L395,"LOW STOCK",""))),"")</f>
        <v>#VALUE!</v>
      </c>
      <c r="X395" s="38"/>
      <c r="Y395" s="38"/>
      <c r="Z395" s="38"/>
      <c r="AA395" s="38"/>
      <c r="AB395" s="50">
        <v>46289</v>
      </c>
      <c r="AC395" s="181">
        <v>34530</v>
      </c>
      <c r="AD395" s="51">
        <v>2</v>
      </c>
      <c r="AE395" s="37" t="s">
        <v>383</v>
      </c>
      <c r="AF395" s="37" t="s">
        <v>381</v>
      </c>
      <c r="AG395" s="33" t="str">
        <f>IF(G395&gt;0,IF(AD395&gt;0,IF(AD395=0,"Waiting",IF(AD395&lt;L395,"Partial",IF(AD395=L395,"Full Supply",IF(AD395&gt;L395,"Over Shared")))),"Waiting"),"")</f>
        <v>Full Supply</v>
      </c>
      <c r="AH395" s="56">
        <v>46266</v>
      </c>
      <c r="AI395" s="37" t="s">
        <v>1130</v>
      </c>
      <c r="AJ395" s="181">
        <v>3</v>
      </c>
      <c r="AK395" s="40"/>
      <c r="AL395" s="40"/>
      <c r="AM395" s="40"/>
      <c r="AN395" s="227" t="s">
        <v>409</v>
      </c>
      <c r="AO395" s="34"/>
      <c r="AP395" s="37"/>
      <c r="AQ395" s="37"/>
      <c r="AR395" s="37"/>
      <c r="AS395" s="37"/>
      <c r="AT395" s="37">
        <f>AS395-AD395</f>
        <v>-2</v>
      </c>
      <c r="AU395" s="36" t="str">
        <f>IF(AR395=0,"Waiting",IF(AR395&lt;AH395,"Kurang",IF(AR395=AH395,"Sesuai",IF(AR395&gt;AH395,"Over Shared"))))</f>
        <v>Waiting</v>
      </c>
      <c r="AV395" s="37"/>
      <c r="AW395" s="37" t="str">
        <f>IFERROR(DATEDIF(AH395,AK395,"d"),"0")&amp;"-DAY"</f>
        <v>0-DAY</v>
      </c>
      <c r="AX395" s="37" t="str">
        <f>IFERROR(DATEDIF(B395,AB395,"d"),"0")&amp;"-DAY"</f>
        <v>37-DAY</v>
      </c>
      <c r="AY395" s="37"/>
      <c r="AZ395" s="181">
        <f>L395-AD395</f>
        <v>0</v>
      </c>
    </row>
    <row r="396" spans="1:52" ht="15.5" customHeight="1">
      <c r="A396" s="360" t="s">
        <v>372</v>
      </c>
      <c r="B396" s="340">
        <v>46252</v>
      </c>
      <c r="C396" s="181">
        <v>49662</v>
      </c>
      <c r="D396" s="30">
        <v>46252</v>
      </c>
      <c r="E396" s="30">
        <v>46247</v>
      </c>
      <c r="F396" s="30">
        <v>46275</v>
      </c>
      <c r="G396" s="37">
        <v>4420231436</v>
      </c>
      <c r="H396" s="37" t="s">
        <v>373</v>
      </c>
      <c r="I396" s="37">
        <v>9040040486</v>
      </c>
      <c r="J396" s="37" t="s">
        <v>165</v>
      </c>
      <c r="K396" s="325" t="s">
        <v>166</v>
      </c>
      <c r="L396" s="181">
        <v>2</v>
      </c>
      <c r="M396" s="181" t="s">
        <v>375</v>
      </c>
      <c r="N396" s="37" t="s">
        <v>408</v>
      </c>
      <c r="O396" s="31">
        <f>IF(F396&gt;0,F396-AB396,"")</f>
        <v>14</v>
      </c>
      <c r="P396" s="37" t="str">
        <f>IF(F396&gt;0,IF(AB396="","PLANNING SUPPLY",IF(AB396&lt;=F396,"ONTIME DELIVERY","DELAY")),"")</f>
        <v>ONTIME DELIVERY</v>
      </c>
      <c r="Q396" s="181" t="str">
        <f>IFERROR(IF(J396&gt;0,VLOOKUP(J396,#REF!,MATCH($Q$6,#REF!,0),0),""),"")</f>
        <v/>
      </c>
      <c r="R396" s="181" t="str">
        <f>IFERROR(IF(J396&gt;0,VLOOKUP(J396,#REF!,MATCH($R$6,#REF!,0),0),""),"")</f>
        <v/>
      </c>
      <c r="S396" s="181" t="e">
        <f>IF(I399&gt;0,Q396+R396,"")</f>
        <v>#VALUE!</v>
      </c>
      <c r="T396" s="181"/>
      <c r="U396" s="181"/>
      <c r="V396" s="37"/>
      <c r="W396" s="181" t="e">
        <f>IF(I399&gt;0,IF(S396&gt;L396,"READY STOCK",IF(S396=0,"OUT OF STOCK",IF(S396&lt;L396,"LOW STOCK",""))),"")</f>
        <v>#VALUE!</v>
      </c>
      <c r="X396" s="38"/>
      <c r="Y396" s="38"/>
      <c r="Z396" s="38"/>
      <c r="AA396" s="38"/>
      <c r="AB396" s="50">
        <v>46261</v>
      </c>
      <c r="AC396" s="181">
        <v>33887</v>
      </c>
      <c r="AD396" s="51">
        <v>2</v>
      </c>
      <c r="AE396" s="37" t="s">
        <v>383</v>
      </c>
      <c r="AF396" s="37" t="s">
        <v>381</v>
      </c>
      <c r="AG396" s="33" t="str">
        <f>IF(G396&gt;0,IF(AD396&gt;0,IF(AD396=0,"Waiting",IF(AD396&lt;L396,"Partial",IF(AD396=L396,"Full Supply",IF(AD396&gt;L396,"Over Shared")))),"Waiting"),"")</f>
        <v>Full Supply</v>
      </c>
      <c r="AH396" s="37"/>
      <c r="AI396" s="37"/>
      <c r="AJ396" s="181"/>
      <c r="AK396" s="40"/>
      <c r="AL396" s="40"/>
      <c r="AM396" s="40"/>
      <c r="AN396" s="37"/>
      <c r="AO396" s="34"/>
      <c r="AP396" s="37"/>
      <c r="AQ396" s="37"/>
      <c r="AR396" s="37"/>
      <c r="AS396" s="37"/>
      <c r="AT396" s="37">
        <f>AS396-AD396</f>
        <v>-2</v>
      </c>
      <c r="AU396" s="36" t="str">
        <f>IF(AR396=0,"Waiting",IF(AR396&lt;AH396,"Kurang",IF(AR396=AH396,"Sesuai",IF(AR396&gt;AH396,"Over Shared"))))</f>
        <v>Waiting</v>
      </c>
      <c r="AV396" s="37"/>
      <c r="AW396" s="37" t="str">
        <f>IFERROR(DATEDIF(AH396,AK396,"d"),"0")&amp;"-DAY"</f>
        <v>0-DAY</v>
      </c>
      <c r="AX396" s="37" t="str">
        <f>IFERROR(DATEDIF(B396,AB396,"d"),"0")&amp;"-DAY"</f>
        <v>9-DAY</v>
      </c>
      <c r="AY396" s="37"/>
      <c r="AZ396" s="181">
        <f>L396-AD396</f>
        <v>0</v>
      </c>
    </row>
    <row r="397" spans="1:52" ht="15.5" customHeight="1">
      <c r="A397" s="360" t="s">
        <v>372</v>
      </c>
      <c r="B397" s="340">
        <v>46252</v>
      </c>
      <c r="C397" s="181">
        <v>49662</v>
      </c>
      <c r="D397" s="30">
        <v>46252</v>
      </c>
      <c r="E397" s="30">
        <v>46247</v>
      </c>
      <c r="F397" s="30">
        <v>46275</v>
      </c>
      <c r="G397" s="37">
        <v>4420231436</v>
      </c>
      <c r="H397" s="37" t="s">
        <v>373</v>
      </c>
      <c r="I397" s="37">
        <v>9040040765</v>
      </c>
      <c r="J397" s="37" t="s">
        <v>3</v>
      </c>
      <c r="K397" s="325" t="s">
        <v>4</v>
      </c>
      <c r="L397" s="181">
        <v>2</v>
      </c>
      <c r="M397" s="181" t="s">
        <v>375</v>
      </c>
      <c r="N397" s="37" t="s">
        <v>408</v>
      </c>
      <c r="O397" s="31">
        <f>IF(F397&gt;0,F397-AB397,"")</f>
        <v>14</v>
      </c>
      <c r="P397" s="37" t="str">
        <f>IF(F397&gt;0,IF(AB397="","PLANNING SUPPLY",IF(AB397&lt;=F397,"ONTIME DELIVERY","DELAY")),"")</f>
        <v>ONTIME DELIVERY</v>
      </c>
      <c r="Q397" s="181" t="str">
        <f>IFERROR(IF(J397&gt;0,VLOOKUP(J397,#REF!,MATCH($Q$6,#REF!,0),0),""),"")</f>
        <v/>
      </c>
      <c r="R397" s="181" t="str">
        <f>IFERROR(IF(J397&gt;0,VLOOKUP(J397,#REF!,MATCH($R$6,#REF!,0),0),""),"")</f>
        <v/>
      </c>
      <c r="S397" s="181" t="e">
        <f>IF(I400&gt;0,Q397+R397,"")</f>
        <v>#VALUE!</v>
      </c>
      <c r="T397" s="181"/>
      <c r="U397" s="181"/>
      <c r="V397" s="37"/>
      <c r="W397" s="181" t="e">
        <f>IF(I400&gt;0,IF(S397&gt;L397,"READY STOCK",IF(S397=0,"OUT OF STOCK",IF(S397&lt;L397,"LOW STOCK",""))),"")</f>
        <v>#VALUE!</v>
      </c>
      <c r="X397" s="38"/>
      <c r="Y397" s="38"/>
      <c r="Z397" s="38"/>
      <c r="AA397" s="38"/>
      <c r="AB397" s="50">
        <v>46261</v>
      </c>
      <c r="AC397" s="181">
        <v>33887</v>
      </c>
      <c r="AD397" s="51">
        <v>2</v>
      </c>
      <c r="AE397" s="37" t="s">
        <v>383</v>
      </c>
      <c r="AF397" s="37" t="s">
        <v>381</v>
      </c>
      <c r="AG397" s="33" t="str">
        <f>IF(G397&gt;0,IF(AD397&gt;0,IF(AD397=0,"Waiting",IF(AD397&lt;L397,"Partial",IF(AD397=L397,"Full Supply",IF(AD397&gt;L397,"Over Shared")))),"Waiting"),"")</f>
        <v>Full Supply</v>
      </c>
      <c r="AH397" s="37"/>
      <c r="AI397" s="37"/>
      <c r="AJ397" s="181"/>
      <c r="AK397" s="40"/>
      <c r="AL397" s="40"/>
      <c r="AM397" s="40"/>
      <c r="AN397" s="37"/>
      <c r="AO397" s="34"/>
      <c r="AP397" s="37"/>
      <c r="AQ397" s="37"/>
      <c r="AR397" s="37"/>
      <c r="AS397" s="37"/>
      <c r="AT397" s="37">
        <f>AS397-AD397</f>
        <v>-2</v>
      </c>
      <c r="AU397" s="36" t="str">
        <f>IF(AR397=0,"Waiting",IF(AR397&lt;AH397,"Kurang",IF(AR397=AH397,"Sesuai",IF(AR397&gt;AH397,"Over Shared"))))</f>
        <v>Waiting</v>
      </c>
      <c r="AV397" s="37"/>
      <c r="AW397" s="37" t="str">
        <f>IFERROR(DATEDIF(AH397,AK397,"d"),"0")&amp;"-DAY"</f>
        <v>0-DAY</v>
      </c>
      <c r="AX397" s="37" t="str">
        <f>IFERROR(DATEDIF(B397,AB397,"d"),"0")&amp;"-DAY"</f>
        <v>9-DAY</v>
      </c>
      <c r="AY397" s="37"/>
      <c r="AZ397" s="181">
        <f>L397-AD397</f>
        <v>0</v>
      </c>
    </row>
    <row r="398" spans="1:52" ht="15.5" customHeight="1">
      <c r="A398" s="360" t="s">
        <v>372</v>
      </c>
      <c r="B398" s="340">
        <v>46252</v>
      </c>
      <c r="C398" s="181">
        <v>49662</v>
      </c>
      <c r="D398" s="30">
        <v>46252</v>
      </c>
      <c r="E398" s="30">
        <v>46247</v>
      </c>
      <c r="F398" s="30">
        <v>46275</v>
      </c>
      <c r="G398" s="37">
        <v>4420231436</v>
      </c>
      <c r="H398" s="37" t="s">
        <v>373</v>
      </c>
      <c r="I398" s="37">
        <v>9040042096</v>
      </c>
      <c r="J398" s="37" t="s">
        <v>159</v>
      </c>
      <c r="K398" s="325" t="s">
        <v>160</v>
      </c>
      <c r="L398" s="181">
        <v>15</v>
      </c>
      <c r="M398" s="181" t="s">
        <v>375</v>
      </c>
      <c r="N398" s="37" t="s">
        <v>408</v>
      </c>
      <c r="O398" s="31">
        <f>IF(F398&gt;0,F398-AB398,"")</f>
        <v>14</v>
      </c>
      <c r="P398" s="37" t="str">
        <f>IF(F398&gt;0,IF(AB398="","PLANNING SUPPLY",IF(AB398&lt;=F398,"ONTIME DELIVERY","DELAY")),"")</f>
        <v>ONTIME DELIVERY</v>
      </c>
      <c r="Q398" s="181" t="str">
        <f>IFERROR(IF(J398&gt;0,VLOOKUP(J398,#REF!,MATCH($Q$6,#REF!,0),0),""),"")</f>
        <v/>
      </c>
      <c r="R398" s="181" t="str">
        <f>IFERROR(IF(J398&gt;0,VLOOKUP(J398,#REF!,MATCH($R$6,#REF!,0),0),""),"")</f>
        <v/>
      </c>
      <c r="S398" s="181" t="e">
        <f>IF(I401&gt;0,Q398+R398,"")</f>
        <v>#VALUE!</v>
      </c>
      <c r="T398" s="181"/>
      <c r="U398" s="181"/>
      <c r="V398" s="37"/>
      <c r="W398" s="181" t="e">
        <f>IF(I401&gt;0,IF(S398&gt;L398,"READY STOCK",IF(S398=0,"OUT OF STOCK",IF(S398&lt;L398,"LOW STOCK",""))),"")</f>
        <v>#VALUE!</v>
      </c>
      <c r="X398" s="38"/>
      <c r="Y398" s="38"/>
      <c r="Z398" s="38"/>
      <c r="AA398" s="38"/>
      <c r="AB398" s="50">
        <v>46261</v>
      </c>
      <c r="AC398" s="181">
        <v>33887</v>
      </c>
      <c r="AD398" s="51">
        <v>15</v>
      </c>
      <c r="AE398" s="37" t="s">
        <v>383</v>
      </c>
      <c r="AF398" s="37" t="s">
        <v>381</v>
      </c>
      <c r="AG398" s="33" t="str">
        <f>IF(G398&gt;0,IF(AD398&gt;0,IF(AD398=0,"Waiting",IF(AD398&lt;L398,"Partial",IF(AD398=L398,"Full Supply",IF(AD398&gt;L398,"Over Shared")))),"Waiting"),"")</f>
        <v>Full Supply</v>
      </c>
      <c r="AH398" s="37"/>
      <c r="AI398" s="37"/>
      <c r="AJ398" s="181"/>
      <c r="AK398" s="40"/>
      <c r="AL398" s="40"/>
      <c r="AM398" s="40"/>
      <c r="AN398" s="37"/>
      <c r="AO398" s="34"/>
      <c r="AP398" s="37"/>
      <c r="AQ398" s="37"/>
      <c r="AR398" s="37"/>
      <c r="AS398" s="37"/>
      <c r="AT398" s="37">
        <f>AS398-AD398</f>
        <v>-15</v>
      </c>
      <c r="AU398" s="36" t="str">
        <f>IF(AR398=0,"Waiting",IF(AR398&lt;AH398,"Kurang",IF(AR398=AH398,"Sesuai",IF(AR398&gt;AH398,"Over Shared"))))</f>
        <v>Waiting</v>
      </c>
      <c r="AV398" s="37"/>
      <c r="AW398" s="37" t="str">
        <f>IFERROR(DATEDIF(AH398,AK398,"d"),"0")&amp;"-DAY"</f>
        <v>0-DAY</v>
      </c>
      <c r="AX398" s="37" t="str">
        <f>IFERROR(DATEDIF(B398,AB398,"d"),"0")&amp;"-DAY"</f>
        <v>9-DAY</v>
      </c>
      <c r="AY398" s="37"/>
      <c r="AZ398" s="181">
        <f>L398-AD398</f>
        <v>0</v>
      </c>
    </row>
    <row r="399" spans="1:52" ht="15.5" customHeight="1">
      <c r="A399" s="360" t="s">
        <v>372</v>
      </c>
      <c r="B399" s="340">
        <v>46252</v>
      </c>
      <c r="C399" s="181">
        <v>49662</v>
      </c>
      <c r="D399" s="30">
        <v>46252</v>
      </c>
      <c r="E399" s="30">
        <v>46247</v>
      </c>
      <c r="F399" s="30">
        <v>46275</v>
      </c>
      <c r="G399" s="37">
        <v>4420231436</v>
      </c>
      <c r="H399" s="37" t="s">
        <v>373</v>
      </c>
      <c r="I399" s="37">
        <v>9040052369</v>
      </c>
      <c r="J399" s="37" t="s">
        <v>199</v>
      </c>
      <c r="K399" s="325" t="s">
        <v>200</v>
      </c>
      <c r="L399" s="181">
        <v>10</v>
      </c>
      <c r="M399" s="181" t="s">
        <v>375</v>
      </c>
      <c r="N399" s="37" t="s">
        <v>408</v>
      </c>
      <c r="O399" s="31">
        <f>IF(F399&gt;0,F399-AB399,"")</f>
        <v>14</v>
      </c>
      <c r="P399" s="37" t="str">
        <f>IF(F399&gt;0,IF(AB399="","PLANNING SUPPLY",IF(AB399&lt;=F399,"ONTIME DELIVERY","DELAY")),"")</f>
        <v>ONTIME DELIVERY</v>
      </c>
      <c r="Q399" s="181" t="str">
        <f>IFERROR(IF(J399&gt;0,VLOOKUP(J399,#REF!,MATCH($Q$6,#REF!,0),0),""),"")</f>
        <v/>
      </c>
      <c r="R399" s="181" t="str">
        <f>IFERROR(IF(J399&gt;0,VLOOKUP(J399,#REF!,MATCH($R$6,#REF!,0),0),""),"")</f>
        <v/>
      </c>
      <c r="S399" s="181" t="e">
        <f>IF(I402&gt;0,Q399+R399,"")</f>
        <v>#VALUE!</v>
      </c>
      <c r="T399" s="181"/>
      <c r="U399" s="181"/>
      <c r="V399" s="37"/>
      <c r="W399" s="181" t="e">
        <f>IF(I402&gt;0,IF(S399&gt;L399,"READY STOCK",IF(S399=0,"OUT OF STOCK",IF(S399&lt;L399,"LOW STOCK",""))),"")</f>
        <v>#VALUE!</v>
      </c>
      <c r="X399" s="38"/>
      <c r="Y399" s="38"/>
      <c r="Z399" s="38"/>
      <c r="AA399" s="38"/>
      <c r="AB399" s="50">
        <v>46261</v>
      </c>
      <c r="AC399" s="181">
        <v>33886</v>
      </c>
      <c r="AD399" s="51">
        <v>10</v>
      </c>
      <c r="AE399" s="37" t="s">
        <v>383</v>
      </c>
      <c r="AF399" s="37" t="s">
        <v>381</v>
      </c>
      <c r="AG399" s="33" t="str">
        <f>IF(G399&gt;0,IF(AD399&gt;0,IF(AD399=0,"Waiting",IF(AD399&lt;L399,"Partial",IF(AD399=L399,"Full Supply",IF(AD399&gt;L399,"Over Shared")))),"Waiting"),"")</f>
        <v>Full Supply</v>
      </c>
      <c r="AH399" s="37"/>
      <c r="AI399" s="37"/>
      <c r="AJ399" s="181"/>
      <c r="AK399" s="40"/>
      <c r="AL399" s="40"/>
      <c r="AM399" s="40"/>
      <c r="AN399" s="37"/>
      <c r="AO399" s="34"/>
      <c r="AP399" s="37"/>
      <c r="AQ399" s="37"/>
      <c r="AR399" s="37"/>
      <c r="AS399" s="37"/>
      <c r="AT399" s="37">
        <f>AS399-AD399</f>
        <v>-10</v>
      </c>
      <c r="AU399" s="36" t="str">
        <f>IF(AR399=0,"Waiting",IF(AR399&lt;AH399,"Kurang",IF(AR399=AH399,"Sesuai",IF(AR399&gt;AH399,"Over Shared"))))</f>
        <v>Waiting</v>
      </c>
      <c r="AV399" s="37"/>
      <c r="AW399" s="37" t="str">
        <f>IFERROR(DATEDIF(AH399,AK399,"d"),"0")&amp;"-DAY"</f>
        <v>0-DAY</v>
      </c>
      <c r="AX399" s="37" t="str">
        <f>IFERROR(DATEDIF(B399,AB399,"d"),"0")&amp;"-DAY"</f>
        <v>9-DAY</v>
      </c>
      <c r="AY399" s="37"/>
      <c r="AZ399" s="181">
        <f>L399-AD399</f>
        <v>0</v>
      </c>
    </row>
    <row r="400" spans="1:52" ht="15.5" customHeight="1">
      <c r="A400" s="360" t="s">
        <v>372</v>
      </c>
      <c r="B400" s="340">
        <v>46252</v>
      </c>
      <c r="C400" s="181">
        <v>49662</v>
      </c>
      <c r="D400" s="30">
        <v>46252</v>
      </c>
      <c r="E400" s="30">
        <v>46247</v>
      </c>
      <c r="F400" s="30">
        <v>46275</v>
      </c>
      <c r="G400" s="37">
        <v>4420231436</v>
      </c>
      <c r="H400" s="37" t="s">
        <v>373</v>
      </c>
      <c r="I400" s="37">
        <v>9040055051</v>
      </c>
      <c r="J400" s="37" t="s">
        <v>10</v>
      </c>
      <c r="K400" s="325" t="s">
        <v>149</v>
      </c>
      <c r="L400" s="181">
        <v>2</v>
      </c>
      <c r="M400" s="181" t="s">
        <v>375</v>
      </c>
      <c r="N400" s="37" t="s">
        <v>408</v>
      </c>
      <c r="O400" s="31">
        <f>IF(F400&gt;0,F400-AB400,"")</f>
        <v>8</v>
      </c>
      <c r="P400" s="37" t="str">
        <f>IF(F400&gt;0,IF(AB400="","PLANNING SUPPLY",IF(AB400&lt;=F400,"ONTIME DELIVERY","DELAY")),"")</f>
        <v>ONTIME DELIVERY</v>
      </c>
      <c r="Q400" s="181" t="str">
        <f>IFERROR(IF(J400&gt;0,VLOOKUP(J400,#REF!,MATCH($Q$6,#REF!,0),0),""),"")</f>
        <v/>
      </c>
      <c r="R400" s="181" t="str">
        <f>IFERROR(IF(J400&gt;0,VLOOKUP(J400,#REF!,MATCH($R$6,#REF!,0),0),""),"")</f>
        <v/>
      </c>
      <c r="S400" s="181" t="e">
        <f>IF(I403&gt;0,Q400+R400,"")</f>
        <v>#VALUE!</v>
      </c>
      <c r="T400" s="181"/>
      <c r="U400" s="181"/>
      <c r="V400" s="37"/>
      <c r="W400" s="181" t="e">
        <f>IF(I403&gt;0,IF(S400&gt;L400,"READY STOCK",IF(S400=0,"OUT OF STOCK",IF(S400&lt;L400,"LOW STOCK",""))),"")</f>
        <v>#VALUE!</v>
      </c>
      <c r="X400" s="38"/>
      <c r="Y400" s="38"/>
      <c r="Z400" s="38"/>
      <c r="AA400" s="38"/>
      <c r="AB400" s="50">
        <v>46267</v>
      </c>
      <c r="AC400" s="181">
        <v>33978</v>
      </c>
      <c r="AD400" s="51">
        <v>2</v>
      </c>
      <c r="AE400" s="37" t="s">
        <v>383</v>
      </c>
      <c r="AF400" s="37" t="s">
        <v>381</v>
      </c>
      <c r="AG400" s="33" t="str">
        <f>IF(G400&gt;0,IF(AD400&gt;0,IF(AD400=0,"Waiting",IF(AD400&lt;L400,"Partial",IF(AD400=L400,"Full Supply",IF(AD400&gt;L400,"Over Shared")))),"Waiting"),"")</f>
        <v>Full Supply</v>
      </c>
      <c r="AH400" s="37"/>
      <c r="AI400" s="37"/>
      <c r="AJ400" s="181"/>
      <c r="AK400" s="40"/>
      <c r="AL400" s="40"/>
      <c r="AM400" s="40"/>
      <c r="AN400" s="37"/>
      <c r="AO400" s="34"/>
      <c r="AP400" s="37"/>
      <c r="AQ400" s="37"/>
      <c r="AR400" s="37"/>
      <c r="AS400" s="37"/>
      <c r="AT400" s="37">
        <f>AS400-AD400</f>
        <v>-2</v>
      </c>
      <c r="AU400" s="36" t="str">
        <f>IF(AR400=0,"Waiting",IF(AR400&lt;AH400,"Kurang",IF(AR400=AH400,"Sesuai",IF(AR400&gt;AH400,"Over Shared"))))</f>
        <v>Waiting</v>
      </c>
      <c r="AV400" s="37"/>
      <c r="AW400" s="37" t="str">
        <f>IFERROR(DATEDIF(AH400,AK400,"d"),"0")&amp;"-DAY"</f>
        <v>0-DAY</v>
      </c>
      <c r="AX400" s="37" t="str">
        <f>IFERROR(DATEDIF(B400,AB400,"d"),"0")&amp;"-DAY"</f>
        <v>15-DAY</v>
      </c>
      <c r="AY400" s="37"/>
      <c r="AZ400" s="181">
        <f>L400-AD400</f>
        <v>0</v>
      </c>
    </row>
    <row r="401" spans="1:52" ht="15.5" customHeight="1">
      <c r="A401" s="360" t="s">
        <v>372</v>
      </c>
      <c r="B401" s="340">
        <v>46252</v>
      </c>
      <c r="C401" s="181">
        <v>49665</v>
      </c>
      <c r="D401" s="30">
        <v>46252</v>
      </c>
      <c r="E401" s="30">
        <v>46248</v>
      </c>
      <c r="F401" s="30">
        <v>46269</v>
      </c>
      <c r="G401" s="37">
        <v>4420231541</v>
      </c>
      <c r="H401" s="37" t="s">
        <v>373</v>
      </c>
      <c r="I401" s="37">
        <v>9040040390</v>
      </c>
      <c r="J401" s="37" t="s">
        <v>209</v>
      </c>
      <c r="K401" s="325" t="s">
        <v>210</v>
      </c>
      <c r="L401" s="181">
        <v>3</v>
      </c>
      <c r="M401" s="181" t="s">
        <v>421</v>
      </c>
      <c r="N401" s="37" t="s">
        <v>384</v>
      </c>
      <c r="O401" s="31">
        <f>IF(F401&gt;0,F401-AB401,"")</f>
        <v>3</v>
      </c>
      <c r="P401" s="37" t="str">
        <f>IF(F401&gt;0,IF(AB401="","PLANNING SUPPLY",IF(AB401&lt;=F401,"ONTIME DELIVERY","DELAY")),"")</f>
        <v>ONTIME DELIVERY</v>
      </c>
      <c r="Q401" s="181" t="str">
        <f>IFERROR(IF(J401&gt;0,VLOOKUP(J401,#REF!,MATCH($Q$6,#REF!,0),0),""),"")</f>
        <v/>
      </c>
      <c r="R401" s="181" t="str">
        <f>IFERROR(IF(J401&gt;0,VLOOKUP(J401,#REF!,MATCH($R$6,#REF!,0),0),""),"")</f>
        <v/>
      </c>
      <c r="S401" s="181" t="e">
        <f>IF(I404&gt;0,Q401+R401,"")</f>
        <v>#VALUE!</v>
      </c>
      <c r="T401" s="181"/>
      <c r="U401" s="181"/>
      <c r="V401" s="37"/>
      <c r="W401" s="181" t="e">
        <f>IF(I404&gt;0,IF(S401&gt;L401,"READY STOCK",IF(S401=0,"OUT OF STOCK",IF(S401&lt;L401,"LOW STOCK",""))),"")</f>
        <v>#VALUE!</v>
      </c>
      <c r="X401" s="38"/>
      <c r="Y401" s="38"/>
      <c r="Z401" s="38"/>
      <c r="AA401" s="38"/>
      <c r="AB401" s="50">
        <v>46266</v>
      </c>
      <c r="AC401" s="181">
        <v>33966</v>
      </c>
      <c r="AD401" s="51">
        <v>3</v>
      </c>
      <c r="AE401" s="37" t="s">
        <v>383</v>
      </c>
      <c r="AF401" s="37" t="s">
        <v>381</v>
      </c>
      <c r="AG401" s="33" t="str">
        <f>IF(G401&gt;0,IF(AD401&gt;0,IF(AD401=0,"Waiting",IF(AD401&lt;L401,"Partial",IF(AD401=L401,"Full Supply",IF(AD401&gt;L401,"Over Shared")))),"Waiting"),"")</f>
        <v>Full Supply</v>
      </c>
      <c r="AH401" s="56">
        <v>46253</v>
      </c>
      <c r="AI401" s="37" t="s">
        <v>1302</v>
      </c>
      <c r="AJ401" s="181">
        <v>11</v>
      </c>
      <c r="AK401" s="40">
        <v>26063</v>
      </c>
      <c r="AL401" s="45">
        <v>46255</v>
      </c>
      <c r="AM401" s="40">
        <v>11</v>
      </c>
      <c r="AN401" s="37"/>
      <c r="AO401" s="41">
        <v>46255</v>
      </c>
      <c r="AP401" s="37"/>
      <c r="AQ401" s="37"/>
      <c r="AR401" s="37"/>
      <c r="AS401" s="37"/>
      <c r="AT401" s="37">
        <f>AS401-AD401</f>
        <v>-3</v>
      </c>
      <c r="AU401" s="36" t="str">
        <f>IF(AR401=0,"Waiting",IF(AR401&lt;AH401,"Kurang",IF(AR401=AH401,"Sesuai",IF(AR401&gt;AH401,"Over Shared"))))</f>
        <v>Waiting</v>
      </c>
      <c r="AV401" s="37"/>
      <c r="AW401" s="37" t="str">
        <f>IFERROR(DATEDIF(AH401,AK401,"d"),"0")&amp;"-DAY"</f>
        <v>0-DAY</v>
      </c>
      <c r="AX401" s="37" t="str">
        <f>IFERROR(DATEDIF(B401,AB401,"d"),"0")&amp;"-DAY"</f>
        <v>14-DAY</v>
      </c>
      <c r="AY401" s="37"/>
      <c r="AZ401" s="181">
        <f>L401-AD401</f>
        <v>0</v>
      </c>
    </row>
    <row r="402" spans="1:52" ht="15.5" customHeight="1">
      <c r="A402" s="360" t="s">
        <v>372</v>
      </c>
      <c r="B402" s="340">
        <v>46252</v>
      </c>
      <c r="C402" s="181">
        <v>49665</v>
      </c>
      <c r="D402" s="30">
        <v>46252</v>
      </c>
      <c r="E402" s="30">
        <v>46248</v>
      </c>
      <c r="F402" s="30">
        <v>46269</v>
      </c>
      <c r="G402" s="37">
        <v>4420231541</v>
      </c>
      <c r="H402" s="37" t="s">
        <v>373</v>
      </c>
      <c r="I402" s="37">
        <v>9040024657</v>
      </c>
      <c r="J402" s="37" t="s">
        <v>252</v>
      </c>
      <c r="K402" s="325" t="s">
        <v>253</v>
      </c>
      <c r="L402" s="181">
        <v>14</v>
      </c>
      <c r="M402" s="181" t="s">
        <v>375</v>
      </c>
      <c r="N402" s="37" t="s">
        <v>384</v>
      </c>
      <c r="O402" s="31">
        <f>IF(F402&gt;0,F402-AB402,"")</f>
        <v>-25</v>
      </c>
      <c r="P402" s="37" t="str">
        <f>IF(F402&gt;0,IF(AB402="","PLANNING SUPPLY",IF(AB402&lt;=F402,"ONTIME DELIVERY","DELAY")),"")</f>
        <v>DELAY</v>
      </c>
      <c r="Q402" s="181" t="str">
        <f>IFERROR(IF(J402&gt;0,VLOOKUP(J402,#REF!,MATCH($Q$6,#REF!,0),0),""),"")</f>
        <v/>
      </c>
      <c r="R402" s="181" t="str">
        <f>IFERROR(IF(J402&gt;0,VLOOKUP(J402,#REF!,MATCH($R$6,#REF!,0),0),""),"")</f>
        <v/>
      </c>
      <c r="S402" s="181" t="e">
        <f>IF(I405&gt;0,Q402+R402,"")</f>
        <v>#VALUE!</v>
      </c>
      <c r="T402" s="181"/>
      <c r="U402" s="181"/>
      <c r="V402" s="37"/>
      <c r="W402" s="181" t="e">
        <f>IF(I405&gt;0,IF(S402&gt;L402,"READY STOCK",IF(S402=0,"OUT OF STOCK",IF(S402&lt;L402,"LOW STOCK",""))),"")</f>
        <v>#VALUE!</v>
      </c>
      <c r="X402" s="38"/>
      <c r="Y402" s="38"/>
      <c r="Z402" s="38"/>
      <c r="AA402" s="38"/>
      <c r="AB402" s="50">
        <v>46294</v>
      </c>
      <c r="AC402" s="181">
        <v>34623</v>
      </c>
      <c r="AD402" s="51">
        <v>14</v>
      </c>
      <c r="AE402" s="37" t="s">
        <v>387</v>
      </c>
      <c r="AF402" s="37"/>
      <c r="AG402" s="33" t="str">
        <f>IF(G402&gt;0,IF(AD402&gt;0,IF(AD402=0,"Waiting",IF(AD402&lt;L402,"Partial",IF(AD402=L402,"Full Supply",IF(AD402&gt;L402,"Over Shared")))),"Waiting"),"")</f>
        <v>Full Supply</v>
      </c>
      <c r="AH402" s="37"/>
      <c r="AI402" s="37"/>
      <c r="AJ402" s="181"/>
      <c r="AK402" s="40"/>
      <c r="AL402" s="40"/>
      <c r="AM402" s="40"/>
      <c r="AN402" s="37"/>
      <c r="AO402" s="34"/>
      <c r="AP402" s="37"/>
      <c r="AQ402" s="37"/>
      <c r="AR402" s="37"/>
      <c r="AS402" s="37"/>
      <c r="AT402" s="37">
        <f>AS402-AD402</f>
        <v>-14</v>
      </c>
      <c r="AU402" s="36" t="str">
        <f>IF(AR402=0,"Waiting",IF(AR402&lt;AH402,"Kurang",IF(AR402=AH402,"Sesuai",IF(AR402&gt;AH402,"Over Shared"))))</f>
        <v>Waiting</v>
      </c>
      <c r="AV402" s="37"/>
      <c r="AW402" s="37" t="str">
        <f>IFERROR(DATEDIF(AH402,AK402,"d"),"0")&amp;"-DAY"</f>
        <v>0-DAY</v>
      </c>
      <c r="AX402" s="37" t="str">
        <f>IFERROR(DATEDIF(B402,AB402,"d"),"0")&amp;"-DAY"</f>
        <v>42-DAY</v>
      </c>
      <c r="AY402" s="37"/>
      <c r="AZ402" s="181">
        <f>L402-AD402</f>
        <v>0</v>
      </c>
    </row>
    <row r="403" spans="1:52" ht="15.5" customHeight="1">
      <c r="A403" s="360" t="s">
        <v>372</v>
      </c>
      <c r="B403" s="340">
        <v>46252</v>
      </c>
      <c r="C403" s="181">
        <v>49667</v>
      </c>
      <c r="D403" s="30">
        <v>46252</v>
      </c>
      <c r="E403" s="30">
        <v>46246</v>
      </c>
      <c r="F403" s="30">
        <v>46254</v>
      </c>
      <c r="G403" s="37">
        <v>4420231254</v>
      </c>
      <c r="H403" s="37" t="s">
        <v>373</v>
      </c>
      <c r="I403" s="37">
        <v>9040009495</v>
      </c>
      <c r="J403" s="37" t="s">
        <v>320</v>
      </c>
      <c r="K403" s="325" t="s">
        <v>321</v>
      </c>
      <c r="L403" s="181">
        <v>4</v>
      </c>
      <c r="M403" s="181" t="s">
        <v>375</v>
      </c>
      <c r="N403" s="37" t="s">
        <v>399</v>
      </c>
      <c r="O403" s="31">
        <f>IF(F403&gt;0,F403-AB403,"")</f>
        <v>-46</v>
      </c>
      <c r="P403" s="37" t="str">
        <f>IF(F403&gt;0,IF(AB403="","PLANNING SUPPLY",IF(AB403&lt;=F403,"ONTIME DELIVERY","DELAY")),"")</f>
        <v>DELAY</v>
      </c>
      <c r="Q403" s="181" t="str">
        <f>IFERROR(IF(J403&gt;0,VLOOKUP(J403,#REF!,MATCH($Q$6,#REF!,0),0),""),"")</f>
        <v/>
      </c>
      <c r="R403" s="181" t="str">
        <f>IFERROR(IF(J403&gt;0,VLOOKUP(J403,#REF!,MATCH($R$6,#REF!,0),0),""),"")</f>
        <v/>
      </c>
      <c r="S403" s="181" t="e">
        <f>IF(I406&gt;0,Q403+R403,"")</f>
        <v>#VALUE!</v>
      </c>
      <c r="T403" s="181"/>
      <c r="U403" s="181"/>
      <c r="V403" s="37"/>
      <c r="W403" s="181" t="e">
        <f>IF(I406&gt;0,IF(S403&gt;L403,"READY STOCK",IF(S403=0,"OUT OF STOCK",IF(S403&lt;L403,"LOW STOCK",""))),"")</f>
        <v>#VALUE!</v>
      </c>
      <c r="X403" s="38"/>
      <c r="Y403" s="38"/>
      <c r="Z403" s="38"/>
      <c r="AA403" s="38"/>
      <c r="AB403" s="50">
        <v>46300</v>
      </c>
      <c r="AC403" s="44">
        <v>34717</v>
      </c>
      <c r="AD403" s="51">
        <v>4</v>
      </c>
      <c r="AE403" s="37" t="s">
        <v>387</v>
      </c>
      <c r="AF403" s="37" t="s">
        <v>381</v>
      </c>
      <c r="AG403" s="33" t="str">
        <f>IF(G403&gt;0,IF(AD403&gt;0,IF(AD403=0,"Waiting",IF(AD403&lt;L403,"Partial",IF(AD403=L403,"Full Supply",IF(AD403&gt;L403,"Over Shared")))),"Waiting"),"")</f>
        <v>Full Supply</v>
      </c>
      <c r="AH403" s="56"/>
      <c r="AI403" s="37"/>
      <c r="AJ403" s="181"/>
      <c r="AK403" s="40"/>
      <c r="AL403" s="40"/>
      <c r="AM403" s="40"/>
      <c r="AN403" s="216"/>
      <c r="AO403" s="34"/>
      <c r="AP403" s="37"/>
      <c r="AQ403" s="37"/>
      <c r="AR403" s="37"/>
      <c r="AS403" s="37"/>
      <c r="AT403" s="37">
        <f>AS403-AD403</f>
        <v>-4</v>
      </c>
      <c r="AU403" s="36" t="str">
        <f>IF(AR403=0,"Waiting",IF(AR403&lt;AH403,"Kurang",IF(AR403=AH403,"Sesuai",IF(AR403&gt;AH403,"Over Shared"))))</f>
        <v>Waiting</v>
      </c>
      <c r="AV403" s="37"/>
      <c r="AW403" s="37" t="str">
        <f>IFERROR(DATEDIF(AH403,AK403,"d"),"0")&amp;"-DAY"</f>
        <v>0-DAY</v>
      </c>
      <c r="AX403" s="37" t="str">
        <f>IFERROR(DATEDIF(B403,AB403,"d"),"0")&amp;"-DAY"</f>
        <v>48-DAY</v>
      </c>
      <c r="AY403" s="37"/>
      <c r="AZ403" s="181">
        <f>L403-AD403</f>
        <v>0</v>
      </c>
    </row>
    <row r="404" spans="1:52" ht="15.5" customHeight="1">
      <c r="A404" s="360" t="s">
        <v>372</v>
      </c>
      <c r="B404" s="340">
        <v>46252</v>
      </c>
      <c r="C404" s="181">
        <v>49667</v>
      </c>
      <c r="D404" s="30">
        <v>46252</v>
      </c>
      <c r="E404" s="30">
        <v>46246</v>
      </c>
      <c r="F404" s="30">
        <v>46254</v>
      </c>
      <c r="G404" s="37">
        <v>4420231254</v>
      </c>
      <c r="H404" s="37" t="s">
        <v>373</v>
      </c>
      <c r="I404" s="37">
        <v>9040040486</v>
      </c>
      <c r="J404" s="37" t="s">
        <v>165</v>
      </c>
      <c r="K404" s="325" t="s">
        <v>166</v>
      </c>
      <c r="L404" s="181">
        <v>25</v>
      </c>
      <c r="M404" s="181" t="s">
        <v>375</v>
      </c>
      <c r="N404" s="37" t="s">
        <v>399</v>
      </c>
      <c r="O404" s="31">
        <f>IF(F404&gt;0,F404-AB404,"")</f>
        <v>-27</v>
      </c>
      <c r="P404" s="37" t="str">
        <f>IF(F404&gt;0,IF(AB404="","PLANNING SUPPLY",IF(AB404&lt;=F404,"ONTIME DELIVERY","DELAY")),"")</f>
        <v>DELAY</v>
      </c>
      <c r="Q404" s="181" t="str">
        <f>IFERROR(IF(J404&gt;0,VLOOKUP(J404,#REF!,MATCH($Q$6,#REF!,0),0),""),"")</f>
        <v/>
      </c>
      <c r="R404" s="181" t="str">
        <f>IFERROR(IF(J404&gt;0,VLOOKUP(J404,#REF!,MATCH($R$6,#REF!,0),0),""),"")</f>
        <v/>
      </c>
      <c r="S404" s="181" t="e">
        <f>IF(I407&gt;0,Q404+R404,"")</f>
        <v>#VALUE!</v>
      </c>
      <c r="T404" s="181"/>
      <c r="U404" s="181"/>
      <c r="V404" s="37"/>
      <c r="W404" s="181" t="e">
        <f>IF(I407&gt;0,IF(S404&gt;L404,"READY STOCK",IF(S404=0,"OUT OF STOCK",IF(S404&lt;L404,"LOW STOCK",""))),"")</f>
        <v>#VALUE!</v>
      </c>
      <c r="X404" s="38"/>
      <c r="Y404" s="38"/>
      <c r="Z404" s="38"/>
      <c r="AA404" s="38"/>
      <c r="AB404" s="50">
        <v>46281</v>
      </c>
      <c r="AC404" s="181">
        <v>34272</v>
      </c>
      <c r="AD404" s="51">
        <v>25</v>
      </c>
      <c r="AE404" s="37" t="s">
        <v>383</v>
      </c>
      <c r="AF404" s="37" t="s">
        <v>381</v>
      </c>
      <c r="AG404" s="33" t="str">
        <f>IF(G404&gt;0,IF(AD404&gt;0,IF(AD404=0,"Waiting",IF(AD404&lt;L404,"Partial",IF(AD404=L404,"Full Supply",IF(AD404&gt;L404,"Over Shared")))),"Waiting"),"")</f>
        <v>Full Supply</v>
      </c>
      <c r="AH404" s="37"/>
      <c r="AI404" s="37"/>
      <c r="AJ404" s="181"/>
      <c r="AK404" s="40"/>
      <c r="AL404" s="40"/>
      <c r="AM404" s="40"/>
      <c r="AN404" s="37"/>
      <c r="AO404" s="34"/>
      <c r="AP404" s="37"/>
      <c r="AQ404" s="37"/>
      <c r="AR404" s="37"/>
      <c r="AS404" s="37"/>
      <c r="AT404" s="37">
        <f>AS404-AD404</f>
        <v>-25</v>
      </c>
      <c r="AU404" s="36" t="str">
        <f>IF(AR404=0,"Waiting",IF(AR404&lt;AH404,"Kurang",IF(AR404=AH404,"Sesuai",IF(AR404&gt;AH404,"Over Shared"))))</f>
        <v>Waiting</v>
      </c>
      <c r="AV404" s="37"/>
      <c r="AW404" s="37" t="str">
        <f>IFERROR(DATEDIF(AH404,AK404,"d"),"0")&amp;"-DAY"</f>
        <v>0-DAY</v>
      </c>
      <c r="AX404" s="37" t="str">
        <f>IFERROR(DATEDIF(B404,AB404,"d"),"0")&amp;"-DAY"</f>
        <v>29-DAY</v>
      </c>
      <c r="AY404" s="37"/>
      <c r="AZ404" s="181">
        <f>L404-AD404</f>
        <v>0</v>
      </c>
    </row>
    <row r="405" spans="1:52" ht="15.5" customHeight="1">
      <c r="A405" s="360" t="s">
        <v>372</v>
      </c>
      <c r="B405" s="340">
        <v>46252</v>
      </c>
      <c r="C405" s="181">
        <v>49667</v>
      </c>
      <c r="D405" s="30">
        <v>46252</v>
      </c>
      <c r="E405" s="30">
        <v>46246</v>
      </c>
      <c r="F405" s="30">
        <v>46254</v>
      </c>
      <c r="G405" s="37">
        <v>4420231254</v>
      </c>
      <c r="H405" s="37" t="s">
        <v>373</v>
      </c>
      <c r="I405" s="37">
        <v>9040040924</v>
      </c>
      <c r="J405" s="37" t="s">
        <v>10</v>
      </c>
      <c r="K405" s="325" t="s">
        <v>149</v>
      </c>
      <c r="L405" s="181">
        <v>6</v>
      </c>
      <c r="M405" s="181" t="s">
        <v>375</v>
      </c>
      <c r="N405" s="37" t="s">
        <v>399</v>
      </c>
      <c r="O405" s="31">
        <f>IF(F405&gt;0,F405-AB405,"")</f>
        <v>-27</v>
      </c>
      <c r="P405" s="37" t="str">
        <f>IF(F405&gt;0,IF(AB405="","PLANNING SUPPLY",IF(AB405&lt;=F405,"ONTIME DELIVERY","DELAY")),"")</f>
        <v>DELAY</v>
      </c>
      <c r="Q405" s="181" t="str">
        <f>IFERROR(IF(J405&gt;0,VLOOKUP(J405,#REF!,MATCH($Q$6,#REF!,0),0),""),"")</f>
        <v/>
      </c>
      <c r="R405" s="181" t="str">
        <f>IFERROR(IF(J405&gt;0,VLOOKUP(J405,#REF!,MATCH($R$6,#REF!,0),0),""),"")</f>
        <v/>
      </c>
      <c r="S405" s="181" t="e">
        <f>IF(I408&gt;0,Q405+R405,"")</f>
        <v>#VALUE!</v>
      </c>
      <c r="T405" s="181"/>
      <c r="U405" s="181"/>
      <c r="V405" s="37"/>
      <c r="W405" s="181" t="e">
        <f>IF(I408&gt;0,IF(S405&gt;L405,"READY STOCK",IF(S405=0,"OUT OF STOCK",IF(S405&lt;L405,"LOW STOCK",""))),"")</f>
        <v>#VALUE!</v>
      </c>
      <c r="X405" s="38"/>
      <c r="Y405" s="38"/>
      <c r="Z405" s="38"/>
      <c r="AA405" s="38"/>
      <c r="AB405" s="50">
        <v>46281</v>
      </c>
      <c r="AC405" s="181">
        <v>34272</v>
      </c>
      <c r="AD405" s="51">
        <v>6</v>
      </c>
      <c r="AE405" s="37" t="s">
        <v>383</v>
      </c>
      <c r="AF405" s="37" t="s">
        <v>381</v>
      </c>
      <c r="AG405" s="33" t="str">
        <f>IF(G405&gt;0,IF(AD405&gt;0,IF(AD405=0,"Waiting",IF(AD405&lt;L405,"Partial",IF(AD405=L405,"Full Supply",IF(AD405&gt;L405,"Over Shared")))),"Waiting"),"")</f>
        <v>Full Supply</v>
      </c>
      <c r="AH405" s="37"/>
      <c r="AI405" s="37"/>
      <c r="AJ405" s="181"/>
      <c r="AK405" s="40"/>
      <c r="AL405" s="40"/>
      <c r="AM405" s="40"/>
      <c r="AN405" s="37"/>
      <c r="AO405" s="34"/>
      <c r="AP405" s="37"/>
      <c r="AQ405" s="37"/>
      <c r="AR405" s="37"/>
      <c r="AS405" s="37"/>
      <c r="AT405" s="37">
        <f>AS405-AD405</f>
        <v>-6</v>
      </c>
      <c r="AU405" s="36" t="str">
        <f>IF(AR405=0,"Waiting",IF(AR405&lt;AH405,"Kurang",IF(AR405=AH405,"Sesuai",IF(AR405&gt;AH405,"Over Shared"))))</f>
        <v>Waiting</v>
      </c>
      <c r="AV405" s="37"/>
      <c r="AW405" s="37" t="str">
        <f>IFERROR(DATEDIF(AH405,AK405,"d"),"0")&amp;"-DAY"</f>
        <v>0-DAY</v>
      </c>
      <c r="AX405" s="37" t="str">
        <f>IFERROR(DATEDIF(B405,AB405,"d"),"0")&amp;"-DAY"</f>
        <v>29-DAY</v>
      </c>
      <c r="AY405" s="37"/>
      <c r="AZ405" s="181">
        <f>L405-AD405</f>
        <v>0</v>
      </c>
    </row>
    <row r="406" spans="1:52" ht="15.5" customHeight="1">
      <c r="A406" s="360" t="s">
        <v>372</v>
      </c>
      <c r="B406" s="340">
        <v>46252</v>
      </c>
      <c r="C406" s="181">
        <v>49667</v>
      </c>
      <c r="D406" s="30">
        <v>46252</v>
      </c>
      <c r="E406" s="30">
        <v>46246</v>
      </c>
      <c r="F406" s="30">
        <v>46254</v>
      </c>
      <c r="G406" s="37">
        <v>4420231254</v>
      </c>
      <c r="H406" s="37" t="s">
        <v>373</v>
      </c>
      <c r="I406" s="37">
        <v>9040052403</v>
      </c>
      <c r="J406" s="37" t="s">
        <v>257</v>
      </c>
      <c r="K406" s="325" t="s">
        <v>258</v>
      </c>
      <c r="L406" s="181">
        <v>2</v>
      </c>
      <c r="M406" s="181" t="s">
        <v>375</v>
      </c>
      <c r="N406" s="37" t="s">
        <v>399</v>
      </c>
      <c r="O406" s="31">
        <f>IF(F406&gt;0,F406-AB406,"")</f>
        <v>-25</v>
      </c>
      <c r="P406" s="37" t="str">
        <f>IF(F406&gt;0,IF(AB406="","PLANNING SUPPLY",IF(AB406&lt;=F406,"ONTIME DELIVERY","DELAY")),"")</f>
        <v>DELAY</v>
      </c>
      <c r="Q406" s="181" t="str">
        <f>IFERROR(IF(J406&gt;0,VLOOKUP(J406,#REF!,MATCH($Q$6,#REF!,0),0),""),"")</f>
        <v/>
      </c>
      <c r="R406" s="181" t="str">
        <f>IFERROR(IF(J406&gt;0,VLOOKUP(J406,#REF!,MATCH($R$6,#REF!,0),0),""),"")</f>
        <v/>
      </c>
      <c r="S406" s="181" t="e">
        <f>IF(I409&gt;0,Q406+R406,"")</f>
        <v>#VALUE!</v>
      </c>
      <c r="T406" s="181"/>
      <c r="U406" s="181"/>
      <c r="V406" s="37"/>
      <c r="W406" s="181" t="e">
        <f>IF(I409&gt;0,IF(S406&gt;L406,"READY STOCK",IF(S406=0,"OUT OF STOCK",IF(S406&lt;L406,"LOW STOCK",""))),"")</f>
        <v>#VALUE!</v>
      </c>
      <c r="X406" s="38"/>
      <c r="Y406" s="38"/>
      <c r="Z406" s="38"/>
      <c r="AA406" s="38"/>
      <c r="AB406" s="50">
        <v>46279</v>
      </c>
      <c r="AC406" s="181">
        <v>34244</v>
      </c>
      <c r="AD406" s="51">
        <v>2</v>
      </c>
      <c r="AE406" s="37" t="s">
        <v>387</v>
      </c>
      <c r="AF406" s="37" t="s">
        <v>381</v>
      </c>
      <c r="AG406" s="33" t="str">
        <f>IF(G406&gt;0,IF(AD406&gt;0,IF(AD406=0,"Waiting",IF(AD406&lt;L406,"Partial",IF(AD406=L406,"Full Supply",IF(AD406&gt;L406,"Over Shared")))),"Waiting"),"")</f>
        <v>Full Supply</v>
      </c>
      <c r="AH406" s="37"/>
      <c r="AI406" s="37"/>
      <c r="AJ406" s="181"/>
      <c r="AK406" s="40"/>
      <c r="AL406" s="40"/>
      <c r="AM406" s="40"/>
      <c r="AN406" s="37"/>
      <c r="AO406" s="34"/>
      <c r="AP406" s="37"/>
      <c r="AQ406" s="37"/>
      <c r="AR406" s="37"/>
      <c r="AS406" s="37"/>
      <c r="AT406" s="37">
        <f>AS406-AD406</f>
        <v>-2</v>
      </c>
      <c r="AU406" s="36" t="str">
        <f>IF(AR406=0,"Waiting",IF(AR406&lt;AH406,"Kurang",IF(AR406=AH406,"Sesuai",IF(AR406&gt;AH406,"Over Shared"))))</f>
        <v>Waiting</v>
      </c>
      <c r="AV406" s="37"/>
      <c r="AW406" s="37" t="str">
        <f>IFERROR(DATEDIF(AH406,AK406,"d"),"0")&amp;"-DAY"</f>
        <v>0-DAY</v>
      </c>
      <c r="AX406" s="37" t="str">
        <f>IFERROR(DATEDIF(B406,AB406,"d"),"0")&amp;"-DAY"</f>
        <v>27-DAY</v>
      </c>
      <c r="AY406" s="37"/>
      <c r="AZ406" s="181">
        <f>L406-AD406</f>
        <v>0</v>
      </c>
    </row>
    <row r="407" spans="1:52" ht="15.5" customHeight="1">
      <c r="A407" s="360" t="s">
        <v>372</v>
      </c>
      <c r="B407" s="340">
        <v>46252</v>
      </c>
      <c r="C407" s="181">
        <v>49669</v>
      </c>
      <c r="D407" s="30">
        <v>46252</v>
      </c>
      <c r="E407" s="30">
        <v>46246</v>
      </c>
      <c r="F407" s="30">
        <v>46267</v>
      </c>
      <c r="G407" s="37">
        <v>4420231282</v>
      </c>
      <c r="H407" s="37" t="s">
        <v>373</v>
      </c>
      <c r="I407" s="37">
        <v>9040009482</v>
      </c>
      <c r="J407" s="37" t="s">
        <v>233</v>
      </c>
      <c r="K407" s="325" t="s">
        <v>234</v>
      </c>
      <c r="L407" s="181">
        <v>4</v>
      </c>
      <c r="M407" s="181" t="s">
        <v>389</v>
      </c>
      <c r="N407" s="37" t="s">
        <v>451</v>
      </c>
      <c r="O407" s="31">
        <f>IF(F407&gt;0,F407-AB407,"")</f>
        <v>-21</v>
      </c>
      <c r="P407" s="37" t="str">
        <f>IF(F407&gt;0,IF(AB407="","PLANNING SUPPLY",IF(AB407&lt;=F407,"ONTIME DELIVERY","DELAY")),"")</f>
        <v>DELAY</v>
      </c>
      <c r="Q407" s="181" t="str">
        <f>IFERROR(IF(J407&gt;0,VLOOKUP(J407,#REF!,MATCH($Q$6,#REF!,0),0),""),"")</f>
        <v/>
      </c>
      <c r="R407" s="181" t="str">
        <f>IFERROR(IF(J407&gt;0,VLOOKUP(J407,#REF!,MATCH($R$6,#REF!,0),0),""),"")</f>
        <v/>
      </c>
      <c r="S407" s="181" t="e">
        <f>IF(I410&gt;0,Q407+R407,"")</f>
        <v>#VALUE!</v>
      </c>
      <c r="T407" s="181"/>
      <c r="U407" s="181"/>
      <c r="V407" s="37"/>
      <c r="W407" s="181" t="e">
        <f>IF(I410&gt;0,IF(S407&gt;L407,"READY STOCK",IF(S407=0,"OUT OF STOCK",IF(S407&lt;L407,"LOW STOCK",""))),"")</f>
        <v>#VALUE!</v>
      </c>
      <c r="X407" s="38"/>
      <c r="Y407" s="38"/>
      <c r="Z407" s="38"/>
      <c r="AA407" s="38"/>
      <c r="AB407" s="50">
        <v>46288</v>
      </c>
      <c r="AC407" s="181">
        <v>34497</v>
      </c>
      <c r="AD407" s="51">
        <v>4</v>
      </c>
      <c r="AE407" s="37" t="s">
        <v>383</v>
      </c>
      <c r="AF407" s="37" t="s">
        <v>381</v>
      </c>
      <c r="AG407" s="33" t="str">
        <f>IF(G407&gt;0,IF(AD407&gt;0,IF(AD407=0,"Waiting",IF(AD407&lt;L407,"Partial",IF(AD407=L407,"Full Supply",IF(AD407&gt;L407,"Over Shared")))),"Waiting"),"")</f>
        <v>Full Supply</v>
      </c>
      <c r="AH407" s="56"/>
      <c r="AI407" s="37"/>
      <c r="AJ407" s="181"/>
      <c r="AK407" s="40"/>
      <c r="AL407" s="40"/>
      <c r="AM407" s="40"/>
      <c r="AN407" s="212" t="s">
        <v>1291</v>
      </c>
      <c r="AO407" s="34"/>
      <c r="AP407" s="37"/>
      <c r="AQ407" s="37"/>
      <c r="AR407" s="37"/>
      <c r="AS407" s="37"/>
      <c r="AT407" s="37">
        <f>AS407-AD407</f>
        <v>-4</v>
      </c>
      <c r="AU407" s="36" t="str">
        <f>IF(AR407=0,"Waiting",IF(AR407&lt;AH407,"Kurang",IF(AR407=AH407,"Sesuai",IF(AR407&gt;AH407,"Over Shared"))))</f>
        <v>Waiting</v>
      </c>
      <c r="AV407" s="37"/>
      <c r="AW407" s="37" t="str">
        <f>IFERROR(DATEDIF(AH407,AK407,"d"),"0")&amp;"-DAY"</f>
        <v>0-DAY</v>
      </c>
      <c r="AX407" s="37" t="str">
        <f>IFERROR(DATEDIF(B407,AB407,"d"),"0")&amp;"-DAY"</f>
        <v>36-DAY</v>
      </c>
      <c r="AY407" s="37"/>
      <c r="AZ407" s="181">
        <f>L407-AD407</f>
        <v>0</v>
      </c>
    </row>
    <row r="408" spans="1:52" ht="15.5" customHeight="1">
      <c r="A408" s="360" t="s">
        <v>372</v>
      </c>
      <c r="B408" s="340">
        <v>46252</v>
      </c>
      <c r="C408" s="181">
        <v>49669</v>
      </c>
      <c r="D408" s="30">
        <v>46252</v>
      </c>
      <c r="E408" s="30">
        <v>46246</v>
      </c>
      <c r="F408" s="30">
        <v>46267</v>
      </c>
      <c r="G408" s="37">
        <v>4420231282</v>
      </c>
      <c r="H408" s="37" t="s">
        <v>373</v>
      </c>
      <c r="I408" s="37">
        <v>9040040486</v>
      </c>
      <c r="J408" s="37" t="s">
        <v>165</v>
      </c>
      <c r="K408" s="325" t="s">
        <v>166</v>
      </c>
      <c r="L408" s="181">
        <v>28</v>
      </c>
      <c r="M408" s="181" t="s">
        <v>375</v>
      </c>
      <c r="N408" s="37" t="s">
        <v>451</v>
      </c>
      <c r="O408" s="31">
        <f>IF(F408&gt;0,F408-AB408,"")</f>
        <v>-14</v>
      </c>
      <c r="P408" s="37" t="str">
        <f>IF(F408&gt;0,IF(AB408="","PLANNING SUPPLY",IF(AB408&lt;=F408,"ONTIME DELIVERY","DELAY")),"")</f>
        <v>DELAY</v>
      </c>
      <c r="Q408" s="181" t="str">
        <f>IFERROR(IF(J408&gt;0,VLOOKUP(J408,#REF!,MATCH($Q$6,#REF!,0),0),""),"")</f>
        <v/>
      </c>
      <c r="R408" s="181" t="str">
        <f>IFERROR(IF(J408&gt;0,VLOOKUP(J408,#REF!,MATCH($R$6,#REF!,0),0),""),"")</f>
        <v/>
      </c>
      <c r="S408" s="181" t="e">
        <f>IF(I411&gt;0,Q408+R408,"")</f>
        <v>#VALUE!</v>
      </c>
      <c r="T408" s="181"/>
      <c r="U408" s="181"/>
      <c r="V408" s="37"/>
      <c r="W408" s="181" t="e">
        <f>IF(I411&gt;0,IF(S408&gt;L408,"READY STOCK",IF(S408=0,"OUT OF STOCK",IF(S408&lt;L408,"LOW STOCK",""))),"")</f>
        <v>#VALUE!</v>
      </c>
      <c r="X408" s="38"/>
      <c r="Y408" s="38"/>
      <c r="Z408" s="38"/>
      <c r="AA408" s="38"/>
      <c r="AB408" s="50">
        <v>46281</v>
      </c>
      <c r="AC408" s="181">
        <v>34282</v>
      </c>
      <c r="AD408" s="51">
        <v>28</v>
      </c>
      <c r="AE408" s="37" t="s">
        <v>383</v>
      </c>
      <c r="AF408" s="37" t="s">
        <v>381</v>
      </c>
      <c r="AG408" s="33" t="str">
        <f>IF(G408&gt;0,IF(AD408&gt;0,IF(AD408=0,"Waiting",IF(AD408&lt;L408,"Partial",IF(AD408=L408,"Full Supply",IF(AD408&gt;L408,"Over Shared")))),"Waiting"),"")</f>
        <v>Full Supply</v>
      </c>
      <c r="AH408" s="37"/>
      <c r="AI408" s="37"/>
      <c r="AJ408" s="181"/>
      <c r="AK408" s="40"/>
      <c r="AL408" s="40"/>
      <c r="AM408" s="40"/>
      <c r="AN408" s="37"/>
      <c r="AO408" s="34"/>
      <c r="AP408" s="37"/>
      <c r="AQ408" s="37"/>
      <c r="AR408" s="37"/>
      <c r="AS408" s="37"/>
      <c r="AT408" s="37">
        <f>AS408-AD408</f>
        <v>-28</v>
      </c>
      <c r="AU408" s="36" t="str">
        <f>IF(AR408=0,"Waiting",IF(AR408&lt;AH408,"Kurang",IF(AR408=AH408,"Sesuai",IF(AR408&gt;AH408,"Over Shared"))))</f>
        <v>Waiting</v>
      </c>
      <c r="AV408" s="37"/>
      <c r="AW408" s="37" t="str">
        <f>IFERROR(DATEDIF(AH408,AK408,"d"),"0")&amp;"-DAY"</f>
        <v>0-DAY</v>
      </c>
      <c r="AX408" s="37" t="str">
        <f>IFERROR(DATEDIF(B408,AB408,"d"),"0")&amp;"-DAY"</f>
        <v>29-DAY</v>
      </c>
      <c r="AY408" s="37"/>
      <c r="AZ408" s="181">
        <f>L408-AD408</f>
        <v>0</v>
      </c>
    </row>
    <row r="409" spans="1:52" ht="15.5" customHeight="1">
      <c r="A409" s="360" t="s">
        <v>372</v>
      </c>
      <c r="B409" s="340">
        <v>46252</v>
      </c>
      <c r="C409" s="181">
        <v>49669</v>
      </c>
      <c r="D409" s="30">
        <v>46252</v>
      </c>
      <c r="E409" s="30">
        <v>46246</v>
      </c>
      <c r="F409" s="30">
        <v>46267</v>
      </c>
      <c r="G409" s="37">
        <v>4420231282</v>
      </c>
      <c r="H409" s="37" t="s">
        <v>373</v>
      </c>
      <c r="I409" s="37">
        <v>9040040450</v>
      </c>
      <c r="J409" s="37" t="s">
        <v>176</v>
      </c>
      <c r="K409" s="325" t="s">
        <v>177</v>
      </c>
      <c r="L409" s="181">
        <v>1</v>
      </c>
      <c r="M409" s="181" t="s">
        <v>429</v>
      </c>
      <c r="N409" s="37" t="s">
        <v>451</v>
      </c>
      <c r="O409" s="31">
        <f>IF(F409&gt;0,F409-AB409,"")</f>
        <v>-42</v>
      </c>
      <c r="P409" s="37" t="str">
        <f>IF(F409&gt;0,IF(AB409="","PLANNING SUPPLY",IF(AB409&lt;=F409,"ONTIME DELIVERY","DELAY")),"")</f>
        <v>DELAY</v>
      </c>
      <c r="Q409" s="181" t="str">
        <f>IFERROR(IF(J409&gt;0,VLOOKUP(J409,#REF!,MATCH($Q$6,#REF!,0),0),""),"")</f>
        <v/>
      </c>
      <c r="R409" s="181" t="str">
        <f>IFERROR(IF(J409&gt;0,VLOOKUP(J409,#REF!,MATCH($R$6,#REF!,0),0),""),"")</f>
        <v/>
      </c>
      <c r="S409" s="181" t="e">
        <f>IF(I412&gt;0,Q409+R409,"")</f>
        <v>#VALUE!</v>
      </c>
      <c r="T409" s="181"/>
      <c r="U409" s="181"/>
      <c r="V409" s="37"/>
      <c r="W409" s="181" t="e">
        <f>IF(I412&gt;0,IF(S409&gt;L409,"READY STOCK",IF(S409=0,"OUT OF STOCK",IF(S409&lt;L409,"LOW STOCK",""))),"")</f>
        <v>#VALUE!</v>
      </c>
      <c r="X409" s="38"/>
      <c r="Y409" s="38"/>
      <c r="Z409" s="38"/>
      <c r="AA409" s="38"/>
      <c r="AB409" s="50">
        <v>46309</v>
      </c>
      <c r="AC409" s="44">
        <v>35055</v>
      </c>
      <c r="AD409" s="51">
        <v>1</v>
      </c>
      <c r="AE409" s="37" t="s">
        <v>387</v>
      </c>
      <c r="AF409" s="37" t="s">
        <v>381</v>
      </c>
      <c r="AG409" s="33" t="str">
        <f>IF(G409&gt;0,IF(AD409&gt;0,IF(AD409=0,"Waiting",IF(AD409&lt;L409,"Partial",IF(AD409=L409,"Full Supply",IF(AD409&gt;L409,"Over Shared")))),"Waiting"),"")</f>
        <v>Full Supply</v>
      </c>
      <c r="AH409" s="56">
        <v>46253</v>
      </c>
      <c r="AI409" s="37" t="s">
        <v>1302</v>
      </c>
      <c r="AJ409" s="181">
        <v>1</v>
      </c>
      <c r="AK409" s="40">
        <v>26499</v>
      </c>
      <c r="AL409" s="42">
        <v>46295</v>
      </c>
      <c r="AM409" s="40">
        <v>1</v>
      </c>
      <c r="AN409" s="37"/>
      <c r="AO409" s="239">
        <v>46297</v>
      </c>
      <c r="AP409" s="37"/>
      <c r="AQ409" s="37"/>
      <c r="AR409" s="37"/>
      <c r="AS409" s="37"/>
      <c r="AT409" s="37">
        <f>AS409-AD409</f>
        <v>-1</v>
      </c>
      <c r="AU409" s="36" t="str">
        <f>IF(AR409=0,"Waiting",IF(AR409&lt;AH409,"Kurang",IF(AR409=AH409,"Sesuai",IF(AR409&gt;AH409,"Over Shared"))))</f>
        <v>Waiting</v>
      </c>
      <c r="AV409" s="37"/>
      <c r="AW409" s="37" t="str">
        <f>IFERROR(DATEDIF(AH409,AK409,"d"),"0")&amp;"-DAY"</f>
        <v>0-DAY</v>
      </c>
      <c r="AX409" s="37" t="str">
        <f>IFERROR(DATEDIF(B409,AB409,"d"),"0")&amp;"-DAY"</f>
        <v>57-DAY</v>
      </c>
      <c r="AY409" s="37"/>
      <c r="AZ409" s="181">
        <f>L409-AD409</f>
        <v>0</v>
      </c>
    </row>
    <row r="410" spans="1:52" ht="15.5" customHeight="1">
      <c r="A410" s="360" t="s">
        <v>372</v>
      </c>
      <c r="B410" s="340">
        <v>46252</v>
      </c>
      <c r="C410" s="181">
        <v>49669</v>
      </c>
      <c r="D410" s="30">
        <v>46252</v>
      </c>
      <c r="E410" s="30">
        <v>46246</v>
      </c>
      <c r="F410" s="30">
        <v>46267</v>
      </c>
      <c r="G410" s="37">
        <v>4420231282</v>
      </c>
      <c r="H410" s="37" t="s">
        <v>373</v>
      </c>
      <c r="I410" s="37">
        <v>9040054960</v>
      </c>
      <c r="J410" s="37" t="s">
        <v>306</v>
      </c>
      <c r="K410" s="325" t="s">
        <v>307</v>
      </c>
      <c r="L410" s="181">
        <v>7</v>
      </c>
      <c r="M410" s="181" t="s">
        <v>429</v>
      </c>
      <c r="N410" s="37" t="s">
        <v>451</v>
      </c>
      <c r="O410" s="31">
        <f>IF(F410&gt;0,F410-AB410,"")</f>
        <v>-34</v>
      </c>
      <c r="P410" s="37" t="str">
        <f>IF(F410&gt;0,IF(AB410="","PLANNING SUPPLY",IF(AB410&lt;=F410,"ONTIME DELIVERY","DELAY")),"")</f>
        <v>DELAY</v>
      </c>
      <c r="Q410" s="181" t="str">
        <f>IFERROR(IF(J410&gt;0,VLOOKUP(J410,#REF!,MATCH($Q$6,#REF!,0),0),""),"")</f>
        <v/>
      </c>
      <c r="R410" s="181" t="str">
        <f>IFERROR(IF(J410&gt;0,VLOOKUP(J410,#REF!,MATCH($R$6,#REF!,0),0),""),"")</f>
        <v/>
      </c>
      <c r="S410" s="181" t="e">
        <f>IF(I413&gt;0,Q410+R410,"")</f>
        <v>#VALUE!</v>
      </c>
      <c r="T410" s="181"/>
      <c r="U410" s="181"/>
      <c r="V410" s="37"/>
      <c r="W410" s="181" t="e">
        <f>IF(I413&gt;0,IF(S410&gt;L410,"READY STOCK",IF(S410=0,"OUT OF STOCK",IF(S410&lt;L410,"LOW STOCK",""))),"")</f>
        <v>#VALUE!</v>
      </c>
      <c r="X410" s="38"/>
      <c r="Y410" s="38"/>
      <c r="Z410" s="38"/>
      <c r="AA410" s="38"/>
      <c r="AB410" s="57">
        <v>46301</v>
      </c>
      <c r="AC410" s="181">
        <v>34788</v>
      </c>
      <c r="AD410" s="53">
        <v>7</v>
      </c>
      <c r="AE410" s="58" t="s">
        <v>387</v>
      </c>
      <c r="AF410" s="58" t="s">
        <v>381</v>
      </c>
      <c r="AG410" s="33" t="str">
        <f>IF(G410&gt;0,IF(AD410&gt;0,IF(AD410=0,"Waiting",IF(AD410&lt;L410,"Partial",IF(AD410=L410,"Full Supply",IF(AD410&gt;L410,"Over Shared")))),"Waiting"),"")</f>
        <v>Full Supply</v>
      </c>
      <c r="AH410" s="37"/>
      <c r="AI410" s="37"/>
      <c r="AJ410" s="181"/>
      <c r="AK410" s="40">
        <v>26523</v>
      </c>
      <c r="AL410" s="40"/>
      <c r="AM410" s="40"/>
      <c r="AN410" s="37" t="s">
        <v>1292</v>
      </c>
      <c r="AO410" s="34"/>
      <c r="AP410" s="37"/>
      <c r="AQ410" s="37"/>
      <c r="AR410" s="37"/>
      <c r="AS410" s="37"/>
      <c r="AT410" s="37">
        <f>AS410-AD410</f>
        <v>-7</v>
      </c>
      <c r="AU410" s="36" t="str">
        <f>IF(AR410=0,"Waiting",IF(AR410&lt;AH410,"Kurang",IF(AR410=AH410,"Sesuai",IF(AR410&gt;AH410,"Over Shared"))))</f>
        <v>Waiting</v>
      </c>
      <c r="AV410" s="37"/>
      <c r="AW410" s="37" t="str">
        <f>IFERROR(DATEDIF(AH410,AK410,"d"),"0")&amp;"-DAY"</f>
        <v>26523-DAY</v>
      </c>
      <c r="AX410" s="37" t="str">
        <f>IFERROR(DATEDIF(B410,AB410,"d"),"0")&amp;"-DAY"</f>
        <v>49-DAY</v>
      </c>
      <c r="AY410" s="37"/>
      <c r="AZ410" s="181">
        <f>L410-AD410</f>
        <v>0</v>
      </c>
    </row>
    <row r="411" spans="1:52" ht="15.5" customHeight="1">
      <c r="A411" s="360" t="s">
        <v>372</v>
      </c>
      <c r="B411" s="340">
        <v>46252</v>
      </c>
      <c r="C411" s="181">
        <v>49669</v>
      </c>
      <c r="D411" s="30">
        <v>46252</v>
      </c>
      <c r="E411" s="30">
        <v>46246</v>
      </c>
      <c r="F411" s="30">
        <v>46267</v>
      </c>
      <c r="G411" s="37">
        <v>4420231282</v>
      </c>
      <c r="H411" s="37" t="s">
        <v>373</v>
      </c>
      <c r="I411" s="37">
        <v>9040040390</v>
      </c>
      <c r="J411" s="37" t="s">
        <v>209</v>
      </c>
      <c r="K411" s="325" t="s">
        <v>210</v>
      </c>
      <c r="L411" s="181">
        <v>4</v>
      </c>
      <c r="M411" s="181" t="s">
        <v>429</v>
      </c>
      <c r="N411" s="37" t="s">
        <v>451</v>
      </c>
      <c r="O411" s="31">
        <f>IF(F411&gt;0,F411-AB411,"")</f>
        <v>0</v>
      </c>
      <c r="P411" s="37" t="str">
        <f>IF(F411&gt;0,IF(AB411="","PLANNING SUPPLY",IF(AB411&lt;=F411,"ONTIME DELIVERY","DELAY")),"")</f>
        <v>ONTIME DELIVERY</v>
      </c>
      <c r="Q411" s="181" t="str">
        <f>IFERROR(IF(J411&gt;0,VLOOKUP(J411,#REF!,MATCH($Q$6,#REF!,0),0),""),"")</f>
        <v/>
      </c>
      <c r="R411" s="181" t="str">
        <f>IFERROR(IF(J411&gt;0,VLOOKUP(J411,#REF!,MATCH($R$6,#REF!,0),0),""),"")</f>
        <v/>
      </c>
      <c r="S411" s="181" t="e">
        <f>IF(I414&gt;0,Q411+R411,"")</f>
        <v>#VALUE!</v>
      </c>
      <c r="T411" s="181"/>
      <c r="U411" s="181"/>
      <c r="V411" s="37"/>
      <c r="W411" s="181" t="e">
        <f>IF(I414&gt;0,IF(S411&gt;L411,"READY STOCK",IF(S411=0,"OUT OF STOCK",IF(S411&lt;L411,"LOW STOCK",""))),"")</f>
        <v>#VALUE!</v>
      </c>
      <c r="X411" s="38"/>
      <c r="Y411" s="38"/>
      <c r="Z411" s="38"/>
      <c r="AA411" s="38"/>
      <c r="AB411" s="50">
        <v>46267</v>
      </c>
      <c r="AC411" s="181">
        <v>33994</v>
      </c>
      <c r="AD411" s="51">
        <v>4</v>
      </c>
      <c r="AE411" s="37" t="s">
        <v>383</v>
      </c>
      <c r="AF411" s="37" t="s">
        <v>381</v>
      </c>
      <c r="AG411" s="33" t="str">
        <f>IF(G411&gt;0,IF(AD411&gt;0,IF(AD411=0,"Waiting",IF(AD411&lt;L411,"Partial",IF(AD411=L411,"Full Supply",IF(AD411&gt;L411,"Over Shared")))),"Waiting"),"")</f>
        <v>Full Supply</v>
      </c>
      <c r="AH411" s="56">
        <v>46253</v>
      </c>
      <c r="AI411" s="37" t="s">
        <v>1302</v>
      </c>
      <c r="AJ411" s="181">
        <v>11</v>
      </c>
      <c r="AK411" s="40">
        <v>26063</v>
      </c>
      <c r="AL411" s="45">
        <v>46255</v>
      </c>
      <c r="AM411" s="40">
        <v>11</v>
      </c>
      <c r="AN411" s="37"/>
      <c r="AO411" s="41">
        <v>46255</v>
      </c>
      <c r="AP411" s="37"/>
      <c r="AQ411" s="37"/>
      <c r="AR411" s="37"/>
      <c r="AS411" s="37"/>
      <c r="AT411" s="37">
        <f>AS411-AD411</f>
        <v>-4</v>
      </c>
      <c r="AU411" s="36" t="str">
        <f>IF(AR411=0,"Waiting",IF(AR411&lt;AH411,"Kurang",IF(AR411=AH411,"Sesuai",IF(AR411&gt;AH411,"Over Shared"))))</f>
        <v>Waiting</v>
      </c>
      <c r="AV411" s="37"/>
      <c r="AW411" s="37" t="str">
        <f>IFERROR(DATEDIF(AH411,AK411,"d"),"0")&amp;"-DAY"</f>
        <v>0-DAY</v>
      </c>
      <c r="AX411" s="37" t="str">
        <f>IFERROR(DATEDIF(B411,AB411,"d"),"0")&amp;"-DAY"</f>
        <v>15-DAY</v>
      </c>
      <c r="AY411" s="37"/>
      <c r="AZ411" s="181">
        <f>L411-AD411</f>
        <v>0</v>
      </c>
    </row>
    <row r="412" spans="1:52" ht="15.5" customHeight="1">
      <c r="A412" s="360" t="s">
        <v>372</v>
      </c>
      <c r="B412" s="340">
        <v>46252</v>
      </c>
      <c r="C412" s="181">
        <v>49669</v>
      </c>
      <c r="D412" s="30">
        <v>46252</v>
      </c>
      <c r="E412" s="30">
        <v>46246</v>
      </c>
      <c r="F412" s="30">
        <v>46267</v>
      </c>
      <c r="G412" s="37">
        <v>4420231282</v>
      </c>
      <c r="H412" s="37" t="s">
        <v>373</v>
      </c>
      <c r="I412" s="37">
        <v>9040040588</v>
      </c>
      <c r="J412" s="37" t="s">
        <v>76</v>
      </c>
      <c r="K412" s="325" t="s">
        <v>77</v>
      </c>
      <c r="L412" s="181">
        <v>1</v>
      </c>
      <c r="M412" s="181" t="s">
        <v>375</v>
      </c>
      <c r="N412" s="37" t="s">
        <v>451</v>
      </c>
      <c r="O412" s="31">
        <f>IF(F412&gt;0,F412-AB412,"")</f>
        <v>0</v>
      </c>
      <c r="P412" s="37" t="str">
        <f>IF(F412&gt;0,IF(AB412="","PLANNING SUPPLY",IF(AB412&lt;=F412,"ONTIME DELIVERY","DELAY")),"")</f>
        <v>ONTIME DELIVERY</v>
      </c>
      <c r="Q412" s="181" t="str">
        <f>IFERROR(IF(J412&gt;0,VLOOKUP(J412,#REF!,MATCH($Q$6,#REF!,0),0),""),"")</f>
        <v/>
      </c>
      <c r="R412" s="181" t="str">
        <f>IFERROR(IF(J412&gt;0,VLOOKUP(J412,#REF!,MATCH($R$6,#REF!,0),0),""),"")</f>
        <v/>
      </c>
      <c r="S412" s="181" t="e">
        <f>IF(I415&gt;0,Q412+R412,"")</f>
        <v>#VALUE!</v>
      </c>
      <c r="T412" s="181"/>
      <c r="U412" s="181"/>
      <c r="V412" s="37"/>
      <c r="W412" s="181" t="e">
        <f>IF(I415&gt;0,IF(S412&gt;L412,"READY STOCK",IF(S412=0,"OUT OF STOCK",IF(S412&lt;L412,"LOW STOCK",""))),"")</f>
        <v>#VALUE!</v>
      </c>
      <c r="X412" s="38"/>
      <c r="Y412" s="38"/>
      <c r="Z412" s="38"/>
      <c r="AA412" s="38"/>
      <c r="AB412" s="50">
        <v>46267</v>
      </c>
      <c r="AC412" s="181">
        <v>33994</v>
      </c>
      <c r="AD412" s="51">
        <v>1</v>
      </c>
      <c r="AE412" s="37" t="s">
        <v>383</v>
      </c>
      <c r="AF412" s="37" t="s">
        <v>381</v>
      </c>
      <c r="AG412" s="33" t="str">
        <f>IF(G412&gt;0,IF(AD412&gt;0,IF(AD412=0,"Waiting",IF(AD412&lt;L412,"Partial",IF(AD412=L412,"Full Supply",IF(AD412&gt;L412,"Over Shared")))),"Waiting"),"")</f>
        <v>Full Supply</v>
      </c>
      <c r="AH412" s="37"/>
      <c r="AI412" s="37"/>
      <c r="AJ412" s="181"/>
      <c r="AK412" s="40"/>
      <c r="AL412" s="40"/>
      <c r="AM412" s="40"/>
      <c r="AN412" s="37"/>
      <c r="AO412" s="34"/>
      <c r="AP412" s="37"/>
      <c r="AQ412" s="37"/>
      <c r="AR412" s="37"/>
      <c r="AS412" s="37"/>
      <c r="AT412" s="37">
        <f>AS412-AD412</f>
        <v>-1</v>
      </c>
      <c r="AU412" s="36" t="str">
        <f>IF(AR412=0,"Waiting",IF(AR412&lt;AH412,"Kurang",IF(AR412=AH412,"Sesuai",IF(AR412&gt;AH412,"Over Shared"))))</f>
        <v>Waiting</v>
      </c>
      <c r="AV412" s="37"/>
      <c r="AW412" s="37" t="str">
        <f>IFERROR(DATEDIF(AH412,AK412,"d"),"0")&amp;"-DAY"</f>
        <v>0-DAY</v>
      </c>
      <c r="AX412" s="37" t="str">
        <f>IFERROR(DATEDIF(B412,AB412,"d"),"0")&amp;"-DAY"</f>
        <v>15-DAY</v>
      </c>
      <c r="AY412" s="37"/>
      <c r="AZ412" s="181">
        <f>L412-AD412</f>
        <v>0</v>
      </c>
    </row>
    <row r="413" spans="1:52" ht="15.5" customHeight="1">
      <c r="A413" s="360" t="s">
        <v>372</v>
      </c>
      <c r="B413" s="340">
        <v>46252</v>
      </c>
      <c r="C413" s="181">
        <v>49669</v>
      </c>
      <c r="D413" s="30">
        <v>46252</v>
      </c>
      <c r="E413" s="30">
        <v>46246</v>
      </c>
      <c r="F413" s="30">
        <v>46267</v>
      </c>
      <c r="G413" s="37">
        <v>4420231282</v>
      </c>
      <c r="H413" s="37" t="s">
        <v>373</v>
      </c>
      <c r="I413" s="37">
        <v>9040040390</v>
      </c>
      <c r="J413" s="37" t="s">
        <v>209</v>
      </c>
      <c r="K413" s="325" t="s">
        <v>210</v>
      </c>
      <c r="L413" s="181">
        <v>4</v>
      </c>
      <c r="M413" s="181" t="s">
        <v>429</v>
      </c>
      <c r="N413" s="37" t="s">
        <v>451</v>
      </c>
      <c r="O413" s="31">
        <f>IF(F413&gt;0,F413-AB413,"")</f>
        <v>-14</v>
      </c>
      <c r="P413" s="37" t="str">
        <f>IF(F413&gt;0,IF(AB413="","PLANNING SUPPLY",IF(AB413&lt;=F413,"ONTIME DELIVERY","DELAY")),"")</f>
        <v>DELAY</v>
      </c>
      <c r="Q413" s="181" t="str">
        <f>IFERROR(IF(J413&gt;0,VLOOKUP(J413,#REF!,MATCH($Q$6,#REF!,0),0),""),"")</f>
        <v/>
      </c>
      <c r="R413" s="181" t="str">
        <f>IFERROR(IF(J413&gt;0,VLOOKUP(J413,#REF!,MATCH($R$6,#REF!,0),0),""),"")</f>
        <v/>
      </c>
      <c r="S413" s="181" t="e">
        <f>IF(I416&gt;0,Q413+R413,"")</f>
        <v>#VALUE!</v>
      </c>
      <c r="T413" s="181"/>
      <c r="U413" s="181"/>
      <c r="V413" s="37"/>
      <c r="W413" s="181" t="e">
        <f>IF(I416&gt;0,IF(S413&gt;L413,"READY STOCK",IF(S413=0,"OUT OF STOCK",IF(S413&lt;L413,"LOW STOCK",""))),"")</f>
        <v>#VALUE!</v>
      </c>
      <c r="X413" s="38"/>
      <c r="Y413" s="38"/>
      <c r="Z413" s="38"/>
      <c r="AA413" s="38"/>
      <c r="AB413" s="50">
        <v>46281</v>
      </c>
      <c r="AC413" s="181">
        <v>34282</v>
      </c>
      <c r="AD413" s="51">
        <v>4</v>
      </c>
      <c r="AE413" s="37" t="s">
        <v>383</v>
      </c>
      <c r="AF413" s="37" t="s">
        <v>381</v>
      </c>
      <c r="AG413" s="33" t="str">
        <f>IF(G413&gt;0,IF(AD413&gt;0,IF(AD413=0,"Waiting",IF(AD413&lt;L413,"Partial",IF(AD413=L413,"Full Supply",IF(AD413&gt;L413,"Over Shared")))),"Waiting"),"")</f>
        <v>Full Supply</v>
      </c>
      <c r="AH413" s="56">
        <v>46253</v>
      </c>
      <c r="AI413" s="37" t="s">
        <v>1302</v>
      </c>
      <c r="AJ413" s="181">
        <v>11</v>
      </c>
      <c r="AK413" s="40">
        <v>26063</v>
      </c>
      <c r="AL413" s="45">
        <v>46255</v>
      </c>
      <c r="AM413" s="40">
        <v>11</v>
      </c>
      <c r="AN413" s="37"/>
      <c r="AO413" s="41">
        <v>46255</v>
      </c>
      <c r="AP413" s="37"/>
      <c r="AQ413" s="37"/>
      <c r="AR413" s="37"/>
      <c r="AS413" s="37"/>
      <c r="AT413" s="37">
        <f>AS413-AD413</f>
        <v>-4</v>
      </c>
      <c r="AU413" s="36" t="str">
        <f>IF(AR413=0,"Waiting",IF(AR413&lt;AH413,"Kurang",IF(AR413=AH413,"Sesuai",IF(AR413&gt;AH413,"Over Shared"))))</f>
        <v>Waiting</v>
      </c>
      <c r="AV413" s="37"/>
      <c r="AW413" s="37" t="str">
        <f>IFERROR(DATEDIF(AH413,AK413,"d"),"0")&amp;"-DAY"</f>
        <v>0-DAY</v>
      </c>
      <c r="AX413" s="37" t="str">
        <f>IFERROR(DATEDIF(B413,AB413,"d"),"0")&amp;"-DAY"</f>
        <v>29-DAY</v>
      </c>
      <c r="AY413" s="37"/>
      <c r="AZ413" s="181">
        <f>L413-AD413</f>
        <v>0</v>
      </c>
    </row>
    <row r="414" spans="1:52" ht="15.5" customHeight="1">
      <c r="A414" s="360" t="s">
        <v>372</v>
      </c>
      <c r="B414" s="340">
        <v>46252</v>
      </c>
      <c r="C414" s="181">
        <v>49669</v>
      </c>
      <c r="D414" s="30">
        <v>46252</v>
      </c>
      <c r="E414" s="30">
        <v>46246</v>
      </c>
      <c r="F414" s="30">
        <v>46267</v>
      </c>
      <c r="G414" s="37">
        <v>4420231282</v>
      </c>
      <c r="H414" s="37" t="s">
        <v>373</v>
      </c>
      <c r="I414" s="37">
        <v>9040040588</v>
      </c>
      <c r="J414" s="37" t="s">
        <v>76</v>
      </c>
      <c r="K414" s="325" t="s">
        <v>77</v>
      </c>
      <c r="L414" s="181">
        <v>1</v>
      </c>
      <c r="M414" s="181" t="s">
        <v>375</v>
      </c>
      <c r="N414" s="37" t="s">
        <v>451</v>
      </c>
      <c r="O414" s="31">
        <f>IF(F414&gt;0,F414-AB414,"")</f>
        <v>0</v>
      </c>
      <c r="P414" s="37" t="str">
        <f>IF(F414&gt;0,IF(AB414="","PLANNING SUPPLY",IF(AB414&lt;=F414,"ONTIME DELIVERY","DELAY")),"")</f>
        <v>ONTIME DELIVERY</v>
      </c>
      <c r="Q414" s="181" t="str">
        <f>IFERROR(IF(J414&gt;0,VLOOKUP(J414,#REF!,MATCH($Q$6,#REF!,0),0),""),"")</f>
        <v/>
      </c>
      <c r="R414" s="181" t="str">
        <f>IFERROR(IF(J414&gt;0,VLOOKUP(J414,#REF!,MATCH($R$6,#REF!,0),0),""),"")</f>
        <v/>
      </c>
      <c r="S414" s="181" t="e">
        <f>IF(I417&gt;0,Q414+R414,"")</f>
        <v>#VALUE!</v>
      </c>
      <c r="T414" s="181"/>
      <c r="U414" s="181"/>
      <c r="V414" s="37"/>
      <c r="W414" s="181" t="e">
        <f>IF(I417&gt;0,IF(S414&gt;L414,"READY STOCK",IF(S414=0,"OUT OF STOCK",IF(S414&lt;L414,"LOW STOCK",""))),"")</f>
        <v>#VALUE!</v>
      </c>
      <c r="X414" s="38"/>
      <c r="Y414" s="38"/>
      <c r="Z414" s="38"/>
      <c r="AA414" s="38"/>
      <c r="AB414" s="50">
        <v>46267</v>
      </c>
      <c r="AC414" s="181">
        <v>33994</v>
      </c>
      <c r="AD414" s="51">
        <v>1</v>
      </c>
      <c r="AE414" s="37" t="s">
        <v>383</v>
      </c>
      <c r="AF414" s="37" t="s">
        <v>381</v>
      </c>
      <c r="AG414" s="33" t="str">
        <f>IF(G414&gt;0,IF(AD414&gt;0,IF(AD414=0,"Waiting",IF(AD414&lt;L414,"Partial",IF(AD414=L414,"Full Supply",IF(AD414&gt;L414,"Over Shared")))),"Waiting"),"")</f>
        <v>Full Supply</v>
      </c>
      <c r="AH414" s="37"/>
      <c r="AI414" s="37"/>
      <c r="AJ414" s="181"/>
      <c r="AK414" s="40"/>
      <c r="AL414" s="40"/>
      <c r="AM414" s="40"/>
      <c r="AN414" s="37"/>
      <c r="AO414" s="34"/>
      <c r="AP414" s="37"/>
      <c r="AQ414" s="37"/>
      <c r="AR414" s="37"/>
      <c r="AS414" s="37"/>
      <c r="AT414" s="37">
        <f>AS414-AD414</f>
        <v>-1</v>
      </c>
      <c r="AU414" s="36" t="str">
        <f>IF(AR414=0,"Waiting",IF(AR414&lt;AH414,"Kurang",IF(AR414=AH414,"Sesuai",IF(AR414&gt;AH414,"Over Shared"))))</f>
        <v>Waiting</v>
      </c>
      <c r="AV414" s="37"/>
      <c r="AW414" s="37" t="str">
        <f>IFERROR(DATEDIF(AH414,AK414,"d"),"0")&amp;"-DAY"</f>
        <v>0-DAY</v>
      </c>
      <c r="AX414" s="37" t="str">
        <f>IFERROR(DATEDIF(B414,AB414,"d"),"0")&amp;"-DAY"</f>
        <v>15-DAY</v>
      </c>
      <c r="AY414" s="37"/>
      <c r="AZ414" s="181">
        <f>L414-AD414</f>
        <v>0</v>
      </c>
    </row>
    <row r="415" spans="1:52" ht="15.5" customHeight="1">
      <c r="A415" s="360" t="s">
        <v>372</v>
      </c>
      <c r="B415" s="340">
        <v>46252</v>
      </c>
      <c r="C415" s="181">
        <v>49670</v>
      </c>
      <c r="D415" s="30">
        <v>46252</v>
      </c>
      <c r="E415" s="30">
        <v>46247</v>
      </c>
      <c r="F415" s="30">
        <v>46249</v>
      </c>
      <c r="G415" s="37">
        <v>4420231449</v>
      </c>
      <c r="H415" s="37" t="s">
        <v>373</v>
      </c>
      <c r="I415" s="37">
        <v>9040044191</v>
      </c>
      <c r="J415" s="37" t="s">
        <v>187</v>
      </c>
      <c r="K415" s="325" t="s">
        <v>188</v>
      </c>
      <c r="L415" s="181">
        <v>13</v>
      </c>
      <c r="M415" s="181" t="s">
        <v>375</v>
      </c>
      <c r="N415" s="37" t="s">
        <v>428</v>
      </c>
      <c r="O415" s="31">
        <f>IF(F415&gt;0,F415-AB415,"")</f>
        <v>-16</v>
      </c>
      <c r="P415" s="37" t="str">
        <f>IF(F415&gt;0,IF(AB415="","PLANNING SUPPLY",IF(AB415&lt;=F415,"ONTIME DELIVERY","DELAY")),"")</f>
        <v>DELAY</v>
      </c>
      <c r="Q415" s="181" t="str">
        <f>IFERROR(IF(J415&gt;0,VLOOKUP(J415,#REF!,MATCH($Q$6,#REF!,0),0),""),"")</f>
        <v/>
      </c>
      <c r="R415" s="181" t="str">
        <f>IFERROR(IF(J415&gt;0,VLOOKUP(J415,#REF!,MATCH($R$6,#REF!,0),0),""),"")</f>
        <v/>
      </c>
      <c r="S415" s="181" t="e">
        <f>IF(I418&gt;0,Q415+R415,"")</f>
        <v>#VALUE!</v>
      </c>
      <c r="T415" s="181"/>
      <c r="U415" s="181"/>
      <c r="V415" s="37"/>
      <c r="W415" s="181" t="e">
        <f>IF(I418&gt;0,IF(S415&gt;L415,"READY STOCK",IF(S415=0,"OUT OF STOCK",IF(S415&lt;L415,"LOW STOCK",""))),"")</f>
        <v>#VALUE!</v>
      </c>
      <c r="X415" s="38"/>
      <c r="Y415" s="38"/>
      <c r="Z415" s="38"/>
      <c r="AA415" s="38"/>
      <c r="AB415" s="50">
        <v>46265</v>
      </c>
      <c r="AC415" s="181">
        <v>33929</v>
      </c>
      <c r="AD415" s="51">
        <v>13</v>
      </c>
      <c r="AE415" s="37" t="s">
        <v>383</v>
      </c>
      <c r="AF415" s="37" t="s">
        <v>381</v>
      </c>
      <c r="AG415" s="33" t="str">
        <f>IF(G415&gt;0,IF(AD415&gt;0,IF(AD415=0,"Waiting",IF(AD415&lt;L415,"Partial",IF(AD415=L415,"Full Supply",IF(AD415&gt;L415,"Over Shared")))),"Waiting"),"")</f>
        <v>Full Supply</v>
      </c>
      <c r="AH415" s="37"/>
      <c r="AI415" s="37"/>
      <c r="AJ415" s="181"/>
      <c r="AK415" s="40"/>
      <c r="AL415" s="40"/>
      <c r="AM415" s="40"/>
      <c r="AN415" s="37"/>
      <c r="AO415" s="34"/>
      <c r="AP415" s="37"/>
      <c r="AQ415" s="37"/>
      <c r="AR415" s="37"/>
      <c r="AS415" s="37"/>
      <c r="AT415" s="37">
        <f>AS415-AD415</f>
        <v>-13</v>
      </c>
      <c r="AU415" s="36" t="str">
        <f>IF(AR415=0,"Waiting",IF(AR415&lt;AH415,"Kurang",IF(AR415=AH415,"Sesuai",IF(AR415&gt;AH415,"Over Shared"))))</f>
        <v>Waiting</v>
      </c>
      <c r="AV415" s="37">
        <v>56060</v>
      </c>
      <c r="AW415" s="37" t="str">
        <f>IFERROR(DATEDIF(AH415,AK415,"d"),"0")&amp;"-DAY"</f>
        <v>0-DAY</v>
      </c>
      <c r="AX415" s="37" t="str">
        <f>IFERROR(DATEDIF(B415,AB415,"d"),"0")&amp;"-DAY"</f>
        <v>13-DAY</v>
      </c>
      <c r="AY415" s="37"/>
      <c r="AZ415" s="181">
        <f>L415-AD415</f>
        <v>0</v>
      </c>
    </row>
    <row r="416" spans="1:52" ht="15.5" customHeight="1">
      <c r="A416" s="360" t="s">
        <v>372</v>
      </c>
      <c r="B416" s="340">
        <v>46252</v>
      </c>
      <c r="C416" s="181">
        <v>49670</v>
      </c>
      <c r="D416" s="30">
        <v>46252</v>
      </c>
      <c r="E416" s="30">
        <v>46247</v>
      </c>
      <c r="F416" s="30">
        <v>46249</v>
      </c>
      <c r="G416" s="37">
        <v>4420231449</v>
      </c>
      <c r="H416" s="37" t="s">
        <v>373</v>
      </c>
      <c r="I416" s="37">
        <v>9040044349</v>
      </c>
      <c r="J416" s="37" t="s">
        <v>157</v>
      </c>
      <c r="K416" s="325" t="s">
        <v>158</v>
      </c>
      <c r="L416" s="181">
        <v>70</v>
      </c>
      <c r="M416" s="181" t="s">
        <v>375</v>
      </c>
      <c r="N416" s="37" t="s">
        <v>428</v>
      </c>
      <c r="O416" s="31">
        <f>IF(F416&gt;0,F416-AB416,"")</f>
        <v>-16</v>
      </c>
      <c r="P416" s="37" t="str">
        <f>IF(F416&gt;0,IF(AB416="","PLANNING SUPPLY",IF(AB416&lt;=F416,"ONTIME DELIVERY","DELAY")),"")</f>
        <v>DELAY</v>
      </c>
      <c r="Q416" s="181" t="str">
        <f>IFERROR(IF(J416&gt;0,VLOOKUP(J416,#REF!,MATCH($Q$6,#REF!,0),0),""),"")</f>
        <v/>
      </c>
      <c r="R416" s="181" t="str">
        <f>IFERROR(IF(J416&gt;0,VLOOKUP(J416,#REF!,MATCH($R$6,#REF!,0),0),""),"")</f>
        <v/>
      </c>
      <c r="S416" s="181" t="e">
        <f>IF(I419&gt;0,Q416+R416,"")</f>
        <v>#VALUE!</v>
      </c>
      <c r="T416" s="181"/>
      <c r="U416" s="181"/>
      <c r="V416" s="37"/>
      <c r="W416" s="181" t="e">
        <f>IF(I419&gt;0,IF(S416&gt;L416,"READY STOCK",IF(S416=0,"OUT OF STOCK",IF(S416&lt;L416,"LOW STOCK",""))),"")</f>
        <v>#VALUE!</v>
      </c>
      <c r="X416" s="38"/>
      <c r="Y416" s="38"/>
      <c r="Z416" s="38"/>
      <c r="AA416" s="38"/>
      <c r="AB416" s="50">
        <v>46265</v>
      </c>
      <c r="AC416" s="181">
        <v>33929</v>
      </c>
      <c r="AD416" s="51">
        <v>70</v>
      </c>
      <c r="AE416" s="37" t="s">
        <v>383</v>
      </c>
      <c r="AF416" s="37" t="s">
        <v>381</v>
      </c>
      <c r="AG416" s="33" t="str">
        <f>IF(G416&gt;0,IF(AD416&gt;0,IF(AD416=0,"Waiting",IF(AD416&lt;L416,"Partial",IF(AD416=L416,"Full Supply",IF(AD416&gt;L416,"Over Shared")))),"Waiting"),"")</f>
        <v>Full Supply</v>
      </c>
      <c r="AH416" s="37"/>
      <c r="AI416" s="37"/>
      <c r="AJ416" s="181"/>
      <c r="AK416" s="40"/>
      <c r="AL416" s="40"/>
      <c r="AM416" s="40"/>
      <c r="AN416" s="37"/>
      <c r="AO416" s="34"/>
      <c r="AP416" s="37"/>
      <c r="AQ416" s="37"/>
      <c r="AR416" s="37"/>
      <c r="AS416" s="37"/>
      <c r="AT416" s="37">
        <f>AS416-AD416</f>
        <v>-70</v>
      </c>
      <c r="AU416" s="36" t="str">
        <f>IF(AR416=0,"Waiting",IF(AR416&lt;AH416,"Kurang",IF(AR416=AH416,"Sesuai",IF(AR416&gt;AH416,"Over Shared"))))</f>
        <v>Waiting</v>
      </c>
      <c r="AV416" s="37">
        <v>56060</v>
      </c>
      <c r="AW416" s="37" t="str">
        <f>IFERROR(DATEDIF(AH416,AK416,"d"),"0")&amp;"-DAY"</f>
        <v>0-DAY</v>
      </c>
      <c r="AX416" s="37" t="str">
        <f>IFERROR(DATEDIF(B416,AB416,"d"),"0")&amp;"-DAY"</f>
        <v>13-DAY</v>
      </c>
      <c r="AY416" s="37"/>
      <c r="AZ416" s="181">
        <f>L416-AD416</f>
        <v>0</v>
      </c>
    </row>
    <row r="417" spans="1:52" ht="15.5" customHeight="1">
      <c r="A417" s="360" t="s">
        <v>372</v>
      </c>
      <c r="B417" s="340">
        <v>46252</v>
      </c>
      <c r="C417" s="181">
        <v>49670</v>
      </c>
      <c r="D417" s="30">
        <v>46252</v>
      </c>
      <c r="E417" s="30">
        <v>46247</v>
      </c>
      <c r="F417" s="30">
        <v>46249</v>
      </c>
      <c r="G417" s="37">
        <v>4420231449</v>
      </c>
      <c r="H417" s="37" t="s">
        <v>373</v>
      </c>
      <c r="I417" s="37">
        <v>9040008449</v>
      </c>
      <c r="J417" s="37" t="s">
        <v>145</v>
      </c>
      <c r="K417" s="325" t="s">
        <v>146</v>
      </c>
      <c r="L417" s="181">
        <v>1</v>
      </c>
      <c r="M417" s="181" t="s">
        <v>1029</v>
      </c>
      <c r="N417" s="37" t="s">
        <v>428</v>
      </c>
      <c r="O417" s="31">
        <f>IF(F417&gt;0,F417-AB417,"")</f>
        <v>-19</v>
      </c>
      <c r="P417" s="37" t="str">
        <f>IF(F417&gt;0,IF(AB417="","PLANNING SUPPLY",IF(AB417&lt;=F417,"ONTIME DELIVERY","DELAY")),"")</f>
        <v>DELAY</v>
      </c>
      <c r="Q417" s="181" t="str">
        <f>IFERROR(IF(J417&gt;0,VLOOKUP(J417,#REF!,MATCH($Q$6,#REF!,0),0),""),"")</f>
        <v/>
      </c>
      <c r="R417" s="181" t="str">
        <f>IFERROR(IF(J417&gt;0,VLOOKUP(J417,#REF!,MATCH($R$6,#REF!,0),0),""),"")</f>
        <v/>
      </c>
      <c r="S417" s="181" t="e">
        <f>IF(I420&gt;0,Q417+R417,"")</f>
        <v>#VALUE!</v>
      </c>
      <c r="T417" s="181"/>
      <c r="U417" s="181"/>
      <c r="V417" s="37"/>
      <c r="W417" s="181" t="e">
        <f>IF(I420&gt;0,IF(S417&gt;L417,"READY STOCK",IF(S417=0,"OUT OF STOCK",IF(S417&lt;L417,"LOW STOCK",""))),"")</f>
        <v>#VALUE!</v>
      </c>
      <c r="X417" s="38"/>
      <c r="Y417" s="38"/>
      <c r="Z417" s="38"/>
      <c r="AA417" s="38"/>
      <c r="AB417" s="50">
        <v>46268</v>
      </c>
      <c r="AC417" s="181">
        <v>34017</v>
      </c>
      <c r="AD417" s="51">
        <v>1</v>
      </c>
      <c r="AE417" s="37" t="s">
        <v>383</v>
      </c>
      <c r="AF417" s="37" t="s">
        <v>381</v>
      </c>
      <c r="AG417" s="33" t="str">
        <f>IF(G417&gt;0,IF(AD417&gt;0,IF(AD417=0,"Waiting",IF(AD417&lt;L417,"Partial",IF(AD417=L417,"Full Supply",IF(AD417&gt;L417,"Over Shared")))),"Waiting"),"")</f>
        <v>Full Supply</v>
      </c>
      <c r="AH417" s="56">
        <v>46253</v>
      </c>
      <c r="AI417" s="37" t="s">
        <v>1302</v>
      </c>
      <c r="AJ417" s="181">
        <v>1</v>
      </c>
      <c r="AK417" s="40"/>
      <c r="AL417" s="40"/>
      <c r="AM417" s="40"/>
      <c r="AN417" s="227" t="s">
        <v>1047</v>
      </c>
      <c r="AO417" s="34"/>
      <c r="AP417" s="37"/>
      <c r="AQ417" s="37"/>
      <c r="AR417" s="37"/>
      <c r="AS417" s="37"/>
      <c r="AT417" s="37">
        <f>AS417-AD417</f>
        <v>-1</v>
      </c>
      <c r="AU417" s="36" t="str">
        <f>IF(AR417=0,"Waiting",IF(AR417&lt;AH417,"Kurang",IF(AR417=AH417,"Sesuai",IF(AR417&gt;AH417,"Over Shared"))))</f>
        <v>Waiting</v>
      </c>
      <c r="AV417" s="37"/>
      <c r="AW417" s="37" t="str">
        <f>IFERROR(DATEDIF(AH417,AK417,"d"),"0")&amp;"-DAY"</f>
        <v>0-DAY</v>
      </c>
      <c r="AX417" s="37" t="str">
        <f>IFERROR(DATEDIF(B417,AB417,"d"),"0")&amp;"-DAY"</f>
        <v>16-DAY</v>
      </c>
      <c r="AY417" s="37"/>
      <c r="AZ417" s="181">
        <f>L417-AD417</f>
        <v>0</v>
      </c>
    </row>
    <row r="418" spans="1:52" ht="15.5" customHeight="1">
      <c r="A418" s="360" t="s">
        <v>372</v>
      </c>
      <c r="B418" s="340">
        <v>46252</v>
      </c>
      <c r="C418" s="181">
        <v>49670</v>
      </c>
      <c r="D418" s="30">
        <v>46252</v>
      </c>
      <c r="E418" s="30">
        <v>46247</v>
      </c>
      <c r="F418" s="30">
        <v>46249</v>
      </c>
      <c r="G418" s="37">
        <v>4420231449</v>
      </c>
      <c r="H418" s="37" t="s">
        <v>373</v>
      </c>
      <c r="I418" s="37">
        <v>9040040505</v>
      </c>
      <c r="J418" s="37" t="s">
        <v>125</v>
      </c>
      <c r="K418" s="325" t="s">
        <v>126</v>
      </c>
      <c r="L418" s="181">
        <v>1</v>
      </c>
      <c r="M418" s="181" t="s">
        <v>375</v>
      </c>
      <c r="N418" s="37" t="s">
        <v>428</v>
      </c>
      <c r="O418" s="31">
        <f>IF(F418&gt;0,F418-AB418,"")</f>
        <v>-60</v>
      </c>
      <c r="P418" s="37" t="str">
        <f>IF(F418&gt;0,IF(AB418="","PLANNING SUPPLY",IF(AB418&lt;=F418,"ONTIME DELIVERY","DELAY")),"")</f>
        <v>DELAY</v>
      </c>
      <c r="Q418" s="181" t="str">
        <f>IFERROR(IF(J418&gt;0,VLOOKUP(J418,#REF!,MATCH($Q$6,#REF!,0),0),""),"")</f>
        <v/>
      </c>
      <c r="R418" s="181" t="str">
        <f>IFERROR(IF(J418&gt;0,VLOOKUP(J418,#REF!,MATCH($R$6,#REF!,0),0),""),"")</f>
        <v/>
      </c>
      <c r="S418" s="181" t="e">
        <f>IF(I421&gt;0,Q418+R418,"")</f>
        <v>#VALUE!</v>
      </c>
      <c r="T418" s="181"/>
      <c r="U418" s="181"/>
      <c r="V418" s="37"/>
      <c r="W418" s="181" t="e">
        <f>IF(I421&gt;0,IF(S418&gt;L418,"READY STOCK",IF(S418=0,"OUT OF STOCK",IF(S418&lt;L418,"LOW STOCK",""))),"")</f>
        <v>#VALUE!</v>
      </c>
      <c r="X418" s="38"/>
      <c r="Y418" s="38"/>
      <c r="Z418" s="38"/>
      <c r="AA418" s="38"/>
      <c r="AB418" s="50">
        <v>46309</v>
      </c>
      <c r="AC418" s="44">
        <v>35044</v>
      </c>
      <c r="AD418" s="51">
        <v>1</v>
      </c>
      <c r="AE418" s="37" t="s">
        <v>387</v>
      </c>
      <c r="AF418" s="37" t="s">
        <v>381</v>
      </c>
      <c r="AG418" s="33" t="str">
        <f>IF(G418&gt;0,IF(AD418&gt;0,IF(AD418=0,"Waiting",IF(AD418&lt;L418,"Partial",IF(AD418=L418,"Full Supply",IF(AD418&gt;L418,"Over Shared")))),"Waiting"),"")</f>
        <v>Full Supply</v>
      </c>
      <c r="AH418" s="56">
        <v>46253</v>
      </c>
      <c r="AI418" s="37" t="s">
        <v>1302</v>
      </c>
      <c r="AJ418" s="181">
        <v>1</v>
      </c>
      <c r="AK418" s="40">
        <v>26500</v>
      </c>
      <c r="AL418" s="42">
        <v>46295</v>
      </c>
      <c r="AM418" s="40">
        <v>1</v>
      </c>
      <c r="AN418" s="37"/>
      <c r="AO418" s="211">
        <v>46297</v>
      </c>
      <c r="AP418" s="37"/>
      <c r="AQ418" s="37"/>
      <c r="AR418" s="37"/>
      <c r="AS418" s="37"/>
      <c r="AT418" s="37">
        <f>AS418-AD418</f>
        <v>-1</v>
      </c>
      <c r="AU418" s="36" t="str">
        <f>IF(AR418=0,"Waiting",IF(AR418&lt;AH418,"Kurang",IF(AR418=AH418,"Sesuai",IF(AR418&gt;AH418,"Over Shared"))))</f>
        <v>Waiting</v>
      </c>
      <c r="AV418" s="37"/>
      <c r="AW418" s="37" t="str">
        <f>IFERROR(DATEDIF(AH418,AK418,"d"),"0")&amp;"-DAY"</f>
        <v>0-DAY</v>
      </c>
      <c r="AX418" s="37" t="str">
        <f>IFERROR(DATEDIF(B418,AB418,"d"),"0")&amp;"-DAY"</f>
        <v>57-DAY</v>
      </c>
      <c r="AY418" s="37"/>
      <c r="AZ418" s="181">
        <f>L418-AD418</f>
        <v>0</v>
      </c>
    </row>
    <row r="419" spans="1:52" ht="15.5" customHeight="1">
      <c r="A419" s="360" t="s">
        <v>372</v>
      </c>
      <c r="B419" s="340">
        <v>46252</v>
      </c>
      <c r="C419" s="181">
        <v>49670</v>
      </c>
      <c r="D419" s="30">
        <v>46252</v>
      </c>
      <c r="E419" s="30">
        <v>46247</v>
      </c>
      <c r="F419" s="30">
        <v>46249</v>
      </c>
      <c r="G419" s="37">
        <v>4420231449</v>
      </c>
      <c r="H419" s="37" t="s">
        <v>373</v>
      </c>
      <c r="I419" s="37">
        <v>9040054606</v>
      </c>
      <c r="J419" s="37" t="s">
        <v>215</v>
      </c>
      <c r="K419" s="325" t="s">
        <v>216</v>
      </c>
      <c r="L419" s="181">
        <v>5</v>
      </c>
      <c r="M419" s="181" t="s">
        <v>375</v>
      </c>
      <c r="N419" s="37" t="s">
        <v>428</v>
      </c>
      <c r="O419" s="31">
        <f>IF(F419&gt;0,F419-AB419,"")</f>
        <v>-23</v>
      </c>
      <c r="P419" s="37" t="str">
        <f>IF(F419&gt;0,IF(AB419="","PLANNING SUPPLY",IF(AB419&lt;=F419,"ONTIME DELIVERY","DELAY")),"")</f>
        <v>DELAY</v>
      </c>
      <c r="Q419" s="181" t="str">
        <f>IFERROR(IF(J419&gt;0,VLOOKUP(J419,#REF!,MATCH($Q$6,#REF!,0),0),""),"")</f>
        <v/>
      </c>
      <c r="R419" s="181" t="str">
        <f>IFERROR(IF(J419&gt;0,VLOOKUP(J419,#REF!,MATCH($R$6,#REF!,0),0),""),"")</f>
        <v/>
      </c>
      <c r="S419" s="181" t="e">
        <f>IF(I422&gt;0,Q419+R419,"")</f>
        <v>#VALUE!</v>
      </c>
      <c r="T419" s="181"/>
      <c r="U419" s="181"/>
      <c r="V419" s="37"/>
      <c r="W419" s="181" t="e">
        <f>IF(I422&gt;0,IF(S419&gt;L419,"READY STOCK",IF(S419=0,"OUT OF STOCK",IF(S419&lt;L419,"LOW STOCK",""))),"")</f>
        <v>#VALUE!</v>
      </c>
      <c r="X419" s="38"/>
      <c r="Y419" s="38"/>
      <c r="Z419" s="38"/>
      <c r="AA419" s="38"/>
      <c r="AB419" s="50">
        <v>46272</v>
      </c>
      <c r="AC419" s="181">
        <v>34097</v>
      </c>
      <c r="AD419" s="51">
        <v>5</v>
      </c>
      <c r="AE419" s="37" t="s">
        <v>383</v>
      </c>
      <c r="AF419" s="37" t="s">
        <v>381</v>
      </c>
      <c r="AG419" s="33" t="str">
        <f>IF(G419&gt;0,IF(AD419&gt;0,IF(AD419=0,"Waiting",IF(AD419&lt;L419,"Partial",IF(AD419=L419,"Full Supply",IF(AD419&gt;L419,"Over Shared")))),"Waiting"),"")</f>
        <v>Full Supply</v>
      </c>
      <c r="AH419" s="56">
        <v>46253</v>
      </c>
      <c r="AI419" s="37" t="s">
        <v>1302</v>
      </c>
      <c r="AJ419" s="181">
        <v>6</v>
      </c>
      <c r="AK419" s="40">
        <v>25646</v>
      </c>
      <c r="AL419" s="218">
        <v>46218</v>
      </c>
      <c r="AM419" s="40">
        <v>300</v>
      </c>
      <c r="AN419" s="212"/>
      <c r="AO419" s="41">
        <v>46254</v>
      </c>
      <c r="AP419" s="37"/>
      <c r="AQ419" s="37"/>
      <c r="AR419" s="37"/>
      <c r="AS419" s="37"/>
      <c r="AT419" s="37">
        <f>AS419-AD419</f>
        <v>-5</v>
      </c>
      <c r="AU419" s="36" t="str">
        <f>IF(AR419=0,"Waiting",IF(AR419&lt;AH419,"Kurang",IF(AR419=AH419,"Sesuai",IF(AR419&gt;AH419,"Over Shared"))))</f>
        <v>Waiting</v>
      </c>
      <c r="AV419" s="37"/>
      <c r="AW419" s="37" t="str">
        <f>IFERROR(DATEDIF(AH419,AK419,"d"),"0")&amp;"-DAY"</f>
        <v>0-DAY</v>
      </c>
      <c r="AX419" s="37" t="str">
        <f>IFERROR(DATEDIF(B419,AB419,"d"),"0")&amp;"-DAY"</f>
        <v>20-DAY</v>
      </c>
      <c r="AY419" s="37"/>
      <c r="AZ419" s="181">
        <f>L419-AD419</f>
        <v>0</v>
      </c>
    </row>
    <row r="420" spans="1:52" ht="15.5" customHeight="1">
      <c r="A420" s="360" t="s">
        <v>372</v>
      </c>
      <c r="B420" s="340">
        <v>46252</v>
      </c>
      <c r="C420" s="181">
        <v>49671</v>
      </c>
      <c r="D420" s="30">
        <v>46252</v>
      </c>
      <c r="E420" s="30">
        <v>46245</v>
      </c>
      <c r="F420" s="30">
        <v>46251</v>
      </c>
      <c r="G420" s="37">
        <v>4420231142</v>
      </c>
      <c r="H420" s="37" t="s">
        <v>373</v>
      </c>
      <c r="I420" s="37">
        <v>9040009391</v>
      </c>
      <c r="J420" s="37" t="s">
        <v>293</v>
      </c>
      <c r="K420" s="325" t="s">
        <v>294</v>
      </c>
      <c r="L420" s="181">
        <v>13</v>
      </c>
      <c r="M420" s="181" t="s">
        <v>375</v>
      </c>
      <c r="N420" s="37" t="s">
        <v>384</v>
      </c>
      <c r="O420" s="31">
        <f>IF(F420&gt;0,F420-AB420,"")</f>
        <v>-10</v>
      </c>
      <c r="P420" s="37" t="str">
        <f>IF(F420&gt;0,IF(AB420="","PLANNING SUPPLY",IF(AB420&lt;=F420,"ONTIME DELIVERY","DELAY")),"")</f>
        <v>DELAY</v>
      </c>
      <c r="Q420" s="181" t="str">
        <f>IFERROR(IF(J420&gt;0,VLOOKUP(J420,#REF!,MATCH($Q$6,#REF!,0),0),""),"")</f>
        <v/>
      </c>
      <c r="R420" s="181" t="str">
        <f>IFERROR(IF(J420&gt;0,VLOOKUP(J420,#REF!,MATCH($R$6,#REF!,0),0),""),"")</f>
        <v/>
      </c>
      <c r="S420" s="181" t="e">
        <f>IF(I423&gt;0,Q420+R420,"")</f>
        <v>#VALUE!</v>
      </c>
      <c r="T420" s="181"/>
      <c r="U420" s="181"/>
      <c r="V420" s="37"/>
      <c r="W420" s="181" t="e">
        <f>IF(I423&gt;0,IF(S420&gt;L420,"READY STOCK",IF(S420=0,"OUT OF STOCK",IF(S420&lt;L420,"LOW STOCK",""))),"")</f>
        <v>#VALUE!</v>
      </c>
      <c r="X420" s="38"/>
      <c r="Y420" s="38"/>
      <c r="Z420" s="38"/>
      <c r="AA420" s="38"/>
      <c r="AB420" s="50">
        <v>46261</v>
      </c>
      <c r="AC420" s="181">
        <v>33888</v>
      </c>
      <c r="AD420" s="51">
        <v>13</v>
      </c>
      <c r="AE420" s="37" t="s">
        <v>383</v>
      </c>
      <c r="AF420" s="37" t="s">
        <v>381</v>
      </c>
      <c r="AG420" s="33" t="str">
        <f>IF(G420&gt;0,IF(AD420&gt;0,IF(AD420=0,"Waiting",IF(AD420&lt;L420,"Partial",IF(AD420=L420,"Full Supply",IF(AD420&gt;L420,"Over Shared")))),"Waiting"),"")</f>
        <v>Full Supply</v>
      </c>
      <c r="AH420" s="56">
        <v>46253</v>
      </c>
      <c r="AI420" s="37" t="s">
        <v>1302</v>
      </c>
      <c r="AJ420" s="181">
        <v>31</v>
      </c>
      <c r="AK420" s="40">
        <v>26062</v>
      </c>
      <c r="AL420" s="189">
        <v>46266</v>
      </c>
      <c r="AM420" s="40">
        <v>31</v>
      </c>
      <c r="AN420" s="37"/>
      <c r="AO420" s="239">
        <v>46297</v>
      </c>
      <c r="AP420" s="37"/>
      <c r="AQ420" s="37"/>
      <c r="AR420" s="37"/>
      <c r="AS420" s="37"/>
      <c r="AT420" s="37">
        <f>AS420-AD420</f>
        <v>-13</v>
      </c>
      <c r="AU420" s="36" t="str">
        <f>IF(AR420=0,"Waiting",IF(AR420&lt;AH420,"Kurang",IF(AR420=AH420,"Sesuai",IF(AR420&gt;AH420,"Over Shared"))))</f>
        <v>Waiting</v>
      </c>
      <c r="AV420" s="37"/>
      <c r="AW420" s="37" t="str">
        <f>IFERROR(DATEDIF(AH420,AK420,"d"),"0")&amp;"-DAY"</f>
        <v>0-DAY</v>
      </c>
      <c r="AX420" s="37" t="str">
        <f>IFERROR(DATEDIF(B420,AB420,"d"),"0")&amp;"-DAY"</f>
        <v>9-DAY</v>
      </c>
      <c r="AY420" s="37"/>
      <c r="AZ420" s="181">
        <f>L420-AD420</f>
        <v>0</v>
      </c>
    </row>
    <row r="421" spans="1:52" ht="15.5" customHeight="1">
      <c r="A421" s="360" t="s">
        <v>372</v>
      </c>
      <c r="B421" s="340">
        <v>46252</v>
      </c>
      <c r="C421" s="181">
        <v>49671</v>
      </c>
      <c r="D421" s="30">
        <v>46252</v>
      </c>
      <c r="E421" s="30">
        <v>46245</v>
      </c>
      <c r="F421" s="30">
        <v>46251</v>
      </c>
      <c r="G421" s="37">
        <v>4420231142</v>
      </c>
      <c r="H421" s="37" t="s">
        <v>373</v>
      </c>
      <c r="I421" s="37">
        <v>9040009398</v>
      </c>
      <c r="J421" s="37" t="s">
        <v>282</v>
      </c>
      <c r="K421" s="325" t="s">
        <v>283</v>
      </c>
      <c r="L421" s="181">
        <v>2</v>
      </c>
      <c r="M421" s="181" t="s">
        <v>421</v>
      </c>
      <c r="N421" s="37" t="s">
        <v>384</v>
      </c>
      <c r="O421" s="31">
        <f>IF(F421&gt;0,F421-AB421,"")</f>
        <v>-50</v>
      </c>
      <c r="P421" s="37" t="str">
        <f>IF(F421&gt;0,IF(AB421="","PLANNING SUPPLY",IF(AB421&lt;=F421,"ONTIME DELIVERY","DELAY")),"")</f>
        <v>DELAY</v>
      </c>
      <c r="Q421" s="181" t="str">
        <f>IFERROR(IF(J421&gt;0,VLOOKUP(J421,#REF!,MATCH($Q$6,#REF!,0),0),""),"")</f>
        <v/>
      </c>
      <c r="R421" s="181" t="str">
        <f>IFERROR(IF(J421&gt;0,VLOOKUP(J421,#REF!,MATCH($R$6,#REF!,0),0),""),"")</f>
        <v/>
      </c>
      <c r="S421" s="181" t="e">
        <f>IF(I424&gt;0,Q421+R421,"")</f>
        <v>#VALUE!</v>
      </c>
      <c r="T421" s="181"/>
      <c r="U421" s="181"/>
      <c r="V421" s="37"/>
      <c r="W421" s="181" t="e">
        <f>IF(I424&gt;0,IF(S421&gt;L421,"READY STOCK",IF(S421=0,"OUT OF STOCK",IF(S421&lt;L421,"LOW STOCK",""))),"")</f>
        <v>#VALUE!</v>
      </c>
      <c r="X421" s="38"/>
      <c r="Y421" s="38"/>
      <c r="Z421" s="38"/>
      <c r="AA421" s="38"/>
      <c r="AB421" s="57">
        <v>46301</v>
      </c>
      <c r="AC421" s="219">
        <v>34786</v>
      </c>
      <c r="AD421" s="53">
        <v>2</v>
      </c>
      <c r="AE421" s="58" t="s">
        <v>387</v>
      </c>
      <c r="AF421" s="58" t="s">
        <v>381</v>
      </c>
      <c r="AG421" s="33" t="str">
        <f>IF(G421&gt;0,IF(AD421&gt;0,IF(AD421=0,"Waiting",IF(AD421&lt;L421,"Partial",IF(AD421=L421,"Full Supply",IF(AD421&gt;L421,"Over Shared")))),"Waiting"),"")</f>
        <v>Full Supply</v>
      </c>
      <c r="AH421" s="37"/>
      <c r="AI421" s="37"/>
      <c r="AJ421" s="181"/>
      <c r="AK421" s="40"/>
      <c r="AL421" s="40"/>
      <c r="AM421" s="40"/>
      <c r="AN421" s="37" t="s">
        <v>1292</v>
      </c>
      <c r="AO421" s="34"/>
      <c r="AP421" s="37"/>
      <c r="AQ421" s="37"/>
      <c r="AR421" s="37"/>
      <c r="AS421" s="37"/>
      <c r="AT421" s="37">
        <f>AS421-AD421</f>
        <v>-2</v>
      </c>
      <c r="AU421" s="36" t="str">
        <f>IF(AR421=0,"Waiting",IF(AR421&lt;AH421,"Kurang",IF(AR421=AH421,"Sesuai",IF(AR421&gt;AH421,"Over Shared"))))</f>
        <v>Waiting</v>
      </c>
      <c r="AV421" s="37"/>
      <c r="AW421" s="37" t="str">
        <f>IFERROR(DATEDIF(AH421,AK421,"d"),"0")&amp;"-DAY"</f>
        <v>0-DAY</v>
      </c>
      <c r="AX421" s="37" t="str">
        <f>IFERROR(DATEDIF(B421,AB421,"d"),"0")&amp;"-DAY"</f>
        <v>49-DAY</v>
      </c>
      <c r="AY421" s="37"/>
      <c r="AZ421" s="181">
        <f>L421-AD421</f>
        <v>0</v>
      </c>
    </row>
    <row r="422" spans="1:52" ht="15.5" customHeight="1">
      <c r="A422" s="360" t="s">
        <v>372</v>
      </c>
      <c r="B422" s="340">
        <v>46252</v>
      </c>
      <c r="C422" s="181">
        <v>49671</v>
      </c>
      <c r="D422" s="30">
        <v>46252</v>
      </c>
      <c r="E422" s="30">
        <v>46245</v>
      </c>
      <c r="F422" s="30">
        <v>46251</v>
      </c>
      <c r="G422" s="37">
        <v>4420231142</v>
      </c>
      <c r="H422" s="37" t="s">
        <v>373</v>
      </c>
      <c r="I422" s="37">
        <v>9040044191</v>
      </c>
      <c r="J422" s="37" t="s">
        <v>187</v>
      </c>
      <c r="K422" s="325" t="s">
        <v>188</v>
      </c>
      <c r="L422" s="181">
        <v>3</v>
      </c>
      <c r="M422" s="181" t="s">
        <v>375</v>
      </c>
      <c r="N422" s="37" t="s">
        <v>384</v>
      </c>
      <c r="O422" s="31">
        <f>IF(F422&gt;0,F422-AB422,"")</f>
        <v>-10</v>
      </c>
      <c r="P422" s="37" t="str">
        <f>IF(F422&gt;0,IF(AB422="","PLANNING SUPPLY",IF(AB422&lt;=F422,"ONTIME DELIVERY","DELAY")),"")</f>
        <v>DELAY</v>
      </c>
      <c r="Q422" s="181" t="str">
        <f>IFERROR(IF(J422&gt;0,VLOOKUP(J422,#REF!,MATCH($Q$6,#REF!,0),0),""),"")</f>
        <v/>
      </c>
      <c r="R422" s="181" t="str">
        <f>IFERROR(IF(J422&gt;0,VLOOKUP(J422,#REF!,MATCH($R$6,#REF!,0),0),""),"")</f>
        <v/>
      </c>
      <c r="S422" s="181" t="e">
        <f>IF(I425&gt;0,Q422+R422,"")</f>
        <v>#VALUE!</v>
      </c>
      <c r="T422" s="181"/>
      <c r="U422" s="181"/>
      <c r="V422" s="37"/>
      <c r="W422" s="181" t="e">
        <f>IF(I425&gt;0,IF(S422&gt;L422,"READY STOCK",IF(S422=0,"OUT OF STOCK",IF(S422&lt;L422,"LOW STOCK",""))),"")</f>
        <v>#VALUE!</v>
      </c>
      <c r="X422" s="38"/>
      <c r="Y422" s="38"/>
      <c r="Z422" s="38"/>
      <c r="AA422" s="38"/>
      <c r="AB422" s="50">
        <v>46261</v>
      </c>
      <c r="AC422" s="181">
        <v>33888</v>
      </c>
      <c r="AD422" s="51">
        <v>3</v>
      </c>
      <c r="AE422" s="37" t="s">
        <v>383</v>
      </c>
      <c r="AF422" s="37" t="s">
        <v>381</v>
      </c>
      <c r="AG422" s="33" t="str">
        <f>IF(G422&gt;0,IF(AD422&gt;0,IF(AD422=0,"Waiting",IF(AD422&lt;L422,"Partial",IF(AD422=L422,"Full Supply",IF(AD422&gt;L422,"Over Shared")))),"Waiting"),"")</f>
        <v>Full Supply</v>
      </c>
      <c r="AH422" s="37"/>
      <c r="AI422" s="37"/>
      <c r="AJ422" s="181"/>
      <c r="AK422" s="40"/>
      <c r="AL422" s="40"/>
      <c r="AM422" s="40"/>
      <c r="AN422" s="37"/>
      <c r="AO422" s="34"/>
      <c r="AP422" s="37"/>
      <c r="AQ422" s="37"/>
      <c r="AR422" s="37"/>
      <c r="AS422" s="37"/>
      <c r="AT422" s="37">
        <f>AS422-AD422</f>
        <v>-3</v>
      </c>
      <c r="AU422" s="36" t="str">
        <f>IF(AR422=0,"Waiting",IF(AR422&lt;AH422,"Kurang",IF(AR422=AH422,"Sesuai",IF(AR422&gt;AH422,"Over Shared"))))</f>
        <v>Waiting</v>
      </c>
      <c r="AV422" s="37"/>
      <c r="AW422" s="37" t="str">
        <f>IFERROR(DATEDIF(AH422,AK422,"d"),"0")&amp;"-DAY"</f>
        <v>0-DAY</v>
      </c>
      <c r="AX422" s="37" t="str">
        <f>IFERROR(DATEDIF(B422,AB422,"d"),"0")&amp;"-DAY"</f>
        <v>9-DAY</v>
      </c>
      <c r="AY422" s="37"/>
      <c r="AZ422" s="181">
        <f>L422-AD422</f>
        <v>0</v>
      </c>
    </row>
    <row r="423" spans="1:52" ht="15.5" customHeight="1">
      <c r="A423" s="360" t="s">
        <v>372</v>
      </c>
      <c r="B423" s="340">
        <v>46252</v>
      </c>
      <c r="C423" s="181">
        <v>49671</v>
      </c>
      <c r="D423" s="30">
        <v>46252</v>
      </c>
      <c r="E423" s="30">
        <v>46245</v>
      </c>
      <c r="F423" s="30">
        <v>46251</v>
      </c>
      <c r="G423" s="37">
        <v>4420231142</v>
      </c>
      <c r="H423" s="37" t="s">
        <v>373</v>
      </c>
      <c r="I423" s="37">
        <v>9040042096</v>
      </c>
      <c r="J423" s="37" t="s">
        <v>159</v>
      </c>
      <c r="K423" s="325" t="s">
        <v>160</v>
      </c>
      <c r="L423" s="181">
        <v>9</v>
      </c>
      <c r="M423" s="181" t="s">
        <v>375</v>
      </c>
      <c r="N423" s="37" t="s">
        <v>384</v>
      </c>
      <c r="O423" s="31">
        <f>IF(F423&gt;0,F423-AB423,"")</f>
        <v>-10</v>
      </c>
      <c r="P423" s="37" t="str">
        <f>IF(F423&gt;0,IF(AB423="","PLANNING SUPPLY",IF(AB423&lt;=F423,"ONTIME DELIVERY","DELAY")),"")</f>
        <v>DELAY</v>
      </c>
      <c r="Q423" s="181" t="str">
        <f>IFERROR(IF(J423&gt;0,VLOOKUP(J423,#REF!,MATCH($Q$6,#REF!,0),0),""),"")</f>
        <v/>
      </c>
      <c r="R423" s="181" t="str">
        <f>IFERROR(IF(J423&gt;0,VLOOKUP(J423,#REF!,MATCH($R$6,#REF!,0),0),""),"")</f>
        <v/>
      </c>
      <c r="S423" s="181" t="e">
        <f>IF(I426&gt;0,Q423+R423,"")</f>
        <v>#VALUE!</v>
      </c>
      <c r="T423" s="181"/>
      <c r="U423" s="181"/>
      <c r="V423" s="37"/>
      <c r="W423" s="181" t="e">
        <f>IF(I426&gt;0,IF(S423&gt;L423,"READY STOCK",IF(S423=0,"OUT OF STOCK",IF(S423&lt;L423,"LOW STOCK",""))),"")</f>
        <v>#VALUE!</v>
      </c>
      <c r="X423" s="38"/>
      <c r="Y423" s="38"/>
      <c r="Z423" s="38"/>
      <c r="AA423" s="38"/>
      <c r="AB423" s="50">
        <v>46261</v>
      </c>
      <c r="AC423" s="181">
        <v>33888</v>
      </c>
      <c r="AD423" s="51">
        <v>9</v>
      </c>
      <c r="AE423" s="37" t="s">
        <v>383</v>
      </c>
      <c r="AF423" s="37" t="s">
        <v>381</v>
      </c>
      <c r="AG423" s="33" t="str">
        <f>IF(G423&gt;0,IF(AD423&gt;0,IF(AD423=0,"Waiting",IF(AD423&lt;L423,"Partial",IF(AD423=L423,"Full Supply",IF(AD423&gt;L423,"Over Shared")))),"Waiting"),"")</f>
        <v>Full Supply</v>
      </c>
      <c r="AH423" s="37"/>
      <c r="AI423" s="37"/>
      <c r="AJ423" s="181"/>
      <c r="AK423" s="40"/>
      <c r="AL423" s="40"/>
      <c r="AM423" s="40"/>
      <c r="AN423" s="37"/>
      <c r="AO423" s="34"/>
      <c r="AP423" s="37"/>
      <c r="AQ423" s="37"/>
      <c r="AR423" s="37"/>
      <c r="AS423" s="37"/>
      <c r="AT423" s="37">
        <f>AS423-AD423</f>
        <v>-9</v>
      </c>
      <c r="AU423" s="36" t="str">
        <f>IF(AR423=0,"Waiting",IF(AR423&lt;AH423,"Kurang",IF(AR423=AH423,"Sesuai",IF(AR423&gt;AH423,"Over Shared"))))</f>
        <v>Waiting</v>
      </c>
      <c r="AV423" s="37"/>
      <c r="AW423" s="37" t="str">
        <f>IFERROR(DATEDIF(AH423,AK423,"d"),"0")&amp;"-DAY"</f>
        <v>0-DAY</v>
      </c>
      <c r="AX423" s="37" t="str">
        <f>IFERROR(DATEDIF(B423,AB423,"d"),"0")&amp;"-DAY"</f>
        <v>9-DAY</v>
      </c>
      <c r="AY423" s="37"/>
      <c r="AZ423" s="181">
        <f>L423-AD423</f>
        <v>0</v>
      </c>
    </row>
    <row r="424" spans="1:52" ht="15.5" customHeight="1">
      <c r="A424" s="360" t="s">
        <v>372</v>
      </c>
      <c r="B424" s="340">
        <v>46252</v>
      </c>
      <c r="C424" s="181">
        <v>49672</v>
      </c>
      <c r="D424" s="30">
        <v>46252</v>
      </c>
      <c r="E424" s="30">
        <v>46246</v>
      </c>
      <c r="F424" s="30">
        <v>46257</v>
      </c>
      <c r="G424" s="37">
        <v>4420231255</v>
      </c>
      <c r="H424" s="37" t="s">
        <v>373</v>
      </c>
      <c r="I424" s="37">
        <v>9040040445</v>
      </c>
      <c r="J424" s="37" t="s">
        <v>193</v>
      </c>
      <c r="K424" s="325" t="s">
        <v>194</v>
      </c>
      <c r="L424" s="181">
        <v>42</v>
      </c>
      <c r="M424" s="181" t="s">
        <v>421</v>
      </c>
      <c r="N424" s="37" t="s">
        <v>384</v>
      </c>
      <c r="O424" s="31">
        <f>IF(F424&gt;0,F424-AB424,"")</f>
        <v>-9</v>
      </c>
      <c r="P424" s="37" t="str">
        <f>IF(F424&gt;0,IF(AB424="","PLANNING SUPPLY",IF(AB424&lt;=F424,"ONTIME DELIVERY","DELAY")),"")</f>
        <v>DELAY</v>
      </c>
      <c r="Q424" s="181" t="str">
        <f>IFERROR(IF(J424&gt;0,VLOOKUP(J424,#REF!,MATCH($Q$6,#REF!,0),0),""),"")</f>
        <v/>
      </c>
      <c r="R424" s="181" t="str">
        <f>IFERROR(IF(J424&gt;0,VLOOKUP(J424,#REF!,MATCH($R$6,#REF!,0),0),""),"")</f>
        <v/>
      </c>
      <c r="S424" s="181" t="e">
        <f>IF(I427&gt;0,Q424+R424,"")</f>
        <v>#VALUE!</v>
      </c>
      <c r="T424" s="181"/>
      <c r="U424" s="181"/>
      <c r="V424" s="37"/>
      <c r="W424" s="181" t="e">
        <f>IF(I427&gt;0,IF(S424&gt;L424,"READY STOCK",IF(S424=0,"OUT OF STOCK",IF(S424&lt;L424,"LOW STOCK",""))),"")</f>
        <v>#VALUE!</v>
      </c>
      <c r="X424" s="38"/>
      <c r="Y424" s="38"/>
      <c r="Z424" s="38"/>
      <c r="AA424" s="38"/>
      <c r="AB424" s="50">
        <v>46266</v>
      </c>
      <c r="AC424" s="181">
        <v>33967</v>
      </c>
      <c r="AD424" s="51">
        <v>42</v>
      </c>
      <c r="AE424" s="37" t="s">
        <v>383</v>
      </c>
      <c r="AF424" s="37" t="s">
        <v>381</v>
      </c>
      <c r="AG424" s="33" t="str">
        <f>IF(G424&gt;0,IF(AD424&gt;0,IF(AD424=0,"Waiting",IF(AD424&lt;L424,"Partial",IF(AD424=L424,"Full Supply",IF(AD424&gt;L424,"Over Shared")))),"Waiting"),"")</f>
        <v>Full Supply</v>
      </c>
      <c r="AH424" s="56">
        <v>46253</v>
      </c>
      <c r="AI424" s="37" t="s">
        <v>1302</v>
      </c>
      <c r="AJ424" s="181">
        <v>42</v>
      </c>
      <c r="AK424" s="40">
        <v>26063</v>
      </c>
      <c r="AL424" s="45">
        <v>46255</v>
      </c>
      <c r="AM424" s="40">
        <v>42</v>
      </c>
      <c r="AN424" s="37"/>
      <c r="AO424" s="41">
        <v>46255</v>
      </c>
      <c r="AP424" s="37"/>
      <c r="AQ424" s="37"/>
      <c r="AR424" s="37"/>
      <c r="AS424" s="37"/>
      <c r="AT424" s="37">
        <f>AS424-AD424</f>
        <v>-42</v>
      </c>
      <c r="AU424" s="36" t="str">
        <f>IF(AR424=0,"Waiting",IF(AR424&lt;AH424,"Kurang",IF(AR424=AH424,"Sesuai",IF(AR424&gt;AH424,"Over Shared"))))</f>
        <v>Waiting</v>
      </c>
      <c r="AV424" s="37"/>
      <c r="AW424" s="37" t="str">
        <f>IFERROR(DATEDIF(AH424,AK424,"d"),"0")&amp;"-DAY"</f>
        <v>0-DAY</v>
      </c>
      <c r="AX424" s="37" t="str">
        <f>IFERROR(DATEDIF(B424,AB424,"d"),"0")&amp;"-DAY"</f>
        <v>14-DAY</v>
      </c>
      <c r="AY424" s="37"/>
      <c r="AZ424" s="181">
        <f>L424-AD424</f>
        <v>0</v>
      </c>
    </row>
    <row r="425" spans="1:52" ht="15.5" customHeight="1">
      <c r="A425" s="360" t="s">
        <v>372</v>
      </c>
      <c r="B425" s="340">
        <v>46252</v>
      </c>
      <c r="C425" s="181">
        <v>49672</v>
      </c>
      <c r="D425" s="30">
        <v>46252</v>
      </c>
      <c r="E425" s="30">
        <v>46246</v>
      </c>
      <c r="F425" s="30">
        <v>46257</v>
      </c>
      <c r="G425" s="37">
        <v>4420231255</v>
      </c>
      <c r="H425" s="37" t="s">
        <v>373</v>
      </c>
      <c r="I425" s="37">
        <v>9040040446</v>
      </c>
      <c r="J425" s="37" t="s">
        <v>189</v>
      </c>
      <c r="K425" s="325" t="s">
        <v>190</v>
      </c>
      <c r="L425" s="181">
        <v>8</v>
      </c>
      <c r="M425" s="181" t="s">
        <v>421</v>
      </c>
      <c r="N425" s="37" t="s">
        <v>384</v>
      </c>
      <c r="O425" s="31">
        <f>IF(F425&gt;0,F425-AB425,"")</f>
        <v>-9</v>
      </c>
      <c r="P425" s="37" t="str">
        <f>IF(F425&gt;0,IF(AB425="","PLANNING SUPPLY",IF(AB425&lt;=F425,"ONTIME DELIVERY","DELAY")),"")</f>
        <v>DELAY</v>
      </c>
      <c r="Q425" s="181" t="str">
        <f>IFERROR(IF(J425&gt;0,VLOOKUP(J425,#REF!,MATCH($Q$6,#REF!,0),0),""),"")</f>
        <v/>
      </c>
      <c r="R425" s="181" t="str">
        <f>IFERROR(IF(J425&gt;0,VLOOKUP(J425,#REF!,MATCH($R$6,#REF!,0),0),""),"")</f>
        <v/>
      </c>
      <c r="S425" s="181" t="e">
        <f>IF(I428&gt;0,Q425+R425,"")</f>
        <v>#VALUE!</v>
      </c>
      <c r="T425" s="181"/>
      <c r="U425" s="181"/>
      <c r="V425" s="37"/>
      <c r="W425" s="181" t="e">
        <f>IF(I428&gt;0,IF(S425&gt;L425,"READY STOCK",IF(S425=0,"OUT OF STOCK",IF(S425&lt;L425,"LOW STOCK",""))),"")</f>
        <v>#VALUE!</v>
      </c>
      <c r="X425" s="38"/>
      <c r="Y425" s="38"/>
      <c r="Z425" s="38"/>
      <c r="AA425" s="38"/>
      <c r="AB425" s="50">
        <v>46266</v>
      </c>
      <c r="AC425" s="181">
        <v>33967</v>
      </c>
      <c r="AD425" s="51">
        <v>8</v>
      </c>
      <c r="AE425" s="37" t="s">
        <v>383</v>
      </c>
      <c r="AF425" s="37" t="s">
        <v>381</v>
      </c>
      <c r="AG425" s="33" t="str">
        <f>IF(G425&gt;0,IF(AD425&gt;0,IF(AD425=0,"Waiting",IF(AD425&lt;L425,"Partial",IF(AD425=L425,"Full Supply",IF(AD425&gt;L425,"Over Shared")))),"Waiting"),"")</f>
        <v>Full Supply</v>
      </c>
      <c r="AH425" s="56">
        <v>46253</v>
      </c>
      <c r="AI425" s="37" t="s">
        <v>1302</v>
      </c>
      <c r="AJ425" s="181">
        <v>8</v>
      </c>
      <c r="AK425" s="40">
        <v>26063</v>
      </c>
      <c r="AL425" s="45">
        <v>46255</v>
      </c>
      <c r="AM425" s="40">
        <v>8</v>
      </c>
      <c r="AN425" s="37"/>
      <c r="AO425" s="41">
        <v>46255</v>
      </c>
      <c r="AP425" s="37"/>
      <c r="AQ425" s="37"/>
      <c r="AR425" s="37"/>
      <c r="AS425" s="37"/>
      <c r="AT425" s="37">
        <f>AS425-AD425</f>
        <v>-8</v>
      </c>
      <c r="AU425" s="36" t="str">
        <f>IF(AR425=0,"Waiting",IF(AR425&lt;AH425,"Kurang",IF(AR425=AH425,"Sesuai",IF(AR425&gt;AH425,"Over Shared"))))</f>
        <v>Waiting</v>
      </c>
      <c r="AV425" s="37"/>
      <c r="AW425" s="37" t="str">
        <f>IFERROR(DATEDIF(AH425,AK425,"d"),"0")&amp;"-DAY"</f>
        <v>0-DAY</v>
      </c>
      <c r="AX425" s="37" t="str">
        <f>IFERROR(DATEDIF(B425,AB425,"d"),"0")&amp;"-DAY"</f>
        <v>14-DAY</v>
      </c>
      <c r="AY425" s="37"/>
      <c r="AZ425" s="181">
        <f>L425-AD425</f>
        <v>0</v>
      </c>
    </row>
    <row r="426" spans="1:52" ht="15.5" customHeight="1">
      <c r="A426" s="360" t="s">
        <v>372</v>
      </c>
      <c r="B426" s="340">
        <v>46252</v>
      </c>
      <c r="C426" s="181">
        <v>49672</v>
      </c>
      <c r="D426" s="30">
        <v>46252</v>
      </c>
      <c r="E426" s="30">
        <v>46246</v>
      </c>
      <c r="F426" s="30">
        <v>46257</v>
      </c>
      <c r="G426" s="37">
        <v>4420231255</v>
      </c>
      <c r="H426" s="37" t="s">
        <v>373</v>
      </c>
      <c r="I426" s="37">
        <v>9040042224</v>
      </c>
      <c r="J426" s="37" t="s">
        <v>195</v>
      </c>
      <c r="K426" s="325" t="s">
        <v>196</v>
      </c>
      <c r="L426" s="181">
        <v>30</v>
      </c>
      <c r="M426" s="181" t="s">
        <v>421</v>
      </c>
      <c r="N426" s="37" t="s">
        <v>384</v>
      </c>
      <c r="O426" s="31">
        <f>IF(F426&gt;0,F426-AB426,"")</f>
        <v>-50</v>
      </c>
      <c r="P426" s="37" t="str">
        <f>IF(F426&gt;0,IF(AB426="","PLANNING SUPPLY",IF(AB426&lt;=F426,"ONTIME DELIVERY","DELAY")),"")</f>
        <v>DELAY</v>
      </c>
      <c r="Q426" s="181" t="str">
        <f>IFERROR(IF(J426&gt;0,VLOOKUP(J426,#REF!,MATCH($Q$6,#REF!,0),0),""),"")</f>
        <v/>
      </c>
      <c r="R426" s="181" t="str">
        <f>IFERROR(IF(J426&gt;0,VLOOKUP(J426,#REF!,MATCH($R$6,#REF!,0),0),""),"")</f>
        <v/>
      </c>
      <c r="S426" s="181" t="e">
        <f>IF(I429&gt;0,Q426+R426,"")</f>
        <v>#VALUE!</v>
      </c>
      <c r="T426" s="181"/>
      <c r="U426" s="181"/>
      <c r="V426" s="37"/>
      <c r="W426" s="181" t="e">
        <f>IF(I429&gt;0,IF(S426&gt;L426,"READY STOCK",IF(S426=0,"OUT OF STOCK",IF(S426&lt;L426,"LOW STOCK",""))),"")</f>
        <v>#VALUE!</v>
      </c>
      <c r="X426" s="38"/>
      <c r="Y426" s="38"/>
      <c r="Z426" s="38"/>
      <c r="AA426" s="38"/>
      <c r="AB426" s="50">
        <v>46307</v>
      </c>
      <c r="AC426" s="181">
        <v>34940</v>
      </c>
      <c r="AD426" s="51">
        <v>10</v>
      </c>
      <c r="AE426" s="37" t="s">
        <v>387</v>
      </c>
      <c r="AF426" s="37" t="s">
        <v>381</v>
      </c>
      <c r="AG426" s="33" t="str">
        <f>IF(G426&gt;0,IF(AD426&gt;0,IF(AD426=0,"Waiting",IF(AD426&lt;L426,"Partial",IF(AD426=L426,"Full Supply",IF(AD426&gt;L426,"Over Shared")))),"Waiting"),"")</f>
        <v>Partial</v>
      </c>
      <c r="AH426" s="56">
        <v>46253</v>
      </c>
      <c r="AI426" s="37" t="s">
        <v>1302</v>
      </c>
      <c r="AJ426" s="181">
        <v>30</v>
      </c>
      <c r="AK426" s="40">
        <v>26064</v>
      </c>
      <c r="AL426" s="189">
        <v>46266</v>
      </c>
      <c r="AM426" s="40">
        <v>30</v>
      </c>
      <c r="AN426" s="37"/>
      <c r="AO426" s="190">
        <v>46296</v>
      </c>
      <c r="AP426" s="37"/>
      <c r="AQ426" s="37"/>
      <c r="AR426" s="37"/>
      <c r="AS426" s="37"/>
      <c r="AT426" s="37">
        <f>AS426-AD426</f>
        <v>-10</v>
      </c>
      <c r="AU426" s="36" t="str">
        <f>IF(AR426=0,"Waiting",IF(AR426&lt;AH426,"Kurang",IF(AR426=AH426,"Sesuai",IF(AR426&gt;AH426,"Over Shared"))))</f>
        <v>Waiting</v>
      </c>
      <c r="AV426" s="37"/>
      <c r="AW426" s="37" t="str">
        <f>IFERROR(DATEDIF(AH426,AK426,"d"),"0")&amp;"-DAY"</f>
        <v>0-DAY</v>
      </c>
      <c r="AX426" s="37" t="str">
        <f>IFERROR(DATEDIF(B426,AB426,"d"),"0")&amp;"-DAY"</f>
        <v>55-DAY</v>
      </c>
      <c r="AY426" s="37"/>
      <c r="AZ426" s="181">
        <f>L426-AD426</f>
        <v>20</v>
      </c>
    </row>
    <row r="427" spans="1:52" ht="15.5" customHeight="1">
      <c r="A427" s="360" t="s">
        <v>372</v>
      </c>
      <c r="B427" s="340">
        <v>46252</v>
      </c>
      <c r="C427" s="181">
        <v>49673</v>
      </c>
      <c r="D427" s="30">
        <v>46252</v>
      </c>
      <c r="E427" s="30">
        <v>46247</v>
      </c>
      <c r="F427" s="30">
        <v>46254</v>
      </c>
      <c r="G427" s="37">
        <v>4420231374</v>
      </c>
      <c r="H427" s="37" t="s">
        <v>373</v>
      </c>
      <c r="I427" s="37">
        <v>9040041393</v>
      </c>
      <c r="J427" s="37" t="s">
        <v>191</v>
      </c>
      <c r="K427" s="325" t="s">
        <v>192</v>
      </c>
      <c r="L427" s="181">
        <v>116</v>
      </c>
      <c r="M427" s="181" t="s">
        <v>375</v>
      </c>
      <c r="N427" s="37" t="s">
        <v>432</v>
      </c>
      <c r="O427" s="31">
        <f>IF(F427&gt;0,F427-AB427,"")</f>
        <v>-11</v>
      </c>
      <c r="P427" s="37" t="str">
        <f>IF(F427&gt;0,IF(AB427="","PLANNING SUPPLY",IF(AB427&lt;=F427,"ONTIME DELIVERY","DELAY")),"")</f>
        <v>DELAY</v>
      </c>
      <c r="Q427" s="181" t="str">
        <f>IFERROR(IF(J427&gt;0,VLOOKUP(J427,#REF!,MATCH($Q$6,#REF!,0),0),""),"")</f>
        <v/>
      </c>
      <c r="R427" s="181" t="str">
        <f>IFERROR(IF(J427&gt;0,VLOOKUP(J427,#REF!,MATCH($R$6,#REF!,0),0),""),"")</f>
        <v/>
      </c>
      <c r="S427" s="181" t="e">
        <f>IF(I430&gt;0,Q427+R427,"")</f>
        <v>#VALUE!</v>
      </c>
      <c r="T427" s="181"/>
      <c r="U427" s="181"/>
      <c r="V427" s="37"/>
      <c r="W427" s="181" t="e">
        <f>IF(I430&gt;0,IF(S427&gt;L427,"READY STOCK",IF(S427=0,"OUT OF STOCK",IF(S427&lt;L427,"LOW STOCK",""))),"")</f>
        <v>#VALUE!</v>
      </c>
      <c r="X427" s="38"/>
      <c r="Y427" s="38"/>
      <c r="Z427" s="38"/>
      <c r="AA427" s="38"/>
      <c r="AB427" s="50">
        <v>46265</v>
      </c>
      <c r="AC427" s="181">
        <v>33919</v>
      </c>
      <c r="AD427" s="51">
        <v>116</v>
      </c>
      <c r="AE427" s="37" t="s">
        <v>383</v>
      </c>
      <c r="AF427" s="37" t="s">
        <v>381</v>
      </c>
      <c r="AG427" s="33" t="str">
        <f>IF(G427&gt;0,IF(AD427&gt;0,IF(AD427=0,"Waiting",IF(AD427&lt;L427,"Partial",IF(AD427=L427,"Full Supply",IF(AD427&gt;L427,"Over Shared")))),"Waiting"),"")</f>
        <v>Full Supply</v>
      </c>
      <c r="AH427" s="37"/>
      <c r="AI427" s="37"/>
      <c r="AJ427" s="181"/>
      <c r="AK427" s="40"/>
      <c r="AL427" s="40"/>
      <c r="AM427" s="40"/>
      <c r="AN427" s="37"/>
      <c r="AO427" s="34"/>
      <c r="AP427" s="37"/>
      <c r="AQ427" s="37"/>
      <c r="AR427" s="37"/>
      <c r="AS427" s="37"/>
      <c r="AT427" s="37">
        <f>AS427-AD427</f>
        <v>-116</v>
      </c>
      <c r="AU427" s="36" t="str">
        <f>IF(AR427=0,"Waiting",IF(AR427&lt;AH427,"Kurang",IF(AR427=AH427,"Sesuai",IF(AR427&gt;AH427,"Over Shared"))))</f>
        <v>Waiting</v>
      </c>
      <c r="AV427" s="37"/>
      <c r="AW427" s="37" t="str">
        <f>IFERROR(DATEDIF(AH427,AK427,"d"),"0")&amp;"-DAY"</f>
        <v>0-DAY</v>
      </c>
      <c r="AX427" s="37" t="str">
        <f>IFERROR(DATEDIF(B427,AB427,"d"),"0")&amp;"-DAY"</f>
        <v>13-DAY</v>
      </c>
      <c r="AY427" s="37"/>
      <c r="AZ427" s="181">
        <f>L427-AD427</f>
        <v>0</v>
      </c>
    </row>
    <row r="428" spans="1:52" ht="15.5" customHeight="1">
      <c r="A428" s="360" t="s">
        <v>372</v>
      </c>
      <c r="B428" s="340">
        <v>46252</v>
      </c>
      <c r="C428" s="181">
        <v>49674</v>
      </c>
      <c r="D428" s="30">
        <v>46252</v>
      </c>
      <c r="E428" s="30">
        <v>46249</v>
      </c>
      <c r="F428" s="30">
        <v>46254</v>
      </c>
      <c r="G428" s="37">
        <v>4420231568</v>
      </c>
      <c r="H428" s="37" t="s">
        <v>373</v>
      </c>
      <c r="I428" s="37">
        <v>9040044349</v>
      </c>
      <c r="J428" s="37" t="s">
        <v>157</v>
      </c>
      <c r="K428" s="325" t="s">
        <v>158</v>
      </c>
      <c r="L428" s="181">
        <v>120</v>
      </c>
      <c r="M428" s="181" t="s">
        <v>375</v>
      </c>
      <c r="N428" s="37" t="s">
        <v>449</v>
      </c>
      <c r="O428" s="31">
        <f>IF(F428&gt;0,F428-AB428,"")</f>
        <v>-11</v>
      </c>
      <c r="P428" s="37" t="str">
        <f>IF(F428&gt;0,IF(AB428="","PLANNING SUPPLY",IF(AB428&lt;=F428,"ONTIME DELIVERY","DELAY")),"")</f>
        <v>DELAY</v>
      </c>
      <c r="Q428" s="181" t="str">
        <f>IFERROR(IF(J428&gt;0,VLOOKUP(J428,#REF!,MATCH($Q$6,#REF!,0),0),""),"")</f>
        <v/>
      </c>
      <c r="R428" s="181" t="str">
        <f>IFERROR(IF(J428&gt;0,VLOOKUP(J428,#REF!,MATCH($R$6,#REF!,0),0),""),"")</f>
        <v/>
      </c>
      <c r="S428" s="181" t="e">
        <f>IF(I431&gt;0,Q428+R428,"")</f>
        <v>#VALUE!</v>
      </c>
      <c r="T428" s="181"/>
      <c r="U428" s="181"/>
      <c r="V428" s="37"/>
      <c r="W428" s="181" t="e">
        <f>IF(I431&gt;0,IF(S428&gt;L428,"READY STOCK",IF(S428=0,"OUT OF STOCK",IF(S428&lt;L428,"LOW STOCK",""))),"")</f>
        <v>#VALUE!</v>
      </c>
      <c r="X428" s="38"/>
      <c r="Y428" s="38"/>
      <c r="Z428" s="38"/>
      <c r="AA428" s="38"/>
      <c r="AB428" s="50">
        <v>46265</v>
      </c>
      <c r="AC428" s="181">
        <v>33920</v>
      </c>
      <c r="AD428" s="51">
        <v>120</v>
      </c>
      <c r="AE428" s="37" t="s">
        <v>383</v>
      </c>
      <c r="AF428" s="37" t="s">
        <v>381</v>
      </c>
      <c r="AG428" s="33" t="str">
        <f>IF(G428&gt;0,IF(AD428&gt;0,IF(AD428=0,"Waiting",IF(AD428&lt;L428,"Partial",IF(AD428=L428,"Full Supply",IF(AD428&gt;L428,"Over Shared")))),"Waiting"),"")</f>
        <v>Full Supply</v>
      </c>
      <c r="AH428" s="37"/>
      <c r="AI428" s="37"/>
      <c r="AJ428" s="181"/>
      <c r="AK428" s="40"/>
      <c r="AL428" s="40"/>
      <c r="AM428" s="40"/>
      <c r="AN428" s="37"/>
      <c r="AO428" s="34"/>
      <c r="AP428" s="37"/>
      <c r="AQ428" s="37"/>
      <c r="AR428" s="37"/>
      <c r="AS428" s="37"/>
      <c r="AT428" s="37">
        <f>AS428-AD428</f>
        <v>-120</v>
      </c>
      <c r="AU428" s="36" t="str">
        <f>IF(AR428=0,"Waiting",IF(AR428&lt;AH428,"Kurang",IF(AR428=AH428,"Sesuai",IF(AR428&gt;AH428,"Over Shared"))))</f>
        <v>Waiting</v>
      </c>
      <c r="AV428" s="37"/>
      <c r="AW428" s="37" t="str">
        <f>IFERROR(DATEDIF(AH428,AK428,"d"),"0")&amp;"-DAY"</f>
        <v>0-DAY</v>
      </c>
      <c r="AX428" s="37" t="str">
        <f>IFERROR(DATEDIF(B428,AB428,"d"),"0")&amp;"-DAY"</f>
        <v>13-DAY</v>
      </c>
      <c r="AY428" s="37"/>
      <c r="AZ428" s="181">
        <f>L428-AD428</f>
        <v>0</v>
      </c>
    </row>
    <row r="429" spans="1:52" ht="15.5" customHeight="1">
      <c r="A429" s="360" t="s">
        <v>372</v>
      </c>
      <c r="B429" s="340">
        <v>46252</v>
      </c>
      <c r="C429" s="181">
        <v>49675</v>
      </c>
      <c r="D429" s="30">
        <v>46252</v>
      </c>
      <c r="E429" s="30">
        <v>46247</v>
      </c>
      <c r="F429" s="30">
        <v>46262</v>
      </c>
      <c r="G429" s="37">
        <v>4420231480</v>
      </c>
      <c r="H429" s="37" t="s">
        <v>373</v>
      </c>
      <c r="I429" s="37">
        <v>9040040636</v>
      </c>
      <c r="J429" s="37" t="s">
        <v>167</v>
      </c>
      <c r="K429" s="325" t="s">
        <v>168</v>
      </c>
      <c r="L429" s="181">
        <v>2</v>
      </c>
      <c r="M429" s="181" t="s">
        <v>375</v>
      </c>
      <c r="N429" s="37" t="s">
        <v>940</v>
      </c>
      <c r="O429" s="31">
        <f>IF(F429&gt;0,F429-AB429,"")</f>
        <v>4</v>
      </c>
      <c r="P429" s="37" t="str">
        <f>IF(F429&gt;0,IF(AB429="","PLANNING SUPPLY",IF(AB429&lt;=F429,"ONTIME DELIVERY","DELAY")),"")</f>
        <v>ONTIME DELIVERY</v>
      </c>
      <c r="Q429" s="181" t="str">
        <f>IFERROR(IF(J429&gt;0,VLOOKUP(J429,#REF!,MATCH($Q$6,#REF!,0),0),""),"")</f>
        <v/>
      </c>
      <c r="R429" s="181" t="str">
        <f>IFERROR(IF(J429&gt;0,VLOOKUP(J429,#REF!,MATCH($R$6,#REF!,0),0),""),"")</f>
        <v/>
      </c>
      <c r="S429" s="181" t="e">
        <f>IF(I432&gt;0,Q429+R429,"")</f>
        <v>#VALUE!</v>
      </c>
      <c r="T429" s="181"/>
      <c r="U429" s="181"/>
      <c r="V429" s="37"/>
      <c r="W429" s="181" t="e">
        <f>IF(I432&gt;0,IF(S429&gt;L429,"READY STOCK",IF(S429=0,"OUT OF STOCK",IF(S429&lt;L429,"LOW STOCK",""))),"")</f>
        <v>#VALUE!</v>
      </c>
      <c r="X429" s="38"/>
      <c r="Y429" s="38"/>
      <c r="Z429" s="38"/>
      <c r="AA429" s="38"/>
      <c r="AB429" s="50">
        <v>46258</v>
      </c>
      <c r="AC429" s="181">
        <v>33838</v>
      </c>
      <c r="AD429" s="51">
        <v>2</v>
      </c>
      <c r="AE429" s="37" t="s">
        <v>383</v>
      </c>
      <c r="AF429" s="37" t="s">
        <v>381</v>
      </c>
      <c r="AG429" s="33" t="str">
        <f>IF(G429&gt;0,IF(AD429&gt;0,IF(AD429=0,"Waiting",IF(AD429&lt;L429,"Partial",IF(AD429=L429,"Full Supply",IF(AD429&gt;L429,"Over Shared")))),"Waiting"),"")</f>
        <v>Full Supply</v>
      </c>
      <c r="AH429" s="37"/>
      <c r="AI429" s="37"/>
      <c r="AJ429" s="181"/>
      <c r="AK429" s="40"/>
      <c r="AL429" s="40"/>
      <c r="AM429" s="40"/>
      <c r="AN429" s="37"/>
      <c r="AO429" s="34"/>
      <c r="AP429" s="37"/>
      <c r="AQ429" s="37"/>
      <c r="AR429" s="37"/>
      <c r="AS429" s="37"/>
      <c r="AT429" s="37">
        <f>AS429-AD429</f>
        <v>-2</v>
      </c>
      <c r="AU429" s="36" t="str">
        <f>IF(AR429=0,"Waiting",IF(AR429&lt;AH429,"Kurang",IF(AR429=AH429,"Sesuai",IF(AR429&gt;AH429,"Over Shared"))))</f>
        <v>Waiting</v>
      </c>
      <c r="AV429" s="37"/>
      <c r="AW429" s="37" t="str">
        <f>IFERROR(DATEDIF(AH429,AK429,"d"),"0")&amp;"-DAY"</f>
        <v>0-DAY</v>
      </c>
      <c r="AX429" s="37" t="str">
        <f>IFERROR(DATEDIF(B429,AB429,"d"),"0")&amp;"-DAY"</f>
        <v>6-DAY</v>
      </c>
      <c r="AY429" s="37"/>
      <c r="AZ429" s="181">
        <f>L429-AD429</f>
        <v>0</v>
      </c>
    </row>
    <row r="430" spans="1:52" ht="15.5" customHeight="1">
      <c r="A430" s="360" t="s">
        <v>372</v>
      </c>
      <c r="B430" s="340">
        <v>46252</v>
      </c>
      <c r="C430" s="181">
        <v>49676</v>
      </c>
      <c r="D430" s="30">
        <v>46252</v>
      </c>
      <c r="E430" s="30">
        <v>46248</v>
      </c>
      <c r="F430" s="30">
        <v>46295</v>
      </c>
      <c r="G430" s="37">
        <v>4420231498</v>
      </c>
      <c r="H430" s="37" t="s">
        <v>373</v>
      </c>
      <c r="I430" s="37">
        <v>9040040933</v>
      </c>
      <c r="J430" s="37" t="s">
        <v>295</v>
      </c>
      <c r="K430" s="325" t="s">
        <v>296</v>
      </c>
      <c r="L430" s="181">
        <v>5</v>
      </c>
      <c r="M430" s="181" t="s">
        <v>375</v>
      </c>
      <c r="N430" s="37" t="s">
        <v>400</v>
      </c>
      <c r="O430" s="31">
        <f>IF(F430&gt;0,F430-AB430,"")</f>
        <v>30</v>
      </c>
      <c r="P430" s="37" t="str">
        <f>IF(F430&gt;0,IF(AB430="","PLANNING SUPPLY",IF(AB430&lt;=F430,"ONTIME DELIVERY","DELAY")),"")</f>
        <v>ONTIME DELIVERY</v>
      </c>
      <c r="Q430" s="181" t="str">
        <f>IFERROR(IF(J430&gt;0,VLOOKUP(J430,#REF!,MATCH($Q$6,#REF!,0),0),""),"")</f>
        <v/>
      </c>
      <c r="R430" s="181" t="str">
        <f>IFERROR(IF(J430&gt;0,VLOOKUP(J430,#REF!,MATCH($R$6,#REF!,0),0),""),"")</f>
        <v/>
      </c>
      <c r="S430" s="181" t="e">
        <f>IF(I433&gt;0,Q430+R430,"")</f>
        <v>#VALUE!</v>
      </c>
      <c r="T430" s="181"/>
      <c r="U430" s="181"/>
      <c r="V430" s="37"/>
      <c r="W430" s="181" t="e">
        <f>IF(I433&gt;0,IF(S430&gt;L430,"READY STOCK",IF(S430=0,"OUT OF STOCK",IF(S430&lt;L430,"LOW STOCK",""))),"")</f>
        <v>#VALUE!</v>
      </c>
      <c r="X430" s="38"/>
      <c r="Y430" s="38"/>
      <c r="Z430" s="38"/>
      <c r="AA430" s="38"/>
      <c r="AB430" s="50">
        <v>46265</v>
      </c>
      <c r="AC430" s="181">
        <v>33921</v>
      </c>
      <c r="AD430" s="51">
        <v>5</v>
      </c>
      <c r="AE430" s="37" t="s">
        <v>383</v>
      </c>
      <c r="AF430" s="37" t="s">
        <v>381</v>
      </c>
      <c r="AG430" s="33" t="str">
        <f>IF(G430&gt;0,IF(AD430&gt;0,IF(AD430=0,"Waiting",IF(AD430&lt;L430,"Partial",IF(AD430=L430,"Full Supply",IF(AD430&gt;L430,"Over Shared")))),"Waiting"),"")</f>
        <v>Full Supply</v>
      </c>
      <c r="AH430" s="37"/>
      <c r="AI430" s="37"/>
      <c r="AJ430" s="181"/>
      <c r="AK430" s="40"/>
      <c r="AL430" s="40"/>
      <c r="AM430" s="40"/>
      <c r="AN430" s="37"/>
      <c r="AO430" s="34"/>
      <c r="AP430" s="37"/>
      <c r="AQ430" s="37"/>
      <c r="AR430" s="37"/>
      <c r="AS430" s="37"/>
      <c r="AT430" s="37">
        <f>AS430-AD430</f>
        <v>-5</v>
      </c>
      <c r="AU430" s="36" t="str">
        <f>IF(AR430=0,"Waiting",IF(AR430&lt;AH430,"Kurang",IF(AR430=AH430,"Sesuai",IF(AR430&gt;AH430,"Over Shared"))))</f>
        <v>Waiting</v>
      </c>
      <c r="AV430" s="37"/>
      <c r="AW430" s="37" t="str">
        <f>IFERROR(DATEDIF(AH430,AK430,"d"),"0")&amp;"-DAY"</f>
        <v>0-DAY</v>
      </c>
      <c r="AX430" s="37" t="str">
        <f>IFERROR(DATEDIF(B430,AB430,"d"),"0")&amp;"-DAY"</f>
        <v>13-DAY</v>
      </c>
      <c r="AY430" s="37"/>
      <c r="AZ430" s="181">
        <f>L430-AD430</f>
        <v>0</v>
      </c>
    </row>
    <row r="431" spans="1:52" ht="15.5" customHeight="1">
      <c r="A431" s="360" t="s">
        <v>372</v>
      </c>
      <c r="B431" s="340">
        <v>46252</v>
      </c>
      <c r="C431" s="181">
        <v>49676</v>
      </c>
      <c r="D431" s="30">
        <v>46252</v>
      </c>
      <c r="E431" s="30">
        <v>46248</v>
      </c>
      <c r="F431" s="30">
        <v>46295</v>
      </c>
      <c r="G431" s="37">
        <v>4420231498</v>
      </c>
      <c r="H431" s="37" t="s">
        <v>373</v>
      </c>
      <c r="I431" s="37">
        <v>9040017347</v>
      </c>
      <c r="J431" s="37" t="s">
        <v>72</v>
      </c>
      <c r="K431" s="325" t="s">
        <v>73</v>
      </c>
      <c r="L431" s="181">
        <v>4</v>
      </c>
      <c r="M431" s="181" t="s">
        <v>375</v>
      </c>
      <c r="N431" s="37" t="s">
        <v>400</v>
      </c>
      <c r="O431" s="31">
        <f>IF(F431&gt;0,F431-AB431,"")</f>
        <v>-19</v>
      </c>
      <c r="P431" s="37" t="str">
        <f>IF(F431&gt;0,IF(AB431="","PLANNING SUPPLY",IF(AB431&lt;=F431,"ONTIME DELIVERY","DELAY")),"")</f>
        <v>DELAY</v>
      </c>
      <c r="Q431" s="181" t="str">
        <f>IFERROR(IF(J431&gt;0,VLOOKUP(J431,#REF!,MATCH($Q$6,#REF!,0),0),""),"")</f>
        <v/>
      </c>
      <c r="R431" s="181" t="str">
        <f>IFERROR(IF(J431&gt;0,VLOOKUP(J431,#REF!,MATCH($R$6,#REF!,0),0),""),"")</f>
        <v/>
      </c>
      <c r="S431" s="181" t="e">
        <f>IF(I434&gt;0,Q431+R431,"")</f>
        <v>#VALUE!</v>
      </c>
      <c r="T431" s="181"/>
      <c r="U431" s="181"/>
      <c r="V431" s="37"/>
      <c r="W431" s="181" t="e">
        <f>IF(I434&gt;0,IF(S431&gt;L431,"READY STOCK",IF(S431=0,"OUT OF STOCK",IF(S431&lt;L431,"LOW STOCK",""))),"")</f>
        <v>#VALUE!</v>
      </c>
      <c r="X431" s="38"/>
      <c r="Y431" s="38"/>
      <c r="Z431" s="38"/>
      <c r="AA431" s="38"/>
      <c r="AB431" s="50">
        <v>46314</v>
      </c>
      <c r="AC431" s="44" t="s">
        <v>1304</v>
      </c>
      <c r="AD431" s="51">
        <v>4</v>
      </c>
      <c r="AE431" s="37" t="s">
        <v>387</v>
      </c>
      <c r="AF431" s="37" t="s">
        <v>381</v>
      </c>
      <c r="AG431" s="33" t="str">
        <f>IF(G431&gt;0,IF(AD431&gt;0,IF(AD431=0,"Waiting",IF(AD431&lt;L431,"Partial",IF(AD431=L431,"Full Supply",IF(AD431&gt;L431,"Over Shared")))),"Waiting"),"")</f>
        <v>Full Supply</v>
      </c>
      <c r="AH431" s="56">
        <v>46266</v>
      </c>
      <c r="AI431" s="37" t="s">
        <v>1130</v>
      </c>
      <c r="AJ431" s="181">
        <v>4</v>
      </c>
      <c r="AK431" s="40">
        <v>26184</v>
      </c>
      <c r="AL431" s="189">
        <v>46269</v>
      </c>
      <c r="AM431" s="40">
        <v>5</v>
      </c>
      <c r="AN431" s="212"/>
      <c r="AO431" s="220">
        <v>46273</v>
      </c>
      <c r="AP431" s="37"/>
      <c r="AQ431" s="37"/>
      <c r="AR431" s="37"/>
      <c r="AS431" s="37"/>
      <c r="AT431" s="37">
        <f>AS431-AD431</f>
        <v>-4</v>
      </c>
      <c r="AU431" s="36" t="str">
        <f>IF(AR431=0,"Waiting",IF(AR431&lt;AH431,"Kurang",IF(AR431=AH431,"Sesuai",IF(AR431&gt;AH431,"Over Shared"))))</f>
        <v>Waiting</v>
      </c>
      <c r="AV431" s="37"/>
      <c r="AW431" s="37" t="str">
        <f>IFERROR(DATEDIF(AH431,AK431,"d"),"0")&amp;"-DAY"</f>
        <v>0-DAY</v>
      </c>
      <c r="AX431" s="37" t="str">
        <f>IFERROR(DATEDIF(B431,AB431,"d"),"0")&amp;"-DAY"</f>
        <v>62-DAY</v>
      </c>
      <c r="AY431" s="37"/>
      <c r="AZ431" s="181">
        <f>L431-AD431</f>
        <v>0</v>
      </c>
    </row>
    <row r="432" spans="1:52" ht="15.5" customHeight="1">
      <c r="A432" s="360" t="s">
        <v>372</v>
      </c>
      <c r="B432" s="340">
        <v>46252</v>
      </c>
      <c r="C432" s="181">
        <v>49677</v>
      </c>
      <c r="D432" s="30">
        <v>46252</v>
      </c>
      <c r="E432" s="30">
        <v>46246</v>
      </c>
      <c r="F432" s="30">
        <v>46259</v>
      </c>
      <c r="G432" s="37">
        <v>4420231339</v>
      </c>
      <c r="H432" s="37" t="s">
        <v>373</v>
      </c>
      <c r="I432" s="37">
        <v>9040044494</v>
      </c>
      <c r="J432" s="37" t="s">
        <v>152</v>
      </c>
      <c r="K432" s="325" t="s">
        <v>153</v>
      </c>
      <c r="L432" s="181">
        <v>5</v>
      </c>
      <c r="M432" s="181" t="s">
        <v>375</v>
      </c>
      <c r="N432" s="37" t="s">
        <v>940</v>
      </c>
      <c r="O432" s="31">
        <f>IF(F432&gt;0,F432-AB432,"")</f>
        <v>-48</v>
      </c>
      <c r="P432" s="37" t="str">
        <f>IF(F432&gt;0,IF(AB432="","PLANNING SUPPLY",IF(AB432&lt;=F432,"ONTIME DELIVERY","DELAY")),"")</f>
        <v>DELAY</v>
      </c>
      <c r="Q432" s="181" t="str">
        <f>IFERROR(IF(J432&gt;0,VLOOKUP(J432,#REF!,MATCH($Q$6,#REF!,0),0),""),"")</f>
        <v/>
      </c>
      <c r="R432" s="181" t="str">
        <f>IFERROR(IF(J432&gt;0,VLOOKUP(J432,#REF!,MATCH($R$6,#REF!,0),0),""),"")</f>
        <v/>
      </c>
      <c r="S432" s="181" t="e">
        <f>IF(I435&gt;0,Q432+R432,"")</f>
        <v>#VALUE!</v>
      </c>
      <c r="T432" s="181"/>
      <c r="U432" s="181"/>
      <c r="V432" s="37"/>
      <c r="W432" s="181" t="e">
        <f>IF(I435&gt;0,IF(S432&gt;L432,"READY STOCK",IF(S432=0,"OUT OF STOCK",IF(S432&lt;L432,"LOW STOCK",""))),"")</f>
        <v>#VALUE!</v>
      </c>
      <c r="X432" s="38"/>
      <c r="Y432" s="38"/>
      <c r="Z432" s="38"/>
      <c r="AA432" s="38"/>
      <c r="AB432" s="50">
        <v>46307</v>
      </c>
      <c r="AC432" s="181">
        <v>34396</v>
      </c>
      <c r="AD432" s="51">
        <v>5</v>
      </c>
      <c r="AE432" s="37"/>
      <c r="AF432" s="37"/>
      <c r="AG432" s="33" t="str">
        <f>IF(G432&gt;0,IF(AD432&gt;0,IF(AD432=0,"Waiting",IF(AD432&lt;L432,"Partial",IF(AD432=L432,"Full Supply",IF(AD432&gt;L432,"Over Shared")))),"Waiting"),"")</f>
        <v>Full Supply</v>
      </c>
      <c r="AH432" s="37"/>
      <c r="AI432" s="37"/>
      <c r="AJ432" s="181"/>
      <c r="AK432" s="40"/>
      <c r="AL432" s="40"/>
      <c r="AM432" s="40"/>
      <c r="AN432" s="37"/>
      <c r="AO432" s="34"/>
      <c r="AP432" s="37"/>
      <c r="AQ432" s="37"/>
      <c r="AR432" s="37"/>
      <c r="AS432" s="37"/>
      <c r="AT432" s="37">
        <f>AS432-AD432</f>
        <v>-5</v>
      </c>
      <c r="AU432" s="36" t="str">
        <f>IF(AR432=0,"Waiting",IF(AR432&lt;AH432,"Kurang",IF(AR432=AH432,"Sesuai",IF(AR432&gt;AH432,"Over Shared"))))</f>
        <v>Waiting</v>
      </c>
      <c r="AV432" s="37"/>
      <c r="AW432" s="37" t="str">
        <f>IFERROR(DATEDIF(AH432,AK432,"d"),"0")&amp;"-DAY"</f>
        <v>0-DAY</v>
      </c>
      <c r="AX432" s="37" t="str">
        <f>IFERROR(DATEDIF(B432,AB432,"d"),"0")&amp;"-DAY"</f>
        <v>55-DAY</v>
      </c>
      <c r="AY432" s="37"/>
      <c r="AZ432" s="181">
        <f>L432-AD432</f>
        <v>0</v>
      </c>
    </row>
    <row r="433" spans="1:52" ht="15.5" customHeight="1">
      <c r="A433" s="360" t="s">
        <v>372</v>
      </c>
      <c r="B433" s="340">
        <v>46252</v>
      </c>
      <c r="C433" s="181">
        <v>49677</v>
      </c>
      <c r="D433" s="30">
        <v>46252</v>
      </c>
      <c r="E433" s="30">
        <v>46246</v>
      </c>
      <c r="F433" s="30">
        <v>46259</v>
      </c>
      <c r="G433" s="37">
        <v>4420231339</v>
      </c>
      <c r="H433" s="37" t="s">
        <v>373</v>
      </c>
      <c r="I433" s="37">
        <v>9040052369</v>
      </c>
      <c r="J433" s="37" t="s">
        <v>199</v>
      </c>
      <c r="K433" s="325" t="s">
        <v>200</v>
      </c>
      <c r="L433" s="181">
        <v>10</v>
      </c>
      <c r="M433" s="181" t="s">
        <v>375</v>
      </c>
      <c r="N433" s="37" t="s">
        <v>940</v>
      </c>
      <c r="O433" s="31">
        <f>IF(F433&gt;0,F433-AB433,"")</f>
        <v>-41</v>
      </c>
      <c r="P433" s="37" t="str">
        <f>IF(F433&gt;0,IF(AB433="","PLANNING SUPPLY",IF(AB433&lt;=F433,"ONTIME DELIVERY","DELAY")),"")</f>
        <v>DELAY</v>
      </c>
      <c r="Q433" s="181" t="str">
        <f>IFERROR(IF(J433&gt;0,VLOOKUP(J433,#REF!,MATCH($Q$6,#REF!,0),0),""),"")</f>
        <v/>
      </c>
      <c r="R433" s="181" t="str">
        <f>IFERROR(IF(J433&gt;0,VLOOKUP(J433,#REF!,MATCH($R$6,#REF!,0),0),""),"")</f>
        <v/>
      </c>
      <c r="S433" s="181" t="e">
        <f>IF(I436&gt;0,Q433+R433,"")</f>
        <v>#VALUE!</v>
      </c>
      <c r="T433" s="181"/>
      <c r="U433" s="181"/>
      <c r="V433" s="37"/>
      <c r="W433" s="181" t="e">
        <f>IF(I436&gt;0,IF(S433&gt;L433,"READY STOCK",IF(S433=0,"OUT OF STOCK",IF(S433&lt;L433,"LOW STOCK",""))),"")</f>
        <v>#VALUE!</v>
      </c>
      <c r="X433" s="38"/>
      <c r="Y433" s="38"/>
      <c r="Z433" s="38"/>
      <c r="AA433" s="38"/>
      <c r="AB433" s="50">
        <v>46300</v>
      </c>
      <c r="AC433" s="44">
        <v>34718</v>
      </c>
      <c r="AD433" s="51">
        <v>10</v>
      </c>
      <c r="AE433" s="37" t="s">
        <v>387</v>
      </c>
      <c r="AF433" s="37" t="s">
        <v>381</v>
      </c>
      <c r="AG433" s="33" t="str">
        <f>IF(G433&gt;0,IF(AD433&gt;0,IF(AD433=0,"Waiting",IF(AD433&lt;L433,"Partial",IF(AD433=L433,"Full Supply",IF(AD433&gt;L433,"Over Shared")))),"Waiting"),"")</f>
        <v>Full Supply</v>
      </c>
      <c r="AH433" s="37"/>
      <c r="AI433" s="37"/>
      <c r="AJ433" s="181"/>
      <c r="AK433" s="40"/>
      <c r="AL433" s="40"/>
      <c r="AM433" s="40"/>
      <c r="AN433" s="37"/>
      <c r="AO433" s="34"/>
      <c r="AP433" s="37"/>
      <c r="AQ433" s="37"/>
      <c r="AR433" s="37"/>
      <c r="AS433" s="37"/>
      <c r="AT433" s="37">
        <f>AS433-AD433</f>
        <v>-10</v>
      </c>
      <c r="AU433" s="36" t="str">
        <f>IF(AR433=0,"Waiting",IF(AR433&lt;AH433,"Kurang",IF(AR433=AH433,"Sesuai",IF(AR433&gt;AH433,"Over Shared"))))</f>
        <v>Waiting</v>
      </c>
      <c r="AV433" s="37"/>
      <c r="AW433" s="37" t="str">
        <f>IFERROR(DATEDIF(AH433,AK433,"d"),"0")&amp;"-DAY"</f>
        <v>0-DAY</v>
      </c>
      <c r="AX433" s="37" t="str">
        <f>IFERROR(DATEDIF(B433,AB433,"d"),"0")&amp;"-DAY"</f>
        <v>48-DAY</v>
      </c>
      <c r="AY433" s="37"/>
      <c r="AZ433" s="181">
        <f>L433-AD433</f>
        <v>0</v>
      </c>
    </row>
    <row r="434" spans="1:52" ht="15.5" customHeight="1">
      <c r="A434" s="360" t="s">
        <v>372</v>
      </c>
      <c r="B434" s="340">
        <v>46252</v>
      </c>
      <c r="C434" s="181">
        <v>49677</v>
      </c>
      <c r="D434" s="30">
        <v>46252</v>
      </c>
      <c r="E434" s="30">
        <v>46246</v>
      </c>
      <c r="F434" s="30">
        <v>46259</v>
      </c>
      <c r="G434" s="37">
        <v>4420231339</v>
      </c>
      <c r="H434" s="37" t="s">
        <v>373</v>
      </c>
      <c r="I434" s="37">
        <v>9040054606</v>
      </c>
      <c r="J434" s="37" t="s">
        <v>215</v>
      </c>
      <c r="K434" s="325" t="s">
        <v>216</v>
      </c>
      <c r="L434" s="181">
        <v>1</v>
      </c>
      <c r="M434" s="181" t="s">
        <v>375</v>
      </c>
      <c r="N434" s="37" t="s">
        <v>940</v>
      </c>
      <c r="O434" s="31">
        <f>IF(F434&gt;0,F434-AB434,"")</f>
        <v>-13</v>
      </c>
      <c r="P434" s="37" t="str">
        <f>IF(F434&gt;0,IF(AB434="","PLANNING SUPPLY",IF(AB434&lt;=F434,"ONTIME DELIVERY","DELAY")),"")</f>
        <v>DELAY</v>
      </c>
      <c r="Q434" s="181" t="str">
        <f>IFERROR(IF(J434&gt;0,VLOOKUP(J434,#REF!,MATCH($Q$6,#REF!,0),0),""),"")</f>
        <v/>
      </c>
      <c r="R434" s="181" t="str">
        <f>IFERROR(IF(J434&gt;0,VLOOKUP(J434,#REF!,MATCH($R$6,#REF!,0),0),""),"")</f>
        <v/>
      </c>
      <c r="S434" s="181" t="e">
        <f>IF(I437&gt;0,Q434+R434,"")</f>
        <v>#VALUE!</v>
      </c>
      <c r="T434" s="181"/>
      <c r="U434" s="181"/>
      <c r="V434" s="37"/>
      <c r="W434" s="181" t="e">
        <f>IF(I437&gt;0,IF(S434&gt;L434,"READY STOCK",IF(S434=0,"OUT OF STOCK",IF(S434&lt;L434,"LOW STOCK",""))),"")</f>
        <v>#VALUE!</v>
      </c>
      <c r="X434" s="38"/>
      <c r="Y434" s="38"/>
      <c r="Z434" s="38"/>
      <c r="AA434" s="38"/>
      <c r="AB434" s="50">
        <v>46272</v>
      </c>
      <c r="AC434" s="181">
        <v>34095</v>
      </c>
      <c r="AD434" s="51">
        <v>1</v>
      </c>
      <c r="AE434" s="37" t="s">
        <v>383</v>
      </c>
      <c r="AF434" s="37" t="s">
        <v>381</v>
      </c>
      <c r="AG434" s="33" t="str">
        <f>IF(G434&gt;0,IF(AD434&gt;0,IF(AD434=0,"Waiting",IF(AD434&lt;L434,"Partial",IF(AD434=L434,"Full Supply",IF(AD434&gt;L434,"Over Shared")))),"Waiting"),"")</f>
        <v>Full Supply</v>
      </c>
      <c r="AH434" s="56">
        <v>46253</v>
      </c>
      <c r="AI434" s="37" t="s">
        <v>1302</v>
      </c>
      <c r="AJ434" s="181">
        <v>6</v>
      </c>
      <c r="AK434" s="40">
        <v>25646</v>
      </c>
      <c r="AL434" s="218">
        <v>46218</v>
      </c>
      <c r="AM434" s="40">
        <v>300</v>
      </c>
      <c r="AN434" s="212"/>
      <c r="AO434" s="41">
        <v>46254</v>
      </c>
      <c r="AP434" s="37"/>
      <c r="AQ434" s="37"/>
      <c r="AR434" s="37"/>
      <c r="AS434" s="37"/>
      <c r="AT434" s="37">
        <f>AS434-AD434</f>
        <v>-1</v>
      </c>
      <c r="AU434" s="36" t="str">
        <f>IF(AR434=0,"Waiting",IF(AR434&lt;AH434,"Kurang",IF(AR434=AH434,"Sesuai",IF(AR434&gt;AH434,"Over Shared"))))</f>
        <v>Waiting</v>
      </c>
      <c r="AV434" s="37"/>
      <c r="AW434" s="37" t="str">
        <f>IFERROR(DATEDIF(AH434,AK434,"d"),"0")&amp;"-DAY"</f>
        <v>0-DAY</v>
      </c>
      <c r="AX434" s="37" t="str">
        <f>IFERROR(DATEDIF(B434,AB434,"d"),"0")&amp;"-DAY"</f>
        <v>20-DAY</v>
      </c>
      <c r="AY434" s="37"/>
      <c r="AZ434" s="181">
        <f>L434-AD434</f>
        <v>0</v>
      </c>
    </row>
    <row r="435" spans="1:52" ht="15.5" customHeight="1">
      <c r="A435" s="360" t="s">
        <v>372</v>
      </c>
      <c r="B435" s="340">
        <v>46252</v>
      </c>
      <c r="C435" s="181">
        <v>49677</v>
      </c>
      <c r="D435" s="30">
        <v>46252</v>
      </c>
      <c r="E435" s="30">
        <v>46246</v>
      </c>
      <c r="F435" s="30">
        <v>46259</v>
      </c>
      <c r="G435" s="37">
        <v>4420231339</v>
      </c>
      <c r="H435" s="37" t="s">
        <v>373</v>
      </c>
      <c r="I435" s="37">
        <v>9040055051</v>
      </c>
      <c r="J435" s="37" t="s">
        <v>10</v>
      </c>
      <c r="K435" s="325" t="s">
        <v>149</v>
      </c>
      <c r="L435" s="181">
        <v>3</v>
      </c>
      <c r="M435" s="181" t="s">
        <v>375</v>
      </c>
      <c r="N435" s="37" t="s">
        <v>940</v>
      </c>
      <c r="O435" s="31">
        <f>IF(F435&gt;0,F435-AB435,"")</f>
        <v>-22</v>
      </c>
      <c r="P435" s="37" t="str">
        <f>IF(F435&gt;0,IF(AB435="","PLANNING SUPPLY",IF(AB435&lt;=F435,"ONTIME DELIVERY","DELAY")),"")</f>
        <v>DELAY</v>
      </c>
      <c r="Q435" s="181" t="str">
        <f>IFERROR(IF(J435&gt;0,VLOOKUP(J435,#REF!,MATCH($Q$6,#REF!,0),0),""),"")</f>
        <v/>
      </c>
      <c r="R435" s="181" t="str">
        <f>IFERROR(IF(J435&gt;0,VLOOKUP(J435,#REF!,MATCH($R$6,#REF!,0),0),""),"")</f>
        <v/>
      </c>
      <c r="S435" s="181" t="e">
        <f>IF(I438&gt;0,Q435+R435,"")</f>
        <v>#VALUE!</v>
      </c>
      <c r="T435" s="181"/>
      <c r="U435" s="181"/>
      <c r="V435" s="37"/>
      <c r="W435" s="181" t="e">
        <f>IF(I438&gt;0,IF(S435&gt;L435,"READY STOCK",IF(S435=0,"OUT OF STOCK",IF(S435&lt;L435,"LOW STOCK",""))),"")</f>
        <v>#VALUE!</v>
      </c>
      <c r="X435" s="38"/>
      <c r="Y435" s="38"/>
      <c r="Z435" s="38"/>
      <c r="AA435" s="38"/>
      <c r="AB435" s="50">
        <v>46281</v>
      </c>
      <c r="AC435" s="181">
        <v>34274</v>
      </c>
      <c r="AD435" s="51">
        <v>3</v>
      </c>
      <c r="AE435" s="37" t="s">
        <v>383</v>
      </c>
      <c r="AF435" s="37" t="s">
        <v>381</v>
      </c>
      <c r="AG435" s="33" t="str">
        <f>IF(G435&gt;0,IF(AD435&gt;0,IF(AD435=0,"Waiting",IF(AD435&lt;L435,"Partial",IF(AD435=L435,"Full Supply",IF(AD435&gt;L435,"Over Shared")))),"Waiting"),"")</f>
        <v>Full Supply</v>
      </c>
      <c r="AH435" s="37"/>
      <c r="AI435" s="37"/>
      <c r="AJ435" s="181"/>
      <c r="AK435" s="40"/>
      <c r="AL435" s="40"/>
      <c r="AM435" s="40"/>
      <c r="AN435" s="37"/>
      <c r="AO435" s="34"/>
      <c r="AP435" s="37"/>
      <c r="AQ435" s="37"/>
      <c r="AR435" s="37"/>
      <c r="AS435" s="37"/>
      <c r="AT435" s="37">
        <f>AS435-AD435</f>
        <v>-3</v>
      </c>
      <c r="AU435" s="36" t="str">
        <f>IF(AR435=0,"Waiting",IF(AR435&lt;AH435,"Kurang",IF(AR435=AH435,"Sesuai",IF(AR435&gt;AH435,"Over Shared"))))</f>
        <v>Waiting</v>
      </c>
      <c r="AV435" s="37"/>
      <c r="AW435" s="37" t="str">
        <f>IFERROR(DATEDIF(AH435,AK435,"d"),"0")&amp;"-DAY"</f>
        <v>0-DAY</v>
      </c>
      <c r="AX435" s="37" t="str">
        <f>IFERROR(DATEDIF(B435,AB435,"d"),"0")&amp;"-DAY"</f>
        <v>29-DAY</v>
      </c>
      <c r="AY435" s="37"/>
      <c r="AZ435" s="181">
        <f>L435-AD435</f>
        <v>0</v>
      </c>
    </row>
    <row r="436" spans="1:52" ht="15.5" customHeight="1">
      <c r="A436" s="360" t="s">
        <v>372</v>
      </c>
      <c r="B436" s="340">
        <v>46252</v>
      </c>
      <c r="C436" s="181">
        <v>49677</v>
      </c>
      <c r="D436" s="30">
        <v>46252</v>
      </c>
      <c r="E436" s="30">
        <v>46246</v>
      </c>
      <c r="F436" s="30">
        <v>46259</v>
      </c>
      <c r="G436" s="37">
        <v>4420231339</v>
      </c>
      <c r="H436" s="37" t="s">
        <v>373</v>
      </c>
      <c r="I436" s="37">
        <v>9040058616</v>
      </c>
      <c r="J436" s="37" t="s">
        <v>213</v>
      </c>
      <c r="K436" s="325" t="s">
        <v>214</v>
      </c>
      <c r="L436" s="181">
        <v>2</v>
      </c>
      <c r="M436" s="181" t="s">
        <v>375</v>
      </c>
      <c r="N436" s="37" t="s">
        <v>940</v>
      </c>
      <c r="O436" s="31">
        <f>IF(F436&gt;0,F436-AB436,"")</f>
        <v>-13</v>
      </c>
      <c r="P436" s="37" t="str">
        <f>IF(F436&gt;0,IF(AB436="","PLANNING SUPPLY",IF(AB436&lt;=F436,"ONTIME DELIVERY","DELAY")),"")</f>
        <v>DELAY</v>
      </c>
      <c r="Q436" s="181" t="str">
        <f>IFERROR(IF(J436&gt;0,VLOOKUP(J436,#REF!,MATCH($Q$6,#REF!,0),0),""),"")</f>
        <v/>
      </c>
      <c r="R436" s="181" t="str">
        <f>IFERROR(IF(J436&gt;0,VLOOKUP(J436,#REF!,MATCH($R$6,#REF!,0),0),""),"")</f>
        <v/>
      </c>
      <c r="S436" s="181" t="e">
        <f>IF(I439&gt;0,Q436+R436,"")</f>
        <v>#VALUE!</v>
      </c>
      <c r="T436" s="181"/>
      <c r="U436" s="181"/>
      <c r="V436" s="37"/>
      <c r="W436" s="181" t="e">
        <f>IF(I439&gt;0,IF(S436&gt;L436,"READY STOCK",IF(S436=0,"OUT OF STOCK",IF(S436&lt;L436,"LOW STOCK",""))),"")</f>
        <v>#VALUE!</v>
      </c>
      <c r="X436" s="38"/>
      <c r="Y436" s="38"/>
      <c r="Z436" s="38"/>
      <c r="AA436" s="38"/>
      <c r="AB436" s="50">
        <v>46272</v>
      </c>
      <c r="AC436" s="181">
        <v>34095</v>
      </c>
      <c r="AD436" s="51">
        <v>2</v>
      </c>
      <c r="AE436" s="37" t="s">
        <v>383</v>
      </c>
      <c r="AF436" s="37" t="s">
        <v>381</v>
      </c>
      <c r="AG436" s="33" t="str">
        <f>IF(G436&gt;0,IF(AD436&gt;0,IF(AD436=0,"Waiting",IF(AD436&lt;L436,"Partial",IF(AD436=L436,"Full Supply",IF(AD436&gt;L436,"Over Shared")))),"Waiting"),"")</f>
        <v>Full Supply</v>
      </c>
      <c r="AH436" s="56">
        <v>46253</v>
      </c>
      <c r="AI436" s="37" t="s">
        <v>1302</v>
      </c>
      <c r="AJ436" s="181">
        <v>2</v>
      </c>
      <c r="AK436" s="40">
        <v>25646</v>
      </c>
      <c r="AL436" s="218">
        <v>46218</v>
      </c>
      <c r="AM436" s="40">
        <v>300</v>
      </c>
      <c r="AN436" s="212"/>
      <c r="AO436" s="41">
        <v>46254</v>
      </c>
      <c r="AP436" s="37"/>
      <c r="AQ436" s="37"/>
      <c r="AR436" s="37"/>
      <c r="AS436" s="37"/>
      <c r="AT436" s="37">
        <f>AS436-AD436</f>
        <v>-2</v>
      </c>
      <c r="AU436" s="36" t="str">
        <f>IF(AR436=0,"Waiting",IF(AR436&lt;AH436,"Kurang",IF(AR436=AH436,"Sesuai",IF(AR436&gt;AH436,"Over Shared"))))</f>
        <v>Waiting</v>
      </c>
      <c r="AV436" s="37"/>
      <c r="AW436" s="37" t="str">
        <f>IFERROR(DATEDIF(AH436,AK436,"d"),"0")&amp;"-DAY"</f>
        <v>0-DAY</v>
      </c>
      <c r="AX436" s="37" t="str">
        <f>IFERROR(DATEDIF(B436,AB436,"d"),"0")&amp;"-DAY"</f>
        <v>20-DAY</v>
      </c>
      <c r="AY436" s="37"/>
      <c r="AZ436" s="181">
        <f>L436-AD436</f>
        <v>0</v>
      </c>
    </row>
    <row r="437" spans="1:52" ht="15.5" customHeight="1">
      <c r="A437" s="360" t="s">
        <v>372</v>
      </c>
      <c r="B437" s="340">
        <v>46252</v>
      </c>
      <c r="C437" s="181">
        <v>49677</v>
      </c>
      <c r="D437" s="30">
        <v>46252</v>
      </c>
      <c r="E437" s="30">
        <v>46246</v>
      </c>
      <c r="F437" s="30">
        <v>46259</v>
      </c>
      <c r="G437" s="37">
        <v>4420231339</v>
      </c>
      <c r="H437" s="37" t="s">
        <v>373</v>
      </c>
      <c r="I437" s="37">
        <v>9040014955</v>
      </c>
      <c r="J437" s="37" t="s">
        <v>27</v>
      </c>
      <c r="K437" s="325" t="s">
        <v>28</v>
      </c>
      <c r="L437" s="181">
        <v>4</v>
      </c>
      <c r="M437" s="181" t="s">
        <v>375</v>
      </c>
      <c r="N437" s="37" t="s">
        <v>940</v>
      </c>
      <c r="O437" s="31">
        <f>IF(F437&gt;0,F437-AB437,"")</f>
        <v>-2</v>
      </c>
      <c r="P437" s="37" t="str">
        <f>IF(F437&gt;0,IF(AB437="","PLANNING SUPPLY",IF(AB437&lt;=F437,"ONTIME DELIVERY","DELAY")),"")</f>
        <v>DELAY</v>
      </c>
      <c r="Q437" s="181" t="str">
        <f>IFERROR(IF(J437&gt;0,VLOOKUP(J437,#REF!,MATCH($Q$6,#REF!,0),0),""),"")</f>
        <v/>
      </c>
      <c r="R437" s="181" t="str">
        <f>IFERROR(IF(J437&gt;0,VLOOKUP(J437,#REF!,MATCH($R$6,#REF!,0),0),""),"")</f>
        <v/>
      </c>
      <c r="S437" s="181" t="e">
        <f>IF(I440&gt;0,Q437+R437,"")</f>
        <v>#VALUE!</v>
      </c>
      <c r="T437" s="181"/>
      <c r="U437" s="181"/>
      <c r="V437" s="37"/>
      <c r="W437" s="181" t="e">
        <f>IF(I440&gt;0,IF(S437&gt;L437,"READY STOCK",IF(S437=0,"OUT OF STOCK",IF(S437&lt;L437,"LOW STOCK",""))),"")</f>
        <v>#VALUE!</v>
      </c>
      <c r="X437" s="38"/>
      <c r="Y437" s="38"/>
      <c r="Z437" s="38"/>
      <c r="AA437" s="38"/>
      <c r="AB437" s="50">
        <v>46261</v>
      </c>
      <c r="AC437" s="181">
        <v>33897</v>
      </c>
      <c r="AD437" s="51">
        <v>4</v>
      </c>
      <c r="AE437" s="37" t="s">
        <v>383</v>
      </c>
      <c r="AF437" s="37" t="s">
        <v>381</v>
      </c>
      <c r="AG437" s="33" t="str">
        <f>IF(G437&gt;0,IF(AD437&gt;0,IF(AD437=0,"Waiting",IF(AD437&lt;L437,"Partial",IF(AD437=L437,"Full Supply",IF(AD437&gt;L437,"Over Shared")))),"Waiting"),"")</f>
        <v>Full Supply</v>
      </c>
      <c r="AH437" s="37"/>
      <c r="AI437" s="37"/>
      <c r="AJ437" s="181"/>
      <c r="AK437" s="40"/>
      <c r="AL437" s="40"/>
      <c r="AM437" s="40"/>
      <c r="AN437" s="37"/>
      <c r="AO437" s="34"/>
      <c r="AP437" s="37"/>
      <c r="AQ437" s="37"/>
      <c r="AR437" s="37"/>
      <c r="AS437" s="37"/>
      <c r="AT437" s="37">
        <f>AS437-AD437</f>
        <v>-4</v>
      </c>
      <c r="AU437" s="36" t="str">
        <f>IF(AR437=0,"Waiting",IF(AR437&lt;AH437,"Kurang",IF(AR437=AH437,"Sesuai",IF(AR437&gt;AH437,"Over Shared"))))</f>
        <v>Waiting</v>
      </c>
      <c r="AV437" s="37"/>
      <c r="AW437" s="37" t="str">
        <f>IFERROR(DATEDIF(AH437,AK437,"d"),"0")&amp;"-DAY"</f>
        <v>0-DAY</v>
      </c>
      <c r="AX437" s="37" t="str">
        <f>IFERROR(DATEDIF(B437,AB437,"d"),"0")&amp;"-DAY"</f>
        <v>9-DAY</v>
      </c>
      <c r="AY437" s="37"/>
      <c r="AZ437" s="181">
        <f>L437-AD437</f>
        <v>0</v>
      </c>
    </row>
    <row r="438" spans="1:52" ht="15.5" customHeight="1">
      <c r="A438" s="360" t="s">
        <v>372</v>
      </c>
      <c r="B438" s="340">
        <v>46252</v>
      </c>
      <c r="C438" s="181">
        <v>49677</v>
      </c>
      <c r="D438" s="30">
        <v>46252</v>
      </c>
      <c r="E438" s="30">
        <v>46246</v>
      </c>
      <c r="F438" s="30">
        <v>46259</v>
      </c>
      <c r="G438" s="37">
        <v>4420231339</v>
      </c>
      <c r="H438" s="37" t="s">
        <v>373</v>
      </c>
      <c r="I438" s="37">
        <v>9040020519</v>
      </c>
      <c r="J438" s="37" t="s">
        <v>93</v>
      </c>
      <c r="K438" s="325" t="s">
        <v>94</v>
      </c>
      <c r="L438" s="181">
        <v>2</v>
      </c>
      <c r="M438" s="181" t="s">
        <v>427</v>
      </c>
      <c r="N438" s="37" t="s">
        <v>940</v>
      </c>
      <c r="O438" s="31">
        <f>IF(F438&gt;0,F438-AB438,"")</f>
        <v>-50</v>
      </c>
      <c r="P438" s="37" t="str">
        <f>IF(F438&gt;0,IF(AB438="","PLANNING SUPPLY",IF(AB438&lt;=F438,"ONTIME DELIVERY","DELAY")),"")</f>
        <v>DELAY</v>
      </c>
      <c r="Q438" s="181" t="str">
        <f>IFERROR(IF(J438&gt;0,VLOOKUP(J438,#REF!,MATCH($Q$6,#REF!,0),0),""),"")</f>
        <v/>
      </c>
      <c r="R438" s="181" t="str">
        <f>IFERROR(IF(J438&gt;0,VLOOKUP(J438,#REF!,MATCH($R$6,#REF!,0),0),""),"")</f>
        <v/>
      </c>
      <c r="S438" s="181" t="e">
        <f>IF(I441&gt;0,Q438+R438,"")</f>
        <v>#VALUE!</v>
      </c>
      <c r="T438" s="181"/>
      <c r="U438" s="181"/>
      <c r="V438" s="37"/>
      <c r="W438" s="181" t="e">
        <f>IF(I441&gt;0,IF(S438&gt;L438,"READY STOCK",IF(S438=0,"OUT OF STOCK",IF(S438&lt;L438,"LOW STOCK",""))),"")</f>
        <v>#VALUE!</v>
      </c>
      <c r="X438" s="38"/>
      <c r="Y438" s="38"/>
      <c r="Z438" s="38"/>
      <c r="AA438" s="38"/>
      <c r="AB438" s="50">
        <v>46309</v>
      </c>
      <c r="AC438" s="44">
        <v>35059</v>
      </c>
      <c r="AD438" s="51">
        <v>2</v>
      </c>
      <c r="AE438" s="37" t="s">
        <v>387</v>
      </c>
      <c r="AF438" s="37" t="s">
        <v>381</v>
      </c>
      <c r="AG438" s="33" t="str">
        <f>IF(G438&gt;0,IF(AD438&gt;0,IF(AD438=0,"Waiting",IF(AD438&lt;L438,"Partial",IF(AD438=L438,"Full Supply",IF(AD438&gt;L438,"Over Shared")))),"Waiting"),"")</f>
        <v>Full Supply</v>
      </c>
      <c r="AH438" s="56"/>
      <c r="AI438" s="37"/>
      <c r="AJ438" s="181"/>
      <c r="AK438" s="40"/>
      <c r="AL438" s="40"/>
      <c r="AM438" s="40"/>
      <c r="AN438" s="216"/>
      <c r="AO438" s="34"/>
      <c r="AP438" s="37"/>
      <c r="AQ438" s="37"/>
      <c r="AR438" s="37"/>
      <c r="AS438" s="37"/>
      <c r="AT438" s="37">
        <f>AS438-AD438</f>
        <v>-2</v>
      </c>
      <c r="AU438" s="36" t="str">
        <f>IF(AR438=0,"Waiting",IF(AR438&lt;AH438,"Kurang",IF(AR438=AH438,"Sesuai",IF(AR438&gt;AH438,"Over Shared"))))</f>
        <v>Waiting</v>
      </c>
      <c r="AV438" s="37"/>
      <c r="AW438" s="37" t="str">
        <f>IFERROR(DATEDIF(AH438,AK438,"d"),"0")&amp;"-DAY"</f>
        <v>0-DAY</v>
      </c>
      <c r="AX438" s="37" t="str">
        <f>IFERROR(DATEDIF(B438,AB438,"d"),"0")&amp;"-DAY"</f>
        <v>57-DAY</v>
      </c>
      <c r="AY438" s="37"/>
      <c r="AZ438" s="181">
        <f>L438-AD438</f>
        <v>0</v>
      </c>
    </row>
    <row r="439" spans="1:52" ht="15.5" customHeight="1">
      <c r="A439" s="360" t="s">
        <v>372</v>
      </c>
      <c r="B439" s="340">
        <v>46252</v>
      </c>
      <c r="C439" s="181">
        <v>49677</v>
      </c>
      <c r="D439" s="30">
        <v>46252</v>
      </c>
      <c r="E439" s="30">
        <v>46246</v>
      </c>
      <c r="F439" s="30">
        <v>46259</v>
      </c>
      <c r="G439" s="37">
        <v>4420231339</v>
      </c>
      <c r="H439" s="37" t="s">
        <v>373</v>
      </c>
      <c r="I439" s="37">
        <v>9040040401</v>
      </c>
      <c r="J439" s="37" t="s">
        <v>231</v>
      </c>
      <c r="K439" s="325" t="s">
        <v>232</v>
      </c>
      <c r="L439" s="181">
        <v>2</v>
      </c>
      <c r="M439" s="181" t="s">
        <v>389</v>
      </c>
      <c r="N439" s="37" t="s">
        <v>940</v>
      </c>
      <c r="O439" s="31">
        <f>IF(F439&gt;0,F439-AB439,"")</f>
        <v>-49</v>
      </c>
      <c r="P439" s="37" t="str">
        <f>IF(F439&gt;0,IF(AB439="","PLANNING SUPPLY",IF(AB439&lt;=F439,"ONTIME DELIVERY","DELAY")),"")</f>
        <v>DELAY</v>
      </c>
      <c r="Q439" s="181" t="str">
        <f>IFERROR(IF(J439&gt;0,VLOOKUP(J439,#REF!,MATCH($Q$6,#REF!,0),0),""),"")</f>
        <v/>
      </c>
      <c r="R439" s="181" t="str">
        <f>IFERROR(IF(J439&gt;0,VLOOKUP(J439,#REF!,MATCH($R$6,#REF!,0),0),""),"")</f>
        <v/>
      </c>
      <c r="S439" s="181" t="e">
        <f>IF(I442&gt;0,Q439+R439,"")</f>
        <v>#VALUE!</v>
      </c>
      <c r="T439" s="181"/>
      <c r="U439" s="181"/>
      <c r="V439" s="37"/>
      <c r="W439" s="181" t="e">
        <f>IF(I442&gt;0,IF(S439&gt;L439,"READY STOCK",IF(S439=0,"OUT OF STOCK",IF(S439&lt;L439,"LOW STOCK",""))),"")</f>
        <v>#VALUE!</v>
      </c>
      <c r="X439" s="38"/>
      <c r="Y439" s="38"/>
      <c r="Z439" s="38"/>
      <c r="AA439" s="38"/>
      <c r="AB439" s="57">
        <v>46308</v>
      </c>
      <c r="AC439" s="246">
        <v>35002</v>
      </c>
      <c r="AD439" s="53">
        <v>2</v>
      </c>
      <c r="AE439" s="58" t="s">
        <v>387</v>
      </c>
      <c r="AF439" s="58" t="s">
        <v>381</v>
      </c>
      <c r="AG439" s="33" t="str">
        <f>IF(G439&gt;0,IF(AD439&gt;0,IF(AD439=0,"Waiting",IF(AD439&lt;L439,"Partial",IF(AD439=L439,"Full Supply",IF(AD439&gt;L439,"Over Shared")))),"Waiting"),"")</f>
        <v>Full Supply</v>
      </c>
      <c r="AH439" s="56"/>
      <c r="AI439" s="37"/>
      <c r="AJ439" s="181"/>
      <c r="AK439" s="40"/>
      <c r="AL439" s="40"/>
      <c r="AM439" s="40"/>
      <c r="AN439" s="212" t="s">
        <v>1291</v>
      </c>
      <c r="AO439" s="34"/>
      <c r="AP439" s="37"/>
      <c r="AQ439" s="37"/>
      <c r="AR439" s="37"/>
      <c r="AS439" s="37"/>
      <c r="AT439" s="37">
        <f>AS439-AD439</f>
        <v>-2</v>
      </c>
      <c r="AU439" s="36" t="str">
        <f>IF(AR439=0,"Waiting",IF(AR439&lt;AH439,"Kurang",IF(AR439=AH439,"Sesuai",IF(AR439&gt;AH439,"Over Shared"))))</f>
        <v>Waiting</v>
      </c>
      <c r="AV439" s="37"/>
      <c r="AW439" s="37" t="str">
        <f>IFERROR(DATEDIF(AH439,AK439,"d"),"0")&amp;"-DAY"</f>
        <v>0-DAY</v>
      </c>
      <c r="AX439" s="37" t="str">
        <f>IFERROR(DATEDIF(B439,AB439,"d"),"0")&amp;"-DAY"</f>
        <v>56-DAY</v>
      </c>
      <c r="AY439" s="37"/>
      <c r="AZ439" s="181">
        <f>L439-AD439</f>
        <v>0</v>
      </c>
    </row>
    <row r="440" spans="1:52" ht="15.5" customHeight="1">
      <c r="A440" s="360" t="s">
        <v>372</v>
      </c>
      <c r="B440" s="340">
        <v>46252</v>
      </c>
      <c r="C440" s="181">
        <v>49677</v>
      </c>
      <c r="D440" s="30">
        <v>46252</v>
      </c>
      <c r="E440" s="30">
        <v>46246</v>
      </c>
      <c r="F440" s="30">
        <v>46259</v>
      </c>
      <c r="G440" s="37">
        <v>4420231339</v>
      </c>
      <c r="H440" s="37" t="s">
        <v>373</v>
      </c>
      <c r="I440" s="37">
        <v>9040040765</v>
      </c>
      <c r="J440" s="37" t="s">
        <v>3</v>
      </c>
      <c r="K440" s="325" t="s">
        <v>4</v>
      </c>
      <c r="L440" s="181">
        <v>3</v>
      </c>
      <c r="M440" s="181" t="s">
        <v>375</v>
      </c>
      <c r="N440" s="37" t="s">
        <v>940</v>
      </c>
      <c r="O440" s="31">
        <f>IF(F440&gt;0,F440-AB440,"")</f>
        <v>-45</v>
      </c>
      <c r="P440" s="37" t="str">
        <f>IF(F440&gt;0,IF(AB440="","PLANNING SUPPLY",IF(AB440&lt;=F440,"ONTIME DELIVERY","DELAY")),"")</f>
        <v>DELAY</v>
      </c>
      <c r="Q440" s="181" t="str">
        <f>IFERROR(IF(J440&gt;0,VLOOKUP(J440,#REF!,MATCH($Q$6,#REF!,0),0),""),"")</f>
        <v/>
      </c>
      <c r="R440" s="181" t="str">
        <f>IFERROR(IF(J440&gt;0,VLOOKUP(J440,#REF!,MATCH($R$6,#REF!,0),0),""),"")</f>
        <v/>
      </c>
      <c r="S440" s="181" t="e">
        <f>IF(I443&gt;0,Q440+R440,"")</f>
        <v>#VALUE!</v>
      </c>
      <c r="T440" s="181"/>
      <c r="U440" s="181"/>
      <c r="V440" s="37"/>
      <c r="W440" s="181" t="e">
        <f>IF(I443&gt;0,IF(S440&gt;L440,"READY STOCK",IF(S440=0,"OUT OF STOCK",IF(S440&lt;L440,"LOW STOCK",""))),"")</f>
        <v>#VALUE!</v>
      </c>
      <c r="X440" s="38"/>
      <c r="Y440" s="38"/>
      <c r="Z440" s="38"/>
      <c r="AA440" s="38"/>
      <c r="AB440" s="57">
        <v>46304</v>
      </c>
      <c r="AC440" s="181" t="s">
        <v>1305</v>
      </c>
      <c r="AD440" s="51">
        <f>1+2</f>
        <v>3</v>
      </c>
      <c r="AE440" s="58" t="s">
        <v>471</v>
      </c>
      <c r="AF440" s="58" t="s">
        <v>381</v>
      </c>
      <c r="AG440" s="33" t="str">
        <f>IF(G440&gt;0,IF(AD440&gt;0,IF(AD440=0,"Waiting",IF(AD440&lt;L440,"Partial",IF(AD440=L440,"Full Supply",IF(AD440&gt;L440,"Over Shared")))),"Waiting"),"")</f>
        <v>Full Supply</v>
      </c>
      <c r="AH440" s="56">
        <v>46296</v>
      </c>
      <c r="AI440" s="37" t="s">
        <v>1306</v>
      </c>
      <c r="AJ440" s="181">
        <v>8</v>
      </c>
      <c r="AK440" s="40"/>
      <c r="AL440" s="40"/>
      <c r="AM440" s="40"/>
      <c r="AN440" s="216"/>
      <c r="AO440" s="55"/>
      <c r="AP440" s="37"/>
      <c r="AQ440" s="37"/>
      <c r="AR440" s="37"/>
      <c r="AS440" s="37"/>
      <c r="AT440" s="37">
        <f>AS440-AD440</f>
        <v>-3</v>
      </c>
      <c r="AU440" s="36" t="str">
        <f>IF(AR440=0,"Waiting",IF(AR440&lt;AH440,"Kurang",IF(AR440=AH440,"Sesuai",IF(AR440&gt;AH440,"Over Shared"))))</f>
        <v>Waiting</v>
      </c>
      <c r="AV440" s="37"/>
      <c r="AW440" s="37" t="str">
        <f>IFERROR(DATEDIF(AH440,AK440,"d"),"0")&amp;"-DAY"</f>
        <v>0-DAY</v>
      </c>
      <c r="AX440" s="37" t="str">
        <f>IFERROR(DATEDIF(B440,AB440,"d"),"0")&amp;"-DAY"</f>
        <v>52-DAY</v>
      </c>
      <c r="AY440" s="37"/>
      <c r="AZ440" s="181">
        <f>L440-AD440</f>
        <v>0</v>
      </c>
    </row>
    <row r="441" spans="1:52" ht="15.5" customHeight="1">
      <c r="A441" s="360" t="s">
        <v>372</v>
      </c>
      <c r="B441" s="340">
        <v>46252</v>
      </c>
      <c r="C441" s="181">
        <v>49677</v>
      </c>
      <c r="D441" s="30">
        <v>46252</v>
      </c>
      <c r="E441" s="30">
        <v>46246</v>
      </c>
      <c r="F441" s="30">
        <v>46259</v>
      </c>
      <c r="G441" s="37">
        <v>4420231339</v>
      </c>
      <c r="H441" s="37" t="s">
        <v>373</v>
      </c>
      <c r="I441" s="37">
        <v>9040040924</v>
      </c>
      <c r="J441" s="37" t="s">
        <v>10</v>
      </c>
      <c r="K441" s="325" t="s">
        <v>149</v>
      </c>
      <c r="L441" s="181">
        <v>6</v>
      </c>
      <c r="M441" s="181" t="s">
        <v>375</v>
      </c>
      <c r="N441" s="37" t="s">
        <v>940</v>
      </c>
      <c r="O441" s="31">
        <f>IF(F441&gt;0,F441-AB441,"")</f>
        <v>-22</v>
      </c>
      <c r="P441" s="37" t="str">
        <f>IF(F441&gt;0,IF(AB441="","PLANNING SUPPLY",IF(AB441&lt;=F441,"ONTIME DELIVERY","DELAY")),"")</f>
        <v>DELAY</v>
      </c>
      <c r="Q441" s="181" t="str">
        <f>IFERROR(IF(J441&gt;0,VLOOKUP(J441,#REF!,MATCH($Q$6,#REF!,0),0),""),"")</f>
        <v/>
      </c>
      <c r="R441" s="181" t="str">
        <f>IFERROR(IF(J441&gt;0,VLOOKUP(J441,#REF!,MATCH($R$6,#REF!,0),0),""),"")</f>
        <v/>
      </c>
      <c r="S441" s="181" t="e">
        <f>IF(I444&gt;0,Q441+R441,"")</f>
        <v>#VALUE!</v>
      </c>
      <c r="T441" s="181"/>
      <c r="U441" s="181"/>
      <c r="V441" s="37"/>
      <c r="W441" s="181" t="e">
        <f>IF(I444&gt;0,IF(S441&gt;L441,"READY STOCK",IF(S441=0,"OUT OF STOCK",IF(S441&lt;L441,"LOW STOCK",""))),"")</f>
        <v>#VALUE!</v>
      </c>
      <c r="X441" s="38"/>
      <c r="Y441" s="38"/>
      <c r="Z441" s="38"/>
      <c r="AA441" s="38"/>
      <c r="AB441" s="50">
        <v>46281</v>
      </c>
      <c r="AC441" s="181">
        <v>34274</v>
      </c>
      <c r="AD441" s="51">
        <v>6</v>
      </c>
      <c r="AE441" s="37" t="s">
        <v>383</v>
      </c>
      <c r="AF441" s="37" t="s">
        <v>381</v>
      </c>
      <c r="AG441" s="33" t="str">
        <f>IF(G441&gt;0,IF(AD441&gt;0,IF(AD441=0,"Waiting",IF(AD441&lt;L441,"Partial",IF(AD441=L441,"Full Supply",IF(AD441&gt;L441,"Over Shared")))),"Waiting"),"")</f>
        <v>Full Supply</v>
      </c>
      <c r="AH441" s="37"/>
      <c r="AI441" s="37"/>
      <c r="AJ441" s="181"/>
      <c r="AK441" s="40"/>
      <c r="AL441" s="40"/>
      <c r="AM441" s="40"/>
      <c r="AN441" s="37"/>
      <c r="AO441" s="34"/>
      <c r="AP441" s="37"/>
      <c r="AQ441" s="37"/>
      <c r="AR441" s="37"/>
      <c r="AS441" s="37"/>
      <c r="AT441" s="37">
        <f>AS441-AD441</f>
        <v>-6</v>
      </c>
      <c r="AU441" s="36" t="str">
        <f>IF(AR441=0,"Waiting",IF(AR441&lt;AH441,"Kurang",IF(AR441=AH441,"Sesuai",IF(AR441&gt;AH441,"Over Shared"))))</f>
        <v>Waiting</v>
      </c>
      <c r="AV441" s="37"/>
      <c r="AW441" s="37" t="str">
        <f>IFERROR(DATEDIF(AH441,AK441,"d"),"0")&amp;"-DAY"</f>
        <v>0-DAY</v>
      </c>
      <c r="AX441" s="37" t="str">
        <f>IFERROR(DATEDIF(B441,AB441,"d"),"0")&amp;"-DAY"</f>
        <v>29-DAY</v>
      </c>
      <c r="AY441" s="37"/>
      <c r="AZ441" s="181">
        <f>L441-AD441</f>
        <v>0</v>
      </c>
    </row>
    <row r="442" spans="1:52" ht="15.5" customHeight="1">
      <c r="A442" s="360" t="s">
        <v>372</v>
      </c>
      <c r="B442" s="340">
        <v>46252</v>
      </c>
      <c r="C442" s="181">
        <v>49677</v>
      </c>
      <c r="D442" s="30">
        <v>46252</v>
      </c>
      <c r="E442" s="30">
        <v>46246</v>
      </c>
      <c r="F442" s="30">
        <v>46259</v>
      </c>
      <c r="G442" s="37">
        <v>4420231339</v>
      </c>
      <c r="H442" s="37" t="s">
        <v>373</v>
      </c>
      <c r="I442" s="37">
        <v>9040042096</v>
      </c>
      <c r="J442" s="37" t="s">
        <v>159</v>
      </c>
      <c r="K442" s="325" t="s">
        <v>160</v>
      </c>
      <c r="L442" s="181">
        <v>5</v>
      </c>
      <c r="M442" s="181" t="s">
        <v>375</v>
      </c>
      <c r="N442" s="37" t="s">
        <v>940</v>
      </c>
      <c r="O442" s="31">
        <f>IF(F442&gt;0,F442-AB442,"")</f>
        <v>-6</v>
      </c>
      <c r="P442" s="37" t="str">
        <f>IF(F442&gt;0,IF(AB442="","PLANNING SUPPLY",IF(AB442&lt;=F442,"ONTIME DELIVERY","DELAY")),"")</f>
        <v>DELAY</v>
      </c>
      <c r="Q442" s="181" t="str">
        <f>IFERROR(IF(J442&gt;0,VLOOKUP(J442,#REF!,MATCH($Q$6,#REF!,0),0),""),"")</f>
        <v/>
      </c>
      <c r="R442" s="181" t="str">
        <f>IFERROR(IF(J442&gt;0,VLOOKUP(J442,#REF!,MATCH($R$6,#REF!,0),0),""),"")</f>
        <v/>
      </c>
      <c r="S442" s="181" t="e">
        <f>IF(I445&gt;0,Q442+R442,"")</f>
        <v>#VALUE!</v>
      </c>
      <c r="T442" s="181"/>
      <c r="U442" s="181"/>
      <c r="V442" s="37"/>
      <c r="W442" s="181" t="e">
        <f>IF(I445&gt;0,IF(S442&gt;L442,"READY STOCK",IF(S442=0,"OUT OF STOCK",IF(S442&lt;L442,"LOW STOCK",""))),"")</f>
        <v>#VALUE!</v>
      </c>
      <c r="X442" s="38"/>
      <c r="Y442" s="38"/>
      <c r="Z442" s="38"/>
      <c r="AA442" s="38"/>
      <c r="AB442" s="50">
        <v>46265</v>
      </c>
      <c r="AC442" s="181">
        <v>33922</v>
      </c>
      <c r="AD442" s="51">
        <v>5</v>
      </c>
      <c r="AE442" s="37" t="s">
        <v>383</v>
      </c>
      <c r="AF442" s="37" t="s">
        <v>381</v>
      </c>
      <c r="AG442" s="33" t="str">
        <f>IF(G442&gt;0,IF(AD442&gt;0,IF(AD442=0,"Waiting",IF(AD442&lt;L442,"Partial",IF(AD442=L442,"Full Supply",IF(AD442&gt;L442,"Over Shared")))),"Waiting"),"")</f>
        <v>Full Supply</v>
      </c>
      <c r="AH442" s="37"/>
      <c r="AI442" s="37"/>
      <c r="AJ442" s="181"/>
      <c r="AK442" s="40"/>
      <c r="AL442" s="40"/>
      <c r="AM442" s="40"/>
      <c r="AN442" s="37"/>
      <c r="AO442" s="34"/>
      <c r="AP442" s="37"/>
      <c r="AQ442" s="37"/>
      <c r="AR442" s="37"/>
      <c r="AS442" s="37"/>
      <c r="AT442" s="37">
        <f>AS442-AD442</f>
        <v>-5</v>
      </c>
      <c r="AU442" s="36" t="str">
        <f>IF(AR442=0,"Waiting",IF(AR442&lt;AH442,"Kurang",IF(AR442=AH442,"Sesuai",IF(AR442&gt;AH442,"Over Shared"))))</f>
        <v>Waiting</v>
      </c>
      <c r="AV442" s="37"/>
      <c r="AW442" s="37" t="str">
        <f>IFERROR(DATEDIF(AH442,AK442,"d"),"0")&amp;"-DAY"</f>
        <v>0-DAY</v>
      </c>
      <c r="AX442" s="37" t="str">
        <f>IFERROR(DATEDIF(B442,AB442,"d"),"0")&amp;"-DAY"</f>
        <v>13-DAY</v>
      </c>
      <c r="AY442" s="37"/>
      <c r="AZ442" s="181">
        <f>L442-AD442</f>
        <v>0</v>
      </c>
    </row>
    <row r="443" spans="1:52" ht="15.5" customHeight="1">
      <c r="A443" s="360" t="s">
        <v>372</v>
      </c>
      <c r="B443" s="340">
        <v>46252</v>
      </c>
      <c r="C443" s="181">
        <v>49677</v>
      </c>
      <c r="D443" s="30">
        <v>46252</v>
      </c>
      <c r="E443" s="30">
        <v>46246</v>
      </c>
      <c r="F443" s="30">
        <v>46259</v>
      </c>
      <c r="G443" s="37">
        <v>4420231339</v>
      </c>
      <c r="H443" s="37" t="s">
        <v>373</v>
      </c>
      <c r="I443" s="37">
        <v>9040044066</v>
      </c>
      <c r="J443" s="37" t="s">
        <v>163</v>
      </c>
      <c r="K443" s="325" t="s">
        <v>164</v>
      </c>
      <c r="L443" s="181">
        <v>5</v>
      </c>
      <c r="M443" s="181" t="s">
        <v>375</v>
      </c>
      <c r="N443" s="37" t="s">
        <v>940</v>
      </c>
      <c r="O443" s="31">
        <f>IF(F443&gt;0,F443-AB443,"")</f>
        <v>-6</v>
      </c>
      <c r="P443" s="37" t="str">
        <f>IF(F443&gt;0,IF(AB443="","PLANNING SUPPLY",IF(AB443&lt;=F443,"ONTIME DELIVERY","DELAY")),"")</f>
        <v>DELAY</v>
      </c>
      <c r="Q443" s="181" t="str">
        <f>IFERROR(IF(J443&gt;0,VLOOKUP(J443,#REF!,MATCH($Q$6,#REF!,0),0),""),"")</f>
        <v/>
      </c>
      <c r="R443" s="181" t="str">
        <f>IFERROR(IF(J443&gt;0,VLOOKUP(J443,#REF!,MATCH($R$6,#REF!,0),0),""),"")</f>
        <v/>
      </c>
      <c r="S443" s="181" t="e">
        <f>IF(I446&gt;0,Q443+R443,"")</f>
        <v>#VALUE!</v>
      </c>
      <c r="T443" s="181"/>
      <c r="U443" s="181"/>
      <c r="V443" s="37"/>
      <c r="W443" s="181" t="e">
        <f>IF(I446&gt;0,IF(S443&gt;L443,"READY STOCK",IF(S443=0,"OUT OF STOCK",IF(S443&lt;L443,"LOW STOCK",""))),"")</f>
        <v>#VALUE!</v>
      </c>
      <c r="X443" s="38"/>
      <c r="Y443" s="38"/>
      <c r="Z443" s="38"/>
      <c r="AA443" s="38"/>
      <c r="AB443" s="50">
        <v>46265</v>
      </c>
      <c r="AC443" s="181">
        <v>33922</v>
      </c>
      <c r="AD443" s="51">
        <v>5</v>
      </c>
      <c r="AE443" s="37" t="s">
        <v>383</v>
      </c>
      <c r="AF443" s="37" t="s">
        <v>381</v>
      </c>
      <c r="AG443" s="33" t="str">
        <f>IF(G443&gt;0,IF(AD443&gt;0,IF(AD443=0,"Waiting",IF(AD443&lt;L443,"Partial",IF(AD443=L443,"Full Supply",IF(AD443&gt;L443,"Over Shared")))),"Waiting"),"")</f>
        <v>Full Supply</v>
      </c>
      <c r="AH443" s="37"/>
      <c r="AI443" s="37"/>
      <c r="AJ443" s="181"/>
      <c r="AK443" s="40"/>
      <c r="AL443" s="40"/>
      <c r="AM443" s="40"/>
      <c r="AN443" s="37"/>
      <c r="AO443" s="34"/>
      <c r="AP443" s="37"/>
      <c r="AQ443" s="37"/>
      <c r="AR443" s="37"/>
      <c r="AS443" s="37"/>
      <c r="AT443" s="37">
        <f>AS443-AD443</f>
        <v>-5</v>
      </c>
      <c r="AU443" s="36" t="str">
        <f>IF(AR443=0,"Waiting",IF(AR443&lt;AH443,"Kurang",IF(AR443=AH443,"Sesuai",IF(AR443&gt;AH443,"Over Shared"))))</f>
        <v>Waiting</v>
      </c>
      <c r="AV443" s="37"/>
      <c r="AW443" s="37" t="str">
        <f>IFERROR(DATEDIF(AH443,AK443,"d"),"0")&amp;"-DAY"</f>
        <v>0-DAY</v>
      </c>
      <c r="AX443" s="37" t="str">
        <f>IFERROR(DATEDIF(B443,AB443,"d"),"0")&amp;"-DAY"</f>
        <v>13-DAY</v>
      </c>
      <c r="AY443" s="37"/>
      <c r="AZ443" s="181">
        <f>L443-AD443</f>
        <v>0</v>
      </c>
    </row>
    <row r="444" spans="1:52" ht="15.5" customHeight="1">
      <c r="A444" s="360" t="s">
        <v>372</v>
      </c>
      <c r="B444" s="340">
        <v>46252</v>
      </c>
      <c r="C444" s="181">
        <v>49677</v>
      </c>
      <c r="D444" s="30">
        <v>46252</v>
      </c>
      <c r="E444" s="30">
        <v>46246</v>
      </c>
      <c r="F444" s="30">
        <v>46259</v>
      </c>
      <c r="G444" s="37">
        <v>4420231339</v>
      </c>
      <c r="H444" s="37" t="s">
        <v>373</v>
      </c>
      <c r="I444" s="37">
        <v>9040044075</v>
      </c>
      <c r="J444" s="37" t="s">
        <v>223</v>
      </c>
      <c r="K444" s="325" t="s">
        <v>224</v>
      </c>
      <c r="L444" s="181">
        <v>5</v>
      </c>
      <c r="M444" s="181" t="s">
        <v>389</v>
      </c>
      <c r="N444" s="37" t="s">
        <v>940</v>
      </c>
      <c r="O444" s="31">
        <f>IF(F444&gt;0,F444-AB444,"")</f>
        <v>-29</v>
      </c>
      <c r="P444" s="37" t="str">
        <f>IF(F444&gt;0,IF(AB444="","PLANNING SUPPLY",IF(AB444&lt;=F444,"ONTIME DELIVERY","DELAY")),"")</f>
        <v>DELAY</v>
      </c>
      <c r="Q444" s="181" t="str">
        <f>IFERROR(IF(J444&gt;0,VLOOKUP(J444,#REF!,MATCH($Q$6,#REF!,0),0),""),"")</f>
        <v/>
      </c>
      <c r="R444" s="181" t="str">
        <f>IFERROR(IF(J444&gt;0,VLOOKUP(J444,#REF!,MATCH($R$6,#REF!,0),0),""),"")</f>
        <v/>
      </c>
      <c r="S444" s="181" t="e">
        <f>IF(I447&gt;0,Q444+R444,"")</f>
        <v>#VALUE!</v>
      </c>
      <c r="T444" s="181"/>
      <c r="U444" s="181"/>
      <c r="V444" s="37"/>
      <c r="W444" s="181" t="e">
        <f>IF(I447&gt;0,IF(S444&gt;L444,"READY STOCK",IF(S444=0,"OUT OF STOCK",IF(S444&lt;L444,"LOW STOCK",""))),"")</f>
        <v>#VALUE!</v>
      </c>
      <c r="X444" s="38"/>
      <c r="Y444" s="38"/>
      <c r="Z444" s="38"/>
      <c r="AA444" s="38"/>
      <c r="AB444" s="50">
        <v>46288</v>
      </c>
      <c r="AC444" s="181">
        <v>34498</v>
      </c>
      <c r="AD444" s="51">
        <v>5</v>
      </c>
      <c r="AE444" s="37" t="s">
        <v>383</v>
      </c>
      <c r="AF444" s="37" t="s">
        <v>381</v>
      </c>
      <c r="AG444" s="33" t="str">
        <f>IF(G444&gt;0,IF(AD444&gt;0,IF(AD444=0,"Waiting",IF(AD444&lt;L444,"Partial",IF(AD444=L444,"Full Supply",IF(AD444&gt;L444,"Over Shared")))),"Waiting"),"")</f>
        <v>Full Supply</v>
      </c>
      <c r="AH444" s="56"/>
      <c r="AI444" s="37"/>
      <c r="AJ444" s="181"/>
      <c r="AK444" s="40"/>
      <c r="AL444" s="40"/>
      <c r="AM444" s="40"/>
      <c r="AN444" s="212" t="s">
        <v>1291</v>
      </c>
      <c r="AO444" s="34"/>
      <c r="AP444" s="37"/>
      <c r="AQ444" s="37"/>
      <c r="AR444" s="37"/>
      <c r="AS444" s="37"/>
      <c r="AT444" s="37">
        <f>AS444-AD444</f>
        <v>-5</v>
      </c>
      <c r="AU444" s="36" t="str">
        <f>IF(AR444=0,"Waiting",IF(AR444&lt;AH444,"Kurang",IF(AR444=AH444,"Sesuai",IF(AR444&gt;AH444,"Over Shared"))))</f>
        <v>Waiting</v>
      </c>
      <c r="AV444" s="37"/>
      <c r="AW444" s="37" t="str">
        <f>IFERROR(DATEDIF(AH444,AK444,"d"),"0")&amp;"-DAY"</f>
        <v>0-DAY</v>
      </c>
      <c r="AX444" s="37" t="str">
        <f>IFERROR(DATEDIF(B444,AB444,"d"),"0")&amp;"-DAY"</f>
        <v>36-DAY</v>
      </c>
      <c r="AY444" s="37"/>
      <c r="AZ444" s="181">
        <f>L444-AD444</f>
        <v>0</v>
      </c>
    </row>
    <row r="445" spans="1:52" ht="15.5" customHeight="1">
      <c r="A445" s="360" t="s">
        <v>372</v>
      </c>
      <c r="B445" s="340">
        <v>46252</v>
      </c>
      <c r="C445" s="181">
        <v>49677</v>
      </c>
      <c r="D445" s="30">
        <v>46252</v>
      </c>
      <c r="E445" s="30">
        <v>46246</v>
      </c>
      <c r="F445" s="30">
        <v>46259</v>
      </c>
      <c r="G445" s="37">
        <v>4420231339</v>
      </c>
      <c r="H445" s="37" t="s">
        <v>373</v>
      </c>
      <c r="I445" s="37">
        <v>9040044119</v>
      </c>
      <c r="J445" s="37" t="s">
        <v>74</v>
      </c>
      <c r="K445" s="325" t="s">
        <v>75</v>
      </c>
      <c r="L445" s="181">
        <v>2</v>
      </c>
      <c r="M445" s="181" t="s">
        <v>427</v>
      </c>
      <c r="N445" s="37" t="s">
        <v>940</v>
      </c>
      <c r="O445" s="31">
        <f>IF(F445&gt;0,F445-AB445,"")</f>
        <v>-20</v>
      </c>
      <c r="P445" s="37" t="str">
        <f>IF(F445&gt;0,IF(AB445="","PLANNING SUPPLY",IF(AB445&lt;=F445,"ONTIME DELIVERY","DELAY")),"")</f>
        <v>DELAY</v>
      </c>
      <c r="Q445" s="181" t="str">
        <f>IFERROR(IF(J445&gt;0,VLOOKUP(J445,#REF!,MATCH($Q$6,#REF!,0),0),""),"")</f>
        <v/>
      </c>
      <c r="R445" s="181" t="str">
        <f>IFERROR(IF(J445&gt;0,VLOOKUP(J445,#REF!,MATCH($R$6,#REF!,0),0),""),"")</f>
        <v/>
      </c>
      <c r="S445" s="181" t="e">
        <f>IF(I448&gt;0,Q445+R445,"")</f>
        <v>#VALUE!</v>
      </c>
      <c r="T445" s="181"/>
      <c r="U445" s="181"/>
      <c r="V445" s="37"/>
      <c r="W445" s="181" t="e">
        <f>IF(I448&gt;0,IF(S445&gt;L445,"READY STOCK",IF(S445=0,"OUT OF STOCK",IF(S445&lt;L445,"LOW STOCK",""))),"")</f>
        <v>#VALUE!</v>
      </c>
      <c r="X445" s="38"/>
      <c r="Y445" s="38"/>
      <c r="Z445" s="38"/>
      <c r="AA445" s="38"/>
      <c r="AB445" s="50">
        <v>46279</v>
      </c>
      <c r="AC445" s="246">
        <v>34237</v>
      </c>
      <c r="AD445" s="51">
        <v>2</v>
      </c>
      <c r="AE445" s="37" t="s">
        <v>387</v>
      </c>
      <c r="AF445" s="37" t="s">
        <v>381</v>
      </c>
      <c r="AG445" s="33" t="str">
        <f>IF(G445&gt;0,IF(AD445&gt;0,IF(AD445=0,"Waiting",IF(AD445&lt;L445,"Partial",IF(AD445=L445,"Full Supply",IF(AD445&gt;L445,"Over Shared")))),"Waiting"),"")</f>
        <v>Full Supply</v>
      </c>
      <c r="AH445" s="37"/>
      <c r="AI445" s="37"/>
      <c r="AJ445" s="181"/>
      <c r="AK445" s="40"/>
      <c r="AL445" s="40"/>
      <c r="AM445" s="40"/>
      <c r="AN445" s="37"/>
      <c r="AO445" s="34"/>
      <c r="AP445" s="37"/>
      <c r="AQ445" s="37"/>
      <c r="AR445" s="37"/>
      <c r="AS445" s="37"/>
      <c r="AT445" s="37">
        <f>AS445-AD445</f>
        <v>-2</v>
      </c>
      <c r="AU445" s="36" t="str">
        <f>IF(AR445=0,"Waiting",IF(AR445&lt;AH445,"Kurang",IF(AR445=AH445,"Sesuai",IF(AR445&gt;AH445,"Over Shared"))))</f>
        <v>Waiting</v>
      </c>
      <c r="AV445" s="37"/>
      <c r="AW445" s="37" t="str">
        <f>IFERROR(DATEDIF(AH445,AK445,"d"),"0")&amp;"-DAY"</f>
        <v>0-DAY</v>
      </c>
      <c r="AX445" s="37" t="str">
        <f>IFERROR(DATEDIF(B445,AB445,"d"),"0")&amp;"-DAY"</f>
        <v>27-DAY</v>
      </c>
      <c r="AY445" s="37"/>
      <c r="AZ445" s="181">
        <f>L445-AD445</f>
        <v>0</v>
      </c>
    </row>
    <row r="446" spans="1:52" ht="15.5" customHeight="1">
      <c r="A446" s="360" t="s">
        <v>372</v>
      </c>
      <c r="B446" s="340">
        <v>46252</v>
      </c>
      <c r="C446" s="181">
        <v>49678</v>
      </c>
      <c r="D446" s="30">
        <v>46252</v>
      </c>
      <c r="E446" s="30">
        <v>46245</v>
      </c>
      <c r="F446" s="30">
        <v>46266</v>
      </c>
      <c r="G446" s="37">
        <v>4420231154</v>
      </c>
      <c r="H446" s="37" t="s">
        <v>373</v>
      </c>
      <c r="I446" s="37">
        <v>9040129673</v>
      </c>
      <c r="J446" s="37" t="s">
        <v>278</v>
      </c>
      <c r="K446" s="325" t="s">
        <v>279</v>
      </c>
      <c r="L446" s="181">
        <v>4</v>
      </c>
      <c r="M446" s="181" t="s">
        <v>375</v>
      </c>
      <c r="N446" s="37" t="s">
        <v>431</v>
      </c>
      <c r="O446" s="31">
        <f>IF(F446&gt;0,F446-AB446,"")</f>
        <v>46266</v>
      </c>
      <c r="P446" s="37" t="str">
        <f>IF(F446&gt;0,IF(AB446="","PLANNING SUPPLY",IF(AB446&lt;=F446,"ONTIME DELIVERY","DELAY")),"")</f>
        <v>PLANNING SUPPLY</v>
      </c>
      <c r="Q446" s="181" t="str">
        <f>IFERROR(IF(J446&gt;0,VLOOKUP(J446,#REF!,MATCH($Q$6,#REF!,0),0),""),"")</f>
        <v/>
      </c>
      <c r="R446" s="181" t="str">
        <f>IFERROR(IF(J446&gt;0,VLOOKUP(J446,#REF!,MATCH($R$6,#REF!,0),0),""),"")</f>
        <v/>
      </c>
      <c r="S446" s="181" t="e">
        <f>IF(I449&gt;0,Q446+R446,"")</f>
        <v>#VALUE!</v>
      </c>
      <c r="T446" s="181"/>
      <c r="U446" s="181"/>
      <c r="V446" s="37"/>
      <c r="W446" s="181" t="e">
        <f>IF(I449&gt;0,IF(S446&gt;L446,"READY STOCK",IF(S446=0,"OUT OF STOCK",IF(S446&lt;L446,"LOW STOCK",""))),"")</f>
        <v>#VALUE!</v>
      </c>
      <c r="X446" s="38"/>
      <c r="Y446" s="38"/>
      <c r="Z446" s="38"/>
      <c r="AA446" s="38"/>
      <c r="AB446" s="50"/>
      <c r="AC446" s="181"/>
      <c r="AD446" s="51"/>
      <c r="AE446" s="37"/>
      <c r="AF446" s="37"/>
      <c r="AG446" s="33" t="str">
        <f>IF(G446&gt;0,IF(AD446&gt;0,IF(AD446=0,"Waiting",IF(AD446&lt;L446,"Partial",IF(AD446=L446,"Full Supply",IF(AD446&gt;L446,"Over Shared")))),"Waiting"),"")</f>
        <v>Waiting</v>
      </c>
      <c r="AH446" s="56">
        <v>46266</v>
      </c>
      <c r="AI446" s="37" t="s">
        <v>1307</v>
      </c>
      <c r="AJ446" s="181">
        <v>4</v>
      </c>
      <c r="AK446" s="40">
        <v>26321</v>
      </c>
      <c r="AL446" s="40"/>
      <c r="AM446" s="40">
        <v>100</v>
      </c>
      <c r="AN446" s="37"/>
      <c r="AO446" s="55"/>
      <c r="AP446" s="37"/>
      <c r="AQ446" s="37"/>
      <c r="AR446" s="37"/>
      <c r="AS446" s="37"/>
      <c r="AT446" s="37">
        <f>AS446-AD446</f>
        <v>0</v>
      </c>
      <c r="AU446" s="36" t="str">
        <f>IF(AR446=0,"Waiting",IF(AR446&lt;AH446,"Kurang",IF(AR446=AH446,"Sesuai",IF(AR446&gt;AH446,"Over Shared"))))</f>
        <v>Waiting</v>
      </c>
      <c r="AV446" s="37"/>
      <c r="AW446" s="37" t="str">
        <f>IFERROR(DATEDIF(AH446,AK446,"d"),"0")&amp;"-DAY"</f>
        <v>0-DAY</v>
      </c>
      <c r="AX446" s="37" t="str">
        <f>IFERROR(DATEDIF(B446,AB446,"d"),"0")&amp;"-DAY"</f>
        <v>0-DAY</v>
      </c>
      <c r="AY446" s="37"/>
      <c r="AZ446" s="181">
        <f>L446-AD446</f>
        <v>4</v>
      </c>
    </row>
    <row r="447" spans="1:52" ht="15.5" customHeight="1">
      <c r="A447" s="360" t="s">
        <v>372</v>
      </c>
      <c r="B447" s="340">
        <v>46252</v>
      </c>
      <c r="C447" s="181">
        <v>49678</v>
      </c>
      <c r="D447" s="30">
        <v>46252</v>
      </c>
      <c r="E447" s="30">
        <v>46245</v>
      </c>
      <c r="F447" s="30">
        <v>46266</v>
      </c>
      <c r="G447" s="37">
        <v>4420231154</v>
      </c>
      <c r="H447" s="37" t="s">
        <v>373</v>
      </c>
      <c r="I447" s="37">
        <v>9040130311</v>
      </c>
      <c r="J447" s="37" t="s">
        <v>191</v>
      </c>
      <c r="K447" s="325" t="s">
        <v>192</v>
      </c>
      <c r="L447" s="181">
        <v>20</v>
      </c>
      <c r="M447" s="181" t="s">
        <v>375</v>
      </c>
      <c r="N447" s="37" t="s">
        <v>431</v>
      </c>
      <c r="O447" s="31">
        <f>IF(F447&gt;0,F447-AB447,"")</f>
        <v>-22</v>
      </c>
      <c r="P447" s="37" t="str">
        <f>IF(F447&gt;0,IF(AB447="","PLANNING SUPPLY",IF(AB447&lt;=F447,"ONTIME DELIVERY","DELAY")),"")</f>
        <v>DELAY</v>
      </c>
      <c r="Q447" s="181" t="str">
        <f>IFERROR(IF(J447&gt;0,VLOOKUP(J447,#REF!,MATCH($Q$6,#REF!,0),0),""),"")</f>
        <v/>
      </c>
      <c r="R447" s="181" t="str">
        <f>IFERROR(IF(J447&gt;0,VLOOKUP(J447,#REF!,MATCH($R$6,#REF!,0),0),""),"")</f>
        <v/>
      </c>
      <c r="S447" s="181" t="e">
        <f>IF(I450&gt;0,Q447+R447,"")</f>
        <v>#VALUE!</v>
      </c>
      <c r="T447" s="181"/>
      <c r="U447" s="181"/>
      <c r="V447" s="37"/>
      <c r="W447" s="181" t="e">
        <f>IF(I450&gt;0,IF(S447&gt;L447,"READY STOCK",IF(S447=0,"OUT OF STOCK",IF(S447&lt;L447,"LOW STOCK",""))),"")</f>
        <v>#VALUE!</v>
      </c>
      <c r="X447" s="38"/>
      <c r="Y447" s="38"/>
      <c r="Z447" s="38"/>
      <c r="AA447" s="38"/>
      <c r="AB447" s="50">
        <v>46288</v>
      </c>
      <c r="AC447" s="181">
        <v>34453</v>
      </c>
      <c r="AD447" s="51">
        <v>20</v>
      </c>
      <c r="AE447" s="37" t="s">
        <v>383</v>
      </c>
      <c r="AF447" s="37" t="s">
        <v>381</v>
      </c>
      <c r="AG447" s="33" t="str">
        <f>IF(G447&gt;0,IF(AD447&gt;0,IF(AD447=0,"Waiting",IF(AD447&lt;L447,"Partial",IF(AD447=L447,"Full Supply",IF(AD447&gt;L447,"Over Shared")))),"Waiting"),"")</f>
        <v>Full Supply</v>
      </c>
      <c r="AH447" s="37"/>
      <c r="AI447" s="37"/>
      <c r="AJ447" s="181"/>
      <c r="AK447" s="40"/>
      <c r="AL447" s="40"/>
      <c r="AM447" s="40"/>
      <c r="AN447" s="37"/>
      <c r="AO447" s="34"/>
      <c r="AP447" s="37"/>
      <c r="AQ447" s="37"/>
      <c r="AR447" s="37"/>
      <c r="AS447" s="37"/>
      <c r="AT447" s="37">
        <f>AS447-AD447</f>
        <v>-20</v>
      </c>
      <c r="AU447" s="36" t="str">
        <f>IF(AR447=0,"Waiting",IF(AR447&lt;AH447,"Kurang",IF(AR447=AH447,"Sesuai",IF(AR447&gt;AH447,"Over Shared"))))</f>
        <v>Waiting</v>
      </c>
      <c r="AV447" s="37"/>
      <c r="AW447" s="37" t="str">
        <f>IFERROR(DATEDIF(AH447,AK447,"d"),"0")&amp;"-DAY"</f>
        <v>0-DAY</v>
      </c>
      <c r="AX447" s="37" t="str">
        <f>IFERROR(DATEDIF(B447,AB447,"d"),"0")&amp;"-DAY"</f>
        <v>36-DAY</v>
      </c>
      <c r="AY447" s="37"/>
      <c r="AZ447" s="181">
        <f>L447-AD447</f>
        <v>0</v>
      </c>
    </row>
    <row r="448" spans="1:52" ht="15.5" customHeight="1">
      <c r="A448" s="360" t="s">
        <v>372</v>
      </c>
      <c r="B448" s="340">
        <v>46252</v>
      </c>
      <c r="C448" s="181">
        <v>49678</v>
      </c>
      <c r="D448" s="30">
        <v>46252</v>
      </c>
      <c r="E448" s="30">
        <v>46245</v>
      </c>
      <c r="F448" s="30">
        <v>46266</v>
      </c>
      <c r="G448" s="37">
        <v>4420231154</v>
      </c>
      <c r="H448" s="37" t="s">
        <v>373</v>
      </c>
      <c r="I448" s="37">
        <v>9040132279</v>
      </c>
      <c r="J448" s="37" t="s">
        <v>247</v>
      </c>
      <c r="K448" s="325" t="s">
        <v>248</v>
      </c>
      <c r="L448" s="181">
        <v>6</v>
      </c>
      <c r="M448" s="181" t="s">
        <v>375</v>
      </c>
      <c r="N448" s="37" t="s">
        <v>431</v>
      </c>
      <c r="O448" s="31">
        <f>IF(F448&gt;0,F448-AB448,"")</f>
        <v>46266</v>
      </c>
      <c r="P448" s="37" t="str">
        <f>IF(F448&gt;0,IF(AB448="","PLANNING SUPPLY",IF(AB448&lt;=F448,"ONTIME DELIVERY","DELAY")),"")</f>
        <v>PLANNING SUPPLY</v>
      </c>
      <c r="Q448" s="181" t="str">
        <f>IFERROR(IF(J448&gt;0,VLOOKUP(J448,#REF!,MATCH($Q$6,#REF!,0),0),""),"")</f>
        <v/>
      </c>
      <c r="R448" s="181" t="str">
        <f>IFERROR(IF(J448&gt;0,VLOOKUP(J448,#REF!,MATCH($R$6,#REF!,0),0),""),"")</f>
        <v/>
      </c>
      <c r="S448" s="181" t="e">
        <f>IF(I451&gt;0,Q448+R448,"")</f>
        <v>#VALUE!</v>
      </c>
      <c r="T448" s="181"/>
      <c r="U448" s="181"/>
      <c r="V448" s="37"/>
      <c r="W448" s="181" t="e">
        <f>IF(I451&gt;0,IF(S448&gt;L448,"READY STOCK",IF(S448=0,"OUT OF STOCK",IF(S448&lt;L448,"LOW STOCK",""))),"")</f>
        <v>#VALUE!</v>
      </c>
      <c r="X448" s="38"/>
      <c r="Y448" s="38"/>
      <c r="Z448" s="38"/>
      <c r="AA448" s="38"/>
      <c r="AB448" s="50"/>
      <c r="AC448" s="181"/>
      <c r="AD448" s="51"/>
      <c r="AE448" s="37"/>
      <c r="AF448" s="37"/>
      <c r="AG448" s="33" t="str">
        <f>IF(G448&gt;0,IF(AD448&gt;0,IF(AD448=0,"Waiting",IF(AD448&lt;L448,"Partial",IF(AD448=L448,"Full Supply",IF(AD448&gt;L448,"Over Shared")))),"Waiting"),"")</f>
        <v>Waiting</v>
      </c>
      <c r="AH448" s="56">
        <v>46253</v>
      </c>
      <c r="AI448" s="37" t="s">
        <v>1308</v>
      </c>
      <c r="AJ448" s="181">
        <v>6</v>
      </c>
      <c r="AK448" s="40">
        <v>26321</v>
      </c>
      <c r="AL448" s="40"/>
      <c r="AM448" s="40">
        <v>100</v>
      </c>
      <c r="AN448" s="212"/>
      <c r="AO448" s="232"/>
      <c r="AP448" s="37"/>
      <c r="AQ448" s="37"/>
      <c r="AR448" s="37"/>
      <c r="AS448" s="37"/>
      <c r="AT448" s="37">
        <f>AS448-AD448</f>
        <v>0</v>
      </c>
      <c r="AU448" s="36" t="str">
        <f>IF(AR448=0,"Waiting",IF(AR448&lt;AH448,"Kurang",IF(AR448=AH448,"Sesuai",IF(AR448&gt;AH448,"Over Shared"))))</f>
        <v>Waiting</v>
      </c>
      <c r="AV448" s="37"/>
      <c r="AW448" s="37" t="str">
        <f>IFERROR(DATEDIF(AH448,AK448,"d"),"0")&amp;"-DAY"</f>
        <v>0-DAY</v>
      </c>
      <c r="AX448" s="37" t="str">
        <f>IFERROR(DATEDIF(B448,AB448,"d"),"0")&amp;"-DAY"</f>
        <v>0-DAY</v>
      </c>
      <c r="AY448" s="37"/>
      <c r="AZ448" s="181">
        <f>L448-AD448</f>
        <v>6</v>
      </c>
    </row>
    <row r="449" spans="1:52" ht="15.5" customHeight="1">
      <c r="A449" s="360" t="s">
        <v>372</v>
      </c>
      <c r="B449" s="340">
        <v>46252</v>
      </c>
      <c r="C449" s="181">
        <v>49678</v>
      </c>
      <c r="D449" s="30">
        <v>46252</v>
      </c>
      <c r="E449" s="30">
        <v>46245</v>
      </c>
      <c r="F449" s="30">
        <v>46266</v>
      </c>
      <c r="G449" s="37">
        <v>4420231154</v>
      </c>
      <c r="H449" s="37" t="s">
        <v>373</v>
      </c>
      <c r="I449" s="37">
        <v>9040135879</v>
      </c>
      <c r="J449" s="37" t="s">
        <v>123</v>
      </c>
      <c r="K449" s="325" t="s">
        <v>124</v>
      </c>
      <c r="L449" s="181">
        <v>1</v>
      </c>
      <c r="M449" s="181" t="s">
        <v>375</v>
      </c>
      <c r="N449" s="37" t="s">
        <v>431</v>
      </c>
      <c r="O449" s="31">
        <f>IF(F449&gt;0,F449-AB449,"")</f>
        <v>46266</v>
      </c>
      <c r="P449" s="37" t="str">
        <f>IF(F449&gt;0,IF(AB449="","PLANNING SUPPLY",IF(AB449&lt;=F449,"ONTIME DELIVERY","DELAY")),"")</f>
        <v>PLANNING SUPPLY</v>
      </c>
      <c r="Q449" s="181" t="str">
        <f>IFERROR(IF(J449&gt;0,VLOOKUP(J449,#REF!,MATCH($Q$6,#REF!,0),0),""),"")</f>
        <v/>
      </c>
      <c r="R449" s="181" t="str">
        <f>IFERROR(IF(J449&gt;0,VLOOKUP(J449,#REF!,MATCH($R$6,#REF!,0),0),""),"")</f>
        <v/>
      </c>
      <c r="S449" s="181" t="e">
        <f>IF(I452&gt;0,Q449+R449,"")</f>
        <v>#VALUE!</v>
      </c>
      <c r="T449" s="181"/>
      <c r="U449" s="181"/>
      <c r="V449" s="37"/>
      <c r="W449" s="181" t="e">
        <f>IF(I452&gt;0,IF(S449&gt;L449,"READY STOCK",IF(S449=0,"OUT OF STOCK",IF(S449&lt;L449,"LOW STOCK",""))),"")</f>
        <v>#VALUE!</v>
      </c>
      <c r="X449" s="38"/>
      <c r="Y449" s="38"/>
      <c r="Z449" s="38"/>
      <c r="AA449" s="38"/>
      <c r="AB449" s="50"/>
      <c r="AC449" s="181"/>
      <c r="AD449" s="51"/>
      <c r="AE449" s="37"/>
      <c r="AF449" s="37"/>
      <c r="AG449" s="33" t="str">
        <f>IF(G449&gt;0,IF(AD449&gt;0,IF(AD449=0,"Waiting",IF(AD449&lt;L449,"Partial",IF(AD449=L449,"Full Supply",IF(AD449&gt;L449,"Over Shared")))),"Waiting"),"")</f>
        <v>Waiting</v>
      </c>
      <c r="AH449" s="56">
        <v>46253</v>
      </c>
      <c r="AI449" s="37" t="s">
        <v>1302</v>
      </c>
      <c r="AJ449" s="181">
        <v>1</v>
      </c>
      <c r="AK449" s="40"/>
      <c r="AL449" s="40"/>
      <c r="AM449" s="40"/>
      <c r="AN449" s="216" t="s">
        <v>1309</v>
      </c>
      <c r="AO449" s="55"/>
      <c r="AP449" s="37"/>
      <c r="AQ449" s="37"/>
      <c r="AR449" s="37"/>
      <c r="AS449" s="37"/>
      <c r="AT449" s="37">
        <f>AS449-AD449</f>
        <v>0</v>
      </c>
      <c r="AU449" s="36" t="str">
        <f>IF(AR449=0,"Waiting",IF(AR449&lt;AH449,"Kurang",IF(AR449=AH449,"Sesuai",IF(AR449&gt;AH449,"Over Shared"))))</f>
        <v>Waiting</v>
      </c>
      <c r="AV449" s="37"/>
      <c r="AW449" s="37" t="str">
        <f>IFERROR(DATEDIF(AH449,AK449,"d"),"0")&amp;"-DAY"</f>
        <v>0-DAY</v>
      </c>
      <c r="AX449" s="37" t="str">
        <f>IFERROR(DATEDIF(B449,AB449,"d"),"0")&amp;"-DAY"</f>
        <v>0-DAY</v>
      </c>
      <c r="AY449" s="37"/>
      <c r="AZ449" s="181">
        <f>L449-AD449</f>
        <v>1</v>
      </c>
    </row>
    <row r="450" spans="1:52" ht="15.5" customHeight="1">
      <c r="A450" s="360" t="s">
        <v>372</v>
      </c>
      <c r="B450" s="340">
        <v>46252</v>
      </c>
      <c r="C450" s="181">
        <v>49678</v>
      </c>
      <c r="D450" s="30">
        <v>46252</v>
      </c>
      <c r="E450" s="30">
        <v>46245</v>
      </c>
      <c r="F450" s="30">
        <v>46266</v>
      </c>
      <c r="G450" s="37">
        <v>4420231154</v>
      </c>
      <c r="H450" s="37" t="s">
        <v>373</v>
      </c>
      <c r="I450" s="37">
        <v>9040129673</v>
      </c>
      <c r="J450" s="37" t="s">
        <v>278</v>
      </c>
      <c r="K450" s="325" t="s">
        <v>279</v>
      </c>
      <c r="L450" s="181">
        <v>6</v>
      </c>
      <c r="M450" s="181" t="s">
        <v>375</v>
      </c>
      <c r="N450" s="37" t="s">
        <v>431</v>
      </c>
      <c r="O450" s="31">
        <f>IF(F450&gt;0,F450-AB450,"")</f>
        <v>46266</v>
      </c>
      <c r="P450" s="37" t="str">
        <f>IF(F450&gt;0,IF(AB450="","PLANNING SUPPLY",IF(AB450&lt;=F450,"ONTIME DELIVERY","DELAY")),"")</f>
        <v>PLANNING SUPPLY</v>
      </c>
      <c r="Q450" s="181" t="str">
        <f>IFERROR(IF(J450&gt;0,VLOOKUP(J450,#REF!,MATCH($Q$6,#REF!,0),0),""),"")</f>
        <v/>
      </c>
      <c r="R450" s="181" t="str">
        <f>IFERROR(IF(J450&gt;0,VLOOKUP(J450,#REF!,MATCH($R$6,#REF!,0),0),""),"")</f>
        <v/>
      </c>
      <c r="S450" s="181" t="e">
        <f>IF(I453&gt;0,Q450+R450,"")</f>
        <v>#VALUE!</v>
      </c>
      <c r="T450" s="181"/>
      <c r="U450" s="181"/>
      <c r="V450" s="37"/>
      <c r="W450" s="181" t="e">
        <f>IF(I453&gt;0,IF(S450&gt;L450,"READY STOCK",IF(S450=0,"OUT OF STOCK",IF(S450&lt;L450,"LOW STOCK",""))),"")</f>
        <v>#VALUE!</v>
      </c>
      <c r="X450" s="38"/>
      <c r="Y450" s="38"/>
      <c r="Z450" s="38"/>
      <c r="AA450" s="38"/>
      <c r="AB450" s="50"/>
      <c r="AC450" s="181"/>
      <c r="AD450" s="51"/>
      <c r="AE450" s="37"/>
      <c r="AF450" s="37"/>
      <c r="AG450" s="33" t="str">
        <f>IF(G450&gt;0,IF(AD450&gt;0,IF(AD450=0,"Waiting",IF(AD450&lt;L450,"Partial",IF(AD450=L450,"Full Supply",IF(AD450&gt;L450,"Over Shared")))),"Waiting"),"")</f>
        <v>Waiting</v>
      </c>
      <c r="AH450" s="56">
        <v>46253</v>
      </c>
      <c r="AI450" s="37" t="s">
        <v>1308</v>
      </c>
      <c r="AJ450" s="181">
        <v>6</v>
      </c>
      <c r="AK450" s="40">
        <v>26321</v>
      </c>
      <c r="AL450" s="40"/>
      <c r="AM450" s="40">
        <v>100</v>
      </c>
      <c r="AN450" s="37"/>
      <c r="AO450" s="55"/>
      <c r="AP450" s="37"/>
      <c r="AQ450" s="37"/>
      <c r="AR450" s="37"/>
      <c r="AS450" s="37"/>
      <c r="AT450" s="37">
        <f>AS450-AD450</f>
        <v>0</v>
      </c>
      <c r="AU450" s="36" t="str">
        <f>IF(AR450=0,"Waiting",IF(AR450&lt;AH450,"Kurang",IF(AR450=AH450,"Sesuai",IF(AR450&gt;AH450,"Over Shared"))))</f>
        <v>Waiting</v>
      </c>
      <c r="AV450" s="37"/>
      <c r="AW450" s="37" t="str">
        <f>IFERROR(DATEDIF(AH450,AK450,"d"),"0")&amp;"-DAY"</f>
        <v>0-DAY</v>
      </c>
      <c r="AX450" s="37" t="str">
        <f>IFERROR(DATEDIF(B450,AB450,"d"),"0")&amp;"-DAY"</f>
        <v>0-DAY</v>
      </c>
      <c r="AY450" s="37"/>
      <c r="AZ450" s="181">
        <f>L450-AD450</f>
        <v>6</v>
      </c>
    </row>
    <row r="451" spans="1:52" ht="15.5" customHeight="1">
      <c r="A451" s="360" t="s">
        <v>372</v>
      </c>
      <c r="B451" s="340">
        <v>46252</v>
      </c>
      <c r="C451" s="181">
        <v>49679</v>
      </c>
      <c r="D451" s="30">
        <v>46252</v>
      </c>
      <c r="E451" s="30">
        <v>46248</v>
      </c>
      <c r="F451" s="30">
        <v>46264</v>
      </c>
      <c r="G451" s="37">
        <v>4420231514</v>
      </c>
      <c r="H451" s="37" t="s">
        <v>373</v>
      </c>
      <c r="I451" s="37">
        <v>9040024721</v>
      </c>
      <c r="J451" s="37" t="s">
        <v>239</v>
      </c>
      <c r="K451" s="325" t="s">
        <v>240</v>
      </c>
      <c r="L451" s="181">
        <v>8</v>
      </c>
      <c r="M451" s="181" t="s">
        <v>389</v>
      </c>
      <c r="N451" s="37" t="s">
        <v>382</v>
      </c>
      <c r="O451" s="31">
        <f>IF(F451&gt;0,F451-AB451,"")</f>
        <v>-50</v>
      </c>
      <c r="P451" s="37" t="str">
        <f>IF(F451&gt;0,IF(AB451="","PLANNING SUPPLY",IF(AB451&lt;=F451,"ONTIME DELIVERY","DELAY")),"")</f>
        <v>DELAY</v>
      </c>
      <c r="Q451" s="181" t="str">
        <f>IFERROR(IF(J451&gt;0,VLOOKUP(J451,#REF!,MATCH($Q$6,#REF!,0),0),""),"")</f>
        <v/>
      </c>
      <c r="R451" s="181" t="str">
        <f>IFERROR(IF(J451&gt;0,VLOOKUP(J451,#REF!,MATCH($R$6,#REF!,0),0),""),"")</f>
        <v/>
      </c>
      <c r="S451" s="181" t="e">
        <f>IF(I454&gt;0,Q451+R451,"")</f>
        <v>#VALUE!</v>
      </c>
      <c r="T451" s="181"/>
      <c r="U451" s="181"/>
      <c r="V451" s="37"/>
      <c r="W451" s="181" t="e">
        <f>IF(I454&gt;0,IF(S451&gt;L451,"READY STOCK",IF(S451=0,"OUT OF STOCK",IF(S451&lt;L451,"LOW STOCK",""))),"")</f>
        <v>#VALUE!</v>
      </c>
      <c r="X451" s="38"/>
      <c r="Y451" s="38"/>
      <c r="Z451" s="38"/>
      <c r="AA451" s="38"/>
      <c r="AB451" s="50">
        <v>46314</v>
      </c>
      <c r="AC451" s="44" t="s">
        <v>1310</v>
      </c>
      <c r="AD451" s="51">
        <v>2</v>
      </c>
      <c r="AE451" s="37" t="s">
        <v>387</v>
      </c>
      <c r="AF451" s="37" t="s">
        <v>381</v>
      </c>
      <c r="AG451" s="33" t="str">
        <f>IF(G451&gt;0,IF(AD451&gt;0,IF(AD451=0,"Waiting",IF(AD451&lt;L451,"Partial",IF(AD451=L451,"Full Supply",IF(AD451&gt;L451,"Over Shared")))),"Waiting"),"")</f>
        <v>Partial</v>
      </c>
      <c r="AH451" s="56">
        <v>46268</v>
      </c>
      <c r="AI451" s="37" t="s">
        <v>1294</v>
      </c>
      <c r="AJ451" s="181">
        <v>21</v>
      </c>
      <c r="AK451" s="40">
        <v>26396</v>
      </c>
      <c r="AL451" s="42">
        <v>46287</v>
      </c>
      <c r="AM451" s="40">
        <v>21</v>
      </c>
      <c r="AN451" s="37"/>
      <c r="AO451" s="239"/>
      <c r="AP451" s="37"/>
      <c r="AQ451" s="37"/>
      <c r="AR451" s="37"/>
      <c r="AS451" s="37"/>
      <c r="AT451" s="37">
        <f>AS451-AD451</f>
        <v>-2</v>
      </c>
      <c r="AU451" s="36" t="str">
        <f>IF(AR451=0,"Waiting",IF(AR451&lt;AH451,"Kurang",IF(AR451=AH451,"Sesuai",IF(AR451&gt;AH451,"Over Shared"))))</f>
        <v>Waiting</v>
      </c>
      <c r="AV451" s="37"/>
      <c r="AW451" s="37" t="str">
        <f>IFERROR(DATEDIF(AH451,AK451,"d"),"0")&amp;"-DAY"</f>
        <v>0-DAY</v>
      </c>
      <c r="AX451" s="37" t="str">
        <f>IFERROR(DATEDIF(B451,AB451,"d"),"0")&amp;"-DAY"</f>
        <v>62-DAY</v>
      </c>
      <c r="AY451" s="37"/>
      <c r="AZ451" s="181">
        <f>L451-AD451</f>
        <v>6</v>
      </c>
    </row>
    <row r="452" spans="1:52" ht="15.5" customHeight="1">
      <c r="A452" s="360" t="s">
        <v>372</v>
      </c>
      <c r="B452" s="340">
        <v>46252</v>
      </c>
      <c r="C452" s="181">
        <v>49679</v>
      </c>
      <c r="D452" s="30">
        <v>46252</v>
      </c>
      <c r="E452" s="30">
        <v>46248</v>
      </c>
      <c r="F452" s="30">
        <v>46264</v>
      </c>
      <c r="G452" s="37">
        <v>4420231514</v>
      </c>
      <c r="H452" s="37" t="s">
        <v>373</v>
      </c>
      <c r="I452" s="37">
        <v>9040051092</v>
      </c>
      <c r="J452" s="37" t="s">
        <v>89</v>
      </c>
      <c r="K452" s="325" t="s">
        <v>90</v>
      </c>
      <c r="L452" s="181">
        <v>16</v>
      </c>
      <c r="M452" s="181" t="s">
        <v>375</v>
      </c>
      <c r="N452" s="37" t="s">
        <v>382</v>
      </c>
      <c r="O452" s="31">
        <f>IF(F452&gt;0,F452-AB452,"")</f>
        <v>-18</v>
      </c>
      <c r="P452" s="37" t="str">
        <f>IF(F452&gt;0,IF(AB452="","PLANNING SUPPLY",IF(AB452&lt;=F452,"ONTIME DELIVERY","DELAY")),"")</f>
        <v>DELAY</v>
      </c>
      <c r="Q452" s="181" t="str">
        <f>IFERROR(IF(J452&gt;0,VLOOKUP(J452,#REF!,MATCH($Q$6,#REF!,0),0),""),"")</f>
        <v/>
      </c>
      <c r="R452" s="181" t="str">
        <f>IFERROR(IF(J452&gt;0,VLOOKUP(J452,#REF!,MATCH($R$6,#REF!,0),0),""),"")</f>
        <v/>
      </c>
      <c r="S452" s="181" t="e">
        <f>IF(I455&gt;0,Q452+R452,"")</f>
        <v>#VALUE!</v>
      </c>
      <c r="T452" s="181"/>
      <c r="U452" s="181"/>
      <c r="V452" s="37"/>
      <c r="W452" s="181" t="e">
        <f>IF(I455&gt;0,IF(S452&gt;L452,"READY STOCK",IF(S452=0,"OUT OF STOCK",IF(S452&lt;L452,"LOW STOCK",""))),"")</f>
        <v>#VALUE!</v>
      </c>
      <c r="X452" s="38"/>
      <c r="Y452" s="38"/>
      <c r="Z452" s="38"/>
      <c r="AA452" s="38"/>
      <c r="AB452" s="50">
        <v>46282</v>
      </c>
      <c r="AC452" s="181">
        <v>34387</v>
      </c>
      <c r="AD452" s="51">
        <v>16</v>
      </c>
      <c r="AE452" s="37" t="s">
        <v>387</v>
      </c>
      <c r="AF452" s="37" t="s">
        <v>381</v>
      </c>
      <c r="AG452" s="33" t="str">
        <f>IF(G452&gt;0,IF(AD452&gt;0,IF(AD452=0,"Waiting",IF(AD452&lt;L452,"Partial",IF(AD452=L452,"Full Supply",IF(AD452&gt;L452,"Over Shared")))),"Waiting"),"")</f>
        <v>Full Supply</v>
      </c>
      <c r="AH452" s="56">
        <v>46253</v>
      </c>
      <c r="AI452" s="37" t="s">
        <v>1302</v>
      </c>
      <c r="AJ452" s="181">
        <v>16</v>
      </c>
      <c r="AK452" s="40">
        <v>26191</v>
      </c>
      <c r="AL452" s="189">
        <v>46269</v>
      </c>
      <c r="AM452" s="40">
        <v>16</v>
      </c>
      <c r="AN452" s="212"/>
      <c r="AO452" s="214">
        <v>46275</v>
      </c>
      <c r="AP452" s="37"/>
      <c r="AQ452" s="37"/>
      <c r="AR452" s="37"/>
      <c r="AS452" s="37"/>
      <c r="AT452" s="37">
        <f>AS452-AD452</f>
        <v>-16</v>
      </c>
      <c r="AU452" s="36" t="str">
        <f>IF(AR452=0,"Waiting",IF(AR452&lt;AH452,"Kurang",IF(AR452=AH452,"Sesuai",IF(AR452&gt;AH452,"Over Shared"))))</f>
        <v>Waiting</v>
      </c>
      <c r="AV452" s="37"/>
      <c r="AW452" s="37" t="str">
        <f>IFERROR(DATEDIF(AH452,AK452,"d"),"0")&amp;"-DAY"</f>
        <v>0-DAY</v>
      </c>
      <c r="AX452" s="37" t="str">
        <f>IFERROR(DATEDIF(B452,AB452,"d"),"0")&amp;"-DAY"</f>
        <v>30-DAY</v>
      </c>
      <c r="AY452" s="37"/>
      <c r="AZ452" s="181">
        <f>L452-AD452</f>
        <v>0</v>
      </c>
    </row>
    <row r="453" spans="1:52" ht="15.5" customHeight="1">
      <c r="A453" s="360" t="s">
        <v>372</v>
      </c>
      <c r="B453" s="340">
        <v>46252</v>
      </c>
      <c r="C453" s="181">
        <v>49679</v>
      </c>
      <c r="D453" s="30">
        <v>46252</v>
      </c>
      <c r="E453" s="30">
        <v>46248</v>
      </c>
      <c r="F453" s="30">
        <v>46264</v>
      </c>
      <c r="G453" s="37">
        <v>4420231514</v>
      </c>
      <c r="H453" s="37" t="s">
        <v>373</v>
      </c>
      <c r="I453" s="37">
        <v>9040073264</v>
      </c>
      <c r="J453" s="37" t="s">
        <v>85</v>
      </c>
      <c r="K453" s="325" t="s">
        <v>86</v>
      </c>
      <c r="L453" s="181">
        <v>8</v>
      </c>
      <c r="M453" s="181" t="s">
        <v>375</v>
      </c>
      <c r="N453" s="37" t="s">
        <v>382</v>
      </c>
      <c r="O453" s="31">
        <f>IF(F453&gt;0,F453-AB453,"")</f>
        <v>-18</v>
      </c>
      <c r="P453" s="37" t="str">
        <f>IF(F453&gt;0,IF(AB453="","PLANNING SUPPLY",IF(AB453&lt;=F453,"ONTIME DELIVERY","DELAY")),"")</f>
        <v>DELAY</v>
      </c>
      <c r="Q453" s="181" t="str">
        <f>IFERROR(IF(J453&gt;0,VLOOKUP(J453,#REF!,MATCH($Q$6,#REF!,0),0),""),"")</f>
        <v/>
      </c>
      <c r="R453" s="181" t="str">
        <f>IFERROR(IF(J453&gt;0,VLOOKUP(J453,#REF!,MATCH($R$6,#REF!,0),0),""),"")</f>
        <v/>
      </c>
      <c r="S453" s="181" t="e">
        <f>IF(I456&gt;0,Q453+R453,"")</f>
        <v>#VALUE!</v>
      </c>
      <c r="T453" s="181"/>
      <c r="U453" s="181"/>
      <c r="V453" s="37"/>
      <c r="W453" s="181" t="e">
        <f>IF(I456&gt;0,IF(S453&gt;L453,"READY STOCK",IF(S453=0,"OUT OF STOCK",IF(S453&lt;L453,"LOW STOCK",""))),"")</f>
        <v>#VALUE!</v>
      </c>
      <c r="X453" s="38"/>
      <c r="Y453" s="38"/>
      <c r="Z453" s="38"/>
      <c r="AA453" s="38"/>
      <c r="AB453" s="50">
        <v>46282</v>
      </c>
      <c r="AC453" s="181">
        <v>34383</v>
      </c>
      <c r="AD453" s="51">
        <v>8</v>
      </c>
      <c r="AE453" s="37" t="s">
        <v>387</v>
      </c>
      <c r="AF453" s="37" t="s">
        <v>381</v>
      </c>
      <c r="AG453" s="33" t="str">
        <f>IF(G453&gt;0,IF(AD453&gt;0,IF(AD453=0,"Waiting",IF(AD453&lt;L453,"Partial",IF(AD453=L453,"Full Supply",IF(AD453&gt;L453,"Over Shared")))),"Waiting"),"")</f>
        <v>Full Supply</v>
      </c>
      <c r="AH453" s="56">
        <v>46253</v>
      </c>
      <c r="AI453" s="37" t="s">
        <v>1302</v>
      </c>
      <c r="AJ453" s="181">
        <v>8</v>
      </c>
      <c r="AK453" s="40">
        <v>26191</v>
      </c>
      <c r="AL453" s="189">
        <v>46269</v>
      </c>
      <c r="AM453" s="40">
        <v>8</v>
      </c>
      <c r="AN453" s="212"/>
      <c r="AO453" s="214">
        <v>46275</v>
      </c>
      <c r="AP453" s="37"/>
      <c r="AQ453" s="37"/>
      <c r="AR453" s="37"/>
      <c r="AS453" s="37"/>
      <c r="AT453" s="37">
        <f>AS453-AD453</f>
        <v>-8</v>
      </c>
      <c r="AU453" s="36" t="str">
        <f>IF(AR453=0,"Waiting",IF(AR453&lt;AH453,"Kurang",IF(AR453=AH453,"Sesuai",IF(AR453&gt;AH453,"Over Shared"))))</f>
        <v>Waiting</v>
      </c>
      <c r="AV453" s="37"/>
      <c r="AW453" s="37" t="str">
        <f>IFERROR(DATEDIF(AH453,AK453,"d"),"0")&amp;"-DAY"</f>
        <v>0-DAY</v>
      </c>
      <c r="AX453" s="37" t="str">
        <f>IFERROR(DATEDIF(B453,AB453,"d"),"0")&amp;"-DAY"</f>
        <v>30-DAY</v>
      </c>
      <c r="AY453" s="37"/>
      <c r="AZ453" s="181">
        <f>L453-AD453</f>
        <v>0</v>
      </c>
    </row>
    <row r="454" spans="1:52" ht="15.5" customHeight="1">
      <c r="A454" s="360" t="s">
        <v>372</v>
      </c>
      <c r="B454" s="340">
        <v>46254</v>
      </c>
      <c r="C454" s="181">
        <v>49771</v>
      </c>
      <c r="D454" s="30">
        <v>46254</v>
      </c>
      <c r="E454" s="30">
        <v>46252</v>
      </c>
      <c r="F454" s="30">
        <v>46264</v>
      </c>
      <c r="G454" s="37">
        <v>4420231660</v>
      </c>
      <c r="H454" s="37" t="s">
        <v>373</v>
      </c>
      <c r="I454" s="37">
        <v>9040040445</v>
      </c>
      <c r="J454" s="37" t="s">
        <v>193</v>
      </c>
      <c r="K454" s="325" t="s">
        <v>194</v>
      </c>
      <c r="L454" s="181">
        <v>5</v>
      </c>
      <c r="M454" s="181" t="s">
        <v>421</v>
      </c>
      <c r="N454" s="37" t="s">
        <v>382</v>
      </c>
      <c r="O454" s="31">
        <f>IF(F454&gt;0,F454-AB454,"")</f>
        <v>-11</v>
      </c>
      <c r="P454" s="37" t="str">
        <f>IF(F454&gt;0,IF(AB454="","PLANNING SUPPLY",IF(AB454&lt;=F454,"ONTIME DELIVERY","DELAY")),"")</f>
        <v>DELAY</v>
      </c>
      <c r="Q454" s="181" t="str">
        <f>IFERROR(IF(J454&gt;0,VLOOKUP(J454,#REF!,MATCH($Q$6,#REF!,0),0),""),"")</f>
        <v/>
      </c>
      <c r="R454" s="181" t="str">
        <f>IFERROR(IF(J454&gt;0,VLOOKUP(J454,#REF!,MATCH($R$6,#REF!,0),0),""),"")</f>
        <v/>
      </c>
      <c r="S454" s="181" t="e">
        <f>IF(I457&gt;0,Q454+R454,"")</f>
        <v>#VALUE!</v>
      </c>
      <c r="T454" s="181"/>
      <c r="U454" s="181"/>
      <c r="V454" s="37"/>
      <c r="W454" s="181" t="e">
        <f>IF(I457&gt;0,IF(S454&gt;L454,"READY STOCK",IF(S454=0,"OUT OF STOCK",IF(S454&lt;L454,"LOW STOCK",""))),"")</f>
        <v>#VALUE!</v>
      </c>
      <c r="X454" s="38"/>
      <c r="Y454" s="38"/>
      <c r="Z454" s="38"/>
      <c r="AA454" s="38"/>
      <c r="AB454" s="50">
        <v>46275</v>
      </c>
      <c r="AC454" s="181">
        <v>34169</v>
      </c>
      <c r="AD454" s="51">
        <v>5</v>
      </c>
      <c r="AE454" s="37" t="s">
        <v>383</v>
      </c>
      <c r="AF454" s="37" t="s">
        <v>381</v>
      </c>
      <c r="AG454" s="33" t="str">
        <f>IF(G454&gt;0,IF(AD454&gt;0,IF(AD454=0,"Waiting",IF(AD454&lt;L454,"Partial",IF(AD454=L454,"Full Supply",IF(AD454&gt;L454,"Over Shared")))),"Waiting"),"")</f>
        <v>Full Supply</v>
      </c>
      <c r="AH454" s="37"/>
      <c r="AI454" s="37"/>
      <c r="AJ454" s="181"/>
      <c r="AK454" s="40"/>
      <c r="AL454" s="40"/>
      <c r="AM454" s="40"/>
      <c r="AN454" s="37"/>
      <c r="AO454" s="34"/>
      <c r="AP454" s="37"/>
      <c r="AQ454" s="37"/>
      <c r="AR454" s="37"/>
      <c r="AS454" s="37"/>
      <c r="AT454" s="37"/>
      <c r="AU454" s="37"/>
      <c r="AV454" s="37">
        <v>56079</v>
      </c>
      <c r="AW454" s="37"/>
      <c r="AX454" s="37"/>
      <c r="AY454" s="37"/>
      <c r="AZ454" s="181">
        <f>L454-AD454</f>
        <v>0</v>
      </c>
    </row>
    <row r="455" spans="1:52" ht="15.5" customHeight="1">
      <c r="A455" s="360" t="s">
        <v>372</v>
      </c>
      <c r="B455" s="340">
        <v>46255</v>
      </c>
      <c r="C455" s="181">
        <v>49793</v>
      </c>
      <c r="D455" s="30">
        <v>46255</v>
      </c>
      <c r="E455" s="30">
        <v>46253</v>
      </c>
      <c r="F455" s="30">
        <v>46274</v>
      </c>
      <c r="G455" s="37">
        <v>4420231765</v>
      </c>
      <c r="H455" s="37" t="s">
        <v>373</v>
      </c>
      <c r="I455" s="37">
        <v>9040017347</v>
      </c>
      <c r="J455" s="37" t="s">
        <v>72</v>
      </c>
      <c r="K455" s="325" t="s">
        <v>73</v>
      </c>
      <c r="L455" s="181">
        <v>5</v>
      </c>
      <c r="M455" s="181" t="s">
        <v>375</v>
      </c>
      <c r="N455" s="37" t="s">
        <v>451</v>
      </c>
      <c r="O455" s="31">
        <f>IF(F455&gt;0,F455-AB455,"")</f>
        <v>-8</v>
      </c>
      <c r="P455" s="37" t="str">
        <f>IF(F455&gt;0,IF(AB455="","PLANNING SUPPLY",IF(AB455&lt;=F455,"ONTIME DELIVERY","DELAY")),"")</f>
        <v>DELAY</v>
      </c>
      <c r="Q455" s="181" t="str">
        <f>IFERROR(IF(J455&gt;0,VLOOKUP(J455,#REF!,MATCH($Q$6,#REF!,0),0),""),"")</f>
        <v/>
      </c>
      <c r="R455" s="181" t="str">
        <f>IFERROR(IF(J455&gt;0,VLOOKUP(J455,#REF!,MATCH($R$6,#REF!,0),0),""),"")</f>
        <v/>
      </c>
      <c r="S455" s="181" t="e">
        <f>IF(I458&gt;0,Q455+R455,"")</f>
        <v>#VALUE!</v>
      </c>
      <c r="T455" s="181"/>
      <c r="U455" s="181"/>
      <c r="V455" s="37"/>
      <c r="W455" s="181" t="e">
        <f>IF(I458&gt;0,IF(S455&gt;L455,"READY STOCK",IF(S455=0,"OUT OF STOCK",IF(S455&lt;L455,"LOW STOCK",""))),"")</f>
        <v>#VALUE!</v>
      </c>
      <c r="X455" s="38"/>
      <c r="Y455" s="38"/>
      <c r="Z455" s="38"/>
      <c r="AA455" s="38"/>
      <c r="AB455" s="50">
        <v>46282</v>
      </c>
      <c r="AC455" s="181">
        <v>34391</v>
      </c>
      <c r="AD455" s="51">
        <v>5</v>
      </c>
      <c r="AE455" s="37" t="s">
        <v>387</v>
      </c>
      <c r="AF455" s="37" t="s">
        <v>381</v>
      </c>
      <c r="AG455" s="33" t="str">
        <f>IF(G455&gt;0,IF(AD455&gt;0,IF(AD455=0,"Waiting",IF(AD455&lt;L455,"Partial",IF(AD455=L455,"Full Supply",IF(AD455&gt;L455,"Over Shared")))),"Waiting"),"")</f>
        <v>Full Supply</v>
      </c>
      <c r="AH455" s="56">
        <v>46261</v>
      </c>
      <c r="AI455" s="37" t="s">
        <v>467</v>
      </c>
      <c r="AJ455" s="181">
        <v>5</v>
      </c>
      <c r="AK455" s="40">
        <v>26184</v>
      </c>
      <c r="AL455" s="189">
        <v>46269</v>
      </c>
      <c r="AM455" s="40">
        <v>5</v>
      </c>
      <c r="AN455" s="212"/>
      <c r="AO455" s="220">
        <v>46273</v>
      </c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181">
        <f>L455-AD455</f>
        <v>0</v>
      </c>
    </row>
    <row r="456" spans="1:52" ht="15.5" customHeight="1">
      <c r="A456" s="360" t="s">
        <v>372</v>
      </c>
      <c r="B456" s="340">
        <v>46258</v>
      </c>
      <c r="C456" s="181">
        <v>49925</v>
      </c>
      <c r="D456" s="30">
        <v>46258</v>
      </c>
      <c r="E456" s="30">
        <v>46253</v>
      </c>
      <c r="F456" s="30">
        <v>46265</v>
      </c>
      <c r="G456" s="37">
        <v>4420231738</v>
      </c>
      <c r="H456" s="37" t="s">
        <v>373</v>
      </c>
      <c r="I456" s="37">
        <v>9040005049</v>
      </c>
      <c r="J456" s="37" t="s">
        <v>74</v>
      </c>
      <c r="K456" s="325" t="s">
        <v>75</v>
      </c>
      <c r="L456" s="181">
        <v>2</v>
      </c>
      <c r="M456" s="181" t="s">
        <v>427</v>
      </c>
      <c r="N456" s="37" t="s">
        <v>410</v>
      </c>
      <c r="O456" s="31">
        <f>IF(F456&gt;0,F456-AB456,"")</f>
        <v>-16</v>
      </c>
      <c r="P456" s="37" t="str">
        <f>IF(F456&gt;0,IF(AB456="","PLANNING SUPPLY",IF(AB456&lt;=F456,"ONTIME DELIVERY","DELAY")),"")</f>
        <v>DELAY</v>
      </c>
      <c r="Q456" s="181" t="str">
        <f>IFERROR(IF(J456&gt;0,VLOOKUP(J456,#REF!,MATCH($Q$6,#REF!,0),0),""),"")</f>
        <v/>
      </c>
      <c r="R456" s="181" t="str">
        <f>IFERROR(IF(J456&gt;0,VLOOKUP(J456,#REF!,MATCH($R$6,#REF!,0),0),""),"")</f>
        <v/>
      </c>
      <c r="S456" s="181" t="e">
        <f>IF(I459&gt;0,Q456+R456,"")</f>
        <v>#VALUE!</v>
      </c>
      <c r="T456" s="181"/>
      <c r="U456" s="181"/>
      <c r="V456" s="37"/>
      <c r="W456" s="181" t="e">
        <f>IF(I459&gt;0,IF(S456&gt;L456,"READY STOCK",IF(S456=0,"OUT OF STOCK",IF(S456&lt;L456,"LOW STOCK",""))),"")</f>
        <v>#VALUE!</v>
      </c>
      <c r="X456" s="38"/>
      <c r="Y456" s="38"/>
      <c r="Z456" s="38"/>
      <c r="AA456" s="38"/>
      <c r="AB456" s="50">
        <v>46281</v>
      </c>
      <c r="AC456" s="181">
        <v>34295</v>
      </c>
      <c r="AD456" s="51">
        <v>2</v>
      </c>
      <c r="AE456" s="37" t="s">
        <v>383</v>
      </c>
      <c r="AF456" s="37" t="s">
        <v>381</v>
      </c>
      <c r="AG456" s="33" t="str">
        <f>IF(G456&gt;0,IF(AD456&gt;0,IF(AD456=0,"Waiting",IF(AD456&lt;L456,"Partial",IF(AD456=L456,"Full Supply",IF(AD456&gt;L456,"Over Shared")))),"Waiting"),"")</f>
        <v>Full Supply</v>
      </c>
      <c r="AH456" s="37"/>
      <c r="AI456" s="37"/>
      <c r="AJ456" s="181"/>
      <c r="AK456" s="40"/>
      <c r="AL456" s="40"/>
      <c r="AM456" s="40"/>
      <c r="AN456" s="37"/>
      <c r="AO456" s="34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181">
        <f>L456-AD456</f>
        <v>0</v>
      </c>
    </row>
    <row r="457" spans="1:52" ht="15.5" customHeight="1">
      <c r="A457" s="360" t="s">
        <v>372</v>
      </c>
      <c r="B457" s="340">
        <v>46258</v>
      </c>
      <c r="C457" s="181">
        <v>49925</v>
      </c>
      <c r="D457" s="30">
        <v>46258</v>
      </c>
      <c r="E457" s="30">
        <v>46253</v>
      </c>
      <c r="F457" s="30">
        <v>46265</v>
      </c>
      <c r="G457" s="37">
        <v>4420231738</v>
      </c>
      <c r="H457" s="37" t="s">
        <v>373</v>
      </c>
      <c r="I457" s="37">
        <v>9040012343</v>
      </c>
      <c r="J457" s="37" t="s">
        <v>303</v>
      </c>
      <c r="K457" s="325" t="s">
        <v>304</v>
      </c>
      <c r="L457" s="181">
        <v>2</v>
      </c>
      <c r="M457" s="181" t="s">
        <v>375</v>
      </c>
      <c r="N457" s="37" t="s">
        <v>410</v>
      </c>
      <c r="O457" s="31">
        <f>IF(F457&gt;0,F457-AB457,"")</f>
        <v>0</v>
      </c>
      <c r="P457" s="37" t="str">
        <f>IF(F457&gt;0,IF(AB457="","PLANNING SUPPLY",IF(AB457&lt;=F457,"ONTIME DELIVERY","DELAY")),"")</f>
        <v>ONTIME DELIVERY</v>
      </c>
      <c r="Q457" s="181" t="str">
        <f>IFERROR(IF(J457&gt;0,VLOOKUP(J457,#REF!,MATCH($Q$6,#REF!,0),0),""),"")</f>
        <v/>
      </c>
      <c r="R457" s="181" t="str">
        <f>IFERROR(IF(J457&gt;0,VLOOKUP(J457,#REF!,MATCH($R$6,#REF!,0),0),""),"")</f>
        <v/>
      </c>
      <c r="S457" s="181" t="e">
        <f>IF(I460&gt;0,Q457+R457,"")</f>
        <v>#VALUE!</v>
      </c>
      <c r="T457" s="181"/>
      <c r="U457" s="181"/>
      <c r="V457" s="37"/>
      <c r="W457" s="181" t="e">
        <f>IF(I460&gt;0,IF(S457&gt;L457,"READY STOCK",IF(S457=0,"OUT OF STOCK",IF(S457&lt;L457,"LOW STOCK",""))),"")</f>
        <v>#VALUE!</v>
      </c>
      <c r="X457" s="38"/>
      <c r="Y457" s="38"/>
      <c r="Z457" s="38"/>
      <c r="AA457" s="38"/>
      <c r="AB457" s="50">
        <v>46265</v>
      </c>
      <c r="AC457" s="181">
        <v>33917</v>
      </c>
      <c r="AD457" s="51">
        <v>2</v>
      </c>
      <c r="AE457" s="37" t="s">
        <v>383</v>
      </c>
      <c r="AF457" s="37" t="s">
        <v>381</v>
      </c>
      <c r="AG457" s="33" t="str">
        <f>IF(G457&gt;0,IF(AD457&gt;0,IF(AD457=0,"Waiting",IF(AD457&lt;L457,"Partial",IF(AD457=L457,"Full Supply",IF(AD457&gt;L457,"Over Shared")))),"Waiting"),"")</f>
        <v>Full Supply</v>
      </c>
      <c r="AH457" s="37"/>
      <c r="AI457" s="37"/>
      <c r="AJ457" s="181"/>
      <c r="AK457" s="40"/>
      <c r="AL457" s="40"/>
      <c r="AM457" s="40"/>
      <c r="AN457" s="37"/>
      <c r="AO457" s="34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181">
        <f>L457-AD457</f>
        <v>0</v>
      </c>
    </row>
    <row r="458" spans="1:52" ht="15.5" customHeight="1">
      <c r="A458" s="360" t="s">
        <v>372</v>
      </c>
      <c r="B458" s="340">
        <v>46258</v>
      </c>
      <c r="C458" s="181">
        <v>49925</v>
      </c>
      <c r="D458" s="30">
        <v>46258</v>
      </c>
      <c r="E458" s="30">
        <v>46253</v>
      </c>
      <c r="F458" s="30">
        <v>46265</v>
      </c>
      <c r="G458" s="37">
        <v>4420231738</v>
      </c>
      <c r="H458" s="37" t="s">
        <v>373</v>
      </c>
      <c r="I458" s="37">
        <v>9040016581</v>
      </c>
      <c r="J458" s="37" t="s">
        <v>185</v>
      </c>
      <c r="K458" s="325" t="s">
        <v>186</v>
      </c>
      <c r="L458" s="181">
        <v>1</v>
      </c>
      <c r="M458" s="181" t="s">
        <v>375</v>
      </c>
      <c r="N458" s="37" t="s">
        <v>410</v>
      </c>
      <c r="O458" s="31">
        <f>IF(F458&gt;0,F458-AB458,"")</f>
        <v>0</v>
      </c>
      <c r="P458" s="37" t="str">
        <f>IF(F458&gt;0,IF(AB458="","PLANNING SUPPLY",IF(AB458&lt;=F458,"ONTIME DELIVERY","DELAY")),"")</f>
        <v>ONTIME DELIVERY</v>
      </c>
      <c r="Q458" s="181" t="str">
        <f>IFERROR(IF(J458&gt;0,VLOOKUP(J458,#REF!,MATCH($Q$6,#REF!,0),0),""),"")</f>
        <v/>
      </c>
      <c r="R458" s="181" t="str">
        <f>IFERROR(IF(J458&gt;0,VLOOKUP(J458,#REF!,MATCH($R$6,#REF!,0),0),""),"")</f>
        <v/>
      </c>
      <c r="S458" s="181" t="e">
        <f>IF(I461&gt;0,Q458+R458,"")</f>
        <v>#VALUE!</v>
      </c>
      <c r="T458" s="181"/>
      <c r="U458" s="181"/>
      <c r="V458" s="37"/>
      <c r="W458" s="181" t="e">
        <f>IF(I461&gt;0,IF(S458&gt;L458,"READY STOCK",IF(S458=0,"OUT OF STOCK",IF(S458&lt;L458,"LOW STOCK",""))),"")</f>
        <v>#VALUE!</v>
      </c>
      <c r="X458" s="38"/>
      <c r="Y458" s="38"/>
      <c r="Z458" s="38"/>
      <c r="AA458" s="38"/>
      <c r="AB458" s="50">
        <v>46265</v>
      </c>
      <c r="AC458" s="181">
        <v>33917</v>
      </c>
      <c r="AD458" s="51">
        <v>1</v>
      </c>
      <c r="AE458" s="37" t="s">
        <v>383</v>
      </c>
      <c r="AF458" s="37" t="s">
        <v>381</v>
      </c>
      <c r="AG458" s="33" t="str">
        <f>IF(G458&gt;0,IF(AD458&gt;0,IF(AD458=0,"Waiting",IF(AD458&lt;L458,"Partial",IF(AD458=L458,"Full Supply",IF(AD458&gt;L458,"Over Shared")))),"Waiting"),"")</f>
        <v>Full Supply</v>
      </c>
      <c r="AH458" s="37"/>
      <c r="AI458" s="37"/>
      <c r="AJ458" s="181"/>
      <c r="AK458" s="40"/>
      <c r="AL458" s="40"/>
      <c r="AM458" s="40"/>
      <c r="AN458" s="37"/>
      <c r="AO458" s="34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181">
        <f>L458-AD458</f>
        <v>0</v>
      </c>
    </row>
    <row r="459" spans="1:52" ht="15.5" customHeight="1">
      <c r="A459" s="360" t="s">
        <v>372</v>
      </c>
      <c r="B459" s="340">
        <v>46258</v>
      </c>
      <c r="C459" s="181">
        <v>49925</v>
      </c>
      <c r="D459" s="30">
        <v>46258</v>
      </c>
      <c r="E459" s="30">
        <v>46253</v>
      </c>
      <c r="F459" s="30">
        <v>46265</v>
      </c>
      <c r="G459" s="37">
        <v>4420231738</v>
      </c>
      <c r="H459" s="37" t="s">
        <v>373</v>
      </c>
      <c r="I459" s="37">
        <v>9040016582</v>
      </c>
      <c r="J459" s="37" t="s">
        <v>183</v>
      </c>
      <c r="K459" s="325" t="s">
        <v>184</v>
      </c>
      <c r="L459" s="181">
        <v>2</v>
      </c>
      <c r="M459" s="181" t="s">
        <v>375</v>
      </c>
      <c r="N459" s="37" t="s">
        <v>410</v>
      </c>
      <c r="O459" s="31">
        <f>IF(F459&gt;0,F459-AB459,"")</f>
        <v>0</v>
      </c>
      <c r="P459" s="37" t="str">
        <f>IF(F459&gt;0,IF(AB459="","PLANNING SUPPLY",IF(AB459&lt;=F459,"ONTIME DELIVERY","DELAY")),"")</f>
        <v>ONTIME DELIVERY</v>
      </c>
      <c r="Q459" s="181" t="str">
        <f>IFERROR(IF(J459&gt;0,VLOOKUP(J459,#REF!,MATCH($Q$6,#REF!,0),0),""),"")</f>
        <v/>
      </c>
      <c r="R459" s="181" t="str">
        <f>IFERROR(IF(J459&gt;0,VLOOKUP(J459,#REF!,MATCH($R$6,#REF!,0),0),""),"")</f>
        <v/>
      </c>
      <c r="S459" s="181" t="e">
        <f>IF(I462&gt;0,Q459+R459,"")</f>
        <v>#VALUE!</v>
      </c>
      <c r="T459" s="181"/>
      <c r="U459" s="181"/>
      <c r="V459" s="37"/>
      <c r="W459" s="181" t="e">
        <f>IF(I462&gt;0,IF(S459&gt;L459,"READY STOCK",IF(S459=0,"OUT OF STOCK",IF(S459&lt;L459,"LOW STOCK",""))),"")</f>
        <v>#VALUE!</v>
      </c>
      <c r="X459" s="38"/>
      <c r="Y459" s="38"/>
      <c r="Z459" s="38"/>
      <c r="AA459" s="38"/>
      <c r="AB459" s="50">
        <v>46265</v>
      </c>
      <c r="AC459" s="219">
        <v>33917</v>
      </c>
      <c r="AD459" s="51">
        <v>2</v>
      </c>
      <c r="AE459" s="37" t="s">
        <v>383</v>
      </c>
      <c r="AF459" s="37" t="s">
        <v>381</v>
      </c>
      <c r="AG459" s="33" t="str">
        <f>IF(G459&gt;0,IF(AD459&gt;0,IF(AD459=0,"Waiting",IF(AD459&lt;L459,"Partial",IF(AD459=L459,"Full Supply",IF(AD459&gt;L459,"Over Shared")))),"Waiting"),"")</f>
        <v>Full Supply</v>
      </c>
      <c r="AH459" s="37"/>
      <c r="AI459" s="37"/>
      <c r="AJ459" s="181"/>
      <c r="AK459" s="40"/>
      <c r="AL459" s="40"/>
      <c r="AM459" s="40"/>
      <c r="AN459" s="37"/>
      <c r="AO459" s="34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181">
        <f>L459-AD459</f>
        <v>0</v>
      </c>
    </row>
    <row r="460" spans="1:52" ht="15.5" customHeight="1">
      <c r="A460" s="360" t="s">
        <v>372</v>
      </c>
      <c r="B460" s="340">
        <v>46258</v>
      </c>
      <c r="C460" s="181">
        <v>49925</v>
      </c>
      <c r="D460" s="30">
        <v>46258</v>
      </c>
      <c r="E460" s="30">
        <v>46253</v>
      </c>
      <c r="F460" s="30">
        <v>46265</v>
      </c>
      <c r="G460" s="37">
        <v>4420231738</v>
      </c>
      <c r="H460" s="37" t="s">
        <v>373</v>
      </c>
      <c r="I460" s="37">
        <v>9040040403</v>
      </c>
      <c r="J460" s="37" t="s">
        <v>299</v>
      </c>
      <c r="K460" s="325" t="s">
        <v>300</v>
      </c>
      <c r="L460" s="181">
        <v>3</v>
      </c>
      <c r="M460" s="181" t="s">
        <v>375</v>
      </c>
      <c r="N460" s="37" t="s">
        <v>410</v>
      </c>
      <c r="O460" s="31">
        <f>IF(F460&gt;0,F460-AB460,"")</f>
        <v>-35</v>
      </c>
      <c r="P460" s="37" t="str">
        <f>IF(F460&gt;0,IF(AB460="","PLANNING SUPPLY",IF(AB460&lt;=F460,"ONTIME DELIVERY","DELAY")),"")</f>
        <v>DELAY</v>
      </c>
      <c r="Q460" s="181" t="str">
        <f>IFERROR(IF(J460&gt;0,VLOOKUP(J460,#REF!,MATCH($Q$6,#REF!,0),0),""),"")</f>
        <v/>
      </c>
      <c r="R460" s="181" t="str">
        <f>IFERROR(IF(J460&gt;0,VLOOKUP(J460,#REF!,MATCH($R$6,#REF!,0),0),""),"")</f>
        <v/>
      </c>
      <c r="S460" s="181" t="e">
        <f>IF(I463&gt;0,Q460+R460,"")</f>
        <v>#VALUE!</v>
      </c>
      <c r="T460" s="181"/>
      <c r="U460" s="181"/>
      <c r="V460" s="37"/>
      <c r="W460" s="181" t="e">
        <f>IF(I463&gt;0,IF(S460&gt;L460,"READY STOCK",IF(S460=0,"OUT OF STOCK",IF(S460&lt;L460,"LOW STOCK",""))),"")</f>
        <v>#VALUE!</v>
      </c>
      <c r="X460" s="38"/>
      <c r="Y460" s="38"/>
      <c r="Z460" s="38"/>
      <c r="AA460" s="38"/>
      <c r="AB460" s="50">
        <v>46300</v>
      </c>
      <c r="AC460" s="44">
        <v>34720</v>
      </c>
      <c r="AD460" s="51">
        <v>3</v>
      </c>
      <c r="AE460" s="37" t="s">
        <v>387</v>
      </c>
      <c r="AF460" s="37" t="s">
        <v>381</v>
      </c>
      <c r="AG460" s="33" t="str">
        <f>IF(G460&gt;0,IF(AD460&gt;0,IF(AD460=0,"Waiting",IF(AD460&lt;L460,"Partial",IF(AD460=L460,"Full Supply",IF(AD460&gt;L460,"Over Shared")))),"Waiting"),"")</f>
        <v>Full Supply</v>
      </c>
      <c r="AH460" s="56"/>
      <c r="AI460" s="37"/>
      <c r="AJ460" s="181">
        <v>3</v>
      </c>
      <c r="AK460" s="40"/>
      <c r="AL460" s="40"/>
      <c r="AM460" s="40"/>
      <c r="AN460" s="37"/>
      <c r="AO460" s="34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181">
        <f>L460-AD460</f>
        <v>0</v>
      </c>
    </row>
    <row r="461" spans="1:52" ht="15.5" customHeight="1">
      <c r="A461" s="360" t="s">
        <v>372</v>
      </c>
      <c r="B461" s="340">
        <v>46258</v>
      </c>
      <c r="C461" s="181">
        <v>49926</v>
      </c>
      <c r="D461" s="30">
        <v>46258</v>
      </c>
      <c r="E461" s="30">
        <v>46254</v>
      </c>
      <c r="F461" s="30">
        <v>46264</v>
      </c>
      <c r="G461" s="37">
        <v>4420231926</v>
      </c>
      <c r="H461" s="37" t="s">
        <v>373</v>
      </c>
      <c r="I461" s="37">
        <v>9040015386</v>
      </c>
      <c r="J461" s="37" t="s">
        <v>122</v>
      </c>
      <c r="K461" s="325" t="s">
        <v>319</v>
      </c>
      <c r="L461" s="181">
        <v>2</v>
      </c>
      <c r="M461" s="181" t="s">
        <v>375</v>
      </c>
      <c r="N461" s="37" t="s">
        <v>434</v>
      </c>
      <c r="O461" s="31">
        <f>IF(F461&gt;0,F461-AB461,"")</f>
        <v>-18</v>
      </c>
      <c r="P461" s="37" t="str">
        <f>IF(F461&gt;0,IF(AB461="","PLANNING SUPPLY",IF(AB461&lt;=F461,"ONTIME DELIVERY","DELAY")),"")</f>
        <v>DELAY</v>
      </c>
      <c r="Q461" s="181" t="str">
        <f>IFERROR(IF(J461&gt;0,VLOOKUP(J461,#REF!,MATCH($Q$6,#REF!,0),0),""),"")</f>
        <v/>
      </c>
      <c r="R461" s="181" t="str">
        <f>IFERROR(IF(J461&gt;0,VLOOKUP(J461,#REF!,MATCH($R$6,#REF!,0),0),""),"")</f>
        <v/>
      </c>
      <c r="S461" s="181" t="e">
        <f>IF(I464&gt;0,Q461+R461,"")</f>
        <v>#VALUE!</v>
      </c>
      <c r="T461" s="181"/>
      <c r="U461" s="181"/>
      <c r="V461" s="37"/>
      <c r="W461" s="181" t="e">
        <f>IF(I464&gt;0,IF(S461&gt;L461,"READY STOCK",IF(S461=0,"OUT OF STOCK",IF(S461&lt;L461,"LOW STOCK",""))),"")</f>
        <v>#VALUE!</v>
      </c>
      <c r="X461" s="38"/>
      <c r="Y461" s="38"/>
      <c r="Z461" s="38"/>
      <c r="AA461" s="38"/>
      <c r="AB461" s="50">
        <v>46282</v>
      </c>
      <c r="AC461" s="181">
        <v>34340</v>
      </c>
      <c r="AD461" s="51">
        <v>2</v>
      </c>
      <c r="AE461" s="37" t="s">
        <v>383</v>
      </c>
      <c r="AF461" s="37" t="s">
        <v>381</v>
      </c>
      <c r="AG461" s="33" t="str">
        <f>IF(G461&gt;0,IF(AD461&gt;0,IF(AD461=0,"Waiting",IF(AD461&lt;L461,"Partial",IF(AD461=L461,"Full Supply",IF(AD461&gt;L461,"Over Shared")))),"Waiting"),"")</f>
        <v>Full Supply</v>
      </c>
      <c r="AH461" s="37"/>
      <c r="AI461" s="37"/>
      <c r="AJ461" s="181"/>
      <c r="AK461" s="40"/>
      <c r="AL461" s="40"/>
      <c r="AM461" s="40"/>
      <c r="AN461" s="37"/>
      <c r="AO461" s="34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181">
        <f>L461-AD461</f>
        <v>0</v>
      </c>
    </row>
    <row r="462" spans="1:52" ht="15.5" customHeight="1">
      <c r="A462" s="360" t="s">
        <v>372</v>
      </c>
      <c r="B462" s="340">
        <v>46258</v>
      </c>
      <c r="C462" s="181">
        <v>49927</v>
      </c>
      <c r="D462" s="30">
        <v>46258</v>
      </c>
      <c r="E462" s="30">
        <v>46254</v>
      </c>
      <c r="F462" s="30">
        <v>46276</v>
      </c>
      <c r="G462" s="37">
        <v>4420231941</v>
      </c>
      <c r="H462" s="37" t="s">
        <v>373</v>
      </c>
      <c r="I462" s="37">
        <v>9040040531</v>
      </c>
      <c r="J462" s="37" t="s">
        <v>95</v>
      </c>
      <c r="K462" s="325" t="s">
        <v>96</v>
      </c>
      <c r="L462" s="181">
        <v>2</v>
      </c>
      <c r="M462" s="181" t="s">
        <v>375</v>
      </c>
      <c r="N462" s="37" t="s">
        <v>384</v>
      </c>
      <c r="O462" s="31">
        <f>IF(F462&gt;0,F462-AB462,"")</f>
        <v>10</v>
      </c>
      <c r="P462" s="37" t="str">
        <f>IF(F462&gt;0,IF(AB462="","PLANNING SUPPLY",IF(AB462&lt;=F462,"ONTIME DELIVERY","DELAY")),"")</f>
        <v>ONTIME DELIVERY</v>
      </c>
      <c r="Q462" s="181" t="str">
        <f>IFERROR(IF(J462&gt;0,VLOOKUP(J462,#REF!,MATCH($Q$6,#REF!,0),0),""),"")</f>
        <v/>
      </c>
      <c r="R462" s="181" t="str">
        <f>IFERROR(IF(J462&gt;0,VLOOKUP(J462,#REF!,MATCH($R$6,#REF!,0),0),""),"")</f>
        <v/>
      </c>
      <c r="S462" s="181" t="e">
        <f>IF(I465&gt;0,Q462+R462,"")</f>
        <v>#VALUE!</v>
      </c>
      <c r="T462" s="181"/>
      <c r="U462" s="181"/>
      <c r="V462" s="37"/>
      <c r="W462" s="181" t="e">
        <f>IF(I465&gt;0,IF(S462&gt;L462,"READY STOCK",IF(S462=0,"OUT OF STOCK",IF(S462&lt;L462,"LOW STOCK",""))),"")</f>
        <v>#VALUE!</v>
      </c>
      <c r="X462" s="38"/>
      <c r="Y462" s="38"/>
      <c r="Z462" s="38"/>
      <c r="AA462" s="38"/>
      <c r="AB462" s="50">
        <v>46266</v>
      </c>
      <c r="AC462" s="181">
        <v>33972</v>
      </c>
      <c r="AD462" s="51">
        <v>2</v>
      </c>
      <c r="AE462" s="37" t="s">
        <v>383</v>
      </c>
      <c r="AF462" s="37" t="s">
        <v>381</v>
      </c>
      <c r="AG462" s="33" t="str">
        <f>IF(G462&gt;0,IF(AD462&gt;0,IF(AD462=0,"Waiting",IF(AD462&lt;L462,"Partial",IF(AD462=L462,"Full Supply",IF(AD462&gt;L462,"Over Shared")))),"Waiting"),"")</f>
        <v>Full Supply</v>
      </c>
      <c r="AH462" s="56">
        <v>46261</v>
      </c>
      <c r="AI462" s="37"/>
      <c r="AJ462" s="181">
        <v>2</v>
      </c>
      <c r="AK462" s="40"/>
      <c r="AL462" s="40"/>
      <c r="AM462" s="40"/>
      <c r="AN462" s="216"/>
      <c r="AO462" s="34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181">
        <f>L462-AD462</f>
        <v>0</v>
      </c>
    </row>
    <row r="463" spans="1:52" ht="15.5" customHeight="1">
      <c r="A463" s="360" t="s">
        <v>372</v>
      </c>
      <c r="B463" s="340">
        <v>46258</v>
      </c>
      <c r="C463" s="181">
        <v>49928</v>
      </c>
      <c r="D463" s="30">
        <v>46258</v>
      </c>
      <c r="E463" s="30">
        <v>46254</v>
      </c>
      <c r="F463" s="30">
        <v>46276</v>
      </c>
      <c r="G463" s="37">
        <v>4420231870</v>
      </c>
      <c r="H463" s="37" t="s">
        <v>373</v>
      </c>
      <c r="I463" s="37">
        <v>9040055051</v>
      </c>
      <c r="J463" s="37" t="s">
        <v>10</v>
      </c>
      <c r="K463" s="325" t="s">
        <v>149</v>
      </c>
      <c r="L463" s="181">
        <v>51</v>
      </c>
      <c r="M463" s="181" t="s">
        <v>375</v>
      </c>
      <c r="N463" s="37" t="s">
        <v>384</v>
      </c>
      <c r="O463" s="31">
        <f>IF(F463&gt;0,F463-AB463,"")</f>
        <v>8</v>
      </c>
      <c r="P463" s="37" t="str">
        <f>IF(F463&gt;0,IF(AB463="","PLANNING SUPPLY",IF(AB463&lt;=F463,"ONTIME DELIVERY","DELAY")),"")</f>
        <v>ONTIME DELIVERY</v>
      </c>
      <c r="Q463" s="181" t="str">
        <f>IFERROR(IF(J463&gt;0,VLOOKUP(J463,#REF!,MATCH($Q$6,#REF!,0),0),""),"")</f>
        <v/>
      </c>
      <c r="R463" s="181" t="str">
        <f>IFERROR(IF(J463&gt;0,VLOOKUP(J463,#REF!,MATCH($R$6,#REF!,0),0),""),"")</f>
        <v/>
      </c>
      <c r="S463" s="181" t="e">
        <f>IF(I466&gt;0,Q463+R463,"")</f>
        <v>#VALUE!</v>
      </c>
      <c r="T463" s="181"/>
      <c r="U463" s="181"/>
      <c r="V463" s="37"/>
      <c r="W463" s="181" t="e">
        <f>IF(I466&gt;0,IF(S463&gt;L463,"READY STOCK",IF(S463=0,"OUT OF STOCK",IF(S463&lt;L463,"LOW STOCK",""))),"")</f>
        <v>#VALUE!</v>
      </c>
      <c r="X463" s="38"/>
      <c r="Y463" s="38"/>
      <c r="Z463" s="38"/>
      <c r="AA463" s="38"/>
      <c r="AB463" s="50">
        <v>46268</v>
      </c>
      <c r="AC463" s="181">
        <v>34032</v>
      </c>
      <c r="AD463" s="51">
        <v>5</v>
      </c>
      <c r="AE463" s="37" t="s">
        <v>383</v>
      </c>
      <c r="AF463" s="37" t="s">
        <v>381</v>
      </c>
      <c r="AG463" s="33" t="str">
        <f>IF(G463&gt;0,IF(AD463&gt;0,IF(AD463=0,"Waiting",IF(AD463&lt;L463,"Partial",IF(AD463=L463,"Full Supply",IF(AD463&gt;L463,"Over Shared")))),"Waiting"),"")</f>
        <v>Partial</v>
      </c>
      <c r="AH463" s="37"/>
      <c r="AI463" s="37"/>
      <c r="AJ463" s="181"/>
      <c r="AK463" s="40"/>
      <c r="AL463" s="40"/>
      <c r="AM463" s="40"/>
      <c r="AN463" s="37"/>
      <c r="AO463" s="34"/>
      <c r="AP463" s="37"/>
      <c r="AQ463" s="37"/>
      <c r="AR463" s="37"/>
      <c r="AS463" s="37"/>
      <c r="AT463" s="37"/>
      <c r="AU463" s="36" t="str">
        <f>IF(AR463=0,"Waiting",IF(AR463&lt;AH463,"Kurang",IF(AR463=AH463,"Sesuai",IF(AR463&gt;AH463,"Over Shared"))))</f>
        <v>Waiting</v>
      </c>
      <c r="AV463" s="37"/>
      <c r="AW463" s="37"/>
      <c r="AX463" s="37"/>
      <c r="AY463" s="37"/>
      <c r="AZ463" s="181">
        <f>L463-AD463</f>
        <v>46</v>
      </c>
    </row>
    <row r="464" spans="1:52" ht="15.5" customHeight="1">
      <c r="A464" s="360" t="s">
        <v>372</v>
      </c>
      <c r="B464" s="340">
        <v>46258</v>
      </c>
      <c r="C464" s="181">
        <v>49928</v>
      </c>
      <c r="D464" s="30">
        <v>46258</v>
      </c>
      <c r="E464" s="30">
        <v>46254</v>
      </c>
      <c r="F464" s="30">
        <v>46276</v>
      </c>
      <c r="G464" s="37">
        <v>4420231870</v>
      </c>
      <c r="H464" s="37" t="s">
        <v>373</v>
      </c>
      <c r="I464" s="37">
        <v>9040017179</v>
      </c>
      <c r="J464" s="37" t="s">
        <v>91</v>
      </c>
      <c r="K464" s="325" t="s">
        <v>92</v>
      </c>
      <c r="L464" s="181">
        <v>3</v>
      </c>
      <c r="M464" s="181" t="s">
        <v>375</v>
      </c>
      <c r="N464" s="37" t="s">
        <v>384</v>
      </c>
      <c r="O464" s="31">
        <f>IF(F464&gt;0,F464-AB464,"")</f>
        <v>8</v>
      </c>
      <c r="P464" s="37" t="str">
        <f>IF(F464&gt;0,IF(AB464="","PLANNING SUPPLY",IF(AB464&lt;=F464,"ONTIME DELIVERY","DELAY")),"")</f>
        <v>ONTIME DELIVERY</v>
      </c>
      <c r="Q464" s="181" t="str">
        <f>IFERROR(IF(J464&gt;0,VLOOKUP(J464,#REF!,MATCH($Q$6,#REF!,0),0),""),"")</f>
        <v/>
      </c>
      <c r="R464" s="181" t="str">
        <f>IFERROR(IF(J464&gt;0,VLOOKUP(J464,#REF!,MATCH($R$6,#REF!,0),0),""),"")</f>
        <v/>
      </c>
      <c r="S464" s="181" t="e">
        <f>IF(I467&gt;0,Q464+R464,"")</f>
        <v>#VALUE!</v>
      </c>
      <c r="T464" s="181"/>
      <c r="U464" s="181"/>
      <c r="V464" s="37"/>
      <c r="W464" s="181" t="e">
        <f>IF(I467&gt;0,IF(S464&gt;L464,"READY STOCK",IF(S464=0,"OUT OF STOCK",IF(S464&lt;L464,"LOW STOCK",""))),"")</f>
        <v>#VALUE!</v>
      </c>
      <c r="X464" s="38"/>
      <c r="Y464" s="38"/>
      <c r="Z464" s="38"/>
      <c r="AA464" s="38"/>
      <c r="AB464" s="50">
        <v>46268</v>
      </c>
      <c r="AC464" s="181">
        <v>34032</v>
      </c>
      <c r="AD464" s="51">
        <v>3</v>
      </c>
      <c r="AE464" s="37" t="s">
        <v>383</v>
      </c>
      <c r="AF464" s="37" t="s">
        <v>381</v>
      </c>
      <c r="AG464" s="33" t="str">
        <f>IF(G464&gt;0,IF(AD464&gt;0,IF(AD464=0,"Waiting",IF(AD464&lt;L464,"Partial",IF(AD464=L464,"Full Supply",IF(AD464&gt;L464,"Over Shared")))),"Waiting"),"")</f>
        <v>Full Supply</v>
      </c>
      <c r="AH464" s="37"/>
      <c r="AI464" s="37"/>
      <c r="AJ464" s="181"/>
      <c r="AK464" s="40"/>
      <c r="AL464" s="40"/>
      <c r="AM464" s="40"/>
      <c r="AN464" s="37"/>
      <c r="AO464" s="34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181">
        <f>L464-AD464</f>
        <v>0</v>
      </c>
    </row>
    <row r="465" spans="1:52" ht="15.5" customHeight="1">
      <c r="A465" s="360" t="s">
        <v>372</v>
      </c>
      <c r="B465" s="340">
        <v>46258</v>
      </c>
      <c r="C465" s="181">
        <v>49929</v>
      </c>
      <c r="D465" s="30">
        <v>46258</v>
      </c>
      <c r="E465" s="30">
        <v>46253</v>
      </c>
      <c r="F465" s="30">
        <v>46259</v>
      </c>
      <c r="G465" s="37">
        <v>4420231751</v>
      </c>
      <c r="H465" s="37" t="s">
        <v>373</v>
      </c>
      <c r="I465" s="37">
        <v>9040016581</v>
      </c>
      <c r="J465" s="37" t="s">
        <v>185</v>
      </c>
      <c r="K465" s="325" t="s">
        <v>186</v>
      </c>
      <c r="L465" s="181">
        <v>2</v>
      </c>
      <c r="M465" s="181" t="s">
        <v>375</v>
      </c>
      <c r="N465" s="37" t="s">
        <v>695</v>
      </c>
      <c r="O465" s="31">
        <f>IF(F465&gt;0,F465-AB465,"")</f>
        <v>-16</v>
      </c>
      <c r="P465" s="37" t="str">
        <f>IF(F465&gt;0,IF(AB465="","PLANNING SUPPLY",IF(AB465&lt;=F465,"ONTIME DELIVERY","DELAY")),"")</f>
        <v>DELAY</v>
      </c>
      <c r="Q465" s="181" t="str">
        <f>IFERROR(IF(J465&gt;0,VLOOKUP(J465,#REF!,MATCH($Q$6,#REF!,0),0),""),"")</f>
        <v/>
      </c>
      <c r="R465" s="181" t="str">
        <f>IFERROR(IF(J465&gt;0,VLOOKUP(J465,#REF!,MATCH($R$6,#REF!,0),0),""),"")</f>
        <v/>
      </c>
      <c r="S465" s="181" t="e">
        <f>IF(I468&gt;0,Q465+R465,"")</f>
        <v>#VALUE!</v>
      </c>
      <c r="T465" s="181"/>
      <c r="U465" s="181"/>
      <c r="V465" s="37"/>
      <c r="W465" s="181" t="e">
        <f>IF(I468&gt;0,IF(S465&gt;L465,"READY STOCK",IF(S465=0,"OUT OF STOCK",IF(S465&lt;L465,"LOW STOCK",""))),"")</f>
        <v>#VALUE!</v>
      </c>
      <c r="X465" s="38"/>
      <c r="Y465" s="38"/>
      <c r="Z465" s="38"/>
      <c r="AA465" s="38"/>
      <c r="AB465" s="50">
        <v>46275</v>
      </c>
      <c r="AC465" s="181">
        <v>34186</v>
      </c>
      <c r="AD465" s="51">
        <v>2</v>
      </c>
      <c r="AE465" s="37" t="s">
        <v>383</v>
      </c>
      <c r="AF465" s="37" t="s">
        <v>381</v>
      </c>
      <c r="AG465" s="33" t="str">
        <f>IF(G465&gt;0,IF(AD465&gt;0,IF(AD465=0,"Waiting",IF(AD465&lt;L465,"Partial",IF(AD465=L465,"Full Supply",IF(AD465&gt;L465,"Over Shared")))),"Waiting"),"")</f>
        <v>Full Supply</v>
      </c>
      <c r="AH465" s="37"/>
      <c r="AI465" s="37"/>
      <c r="AJ465" s="181"/>
      <c r="AK465" s="40"/>
      <c r="AL465" s="40"/>
      <c r="AM465" s="40"/>
      <c r="AN465" s="37"/>
      <c r="AO465" s="34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181">
        <f>L465-AD465</f>
        <v>0</v>
      </c>
    </row>
    <row r="466" spans="1:52" ht="15.5" customHeight="1">
      <c r="A466" s="360" t="s">
        <v>372</v>
      </c>
      <c r="B466" s="340">
        <v>46258</v>
      </c>
      <c r="C466" s="181">
        <v>49929</v>
      </c>
      <c r="D466" s="30">
        <v>46258</v>
      </c>
      <c r="E466" s="30">
        <v>46253</v>
      </c>
      <c r="F466" s="30">
        <v>46259</v>
      </c>
      <c r="G466" s="37">
        <v>4420231751</v>
      </c>
      <c r="H466" s="37" t="s">
        <v>373</v>
      </c>
      <c r="I466" s="37">
        <v>9040044191</v>
      </c>
      <c r="J466" s="37" t="s">
        <v>187</v>
      </c>
      <c r="K466" s="325" t="s">
        <v>188</v>
      </c>
      <c r="L466" s="181">
        <v>7</v>
      </c>
      <c r="M466" s="181" t="s">
        <v>375</v>
      </c>
      <c r="N466" s="37" t="s">
        <v>695</v>
      </c>
      <c r="O466" s="31">
        <f>IF(F466&gt;0,F466-AB466,"")</f>
        <v>-6</v>
      </c>
      <c r="P466" s="37" t="str">
        <f>IF(F466&gt;0,IF(AB466="","PLANNING SUPPLY",IF(AB466&lt;=F466,"ONTIME DELIVERY","DELAY")),"")</f>
        <v>DELAY</v>
      </c>
      <c r="Q466" s="181" t="str">
        <f>IFERROR(IF(J466&gt;0,VLOOKUP(J466,#REF!,MATCH($Q$6,#REF!,0),0),""),"")</f>
        <v/>
      </c>
      <c r="R466" s="181" t="str">
        <f>IFERROR(IF(J466&gt;0,VLOOKUP(J466,#REF!,MATCH($R$6,#REF!,0),0),""),"")</f>
        <v/>
      </c>
      <c r="S466" s="181" t="e">
        <f>IF(I469&gt;0,Q466+R466,"")</f>
        <v>#VALUE!</v>
      </c>
      <c r="T466" s="181"/>
      <c r="U466" s="181"/>
      <c r="V466" s="37"/>
      <c r="W466" s="181" t="e">
        <f>IF(I469&gt;0,IF(S466&gt;L466,"READY STOCK",IF(S466=0,"OUT OF STOCK",IF(S466&lt;L466,"LOW STOCK",""))),"")</f>
        <v>#VALUE!</v>
      </c>
      <c r="X466" s="38"/>
      <c r="Y466" s="38"/>
      <c r="Z466" s="38"/>
      <c r="AA466" s="38"/>
      <c r="AB466" s="50">
        <v>46265</v>
      </c>
      <c r="AC466" s="181">
        <v>33925</v>
      </c>
      <c r="AD466" s="51">
        <v>7</v>
      </c>
      <c r="AE466" s="37" t="s">
        <v>383</v>
      </c>
      <c r="AF466" s="37" t="s">
        <v>381</v>
      </c>
      <c r="AG466" s="33" t="str">
        <f>IF(G466&gt;0,IF(AD466&gt;0,IF(AD466=0,"Waiting",IF(AD466&lt;L466,"Partial",IF(AD466=L466,"Full Supply",IF(AD466&gt;L466,"Over Shared")))),"Waiting"),"")</f>
        <v>Full Supply</v>
      </c>
      <c r="AH466" s="37"/>
      <c r="AI466" s="37"/>
      <c r="AJ466" s="181"/>
      <c r="AK466" s="40"/>
      <c r="AL466" s="40"/>
      <c r="AM466" s="40"/>
      <c r="AN466" s="37"/>
      <c r="AO466" s="34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181">
        <f>L466-AD466</f>
        <v>0</v>
      </c>
    </row>
    <row r="467" spans="1:52" ht="15.5" customHeight="1">
      <c r="A467" s="360" t="s">
        <v>372</v>
      </c>
      <c r="B467" s="340">
        <v>46258</v>
      </c>
      <c r="C467" s="181">
        <v>49931</v>
      </c>
      <c r="D467" s="30">
        <v>46258</v>
      </c>
      <c r="E467" s="30">
        <v>46254</v>
      </c>
      <c r="F467" s="30">
        <v>46262</v>
      </c>
      <c r="G467" s="37">
        <v>4420231935</v>
      </c>
      <c r="H467" s="37" t="s">
        <v>373</v>
      </c>
      <c r="I467" s="37">
        <v>9040040765</v>
      </c>
      <c r="J467" s="37" t="s">
        <v>3</v>
      </c>
      <c r="K467" s="325" t="s">
        <v>4</v>
      </c>
      <c r="L467" s="181">
        <v>14</v>
      </c>
      <c r="M467" s="181" t="s">
        <v>375</v>
      </c>
      <c r="N467" s="37" t="s">
        <v>432</v>
      </c>
      <c r="O467" s="31">
        <f>IF(F467&gt;0,F467-AB467,"")</f>
        <v>-45</v>
      </c>
      <c r="P467" s="37" t="str">
        <f>IF(F467&gt;0,IF(AB467="","PLANNING SUPPLY",IF(AB467&lt;=F467,"ONTIME DELIVERY","DELAY")),"")</f>
        <v>DELAY</v>
      </c>
      <c r="Q467" s="181" t="str">
        <f>IFERROR(IF(J467&gt;0,VLOOKUP(J467,#REF!,MATCH($Q$6,#REF!,0),0),""),"")</f>
        <v/>
      </c>
      <c r="R467" s="181" t="str">
        <f>IFERROR(IF(J467&gt;0,VLOOKUP(J467,#REF!,MATCH($R$6,#REF!,0),0),""),"")</f>
        <v/>
      </c>
      <c r="S467" s="181" t="e">
        <f>IF(I470&gt;0,Q467+R467,"")</f>
        <v>#VALUE!</v>
      </c>
      <c r="T467" s="181"/>
      <c r="U467" s="181"/>
      <c r="V467" s="37"/>
      <c r="W467" s="181" t="e">
        <f>IF(I470&gt;0,IF(S467&gt;L467,"READY STOCK",IF(S467=0,"OUT OF STOCK",IF(S467&lt;L467,"LOW STOCK",""))),"")</f>
        <v>#VALUE!</v>
      </c>
      <c r="X467" s="38"/>
      <c r="Y467" s="38"/>
      <c r="Z467" s="38"/>
      <c r="AA467" s="38"/>
      <c r="AB467" s="50">
        <v>46307</v>
      </c>
      <c r="AC467" s="181">
        <v>34941</v>
      </c>
      <c r="AD467" s="51">
        <v>3</v>
      </c>
      <c r="AE467" s="37" t="s">
        <v>387</v>
      </c>
      <c r="AF467" s="37" t="s">
        <v>381</v>
      </c>
      <c r="AG467" s="33" t="str">
        <f>IF(G467&gt;0,IF(AD467&gt;0,IF(AD467=0,"Waiting",IF(AD467&lt;L467,"Partial",IF(AD467=L467,"Full Supply",IF(AD467&gt;L467,"Over Shared")))),"Waiting"),"")</f>
        <v>Partial</v>
      </c>
      <c r="AH467" s="56">
        <v>46294</v>
      </c>
      <c r="AI467" s="37" t="s">
        <v>1311</v>
      </c>
      <c r="AJ467" s="181">
        <v>18</v>
      </c>
      <c r="AK467" s="40">
        <v>26456</v>
      </c>
      <c r="AL467" s="42">
        <v>46294</v>
      </c>
      <c r="AM467" s="181">
        <v>18</v>
      </c>
      <c r="AN467" s="212"/>
      <c r="AO467" s="41">
        <v>46295</v>
      </c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181">
        <f>L467-AD467</f>
        <v>11</v>
      </c>
    </row>
    <row r="468" spans="1:52" ht="15.5" customHeight="1">
      <c r="A468" s="360" t="s">
        <v>372</v>
      </c>
      <c r="B468" s="340">
        <v>46258</v>
      </c>
      <c r="C468" s="181">
        <v>49933</v>
      </c>
      <c r="D468" s="30">
        <v>46258</v>
      </c>
      <c r="E468" s="30">
        <v>46254</v>
      </c>
      <c r="F468" s="30">
        <v>46264</v>
      </c>
      <c r="G468" s="37">
        <v>4420231883</v>
      </c>
      <c r="H468" s="37" t="s">
        <v>373</v>
      </c>
      <c r="I468" s="37">
        <v>9040042451</v>
      </c>
      <c r="J468" s="37" t="s">
        <v>295</v>
      </c>
      <c r="K468" s="325" t="s">
        <v>296</v>
      </c>
      <c r="L468" s="181">
        <v>6</v>
      </c>
      <c r="M468" s="181" t="s">
        <v>375</v>
      </c>
      <c r="N468" s="37" t="s">
        <v>410</v>
      </c>
      <c r="O468" s="31">
        <f>IF(F468&gt;0,F468-AB468,"")</f>
        <v>-1</v>
      </c>
      <c r="P468" s="37" t="str">
        <f>IF(F468&gt;0,IF(AB468="","PLANNING SUPPLY",IF(AB468&lt;=F468,"ONTIME DELIVERY","DELAY")),"")</f>
        <v>DELAY</v>
      </c>
      <c r="Q468" s="181" t="str">
        <f>IFERROR(IF(J468&gt;0,VLOOKUP(J468,#REF!,MATCH($Q$6,#REF!,0),0),""),"")</f>
        <v/>
      </c>
      <c r="R468" s="181" t="str">
        <f>IFERROR(IF(J468&gt;0,VLOOKUP(J468,#REF!,MATCH($R$6,#REF!,0),0),""),"")</f>
        <v/>
      </c>
      <c r="S468" s="181" t="e">
        <f>IF(I471&gt;0,Q468+R468,"")</f>
        <v>#VALUE!</v>
      </c>
      <c r="T468" s="181"/>
      <c r="U468" s="181"/>
      <c r="V468" s="37"/>
      <c r="W468" s="181" t="e">
        <f>IF(I471&gt;0,IF(S468&gt;L468,"READY STOCK",IF(S468=0,"OUT OF STOCK",IF(S468&lt;L468,"LOW STOCK",""))),"")</f>
        <v>#VALUE!</v>
      </c>
      <c r="X468" s="38"/>
      <c r="Y468" s="38"/>
      <c r="Z468" s="38"/>
      <c r="AA468" s="38"/>
      <c r="AB468" s="50">
        <v>46265</v>
      </c>
      <c r="AC468" s="181">
        <v>33927</v>
      </c>
      <c r="AD468" s="51">
        <v>6</v>
      </c>
      <c r="AE468" s="37" t="s">
        <v>383</v>
      </c>
      <c r="AF468" s="37" t="s">
        <v>381</v>
      </c>
      <c r="AG468" s="33" t="str">
        <f>IF(G468&gt;0,IF(AD468&gt;0,IF(AD468=0,"Waiting",IF(AD468&lt;L468,"Partial",IF(AD468=L468,"Full Supply",IF(AD468&gt;L468,"Over Shared")))),"Waiting"),"")</f>
        <v>Full Supply</v>
      </c>
      <c r="AH468" s="37"/>
      <c r="AI468" s="37"/>
      <c r="AJ468" s="181"/>
      <c r="AK468" s="40"/>
      <c r="AL468" s="40"/>
      <c r="AM468" s="40"/>
      <c r="AN468" s="212"/>
      <c r="AO468" s="34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181">
        <f>L468-AD468</f>
        <v>0</v>
      </c>
    </row>
    <row r="469" spans="1:52" ht="15.5" customHeight="1">
      <c r="A469" s="360" t="s">
        <v>372</v>
      </c>
      <c r="B469" s="340">
        <v>46258</v>
      </c>
      <c r="C469" s="181">
        <v>49933</v>
      </c>
      <c r="D469" s="30">
        <v>46258</v>
      </c>
      <c r="E469" s="30">
        <v>46254</v>
      </c>
      <c r="F469" s="30">
        <v>46264</v>
      </c>
      <c r="G469" s="37">
        <v>4420231883</v>
      </c>
      <c r="H469" s="37" t="s">
        <v>373</v>
      </c>
      <c r="I469" s="37">
        <v>9040044075</v>
      </c>
      <c r="J469" s="37" t="s">
        <v>223</v>
      </c>
      <c r="K469" s="325" t="s">
        <v>224</v>
      </c>
      <c r="L469" s="181">
        <v>5</v>
      </c>
      <c r="M469" s="181" t="s">
        <v>446</v>
      </c>
      <c r="N469" s="37" t="s">
        <v>410</v>
      </c>
      <c r="O469" s="31">
        <f>IF(F469&gt;0,F469-AB469,"")</f>
        <v>-24</v>
      </c>
      <c r="P469" s="37" t="str">
        <f>IF(F469&gt;0,IF(AB469="","PLANNING SUPPLY",IF(AB469&lt;=F469,"ONTIME DELIVERY","DELAY")),"")</f>
        <v>DELAY</v>
      </c>
      <c r="Q469" s="181" t="str">
        <f>IFERROR(IF(J469&gt;0,VLOOKUP(J469,#REF!,MATCH($Q$6,#REF!,0),0),""),"")</f>
        <v/>
      </c>
      <c r="R469" s="181" t="str">
        <f>IFERROR(IF(J469&gt;0,VLOOKUP(J469,#REF!,MATCH($R$6,#REF!,0),0),""),"")</f>
        <v/>
      </c>
      <c r="S469" s="181" t="e">
        <f>IF(I472&gt;0,Q469+R469,"")</f>
        <v>#VALUE!</v>
      </c>
      <c r="T469" s="181"/>
      <c r="U469" s="181"/>
      <c r="V469" s="37"/>
      <c r="W469" s="181" t="e">
        <f>IF(I472&gt;0,IF(S469&gt;L469,"READY STOCK",IF(S469=0,"OUT OF STOCK",IF(S469&lt;L469,"LOW STOCK",""))),"")</f>
        <v>#VALUE!</v>
      </c>
      <c r="X469" s="38"/>
      <c r="Y469" s="38"/>
      <c r="Z469" s="38"/>
      <c r="AA469" s="38"/>
      <c r="AB469" s="50">
        <v>46288</v>
      </c>
      <c r="AC469" s="181">
        <v>34499</v>
      </c>
      <c r="AD469" s="51">
        <v>5</v>
      </c>
      <c r="AE469" s="37" t="s">
        <v>383</v>
      </c>
      <c r="AF469" s="37" t="s">
        <v>381</v>
      </c>
      <c r="AG469" s="33" t="str">
        <f>IF(G469&gt;0,IF(AD469&gt;0,IF(AD469=0,"Waiting",IF(AD469&lt;L469,"Partial",IF(AD469=L469,"Full Supply",IF(AD469&gt;L469,"Over Shared")))),"Waiting"),"")</f>
        <v>Full Supply</v>
      </c>
      <c r="AH469" s="37"/>
      <c r="AI469" s="37"/>
      <c r="AJ469" s="181"/>
      <c r="AK469" s="40"/>
      <c r="AL469" s="40"/>
      <c r="AM469" s="40"/>
      <c r="AN469" s="212"/>
      <c r="AO469" s="34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181">
        <f>L469-AD469</f>
        <v>0</v>
      </c>
    </row>
    <row r="470" spans="1:52" ht="15.5" customHeight="1">
      <c r="A470" s="360" t="s">
        <v>372</v>
      </c>
      <c r="B470" s="340">
        <v>46258</v>
      </c>
      <c r="C470" s="181">
        <v>49933</v>
      </c>
      <c r="D470" s="30">
        <v>46258</v>
      </c>
      <c r="E470" s="30">
        <v>46254</v>
      </c>
      <c r="F470" s="30">
        <v>46264</v>
      </c>
      <c r="G470" s="37">
        <v>4420231883</v>
      </c>
      <c r="H470" s="37" t="s">
        <v>373</v>
      </c>
      <c r="I470" s="37">
        <v>9040054919</v>
      </c>
      <c r="J470" s="37" t="s">
        <v>311</v>
      </c>
      <c r="K470" s="325" t="s">
        <v>312</v>
      </c>
      <c r="L470" s="181">
        <v>10</v>
      </c>
      <c r="M470" s="181" t="s">
        <v>421</v>
      </c>
      <c r="N470" s="37" t="s">
        <v>410</v>
      </c>
      <c r="O470" s="31">
        <f>IF(F470&gt;0,F470-AB470,"")</f>
        <v>46264</v>
      </c>
      <c r="P470" s="37" t="str">
        <f>IF(F470&gt;0,IF(AB470="","PLANNING SUPPLY",IF(AB470&lt;=F470,"ONTIME DELIVERY","DELAY")),"")</f>
        <v>PLANNING SUPPLY</v>
      </c>
      <c r="Q470" s="181" t="str">
        <f>IFERROR(IF(J470&gt;0,VLOOKUP(J470,#REF!,MATCH($Q$6,#REF!,0),0),""),"")</f>
        <v/>
      </c>
      <c r="R470" s="181" t="str">
        <f>IFERROR(IF(J470&gt;0,VLOOKUP(J470,#REF!,MATCH($R$6,#REF!,0),0),""),"")</f>
        <v/>
      </c>
      <c r="S470" s="181" t="e">
        <f>IF(I473&gt;0,Q470+R470,"")</f>
        <v>#VALUE!</v>
      </c>
      <c r="T470" s="181"/>
      <c r="U470" s="181"/>
      <c r="V470" s="37"/>
      <c r="W470" s="181" t="e">
        <f>IF(I473&gt;0,IF(S470&gt;L470,"READY STOCK",IF(S470=0,"OUT OF STOCK",IF(S470&lt;L470,"LOW STOCK",""))),"")</f>
        <v>#VALUE!</v>
      </c>
      <c r="X470" s="38"/>
      <c r="Y470" s="38"/>
      <c r="Z470" s="38"/>
      <c r="AA470" s="38"/>
      <c r="AB470" s="50"/>
      <c r="AC470" s="181"/>
      <c r="AD470" s="51"/>
      <c r="AE470" s="37"/>
      <c r="AF470" s="37"/>
      <c r="AG470" s="33" t="str">
        <f>IF(G470&gt;0,IF(AD470&gt;0,IF(AD470=0,"Waiting",IF(AD470&lt;L470,"Partial",IF(AD470=L470,"Full Supply",IF(AD470&gt;L470,"Over Shared")))),"Waiting"),"")</f>
        <v>Waiting</v>
      </c>
      <c r="AH470" s="56">
        <v>46294</v>
      </c>
      <c r="AI470" s="37" t="s">
        <v>1311</v>
      </c>
      <c r="AJ470" s="181">
        <v>24</v>
      </c>
      <c r="AK470" s="40">
        <v>26494</v>
      </c>
      <c r="AL470" s="42">
        <v>46295</v>
      </c>
      <c r="AM470" s="40">
        <v>40</v>
      </c>
      <c r="AN470" s="212"/>
      <c r="AO470" s="239">
        <v>46299</v>
      </c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181">
        <f>L470-AD470</f>
        <v>10</v>
      </c>
    </row>
    <row r="471" spans="1:52" ht="15.5" customHeight="1">
      <c r="A471" s="360" t="s">
        <v>372</v>
      </c>
      <c r="B471" s="340">
        <v>46258</v>
      </c>
      <c r="C471" s="181">
        <v>49933</v>
      </c>
      <c r="D471" s="30">
        <v>46258</v>
      </c>
      <c r="E471" s="30">
        <v>46254</v>
      </c>
      <c r="F471" s="30">
        <v>46264</v>
      </c>
      <c r="G471" s="37">
        <v>4420231883</v>
      </c>
      <c r="H471" s="37" t="s">
        <v>373</v>
      </c>
      <c r="I471" s="37">
        <v>9040054960</v>
      </c>
      <c r="J471" s="37" t="s">
        <v>306</v>
      </c>
      <c r="K471" s="325" t="s">
        <v>307</v>
      </c>
      <c r="L471" s="181">
        <v>10</v>
      </c>
      <c r="M471" s="181" t="s">
        <v>421</v>
      </c>
      <c r="N471" s="37" t="s">
        <v>410</v>
      </c>
      <c r="O471" s="31">
        <f>IF(F471&gt;0,F471-AB471,"")</f>
        <v>-37</v>
      </c>
      <c r="P471" s="37" t="str">
        <f>IF(F471&gt;0,IF(AB471="","PLANNING SUPPLY",IF(AB471&lt;=F471,"ONTIME DELIVERY","DELAY")),"")</f>
        <v>DELAY</v>
      </c>
      <c r="Q471" s="181" t="str">
        <f>IFERROR(IF(J471&gt;0,VLOOKUP(J471,#REF!,MATCH($Q$6,#REF!,0),0),""),"")</f>
        <v/>
      </c>
      <c r="R471" s="181" t="str">
        <f>IFERROR(IF(J471&gt;0,VLOOKUP(J471,#REF!,MATCH($R$6,#REF!,0),0),""),"")</f>
        <v/>
      </c>
      <c r="S471" s="181" t="e">
        <f>IF(I474&gt;0,Q471+R471,"")</f>
        <v>#VALUE!</v>
      </c>
      <c r="T471" s="181"/>
      <c r="U471" s="181"/>
      <c r="V471" s="37"/>
      <c r="W471" s="181" t="e">
        <f>IF(I474&gt;0,IF(S471&gt;L471,"READY STOCK",IF(S471=0,"OUT OF STOCK",IF(S471&lt;L471,"LOW STOCK",""))),"")</f>
        <v>#VALUE!</v>
      </c>
      <c r="X471" s="38"/>
      <c r="Y471" s="38"/>
      <c r="Z471" s="38"/>
      <c r="AA471" s="38"/>
      <c r="AB471" s="57">
        <v>46301</v>
      </c>
      <c r="AC471" s="181">
        <v>34795</v>
      </c>
      <c r="AD471" s="53">
        <v>10</v>
      </c>
      <c r="AE471" s="58" t="s">
        <v>387</v>
      </c>
      <c r="AF471" s="58" t="s">
        <v>381</v>
      </c>
      <c r="AG471" s="33" t="str">
        <f>IF(G471&gt;0,IF(AD471&gt;0,IF(AD471=0,"Waiting",IF(AD471&lt;L471,"Partial",IF(AD471=L471,"Full Supply",IF(AD471&gt;L471,"Over Shared")))),"Waiting"),"")</f>
        <v>Full Supply</v>
      </c>
      <c r="AH471" s="37"/>
      <c r="AI471" s="37"/>
      <c r="AJ471" s="181"/>
      <c r="AK471" s="40">
        <v>26523</v>
      </c>
      <c r="AL471" s="40"/>
      <c r="AM471" s="40"/>
      <c r="AN471" s="212" t="s">
        <v>1292</v>
      </c>
      <c r="AO471" s="41">
        <v>46299</v>
      </c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181">
        <f>L471-AD471</f>
        <v>0</v>
      </c>
    </row>
    <row r="472" spans="1:52" ht="15.5" customHeight="1">
      <c r="A472" s="360" t="s">
        <v>372</v>
      </c>
      <c r="B472" s="340">
        <v>46258</v>
      </c>
      <c r="C472" s="181">
        <v>49949</v>
      </c>
      <c r="D472" s="30">
        <v>46258</v>
      </c>
      <c r="E472" s="30">
        <v>46213</v>
      </c>
      <c r="F472" s="30">
        <v>46265</v>
      </c>
      <c r="G472" s="37">
        <v>4420229262</v>
      </c>
      <c r="H472" s="37" t="s">
        <v>373</v>
      </c>
      <c r="I472" s="37">
        <v>9040009422</v>
      </c>
      <c r="J472" s="37" t="s">
        <v>251</v>
      </c>
      <c r="K472" s="325" t="s">
        <v>250</v>
      </c>
      <c r="L472" s="181">
        <v>10</v>
      </c>
      <c r="M472" s="181" t="s">
        <v>421</v>
      </c>
      <c r="N472" s="37" t="s">
        <v>376</v>
      </c>
      <c r="O472" s="31">
        <f>IF(F472&gt;0,F472-AB472,"")</f>
        <v>-43</v>
      </c>
      <c r="P472" s="37" t="str">
        <f>IF(F472&gt;0,IF(AB472="","PLANNING SUPPLY",IF(AB472&lt;=F472,"ONTIME DELIVERY","DELAY")),"")</f>
        <v>DELAY</v>
      </c>
      <c r="Q472" s="181" t="str">
        <f>IFERROR(IF(J472&gt;0,VLOOKUP(J472,#REF!,MATCH($Q$6,#REF!,0),0),""),"")</f>
        <v/>
      </c>
      <c r="R472" s="181" t="str">
        <f>IFERROR(IF(J472&gt;0,VLOOKUP(J472,#REF!,MATCH($R$6,#REF!,0),0),""),"")</f>
        <v/>
      </c>
      <c r="S472" s="181" t="e">
        <f>IF(I475&gt;0,Q472+R472,"")</f>
        <v>#VALUE!</v>
      </c>
      <c r="T472" s="181"/>
      <c r="U472" s="181"/>
      <c r="V472" s="37"/>
      <c r="W472" s="181" t="e">
        <f>IF(I475&gt;0,IF(S472&gt;L472,"READY STOCK",IF(S472=0,"OUT OF STOCK",IF(S472&lt;L472,"LOW STOCK",""))),"")</f>
        <v>#VALUE!</v>
      </c>
      <c r="X472" s="38"/>
      <c r="Y472" s="38"/>
      <c r="Z472" s="38"/>
      <c r="AA472" s="38"/>
      <c r="AB472" s="57">
        <v>46308</v>
      </c>
      <c r="AC472" s="246">
        <v>34968</v>
      </c>
      <c r="AD472" s="53">
        <v>3</v>
      </c>
      <c r="AE472" s="37"/>
      <c r="AF472" s="37"/>
      <c r="AG472" s="33" t="str">
        <f>IF(G472&gt;0,IF(AD472&gt;0,IF(AD472=0,"Waiting",IF(AD472&lt;L472,"Partial",IF(AD472=L472,"Full Supply",IF(AD472&gt;L472,"Over Shared")))),"Waiting"),"")</f>
        <v>Partial</v>
      </c>
      <c r="AH472" s="37"/>
      <c r="AI472" s="37"/>
      <c r="AJ472" s="181"/>
      <c r="AK472" s="40"/>
      <c r="AL472" s="40"/>
      <c r="AM472" s="40"/>
      <c r="AN472" s="37"/>
      <c r="AO472" s="34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181">
        <f>L472-AD472</f>
        <v>7</v>
      </c>
    </row>
    <row r="473" spans="1:52" ht="15.5" customHeight="1">
      <c r="A473" s="360" t="s">
        <v>372</v>
      </c>
      <c r="B473" s="340">
        <v>46258</v>
      </c>
      <c r="C473" s="181">
        <v>49949</v>
      </c>
      <c r="D473" s="30">
        <v>46258</v>
      </c>
      <c r="E473" s="30">
        <v>46213</v>
      </c>
      <c r="F473" s="30">
        <v>46265</v>
      </c>
      <c r="G473" s="37">
        <v>4420229262</v>
      </c>
      <c r="H473" s="37" t="s">
        <v>373</v>
      </c>
      <c r="I473" s="37">
        <v>9040012343</v>
      </c>
      <c r="J473" s="37" t="s">
        <v>303</v>
      </c>
      <c r="K473" s="325" t="s">
        <v>304</v>
      </c>
      <c r="L473" s="181">
        <v>10</v>
      </c>
      <c r="M473" s="181" t="s">
        <v>375</v>
      </c>
      <c r="N473" s="37" t="s">
        <v>376</v>
      </c>
      <c r="O473" s="31">
        <f>IF(F473&gt;0,F473-AB473,"")</f>
        <v>-10</v>
      </c>
      <c r="P473" s="37" t="str">
        <f>IF(F473&gt;0,IF(AB473="","PLANNING SUPPLY",IF(AB473&lt;=F473,"ONTIME DELIVERY","DELAY")),"")</f>
        <v>DELAY</v>
      </c>
      <c r="Q473" s="181" t="str">
        <f>IFERROR(IF(J473&gt;0,VLOOKUP(J473,#REF!,MATCH($Q$6,#REF!,0),0),""),"")</f>
        <v/>
      </c>
      <c r="R473" s="181" t="str">
        <f>IFERROR(IF(J473&gt;0,VLOOKUP(J473,#REF!,MATCH($R$6,#REF!,0),0),""),"")</f>
        <v/>
      </c>
      <c r="S473" s="181" t="e">
        <f>IF(I476&gt;0,Q473+R473,"")</f>
        <v>#VALUE!</v>
      </c>
      <c r="T473" s="181"/>
      <c r="U473" s="181"/>
      <c r="V473" s="37"/>
      <c r="W473" s="181" t="e">
        <f>IF(I476&gt;0,IF(S473&gt;L473,"READY STOCK",IF(S473=0,"OUT OF STOCK",IF(S473&lt;L473,"LOW STOCK",""))),"")</f>
        <v>#VALUE!</v>
      </c>
      <c r="X473" s="38"/>
      <c r="Y473" s="38"/>
      <c r="Z473" s="38"/>
      <c r="AA473" s="38"/>
      <c r="AB473" s="50">
        <v>46275</v>
      </c>
      <c r="AC473" s="181">
        <v>34038</v>
      </c>
      <c r="AD473" s="51">
        <v>10</v>
      </c>
      <c r="AE473" s="37" t="s">
        <v>383</v>
      </c>
      <c r="AF473" s="37" t="s">
        <v>381</v>
      </c>
      <c r="AG473" s="33" t="str">
        <f>IF(G473&gt;0,IF(AD473&gt;0,IF(AD473=0,"Waiting",IF(AD473&lt;L473,"Partial",IF(AD473=L473,"Full Supply",IF(AD473&gt;L473,"Over Shared")))),"Waiting"),"")</f>
        <v>Full Supply</v>
      </c>
      <c r="AH473" s="56">
        <v>46267</v>
      </c>
      <c r="AI473" s="37" t="s">
        <v>1312</v>
      </c>
      <c r="AJ473" s="181">
        <v>27</v>
      </c>
      <c r="AK473" s="40"/>
      <c r="AL473" s="40"/>
      <c r="AM473" s="40"/>
      <c r="AN473" s="216" t="s">
        <v>468</v>
      </c>
      <c r="AO473" s="232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181">
        <f>L473-AD473</f>
        <v>0</v>
      </c>
    </row>
    <row r="474" spans="1:52" ht="15.5" customHeight="1">
      <c r="A474" s="360" t="s">
        <v>372</v>
      </c>
      <c r="B474" s="340">
        <v>46258</v>
      </c>
      <c r="C474" s="181">
        <v>49949</v>
      </c>
      <c r="D474" s="30">
        <v>46258</v>
      </c>
      <c r="E474" s="30">
        <v>46213</v>
      </c>
      <c r="F474" s="30">
        <v>46265</v>
      </c>
      <c r="G474" s="37">
        <v>4420229262</v>
      </c>
      <c r="H474" s="37" t="s">
        <v>373</v>
      </c>
      <c r="I474" s="37">
        <v>9040012687</v>
      </c>
      <c r="J474" s="37" t="s">
        <v>178</v>
      </c>
      <c r="K474" s="325" t="s">
        <v>179</v>
      </c>
      <c r="L474" s="181">
        <v>10</v>
      </c>
      <c r="M474" s="181" t="s">
        <v>375</v>
      </c>
      <c r="N474" s="37" t="s">
        <v>376</v>
      </c>
      <c r="O474" s="31">
        <f>IF(F474&gt;0,F474-AB474,"")</f>
        <v>-10</v>
      </c>
      <c r="P474" s="37" t="str">
        <f>IF(F474&gt;0,IF(AB474="","PLANNING SUPPLY",IF(AB474&lt;=F474,"ONTIME DELIVERY","DELAY")),"")</f>
        <v>DELAY</v>
      </c>
      <c r="Q474" s="181" t="str">
        <f>IFERROR(IF(J474&gt;0,VLOOKUP(J474,#REF!,MATCH($Q$6,#REF!,0),0),""),"")</f>
        <v/>
      </c>
      <c r="R474" s="181" t="str">
        <f>IFERROR(IF(J474&gt;0,VLOOKUP(J474,#REF!,MATCH($R$6,#REF!,0),0),""),"")</f>
        <v/>
      </c>
      <c r="S474" s="181" t="e">
        <f>IF(I477&gt;0,Q474+R474,"")</f>
        <v>#VALUE!</v>
      </c>
      <c r="T474" s="181"/>
      <c r="U474" s="181"/>
      <c r="V474" s="37"/>
      <c r="W474" s="181" t="e">
        <f>IF(I477&gt;0,IF(S474&gt;L474,"READY STOCK",IF(S474=0,"OUT OF STOCK",IF(S474&lt;L474,"LOW STOCK",""))),"")</f>
        <v>#VALUE!</v>
      </c>
      <c r="X474" s="38"/>
      <c r="Y474" s="38"/>
      <c r="Z474" s="38"/>
      <c r="AA474" s="38"/>
      <c r="AB474" s="50">
        <v>46275</v>
      </c>
      <c r="AC474" s="181">
        <v>34038</v>
      </c>
      <c r="AD474" s="51">
        <v>10</v>
      </c>
      <c r="AE474" s="37" t="s">
        <v>383</v>
      </c>
      <c r="AF474" s="37" t="s">
        <v>381</v>
      </c>
      <c r="AG474" s="33" t="str">
        <f>IF(G474&gt;0,IF(AD474&gt;0,IF(AD474=0,"Waiting",IF(AD474&lt;L474,"Partial",IF(AD474=L474,"Full Supply",IF(AD474&gt;L474,"Over Shared")))),"Waiting"),"")</f>
        <v>Full Supply</v>
      </c>
      <c r="AH474" s="37"/>
      <c r="AI474" s="37"/>
      <c r="AJ474" s="181"/>
      <c r="AK474" s="40"/>
      <c r="AL474" s="40"/>
      <c r="AM474" s="40"/>
      <c r="AN474" s="37"/>
      <c r="AO474" s="34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181">
        <f>L474-AD474</f>
        <v>0</v>
      </c>
    </row>
    <row r="475" spans="1:52" ht="15.5" customHeight="1">
      <c r="A475" s="360" t="s">
        <v>372</v>
      </c>
      <c r="B475" s="340">
        <v>46258</v>
      </c>
      <c r="C475" s="181">
        <v>49949</v>
      </c>
      <c r="D475" s="30">
        <v>46258</v>
      </c>
      <c r="E475" s="30">
        <v>46213</v>
      </c>
      <c r="F475" s="30">
        <v>46265</v>
      </c>
      <c r="G475" s="37">
        <v>4420229262</v>
      </c>
      <c r="H475" s="37" t="s">
        <v>373</v>
      </c>
      <c r="I475" s="37">
        <v>9040014955</v>
      </c>
      <c r="J475" s="37" t="s">
        <v>27</v>
      </c>
      <c r="K475" s="325" t="s">
        <v>28</v>
      </c>
      <c r="L475" s="181">
        <v>4</v>
      </c>
      <c r="M475" s="181" t="s">
        <v>375</v>
      </c>
      <c r="N475" s="37" t="s">
        <v>376</v>
      </c>
      <c r="O475" s="31">
        <f>IF(F475&gt;0,F475-AB475,"")</f>
        <v>0</v>
      </c>
      <c r="P475" s="37" t="str">
        <f>IF(F475&gt;0,IF(AB475="","PLANNING SUPPLY",IF(AB475&lt;=F475,"ONTIME DELIVERY","DELAY")),"")</f>
        <v>ONTIME DELIVERY</v>
      </c>
      <c r="Q475" s="181" t="str">
        <f>IFERROR(IF(J475&gt;0,VLOOKUP(J475,#REF!,MATCH($Q$6,#REF!,0),0),""),"")</f>
        <v/>
      </c>
      <c r="R475" s="181" t="str">
        <f>IFERROR(IF(J475&gt;0,VLOOKUP(J475,#REF!,MATCH($R$6,#REF!,0),0),""),"")</f>
        <v/>
      </c>
      <c r="S475" s="181" t="e">
        <f>IF(I478&gt;0,Q475+R475,"")</f>
        <v>#VALUE!</v>
      </c>
      <c r="T475" s="181"/>
      <c r="U475" s="181"/>
      <c r="V475" s="37"/>
      <c r="W475" s="181" t="e">
        <f>IF(I478&gt;0,IF(S475&gt;L475,"READY STOCK",IF(S475=0,"OUT OF STOCK",IF(S475&lt;L475,"LOW STOCK",""))),"")</f>
        <v>#VALUE!</v>
      </c>
      <c r="X475" s="38"/>
      <c r="Y475" s="38"/>
      <c r="Z475" s="38"/>
      <c r="AA475" s="38"/>
      <c r="AB475" s="50">
        <v>46265</v>
      </c>
      <c r="AC475" s="181">
        <v>33918</v>
      </c>
      <c r="AD475" s="51">
        <v>4</v>
      </c>
      <c r="AE475" s="37" t="s">
        <v>383</v>
      </c>
      <c r="AF475" s="37" t="s">
        <v>381</v>
      </c>
      <c r="AG475" s="33" t="str">
        <f>IF(G475&gt;0,IF(AD475&gt;0,IF(AD475=0,"Waiting",IF(AD475&lt;L475,"Partial",IF(AD475=L475,"Full Supply",IF(AD475&gt;L475,"Over Shared")))),"Waiting"),"")</f>
        <v>Full Supply</v>
      </c>
      <c r="AH475" s="37"/>
      <c r="AI475" s="37"/>
      <c r="AJ475" s="181"/>
      <c r="AK475" s="40"/>
      <c r="AL475" s="40"/>
      <c r="AM475" s="40"/>
      <c r="AN475" s="37"/>
      <c r="AO475" s="34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181">
        <f>L475-AD475</f>
        <v>0</v>
      </c>
    </row>
    <row r="476" spans="1:52" ht="15.5" customHeight="1">
      <c r="A476" s="360" t="s">
        <v>372</v>
      </c>
      <c r="B476" s="340">
        <v>46258</v>
      </c>
      <c r="C476" s="181">
        <v>49949</v>
      </c>
      <c r="D476" s="30">
        <v>46258</v>
      </c>
      <c r="E476" s="30">
        <v>46213</v>
      </c>
      <c r="F476" s="30">
        <v>46265</v>
      </c>
      <c r="G476" s="37">
        <v>4420229262</v>
      </c>
      <c r="H476" s="37" t="s">
        <v>373</v>
      </c>
      <c r="I476" s="37">
        <v>9040015386</v>
      </c>
      <c r="J476" s="37" t="s">
        <v>122</v>
      </c>
      <c r="K476" s="325" t="s">
        <v>319</v>
      </c>
      <c r="L476" s="181">
        <v>3</v>
      </c>
      <c r="M476" s="181" t="s">
        <v>375</v>
      </c>
      <c r="N476" s="37" t="s">
        <v>376</v>
      </c>
      <c r="O476" s="31">
        <f>IF(F476&gt;0,F476-AB476,"")</f>
        <v>-17</v>
      </c>
      <c r="P476" s="37" t="str">
        <f>IF(F476&gt;0,IF(AB476="","PLANNING SUPPLY",IF(AB476&lt;=F476,"ONTIME DELIVERY","DELAY")),"")</f>
        <v>DELAY</v>
      </c>
      <c r="Q476" s="181" t="str">
        <f>IFERROR(IF(J476&gt;0,VLOOKUP(J476,#REF!,MATCH($Q$6,#REF!,0),0),""),"")</f>
        <v/>
      </c>
      <c r="R476" s="181" t="str">
        <f>IFERROR(IF(J476&gt;0,VLOOKUP(J476,#REF!,MATCH($R$6,#REF!,0),0),""),"")</f>
        <v/>
      </c>
      <c r="S476" s="181" t="e">
        <f>IF(I479&gt;0,Q476+R476,"")</f>
        <v>#VALUE!</v>
      </c>
      <c r="T476" s="181"/>
      <c r="U476" s="181"/>
      <c r="V476" s="37"/>
      <c r="W476" s="181" t="e">
        <f>IF(I479&gt;0,IF(S476&gt;L476,"READY STOCK",IF(S476=0,"OUT OF STOCK",IF(S476&lt;L476,"LOW STOCK",""))),"")</f>
        <v>#VALUE!</v>
      </c>
      <c r="X476" s="38"/>
      <c r="Y476" s="38"/>
      <c r="Z476" s="38"/>
      <c r="AA476" s="38"/>
      <c r="AB476" s="50">
        <v>46282</v>
      </c>
      <c r="AC476" s="181">
        <v>34339</v>
      </c>
      <c r="AD476" s="51">
        <v>3</v>
      </c>
      <c r="AE476" s="37" t="s">
        <v>383</v>
      </c>
      <c r="AF476" s="37"/>
      <c r="AG476" s="33" t="str">
        <f>IF(G476&gt;0,IF(AD476&gt;0,IF(AD476=0,"Waiting",IF(AD476&lt;L476,"Partial",IF(AD476=L476,"Full Supply",IF(AD476&gt;L476,"Over Shared")))),"Waiting"),"")</f>
        <v>Full Supply</v>
      </c>
      <c r="AH476" s="37"/>
      <c r="AI476" s="37"/>
      <c r="AJ476" s="181"/>
      <c r="AK476" s="40"/>
      <c r="AL476" s="40"/>
      <c r="AM476" s="40"/>
      <c r="AN476" s="37"/>
      <c r="AO476" s="34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181">
        <f>L476-AD476</f>
        <v>0</v>
      </c>
    </row>
    <row r="477" spans="1:52" ht="15.5" customHeight="1">
      <c r="A477" s="360" t="s">
        <v>372</v>
      </c>
      <c r="B477" s="340">
        <v>46258</v>
      </c>
      <c r="C477" s="181">
        <v>49949</v>
      </c>
      <c r="D477" s="30">
        <v>46258</v>
      </c>
      <c r="E477" s="30">
        <v>46213</v>
      </c>
      <c r="F477" s="30">
        <v>46265</v>
      </c>
      <c r="G477" s="37">
        <v>4420229262</v>
      </c>
      <c r="H477" s="37" t="s">
        <v>373</v>
      </c>
      <c r="I477" s="37">
        <v>9040016581</v>
      </c>
      <c r="J477" s="37" t="s">
        <v>185</v>
      </c>
      <c r="K477" s="325" t="s">
        <v>186</v>
      </c>
      <c r="L477" s="181">
        <v>10</v>
      </c>
      <c r="M477" s="181" t="s">
        <v>375</v>
      </c>
      <c r="N477" s="37" t="s">
        <v>376</v>
      </c>
      <c r="O477" s="31">
        <f>IF(F477&gt;0,F477-AB477,"")</f>
        <v>-10</v>
      </c>
      <c r="P477" s="37" t="str">
        <f>IF(F477&gt;0,IF(AB477="","PLANNING SUPPLY",IF(AB477&lt;=F477,"ONTIME DELIVERY","DELAY")),"")</f>
        <v>DELAY</v>
      </c>
      <c r="Q477" s="181" t="str">
        <f>IFERROR(IF(J477&gt;0,VLOOKUP(J477,#REF!,MATCH($Q$6,#REF!,0),0),""),"")</f>
        <v/>
      </c>
      <c r="R477" s="181" t="str">
        <f>IFERROR(IF(J477&gt;0,VLOOKUP(J477,#REF!,MATCH($R$6,#REF!,0),0),""),"")</f>
        <v/>
      </c>
      <c r="S477" s="181" t="e">
        <f>IF(I480&gt;0,Q477+R477,"")</f>
        <v>#VALUE!</v>
      </c>
      <c r="T477" s="181"/>
      <c r="U477" s="181"/>
      <c r="V477" s="37"/>
      <c r="W477" s="181" t="e">
        <f>IF(I480&gt;0,IF(S477&gt;L477,"READY STOCK",IF(S477=0,"OUT OF STOCK",IF(S477&lt;L477,"LOW STOCK",""))),"")</f>
        <v>#VALUE!</v>
      </c>
      <c r="X477" s="38"/>
      <c r="Y477" s="38"/>
      <c r="Z477" s="38"/>
      <c r="AA477" s="38"/>
      <c r="AB477" s="50">
        <v>46275</v>
      </c>
      <c r="AC477" s="181">
        <v>34038</v>
      </c>
      <c r="AD477" s="51">
        <v>10</v>
      </c>
      <c r="AE477" s="37" t="s">
        <v>383</v>
      </c>
      <c r="AF477" s="37" t="s">
        <v>381</v>
      </c>
      <c r="AG477" s="33" t="str">
        <f>IF(G477&gt;0,IF(AD477&gt;0,IF(AD477=0,"Waiting",IF(AD477&lt;L477,"Partial",IF(AD477=L477,"Full Supply",IF(AD477&gt;L477,"Over Shared")))),"Waiting"),"")</f>
        <v>Full Supply</v>
      </c>
      <c r="AH477" s="37"/>
      <c r="AI477" s="37"/>
      <c r="AJ477" s="181"/>
      <c r="AK477" s="40"/>
      <c r="AL477" s="40"/>
      <c r="AM477" s="40"/>
      <c r="AN477" s="37"/>
      <c r="AO477" s="34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181">
        <f>L477-AD477</f>
        <v>0</v>
      </c>
    </row>
    <row r="478" spans="1:52" ht="15.5" customHeight="1">
      <c r="A478" s="360" t="s">
        <v>372</v>
      </c>
      <c r="B478" s="340">
        <v>46258</v>
      </c>
      <c r="C478" s="181">
        <v>49949</v>
      </c>
      <c r="D478" s="30">
        <v>46258</v>
      </c>
      <c r="E478" s="30">
        <v>46213</v>
      </c>
      <c r="F478" s="30">
        <v>46265</v>
      </c>
      <c r="G478" s="37">
        <v>4420229262</v>
      </c>
      <c r="H478" s="37" t="s">
        <v>373</v>
      </c>
      <c r="I478" s="37">
        <v>9040016582</v>
      </c>
      <c r="J478" s="37" t="s">
        <v>183</v>
      </c>
      <c r="K478" s="325" t="s">
        <v>184</v>
      </c>
      <c r="L478" s="181">
        <v>10</v>
      </c>
      <c r="M478" s="181" t="s">
        <v>375</v>
      </c>
      <c r="N478" s="37" t="s">
        <v>376</v>
      </c>
      <c r="O478" s="31">
        <f>IF(F478&gt;0,F478-AB478,"")</f>
        <v>-10</v>
      </c>
      <c r="P478" s="37" t="str">
        <f>IF(F478&gt;0,IF(AB478="","PLANNING SUPPLY",IF(AB478&lt;=F478,"ONTIME DELIVERY","DELAY")),"")</f>
        <v>DELAY</v>
      </c>
      <c r="Q478" s="181" t="str">
        <f>IFERROR(IF(J478&gt;0,VLOOKUP(J478,#REF!,MATCH($Q$6,#REF!,0),0),""),"")</f>
        <v/>
      </c>
      <c r="R478" s="181" t="str">
        <f>IFERROR(IF(J478&gt;0,VLOOKUP(J478,#REF!,MATCH($R$6,#REF!,0),0),""),"")</f>
        <v/>
      </c>
      <c r="S478" s="181" t="e">
        <f>IF(I481&gt;0,Q478+R478,"")</f>
        <v>#VALUE!</v>
      </c>
      <c r="T478" s="181"/>
      <c r="U478" s="181"/>
      <c r="V478" s="37"/>
      <c r="W478" s="181" t="e">
        <f>IF(I481&gt;0,IF(S478&gt;L478,"READY STOCK",IF(S478=0,"OUT OF STOCK",IF(S478&lt;L478,"LOW STOCK",""))),"")</f>
        <v>#VALUE!</v>
      </c>
      <c r="X478" s="38"/>
      <c r="Y478" s="38"/>
      <c r="Z478" s="38"/>
      <c r="AA478" s="38"/>
      <c r="AB478" s="50">
        <v>46275</v>
      </c>
      <c r="AC478" s="181">
        <v>34038</v>
      </c>
      <c r="AD478" s="51">
        <v>10</v>
      </c>
      <c r="AE478" s="37" t="s">
        <v>383</v>
      </c>
      <c r="AF478" s="37" t="s">
        <v>381</v>
      </c>
      <c r="AG478" s="33" t="str">
        <f>IF(G478&gt;0,IF(AD478&gt;0,IF(AD478=0,"Waiting",IF(AD478&lt;L478,"Partial",IF(AD478=L478,"Full Supply",IF(AD478&gt;L478,"Over Shared")))),"Waiting"),"")</f>
        <v>Full Supply</v>
      </c>
      <c r="AH478" s="37"/>
      <c r="AI478" s="37"/>
      <c r="AJ478" s="181"/>
      <c r="AK478" s="40"/>
      <c r="AL478" s="40"/>
      <c r="AM478" s="40"/>
      <c r="AN478" s="37"/>
      <c r="AO478" s="34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181">
        <f>L478-AD478</f>
        <v>0</v>
      </c>
    </row>
    <row r="479" spans="1:52" ht="15.5" customHeight="1">
      <c r="A479" s="360" t="s">
        <v>372</v>
      </c>
      <c r="B479" s="340">
        <v>46258</v>
      </c>
      <c r="C479" s="181">
        <v>49949</v>
      </c>
      <c r="D479" s="30">
        <v>46258</v>
      </c>
      <c r="E479" s="30">
        <v>46213</v>
      </c>
      <c r="F479" s="30">
        <v>46265</v>
      </c>
      <c r="G479" s="37">
        <v>4420229262</v>
      </c>
      <c r="H479" s="37" t="s">
        <v>373</v>
      </c>
      <c r="I479" s="37">
        <v>9040017179</v>
      </c>
      <c r="J479" s="37" t="s">
        <v>91</v>
      </c>
      <c r="K479" s="325" t="s">
        <v>92</v>
      </c>
      <c r="L479" s="181">
        <v>5</v>
      </c>
      <c r="M479" s="181" t="s">
        <v>375</v>
      </c>
      <c r="N479" s="37" t="s">
        <v>376</v>
      </c>
      <c r="O479" s="31">
        <f>IF(F479&gt;0,F479-AB479,"")</f>
        <v>-3</v>
      </c>
      <c r="P479" s="37" t="str">
        <f>IF(F479&gt;0,IF(AB479="","PLANNING SUPPLY",IF(AB479&lt;=F479,"ONTIME DELIVERY","DELAY")),"")</f>
        <v>DELAY</v>
      </c>
      <c r="Q479" s="181" t="str">
        <f>IFERROR(IF(J479&gt;0,VLOOKUP(J479,#REF!,MATCH($Q$6,#REF!,0),0),""),"")</f>
        <v/>
      </c>
      <c r="R479" s="181" t="str">
        <f>IFERROR(IF(J479&gt;0,VLOOKUP(J479,#REF!,MATCH($R$6,#REF!,0),0),""),"")</f>
        <v/>
      </c>
      <c r="S479" s="181" t="e">
        <f>IF(I482&gt;0,Q479+R479,"")</f>
        <v>#VALUE!</v>
      </c>
      <c r="T479" s="181"/>
      <c r="U479" s="181"/>
      <c r="V479" s="37"/>
      <c r="W479" s="181" t="e">
        <f>IF(I482&gt;0,IF(S479&gt;L479,"READY STOCK",IF(S479=0,"OUT OF STOCK",IF(S479&lt;L479,"LOW STOCK",""))),"")</f>
        <v>#VALUE!</v>
      </c>
      <c r="X479" s="38"/>
      <c r="Y479" s="38"/>
      <c r="Z479" s="38"/>
      <c r="AA479" s="38"/>
      <c r="AB479" s="50">
        <v>46268</v>
      </c>
      <c r="AC479" s="181">
        <v>34027</v>
      </c>
      <c r="AD479" s="51">
        <v>5</v>
      </c>
      <c r="AE479" s="37" t="s">
        <v>383</v>
      </c>
      <c r="AF479" s="37" t="s">
        <v>381</v>
      </c>
      <c r="AG479" s="33" t="str">
        <f>IF(G479&gt;0,IF(AD479&gt;0,IF(AD479=0,"Waiting",IF(AD479&lt;L479,"Partial",IF(AD479=L479,"Full Supply",IF(AD479&gt;L479,"Over Shared")))),"Waiting"),"")</f>
        <v>Full Supply</v>
      </c>
      <c r="AH479" s="37"/>
      <c r="AI479" s="37"/>
      <c r="AJ479" s="181"/>
      <c r="AK479" s="40"/>
      <c r="AL479" s="40"/>
      <c r="AM479" s="40"/>
      <c r="AN479" s="37"/>
      <c r="AO479" s="34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181">
        <f>L479-AD479</f>
        <v>0</v>
      </c>
    </row>
    <row r="480" spans="1:52" ht="15.5" customHeight="1">
      <c r="A480" s="360" t="s">
        <v>372</v>
      </c>
      <c r="B480" s="340">
        <v>46258</v>
      </c>
      <c r="C480" s="181">
        <v>49949</v>
      </c>
      <c r="D480" s="30">
        <v>46258</v>
      </c>
      <c r="E480" s="30">
        <v>46213</v>
      </c>
      <c r="F480" s="30">
        <v>46265</v>
      </c>
      <c r="G480" s="37">
        <v>4420229262</v>
      </c>
      <c r="H480" s="37" t="s">
        <v>373</v>
      </c>
      <c r="I480" s="37">
        <v>9040017584</v>
      </c>
      <c r="J480" s="37" t="s">
        <v>37</v>
      </c>
      <c r="K480" s="325" t="s">
        <v>38</v>
      </c>
      <c r="L480" s="181">
        <v>5</v>
      </c>
      <c r="M480" s="181" t="s">
        <v>375</v>
      </c>
      <c r="N480" s="37" t="s">
        <v>376</v>
      </c>
      <c r="O480" s="31">
        <f>IF(F480&gt;0,F480-AB480,"")</f>
        <v>0</v>
      </c>
      <c r="P480" s="37" t="str">
        <f>IF(F480&gt;0,IF(AB480="","PLANNING SUPPLY",IF(AB480&lt;=F480,"ONTIME DELIVERY","DELAY")),"")</f>
        <v>ONTIME DELIVERY</v>
      </c>
      <c r="Q480" s="181" t="str">
        <f>IFERROR(IF(J480&gt;0,VLOOKUP(J480,#REF!,MATCH($Q$6,#REF!,0),0),""),"")</f>
        <v/>
      </c>
      <c r="R480" s="181" t="str">
        <f>IFERROR(IF(J480&gt;0,VLOOKUP(J480,#REF!,MATCH($R$6,#REF!,0),0),""),"")</f>
        <v/>
      </c>
      <c r="S480" s="181" t="e">
        <f>IF(I483&gt;0,Q480+R480,"")</f>
        <v>#VALUE!</v>
      </c>
      <c r="T480" s="181"/>
      <c r="U480" s="181"/>
      <c r="V480" s="37"/>
      <c r="W480" s="181" t="e">
        <f>IF(I483&gt;0,IF(S480&gt;L480,"READY STOCK",IF(S480=0,"OUT OF STOCK",IF(S480&lt;L480,"LOW STOCK",""))),"")</f>
        <v>#VALUE!</v>
      </c>
      <c r="X480" s="38"/>
      <c r="Y480" s="38"/>
      <c r="Z480" s="38"/>
      <c r="AA480" s="38"/>
      <c r="AB480" s="50">
        <v>46265</v>
      </c>
      <c r="AC480" s="181">
        <v>33918</v>
      </c>
      <c r="AD480" s="51">
        <v>5</v>
      </c>
      <c r="AE480" s="37" t="s">
        <v>383</v>
      </c>
      <c r="AF480" s="37" t="s">
        <v>381</v>
      </c>
      <c r="AG480" s="33" t="str">
        <f>IF(G480&gt;0,IF(AD480&gt;0,IF(AD480=0,"Waiting",IF(AD480&lt;L480,"Partial",IF(AD480=L480,"Full Supply",IF(AD480&gt;L480,"Over Shared")))),"Waiting"),"")</f>
        <v>Full Supply</v>
      </c>
      <c r="AH480" s="37"/>
      <c r="AI480" s="37"/>
      <c r="AJ480" s="181"/>
      <c r="AK480" s="40"/>
      <c r="AL480" s="40"/>
      <c r="AM480" s="40"/>
      <c r="AN480" s="37"/>
      <c r="AO480" s="34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181">
        <f>L480-AD480</f>
        <v>0</v>
      </c>
    </row>
    <row r="481" spans="1:52" ht="15.5" customHeight="1">
      <c r="A481" s="360" t="s">
        <v>372</v>
      </c>
      <c r="B481" s="340">
        <v>46258</v>
      </c>
      <c r="C481" s="181">
        <v>49949</v>
      </c>
      <c r="D481" s="30">
        <v>46258</v>
      </c>
      <c r="E481" s="30">
        <v>46213</v>
      </c>
      <c r="F481" s="30">
        <v>46265</v>
      </c>
      <c r="G481" s="37">
        <v>4420229262</v>
      </c>
      <c r="H481" s="37" t="s">
        <v>373</v>
      </c>
      <c r="I481" s="37">
        <v>9040020519</v>
      </c>
      <c r="J481" s="37" t="s">
        <v>93</v>
      </c>
      <c r="K481" s="325" t="s">
        <v>94</v>
      </c>
      <c r="L481" s="181">
        <v>10</v>
      </c>
      <c r="M481" s="181" t="s">
        <v>427</v>
      </c>
      <c r="N481" s="37" t="s">
        <v>376</v>
      </c>
      <c r="O481" s="31">
        <f>IF(F481&gt;0,F481-AB481,"")</f>
        <v>46265</v>
      </c>
      <c r="P481" s="37" t="str">
        <f>IF(F481&gt;0,IF(AB481="","PLANNING SUPPLY",IF(AB481&lt;=F481,"ONTIME DELIVERY","DELAY")),"")</f>
        <v>PLANNING SUPPLY</v>
      </c>
      <c r="Q481" s="181" t="str">
        <f>IFERROR(IF(J481&gt;0,VLOOKUP(J481,#REF!,MATCH($Q$6,#REF!,0),0),""),"")</f>
        <v/>
      </c>
      <c r="R481" s="181" t="str">
        <f>IFERROR(IF(J481&gt;0,VLOOKUP(J481,#REF!,MATCH($R$6,#REF!,0),0),""),"")</f>
        <v/>
      </c>
      <c r="S481" s="181" t="e">
        <f>IF(I484&gt;0,Q481+R481,"")</f>
        <v>#VALUE!</v>
      </c>
      <c r="T481" s="181"/>
      <c r="U481" s="181"/>
      <c r="V481" s="37"/>
      <c r="W481" s="181" t="e">
        <f>IF(I484&gt;0,IF(S481&gt;L481,"READY STOCK",IF(S481=0,"OUT OF STOCK",IF(S481&lt;L481,"LOW STOCK",""))),"")</f>
        <v>#VALUE!</v>
      </c>
      <c r="X481" s="38"/>
      <c r="Y481" s="38"/>
      <c r="Z481" s="38"/>
      <c r="AA481" s="38"/>
      <c r="AB481" s="50"/>
      <c r="AC481" s="181"/>
      <c r="AD481" s="51"/>
      <c r="AE481" s="37"/>
      <c r="AF481" s="37"/>
      <c r="AG481" s="33" t="str">
        <f>IF(G481&gt;0,IF(AD481&gt;0,IF(AD481=0,"Waiting",IF(AD481&lt;L481,"Partial",IF(AD481=L481,"Full Supply",IF(AD481&gt;L481,"Over Shared")))),"Waiting"),"")</f>
        <v>Waiting</v>
      </c>
      <c r="AH481" s="56"/>
      <c r="AI481" s="37"/>
      <c r="AJ481" s="181"/>
      <c r="AK481" s="40"/>
      <c r="AL481" s="40"/>
      <c r="AM481" s="40"/>
      <c r="AN481" s="37"/>
      <c r="AO481" s="34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181">
        <f>L481-AD481</f>
        <v>10</v>
      </c>
    </row>
    <row r="482" spans="1:52" ht="15.5" customHeight="1">
      <c r="A482" s="360" t="s">
        <v>372</v>
      </c>
      <c r="B482" s="340">
        <v>46258</v>
      </c>
      <c r="C482" s="181">
        <v>49949</v>
      </c>
      <c r="D482" s="30">
        <v>46258</v>
      </c>
      <c r="E482" s="30">
        <v>46213</v>
      </c>
      <c r="F482" s="30">
        <v>46265</v>
      </c>
      <c r="G482" s="37">
        <v>4420229262</v>
      </c>
      <c r="H482" s="37" t="s">
        <v>373</v>
      </c>
      <c r="I482" s="37">
        <v>9040028877</v>
      </c>
      <c r="J482" s="37" t="s">
        <v>199</v>
      </c>
      <c r="K482" s="325" t="s">
        <v>200</v>
      </c>
      <c r="L482" s="181">
        <v>38</v>
      </c>
      <c r="M482" s="181" t="s">
        <v>375</v>
      </c>
      <c r="N482" s="37" t="s">
        <v>376</v>
      </c>
      <c r="O482" s="31">
        <f>IF(F482&gt;0,F482-AB482,"")</f>
        <v>-35</v>
      </c>
      <c r="P482" s="37" t="str">
        <f>IF(F482&gt;0,IF(AB482="","PLANNING SUPPLY",IF(AB482&lt;=F482,"ONTIME DELIVERY","DELAY")),"")</f>
        <v>DELAY</v>
      </c>
      <c r="Q482" s="181" t="str">
        <f>IFERROR(IF(J482&gt;0,VLOOKUP(J482,#REF!,MATCH($Q$6,#REF!,0),0),""),"")</f>
        <v/>
      </c>
      <c r="R482" s="181" t="str">
        <f>IFERROR(IF(J482&gt;0,VLOOKUP(J482,#REF!,MATCH($R$6,#REF!,0),0),""),"")</f>
        <v/>
      </c>
      <c r="S482" s="181" t="e">
        <f>IF(I485&gt;0,Q482+R482,"")</f>
        <v>#VALUE!</v>
      </c>
      <c r="T482" s="181"/>
      <c r="U482" s="181"/>
      <c r="V482" s="37"/>
      <c r="W482" s="181" t="e">
        <f>IF(I485&gt;0,IF(S482&gt;L482,"READY STOCK",IF(S482=0,"OUT OF STOCK",IF(S482&lt;L482,"LOW STOCK",""))),"")</f>
        <v>#VALUE!</v>
      </c>
      <c r="X482" s="38"/>
      <c r="Y482" s="38"/>
      <c r="Z482" s="38"/>
      <c r="AA482" s="38"/>
      <c r="AB482" s="50">
        <v>46300</v>
      </c>
      <c r="AC482" s="44" t="s">
        <v>1313</v>
      </c>
      <c r="AD482" s="51">
        <f>30+8</f>
        <v>38</v>
      </c>
      <c r="AE482" s="37" t="s">
        <v>387</v>
      </c>
      <c r="AF482" s="37" t="s">
        <v>381</v>
      </c>
      <c r="AG482" s="33" t="str">
        <f>IF(G482&gt;0,IF(AD482&gt;0,IF(AD482=0,"Waiting",IF(AD482&lt;L482,"Partial",IF(AD482=L482,"Full Supply",IF(AD482&gt;L482,"Over Shared")))),"Waiting"),"")</f>
        <v>Full Supply</v>
      </c>
      <c r="AH482" s="37"/>
      <c r="AI482" s="37"/>
      <c r="AJ482" s="181"/>
      <c r="AK482" s="40"/>
      <c r="AL482" s="40"/>
      <c r="AM482" s="40"/>
      <c r="AN482" s="37"/>
      <c r="AO482" s="34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181">
        <f>L482-AD482</f>
        <v>0</v>
      </c>
    </row>
    <row r="483" spans="1:52" ht="15.5" customHeight="1">
      <c r="A483" s="360" t="s">
        <v>372</v>
      </c>
      <c r="B483" s="340">
        <v>46258</v>
      </c>
      <c r="C483" s="181">
        <v>49949</v>
      </c>
      <c r="D483" s="30">
        <v>46258</v>
      </c>
      <c r="E483" s="30">
        <v>46213</v>
      </c>
      <c r="F483" s="30">
        <v>46265</v>
      </c>
      <c r="G483" s="37">
        <v>4420229262</v>
      </c>
      <c r="H483" s="37" t="s">
        <v>373</v>
      </c>
      <c r="I483" s="37">
        <v>9040040420</v>
      </c>
      <c r="J483" s="37" t="s">
        <v>219</v>
      </c>
      <c r="K483" s="325" t="s">
        <v>220</v>
      </c>
      <c r="L483" s="181">
        <v>5</v>
      </c>
      <c r="M483" s="181" t="s">
        <v>389</v>
      </c>
      <c r="N483" s="37" t="s">
        <v>376</v>
      </c>
      <c r="O483" s="31">
        <f>IF(F483&gt;0,F483-AB483,"")</f>
        <v>-43</v>
      </c>
      <c r="P483" s="37" t="str">
        <f>IF(F483&gt;0,IF(AB483="","PLANNING SUPPLY",IF(AB483&lt;=F483,"ONTIME DELIVERY","DELAY")),"")</f>
        <v>DELAY</v>
      </c>
      <c r="Q483" s="181" t="str">
        <f>IFERROR(IF(J483&gt;0,VLOOKUP(J483,#REF!,MATCH($Q$6,#REF!,0),0),""),"")</f>
        <v/>
      </c>
      <c r="R483" s="181" t="str">
        <f>IFERROR(IF(J483&gt;0,VLOOKUP(J483,#REF!,MATCH($R$6,#REF!,0),0),""),"")</f>
        <v/>
      </c>
      <c r="S483" s="181" t="e">
        <f>IF(I486&gt;0,Q483+R483,"")</f>
        <v>#VALUE!</v>
      </c>
      <c r="T483" s="181"/>
      <c r="U483" s="181"/>
      <c r="V483" s="37"/>
      <c r="W483" s="181" t="e">
        <f>IF(I486&gt;0,IF(S483&gt;L483,"READY STOCK",IF(S483=0,"OUT OF STOCK",IF(S483&lt;L483,"LOW STOCK",""))),"")</f>
        <v>#VALUE!</v>
      </c>
      <c r="X483" s="38"/>
      <c r="Y483" s="38"/>
      <c r="Z483" s="38"/>
      <c r="AA483" s="38"/>
      <c r="AB483" s="57">
        <v>46308</v>
      </c>
      <c r="AC483" s="246">
        <v>34968</v>
      </c>
      <c r="AD483" s="53">
        <v>5</v>
      </c>
      <c r="AE483" s="58" t="s">
        <v>387</v>
      </c>
      <c r="AF483" s="58" t="s">
        <v>381</v>
      </c>
      <c r="AG483" s="33" t="str">
        <f>IF(G483&gt;0,IF(AD483&gt;0,IF(AD483=0,"Waiting",IF(AD483&lt;L483,"Partial",IF(AD483=L483,"Full Supply",IF(AD483&gt;L483,"Over Shared")))),"Waiting"),"")</f>
        <v>Full Supply</v>
      </c>
      <c r="AH483" s="56">
        <v>46266</v>
      </c>
      <c r="AI483" s="37" t="s">
        <v>1130</v>
      </c>
      <c r="AJ483" s="181">
        <v>6</v>
      </c>
      <c r="AK483" s="40">
        <v>26385</v>
      </c>
      <c r="AL483" s="42">
        <v>46287</v>
      </c>
      <c r="AM483" s="40"/>
      <c r="AN483" s="37"/>
      <c r="AO483" s="41">
        <v>46294</v>
      </c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181">
        <f>L483-AD483</f>
        <v>0</v>
      </c>
    </row>
    <row r="484" spans="1:52" ht="15.5" customHeight="1">
      <c r="A484" s="360" t="s">
        <v>372</v>
      </c>
      <c r="B484" s="340">
        <v>46258</v>
      </c>
      <c r="C484" s="181">
        <v>49949</v>
      </c>
      <c r="D484" s="30">
        <v>46258</v>
      </c>
      <c r="E484" s="30">
        <v>46213</v>
      </c>
      <c r="F484" s="30">
        <v>46265</v>
      </c>
      <c r="G484" s="37">
        <v>4420229262</v>
      </c>
      <c r="H484" s="37" t="s">
        <v>373</v>
      </c>
      <c r="I484" s="37">
        <v>9040040588</v>
      </c>
      <c r="J484" s="37" t="s">
        <v>76</v>
      </c>
      <c r="K484" s="325" t="s">
        <v>77</v>
      </c>
      <c r="L484" s="181">
        <v>3</v>
      </c>
      <c r="M484" s="181" t="s">
        <v>375</v>
      </c>
      <c r="N484" s="37" t="s">
        <v>376</v>
      </c>
      <c r="O484" s="31">
        <f>IF(F484&gt;0,F484-AB484,"")</f>
        <v>-3</v>
      </c>
      <c r="P484" s="37" t="str">
        <f>IF(F484&gt;0,IF(AB484="","PLANNING SUPPLY",IF(AB484&lt;=F484,"ONTIME DELIVERY","DELAY")),"")</f>
        <v>DELAY</v>
      </c>
      <c r="Q484" s="181" t="str">
        <f>IFERROR(IF(J484&gt;0,VLOOKUP(J484,#REF!,MATCH($Q$6,#REF!,0),0),""),"")</f>
        <v/>
      </c>
      <c r="R484" s="181" t="str">
        <f>IFERROR(IF(J484&gt;0,VLOOKUP(J484,#REF!,MATCH($R$6,#REF!,0),0),""),"")</f>
        <v/>
      </c>
      <c r="S484" s="181" t="e">
        <f>IF(I487&gt;0,Q484+R484,"")</f>
        <v>#VALUE!</v>
      </c>
      <c r="T484" s="181"/>
      <c r="U484" s="181"/>
      <c r="V484" s="37"/>
      <c r="W484" s="181" t="e">
        <f>IF(I487&gt;0,IF(S484&gt;L484,"READY STOCK",IF(S484=0,"OUT OF STOCK",IF(S484&lt;L484,"LOW STOCK",""))),"")</f>
        <v>#VALUE!</v>
      </c>
      <c r="X484" s="38"/>
      <c r="Y484" s="38"/>
      <c r="Z484" s="38"/>
      <c r="AA484" s="38"/>
      <c r="AB484" s="50">
        <v>46268</v>
      </c>
      <c r="AC484" s="181">
        <v>34027</v>
      </c>
      <c r="AD484" s="51">
        <v>3</v>
      </c>
      <c r="AE484" s="37" t="s">
        <v>383</v>
      </c>
      <c r="AF484" s="37" t="s">
        <v>381</v>
      </c>
      <c r="AG484" s="33" t="str">
        <f>IF(G484&gt;0,IF(AD484&gt;0,IF(AD484=0,"Waiting",IF(AD484&lt;L484,"Partial",IF(AD484=L484,"Full Supply",IF(AD484&gt;L484,"Over Shared")))),"Waiting"),"")</f>
        <v>Full Supply</v>
      </c>
      <c r="AH484" s="37"/>
      <c r="AI484" s="37"/>
      <c r="AJ484" s="181"/>
      <c r="AK484" s="40"/>
      <c r="AL484" s="40"/>
      <c r="AM484" s="40"/>
      <c r="AN484" s="37"/>
      <c r="AO484" s="34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181">
        <f>L484-AD484</f>
        <v>0</v>
      </c>
    </row>
    <row r="485" spans="1:52" ht="15.5" customHeight="1">
      <c r="A485" s="360" t="s">
        <v>372</v>
      </c>
      <c r="B485" s="340">
        <v>46258</v>
      </c>
      <c r="C485" s="181">
        <v>49949</v>
      </c>
      <c r="D485" s="30">
        <v>46258</v>
      </c>
      <c r="E485" s="30">
        <v>46213</v>
      </c>
      <c r="F485" s="30">
        <v>46265</v>
      </c>
      <c r="G485" s="37">
        <v>4420229262</v>
      </c>
      <c r="H485" s="37" t="s">
        <v>373</v>
      </c>
      <c r="I485" s="37">
        <v>9040041385</v>
      </c>
      <c r="J485" s="37" t="s">
        <v>6</v>
      </c>
      <c r="K485" s="325" t="s">
        <v>7</v>
      </c>
      <c r="L485" s="181">
        <v>1</v>
      </c>
      <c r="M485" s="181" t="s">
        <v>375</v>
      </c>
      <c r="N485" s="37" t="s">
        <v>376</v>
      </c>
      <c r="O485" s="31">
        <f>IF(F485&gt;0,F485-AB485,"")</f>
        <v>-39</v>
      </c>
      <c r="P485" s="37" t="str">
        <f>IF(F485&gt;0,IF(AB485="","PLANNING SUPPLY",IF(AB485&lt;=F485,"ONTIME DELIVERY","DELAY")),"")</f>
        <v>DELAY</v>
      </c>
      <c r="Q485" s="181" t="str">
        <f>IFERROR(IF(J485&gt;0,VLOOKUP(J485,#REF!,MATCH($Q$6,#REF!,0),0),""),"")</f>
        <v/>
      </c>
      <c r="R485" s="181" t="str">
        <f>IFERROR(IF(J485&gt;0,VLOOKUP(J485,#REF!,MATCH($R$6,#REF!,0),0),""),"")</f>
        <v/>
      </c>
      <c r="S485" s="181" t="e">
        <f>IF(I488&gt;0,Q485+R485,"")</f>
        <v>#VALUE!</v>
      </c>
      <c r="T485" s="181"/>
      <c r="U485" s="181"/>
      <c r="V485" s="37"/>
      <c r="W485" s="181" t="e">
        <f>IF(I488&gt;0,IF(S485&gt;L485,"READY STOCK",IF(S485=0,"OUT OF STOCK",IF(S485&lt;L485,"LOW STOCK",""))),"")</f>
        <v>#VALUE!</v>
      </c>
      <c r="X485" s="38"/>
      <c r="Y485" s="38"/>
      <c r="Z485" s="38"/>
      <c r="AA485" s="38"/>
      <c r="AB485" s="57">
        <v>46304</v>
      </c>
      <c r="AC485" s="181">
        <v>34862</v>
      </c>
      <c r="AD485" s="53">
        <v>1</v>
      </c>
      <c r="AE485" s="58" t="s">
        <v>387</v>
      </c>
      <c r="AF485" s="37" t="s">
        <v>381</v>
      </c>
      <c r="AG485" s="33" t="str">
        <f>IF(G485&gt;0,IF(AD485&gt;0,IF(AD485=0,"Waiting",IF(AD485&lt;L485,"Partial",IF(AD485=L485,"Full Supply",IF(AD485&gt;L485,"Over Shared")))),"Waiting"),"")</f>
        <v>Full Supply</v>
      </c>
      <c r="AH485" s="56">
        <v>46295</v>
      </c>
      <c r="AI485" s="37" t="s">
        <v>1314</v>
      </c>
      <c r="AJ485" s="181">
        <v>25</v>
      </c>
      <c r="AK485" s="40">
        <v>26475</v>
      </c>
      <c r="AL485" s="42">
        <v>46296</v>
      </c>
      <c r="AM485" s="181">
        <v>25</v>
      </c>
      <c r="AN485" s="37"/>
      <c r="AO485" s="41">
        <v>46296</v>
      </c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181">
        <f>L485-AD485</f>
        <v>0</v>
      </c>
    </row>
    <row r="486" spans="1:52" ht="15.5" customHeight="1">
      <c r="A486" s="360" t="s">
        <v>372</v>
      </c>
      <c r="B486" s="340">
        <v>46258</v>
      </c>
      <c r="C486" s="181">
        <v>49949</v>
      </c>
      <c r="D486" s="30">
        <v>46258</v>
      </c>
      <c r="E486" s="30">
        <v>46213</v>
      </c>
      <c r="F486" s="30">
        <v>46265</v>
      </c>
      <c r="G486" s="37">
        <v>4420229262</v>
      </c>
      <c r="H486" s="37" t="s">
        <v>373</v>
      </c>
      <c r="I486" s="37">
        <v>9040042451</v>
      </c>
      <c r="J486" s="37" t="s">
        <v>295</v>
      </c>
      <c r="K486" s="325" t="s">
        <v>296</v>
      </c>
      <c r="L486" s="181">
        <v>1</v>
      </c>
      <c r="M486" s="181" t="s">
        <v>375</v>
      </c>
      <c r="N486" s="37" t="s">
        <v>376</v>
      </c>
      <c r="O486" s="31">
        <f>IF(F486&gt;0,F486-AB486,"")</f>
        <v>0</v>
      </c>
      <c r="P486" s="37" t="str">
        <f>IF(F486&gt;0,IF(AB486="","PLANNING SUPPLY",IF(AB486&lt;=F486,"ONTIME DELIVERY","DELAY")),"")</f>
        <v>ONTIME DELIVERY</v>
      </c>
      <c r="Q486" s="181" t="str">
        <f>IFERROR(IF(J486&gt;0,VLOOKUP(J486,#REF!,MATCH($Q$6,#REF!,0),0),""),"")</f>
        <v/>
      </c>
      <c r="R486" s="181" t="str">
        <f>IFERROR(IF(J486&gt;0,VLOOKUP(J486,#REF!,MATCH($R$6,#REF!,0),0),""),"")</f>
        <v/>
      </c>
      <c r="S486" s="181" t="e">
        <f>IF(I489&gt;0,Q486+R486,"")</f>
        <v>#VALUE!</v>
      </c>
      <c r="T486" s="181"/>
      <c r="U486" s="181"/>
      <c r="V486" s="37"/>
      <c r="W486" s="181" t="e">
        <f>IF(I489&gt;0,IF(S486&gt;L486,"READY STOCK",IF(S486=0,"OUT OF STOCK",IF(S486&lt;L486,"LOW STOCK",""))),"")</f>
        <v>#VALUE!</v>
      </c>
      <c r="X486" s="38"/>
      <c r="Y486" s="38"/>
      <c r="Z486" s="38"/>
      <c r="AA486" s="38"/>
      <c r="AB486" s="50">
        <v>46265</v>
      </c>
      <c r="AC486" s="181">
        <v>33918</v>
      </c>
      <c r="AD486" s="51">
        <v>1</v>
      </c>
      <c r="AE486" s="37" t="s">
        <v>383</v>
      </c>
      <c r="AF486" s="37" t="s">
        <v>381</v>
      </c>
      <c r="AG486" s="33" t="str">
        <f>IF(G486&gt;0,IF(AD486&gt;0,IF(AD486=0,"Waiting",IF(AD486&lt;L486,"Partial",IF(AD486=L486,"Full Supply",IF(AD486&gt;L486,"Over Shared")))),"Waiting"),"")</f>
        <v>Full Supply</v>
      </c>
      <c r="AH486" s="37"/>
      <c r="AI486" s="37"/>
      <c r="AJ486" s="181"/>
      <c r="AK486" s="40"/>
      <c r="AL486" s="40"/>
      <c r="AM486" s="40"/>
      <c r="AN486" s="37"/>
      <c r="AO486" s="34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181">
        <f>L486-AD486</f>
        <v>0</v>
      </c>
    </row>
    <row r="487" spans="1:52" ht="15.5" customHeight="1">
      <c r="A487" s="360" t="s">
        <v>372</v>
      </c>
      <c r="B487" s="340">
        <v>46258</v>
      </c>
      <c r="C487" s="181">
        <v>49949</v>
      </c>
      <c r="D487" s="30">
        <v>46258</v>
      </c>
      <c r="E487" s="30">
        <v>46213</v>
      </c>
      <c r="F487" s="30">
        <v>46265</v>
      </c>
      <c r="G487" s="37">
        <v>4420229262</v>
      </c>
      <c r="H487" s="37" t="s">
        <v>373</v>
      </c>
      <c r="I487" s="37">
        <v>9040044102</v>
      </c>
      <c r="J487" s="37" t="s">
        <v>322</v>
      </c>
      <c r="K487" s="325" t="s">
        <v>323</v>
      </c>
      <c r="L487" s="181">
        <v>10</v>
      </c>
      <c r="M487" s="181" t="s">
        <v>375</v>
      </c>
      <c r="N487" s="37" t="s">
        <v>376</v>
      </c>
      <c r="O487" s="31">
        <f>IF(F487&gt;0,F487-AB487,"")</f>
        <v>46265</v>
      </c>
      <c r="P487" s="37" t="str">
        <f>IF(F487&gt;0,IF(AB487="","PLANNING SUPPLY",IF(AB487&lt;=F487,"ONTIME DELIVERY","DELAY")),"")</f>
        <v>PLANNING SUPPLY</v>
      </c>
      <c r="Q487" s="181" t="str">
        <f>IFERROR(IF(J487&gt;0,VLOOKUP(J487,#REF!,MATCH($Q$6,#REF!,0),0),""),"")</f>
        <v/>
      </c>
      <c r="R487" s="181" t="str">
        <f>IFERROR(IF(J487&gt;0,VLOOKUP(J487,#REF!,MATCH($R$6,#REF!,0),0),""),"")</f>
        <v/>
      </c>
      <c r="S487" s="181" t="e">
        <f>IF(I490&gt;0,Q487+R487,"")</f>
        <v>#VALUE!</v>
      </c>
      <c r="T487" s="181"/>
      <c r="U487" s="181"/>
      <c r="V487" s="37"/>
      <c r="W487" s="181" t="e">
        <f>IF(I490&gt;0,IF(S487&gt;L487,"READY STOCK",IF(S487=0,"OUT OF STOCK",IF(S487&lt;L487,"LOW STOCK",""))),"")</f>
        <v>#VALUE!</v>
      </c>
      <c r="X487" s="38"/>
      <c r="Y487" s="38"/>
      <c r="Z487" s="38"/>
      <c r="AA487" s="38"/>
      <c r="AB487" s="50"/>
      <c r="AC487" s="181"/>
      <c r="AD487" s="51"/>
      <c r="AE487" s="37"/>
      <c r="AF487" s="37"/>
      <c r="AG487" s="33" t="str">
        <f>IF(G487&gt;0,IF(AD487&gt;0,IF(AD487=0,"Waiting",IF(AD487&lt;L487,"Partial",IF(AD487=L487,"Full Supply",IF(AD487&gt;L487,"Over Shared")))),"Waiting"),"")</f>
        <v>Waiting</v>
      </c>
      <c r="AH487" s="56">
        <v>46261</v>
      </c>
      <c r="AI487" s="37" t="s">
        <v>467</v>
      </c>
      <c r="AJ487" s="181">
        <v>10</v>
      </c>
      <c r="AK487" s="40"/>
      <c r="AL487" s="40"/>
      <c r="AM487" s="40"/>
      <c r="AN487" s="216" t="s">
        <v>466</v>
      </c>
      <c r="AO487" s="55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181">
        <f>L487-AD487</f>
        <v>10</v>
      </c>
    </row>
    <row r="488" spans="1:52" ht="15.5" customHeight="1">
      <c r="A488" s="360" t="s">
        <v>372</v>
      </c>
      <c r="B488" s="340">
        <v>46258</v>
      </c>
      <c r="C488" s="181">
        <v>49949</v>
      </c>
      <c r="D488" s="30">
        <v>46258</v>
      </c>
      <c r="E488" s="30">
        <v>46213</v>
      </c>
      <c r="F488" s="30">
        <v>46265</v>
      </c>
      <c r="G488" s="37">
        <v>4420229262</v>
      </c>
      <c r="H488" s="37" t="s">
        <v>373</v>
      </c>
      <c r="I488" s="37">
        <v>9040044191</v>
      </c>
      <c r="J488" s="37" t="s">
        <v>187</v>
      </c>
      <c r="K488" s="325" t="s">
        <v>188</v>
      </c>
      <c r="L488" s="181">
        <v>20</v>
      </c>
      <c r="M488" s="181" t="s">
        <v>375</v>
      </c>
      <c r="N488" s="37" t="s">
        <v>376</v>
      </c>
      <c r="O488" s="31">
        <f>IF(F488&gt;0,F488-AB488,"")</f>
        <v>0</v>
      </c>
      <c r="P488" s="37" t="str">
        <f>IF(F488&gt;0,IF(AB488="","PLANNING SUPPLY",IF(AB488&lt;=F488,"ONTIME DELIVERY","DELAY")),"")</f>
        <v>ONTIME DELIVERY</v>
      </c>
      <c r="Q488" s="181" t="str">
        <f>IFERROR(IF(J488&gt;0,VLOOKUP(J488,#REF!,MATCH($Q$6,#REF!,0),0),""),"")</f>
        <v/>
      </c>
      <c r="R488" s="181" t="str">
        <f>IFERROR(IF(J488&gt;0,VLOOKUP(J488,#REF!,MATCH($R$6,#REF!,0),0),""),"")</f>
        <v/>
      </c>
      <c r="S488" s="181" t="e">
        <f>IF(I491&gt;0,Q488+R488,"")</f>
        <v>#VALUE!</v>
      </c>
      <c r="T488" s="181"/>
      <c r="U488" s="181"/>
      <c r="V488" s="37"/>
      <c r="W488" s="181" t="e">
        <f>IF(I491&gt;0,IF(S488&gt;L488,"READY STOCK",IF(S488=0,"OUT OF STOCK",IF(S488&lt;L488,"LOW STOCK",""))),"")</f>
        <v>#VALUE!</v>
      </c>
      <c r="X488" s="38"/>
      <c r="Y488" s="38"/>
      <c r="Z488" s="38"/>
      <c r="AA488" s="38"/>
      <c r="AB488" s="50">
        <v>46265</v>
      </c>
      <c r="AC488" s="181">
        <v>33918</v>
      </c>
      <c r="AD488" s="51">
        <v>20</v>
      </c>
      <c r="AE488" s="37" t="s">
        <v>383</v>
      </c>
      <c r="AF488" s="37" t="s">
        <v>381</v>
      </c>
      <c r="AG488" s="33" t="str">
        <f>IF(G488&gt;0,IF(AD488&gt;0,IF(AD488=0,"Waiting",IF(AD488&lt;L488,"Partial",IF(AD488=L488,"Full Supply",IF(AD488&gt;L488,"Over Shared")))),"Waiting"),"")</f>
        <v>Full Supply</v>
      </c>
      <c r="AH488" s="37"/>
      <c r="AI488" s="37"/>
      <c r="AJ488" s="181"/>
      <c r="AK488" s="40"/>
      <c r="AL488" s="40"/>
      <c r="AM488" s="40"/>
      <c r="AN488" s="37"/>
      <c r="AO488" s="34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181">
        <f>L488-AD488</f>
        <v>0</v>
      </c>
    </row>
    <row r="489" spans="1:52" ht="15.5" customHeight="1">
      <c r="A489" s="360" t="s">
        <v>372</v>
      </c>
      <c r="B489" s="340">
        <v>46258</v>
      </c>
      <c r="C489" s="181">
        <v>49949</v>
      </c>
      <c r="D489" s="30">
        <v>46258</v>
      </c>
      <c r="E489" s="30">
        <v>46213</v>
      </c>
      <c r="F489" s="30">
        <v>46265</v>
      </c>
      <c r="G489" s="37">
        <v>4420229262</v>
      </c>
      <c r="H489" s="37" t="s">
        <v>373</v>
      </c>
      <c r="I489" s="37">
        <v>9040054918</v>
      </c>
      <c r="J489" s="37" t="s">
        <v>308</v>
      </c>
      <c r="K489" s="325" t="s">
        <v>309</v>
      </c>
      <c r="L489" s="181">
        <v>2</v>
      </c>
      <c r="M489" s="181" t="s">
        <v>421</v>
      </c>
      <c r="N489" s="37" t="s">
        <v>376</v>
      </c>
      <c r="O489" s="31">
        <f>IF(F489&gt;0,F489-AB489,"")</f>
        <v>-24</v>
      </c>
      <c r="P489" s="37" t="str">
        <f>IF(F489&gt;0,IF(AB489="","PLANNING SUPPLY",IF(AB489&lt;=F489,"ONTIME DELIVERY","DELAY")),"")</f>
        <v>DELAY</v>
      </c>
      <c r="Q489" s="181" t="str">
        <f>IFERROR(IF(J489&gt;0,VLOOKUP(J489,#REF!,MATCH($Q$6,#REF!,0),0),""),"")</f>
        <v/>
      </c>
      <c r="R489" s="181" t="str">
        <f>IFERROR(IF(J489&gt;0,VLOOKUP(J489,#REF!,MATCH($R$6,#REF!,0),0),""),"")</f>
        <v/>
      </c>
      <c r="S489" s="181" t="e">
        <f>IF(I492&gt;0,Q489+R489,"")</f>
        <v>#VALUE!</v>
      </c>
      <c r="T489" s="181"/>
      <c r="U489" s="181"/>
      <c r="V489" s="37"/>
      <c r="W489" s="181" t="e">
        <f>IF(I492&gt;0,IF(S489&gt;L489,"READY STOCK",IF(S489=0,"OUT OF STOCK",IF(S489&lt;L489,"LOW STOCK",""))),"")</f>
        <v>#VALUE!</v>
      </c>
      <c r="X489" s="38"/>
      <c r="Y489" s="38"/>
      <c r="Z489" s="38"/>
      <c r="AA489" s="38"/>
      <c r="AB489" s="50">
        <v>46289</v>
      </c>
      <c r="AC489" s="181">
        <v>34549</v>
      </c>
      <c r="AD489" s="51">
        <v>2</v>
      </c>
      <c r="AE489" s="37" t="s">
        <v>383</v>
      </c>
      <c r="AF489" s="37" t="s">
        <v>381</v>
      </c>
      <c r="AG489" s="33" t="str">
        <f>IF(G489&gt;0,IF(AD489&gt;0,IF(AD489=0,"Waiting",IF(AD489&lt;L489,"Partial",IF(AD489=L489,"Full Supply",IF(AD489&gt;L489,"Over Shared")))),"Waiting"),"")</f>
        <v>Full Supply</v>
      </c>
      <c r="AH489" s="37"/>
      <c r="AI489" s="37"/>
      <c r="AJ489" s="181"/>
      <c r="AK489" s="40"/>
      <c r="AL489" s="40"/>
      <c r="AM489" s="40"/>
      <c r="AN489" s="37"/>
      <c r="AO489" s="34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181">
        <f>L489-AD489</f>
        <v>0</v>
      </c>
    </row>
    <row r="490" spans="1:52" ht="15.5" customHeight="1">
      <c r="A490" s="360" t="s">
        <v>372</v>
      </c>
      <c r="B490" s="340">
        <v>46258</v>
      </c>
      <c r="C490" s="181">
        <v>49949</v>
      </c>
      <c r="D490" s="30">
        <v>46258</v>
      </c>
      <c r="E490" s="30">
        <v>46213</v>
      </c>
      <c r="F490" s="30">
        <v>46265</v>
      </c>
      <c r="G490" s="37">
        <v>4420229262</v>
      </c>
      <c r="H490" s="37" t="s">
        <v>373</v>
      </c>
      <c r="I490" s="37">
        <v>9040054960</v>
      </c>
      <c r="J490" s="37" t="s">
        <v>306</v>
      </c>
      <c r="K490" s="325" t="s">
        <v>307</v>
      </c>
      <c r="L490" s="181">
        <v>2</v>
      </c>
      <c r="M490" s="181" t="s">
        <v>421</v>
      </c>
      <c r="N490" s="37" t="s">
        <v>376</v>
      </c>
      <c r="O490" s="31">
        <f>IF(F490&gt;0,F490-AB490,"")</f>
        <v>-36</v>
      </c>
      <c r="P490" s="37" t="str">
        <f>IF(F490&gt;0,IF(AB490="","PLANNING SUPPLY",IF(AB490&lt;=F490,"ONTIME DELIVERY","DELAY")),"")</f>
        <v>DELAY</v>
      </c>
      <c r="Q490" s="181" t="str">
        <f>IFERROR(IF(J490&gt;0,VLOOKUP(J490,#REF!,MATCH($Q$6,#REF!,0),0),""),"")</f>
        <v/>
      </c>
      <c r="R490" s="181" t="str">
        <f>IFERROR(IF(J490&gt;0,VLOOKUP(J490,#REF!,MATCH($R$6,#REF!,0),0),""),"")</f>
        <v/>
      </c>
      <c r="S490" s="181" t="e">
        <f>IF(I493&gt;0,Q490+R490,"")</f>
        <v>#VALUE!</v>
      </c>
      <c r="T490" s="181"/>
      <c r="U490" s="181"/>
      <c r="V490" s="37"/>
      <c r="W490" s="181" t="e">
        <f>IF(I493&gt;0,IF(S490&gt;L490,"READY STOCK",IF(S490=0,"OUT OF STOCK",IF(S490&lt;L490,"LOW STOCK",""))),"")</f>
        <v>#VALUE!</v>
      </c>
      <c r="X490" s="38"/>
      <c r="Y490" s="38"/>
      <c r="Z490" s="38"/>
      <c r="AA490" s="38"/>
      <c r="AB490" s="57">
        <v>46301</v>
      </c>
      <c r="AC490" s="181">
        <v>34784</v>
      </c>
      <c r="AD490" s="53">
        <v>2</v>
      </c>
      <c r="AE490" s="58" t="s">
        <v>387</v>
      </c>
      <c r="AF490" s="58" t="s">
        <v>381</v>
      </c>
      <c r="AG490" s="33" t="str">
        <f>IF(G490&gt;0,IF(AD490&gt;0,IF(AD490=0,"Waiting",IF(AD490&lt;L490,"Partial",IF(AD490=L490,"Full Supply",IF(AD490&gt;L490,"Over Shared")))),"Waiting"),"")</f>
        <v>Full Supply</v>
      </c>
      <c r="AH490" s="37"/>
      <c r="AI490" s="37"/>
      <c r="AJ490" s="181"/>
      <c r="AK490" s="40">
        <v>26523</v>
      </c>
      <c r="AL490" s="40"/>
      <c r="AM490" s="40"/>
      <c r="AN490" s="37" t="s">
        <v>1292</v>
      </c>
      <c r="AO490" s="41">
        <v>46299</v>
      </c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181">
        <f>L490-AD490</f>
        <v>0</v>
      </c>
    </row>
    <row r="491" spans="1:52" ht="15.5" customHeight="1">
      <c r="A491" s="360" t="s">
        <v>372</v>
      </c>
      <c r="B491" s="340">
        <v>46258</v>
      </c>
      <c r="C491" s="181">
        <v>49949</v>
      </c>
      <c r="D491" s="30">
        <v>46258</v>
      </c>
      <c r="E491" s="30">
        <v>46213</v>
      </c>
      <c r="F491" s="30">
        <v>46265</v>
      </c>
      <c r="G491" s="37">
        <v>4420229262</v>
      </c>
      <c r="H491" s="37" t="s">
        <v>373</v>
      </c>
      <c r="I491" s="37">
        <v>9040055051</v>
      </c>
      <c r="J491" s="37" t="s">
        <v>10</v>
      </c>
      <c r="K491" s="325" t="s">
        <v>149</v>
      </c>
      <c r="L491" s="181">
        <v>4</v>
      </c>
      <c r="M491" s="181" t="s">
        <v>375</v>
      </c>
      <c r="N491" s="37" t="s">
        <v>376</v>
      </c>
      <c r="O491" s="31">
        <f>IF(F491&gt;0,F491-AB491,"")</f>
        <v>-7</v>
      </c>
      <c r="P491" s="37" t="str">
        <f>IF(F491&gt;0,IF(AB491="","PLANNING SUPPLY",IF(AB491&lt;=F491,"ONTIME DELIVERY","DELAY")),"")</f>
        <v>DELAY</v>
      </c>
      <c r="Q491" s="181" t="str">
        <f>IFERROR(IF(J491&gt;0,VLOOKUP(J491,#REF!,MATCH($Q$6,#REF!,0),0),""),"")</f>
        <v/>
      </c>
      <c r="R491" s="181" t="str">
        <f>IFERROR(IF(J491&gt;0,VLOOKUP(J491,#REF!,MATCH($R$6,#REF!,0),0),""),"")</f>
        <v/>
      </c>
      <c r="S491" s="181" t="e">
        <f>IF(I494&gt;0,Q491+R491,"")</f>
        <v>#VALUE!</v>
      </c>
      <c r="T491" s="181"/>
      <c r="U491" s="181"/>
      <c r="V491" s="37"/>
      <c r="W491" s="181" t="e">
        <f>IF(I494&gt;0,IF(S491&gt;L491,"READY STOCK",IF(S491=0,"OUT OF STOCK",IF(S491&lt;L491,"LOW STOCK",""))),"")</f>
        <v>#VALUE!</v>
      </c>
      <c r="X491" s="38"/>
      <c r="Y491" s="38"/>
      <c r="Z491" s="38"/>
      <c r="AA491" s="38"/>
      <c r="AB491" s="50">
        <v>46272</v>
      </c>
      <c r="AC491" s="181">
        <v>34083</v>
      </c>
      <c r="AD491" s="51">
        <v>4</v>
      </c>
      <c r="AE491" s="37" t="s">
        <v>383</v>
      </c>
      <c r="AF491" s="37" t="s">
        <v>381</v>
      </c>
      <c r="AG491" s="33" t="str">
        <f>IF(G491&gt;0,IF(AD491&gt;0,IF(AD491=0,"Waiting",IF(AD491&lt;L491,"Partial",IF(AD491=L491,"Full Supply",IF(AD491&gt;L491,"Over Shared")))),"Waiting"),"")</f>
        <v>Full Supply</v>
      </c>
      <c r="AH491" s="37"/>
      <c r="AI491" s="37"/>
      <c r="AJ491" s="181"/>
      <c r="AK491" s="40"/>
      <c r="AL491" s="40"/>
      <c r="AM491" s="40"/>
      <c r="AN491" s="37"/>
      <c r="AO491" s="34"/>
      <c r="AP491" s="37"/>
      <c r="AQ491" s="37"/>
      <c r="AR491" s="37"/>
      <c r="AS491" s="37"/>
      <c r="AT491" s="37"/>
      <c r="AU491" s="36" t="str">
        <f>IF(AR491=0,"Waiting",IF(AR491&lt;AH491,"Kurang",IF(AR491=AH491,"Sesuai",IF(AR491&gt;AH491,"Over Shared"))))</f>
        <v>Waiting</v>
      </c>
      <c r="AV491" s="37"/>
      <c r="AW491" s="37"/>
      <c r="AX491" s="37"/>
      <c r="AY491" s="37"/>
      <c r="AZ491" s="181">
        <f>L491-AD491</f>
        <v>0</v>
      </c>
    </row>
    <row r="492" spans="1:52" ht="15.5" customHeight="1">
      <c r="A492" s="360" t="s">
        <v>372</v>
      </c>
      <c r="B492" s="340">
        <v>46258</v>
      </c>
      <c r="C492" s="181">
        <v>49949</v>
      </c>
      <c r="D492" s="30">
        <v>46258</v>
      </c>
      <c r="E492" s="30">
        <v>46213</v>
      </c>
      <c r="F492" s="30">
        <v>46265</v>
      </c>
      <c r="G492" s="37">
        <v>4420229262</v>
      </c>
      <c r="H492" s="37" t="s">
        <v>373</v>
      </c>
      <c r="I492" s="37">
        <v>9040041385</v>
      </c>
      <c r="J492" s="37" t="s">
        <v>6</v>
      </c>
      <c r="K492" s="325" t="s">
        <v>7</v>
      </c>
      <c r="L492" s="181">
        <v>5</v>
      </c>
      <c r="M492" s="181" t="s">
        <v>375</v>
      </c>
      <c r="N492" s="37" t="s">
        <v>376</v>
      </c>
      <c r="O492" s="31">
        <f>IF(F492&gt;0,F492-AB492,"")</f>
        <v>-44</v>
      </c>
      <c r="P492" s="37" t="str">
        <f>IF(F492&gt;0,IF(AB492="","PLANNING SUPPLY",IF(AB492&lt;=F492,"ONTIME DELIVERY","DELAY")),"")</f>
        <v>DELAY</v>
      </c>
      <c r="Q492" s="181" t="str">
        <f>IFERROR(IF(J492&gt;0,VLOOKUP(J492,#REF!,MATCH($Q$6,#REF!,0),0),""),"")</f>
        <v/>
      </c>
      <c r="R492" s="181" t="str">
        <f>IFERROR(IF(J492&gt;0,VLOOKUP(J492,#REF!,MATCH($R$6,#REF!,0),0),""),"")</f>
        <v/>
      </c>
      <c r="S492" s="181" t="e">
        <f>IF(I495&gt;0,Q492+R492,"")</f>
        <v>#VALUE!</v>
      </c>
      <c r="T492" s="181"/>
      <c r="U492" s="181"/>
      <c r="V492" s="37"/>
      <c r="W492" s="181" t="e">
        <f>IF(I495&gt;0,IF(S492&gt;L492,"READY STOCK",IF(S492=0,"OUT OF STOCK",IF(S492&lt;L492,"LOW STOCK",""))),"")</f>
        <v>#VALUE!</v>
      </c>
      <c r="X492" s="38"/>
      <c r="Y492" s="38"/>
      <c r="Z492" s="38"/>
      <c r="AA492" s="38"/>
      <c r="AB492" s="50">
        <v>46309</v>
      </c>
      <c r="AC492" s="44">
        <v>35047</v>
      </c>
      <c r="AD492" s="51">
        <v>5</v>
      </c>
      <c r="AE492" s="37" t="s">
        <v>387</v>
      </c>
      <c r="AF492" s="37" t="s">
        <v>381</v>
      </c>
      <c r="AG492" s="33" t="str">
        <f>IF(G492&gt;0,IF(AD492&gt;0,IF(AD492=0,"Waiting",IF(AD492&lt;L492,"Partial",IF(AD492=L492,"Full Supply",IF(AD492&gt;L492,"Over Shared")))),"Waiting"),"")</f>
        <v>Full Supply</v>
      </c>
      <c r="AH492" s="56">
        <v>46295</v>
      </c>
      <c r="AI492" s="37" t="s">
        <v>1314</v>
      </c>
      <c r="AJ492" s="181">
        <v>25</v>
      </c>
      <c r="AK492" s="40">
        <v>26475</v>
      </c>
      <c r="AL492" s="42">
        <v>46296</v>
      </c>
      <c r="AM492" s="181">
        <v>25</v>
      </c>
      <c r="AN492" s="37"/>
      <c r="AO492" s="41">
        <v>46296</v>
      </c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181">
        <f>L492-AD492</f>
        <v>0</v>
      </c>
    </row>
    <row r="493" spans="1:52" ht="15.5" customHeight="1">
      <c r="A493" s="360" t="s">
        <v>372</v>
      </c>
      <c r="B493" s="340">
        <v>46260</v>
      </c>
      <c r="C493" s="181">
        <v>49974</v>
      </c>
      <c r="D493" s="30">
        <v>46260</v>
      </c>
      <c r="E493" s="30">
        <v>46253</v>
      </c>
      <c r="F493" s="30">
        <v>46265</v>
      </c>
      <c r="G493" s="37">
        <v>4420231830</v>
      </c>
      <c r="H493" s="37" t="s">
        <v>373</v>
      </c>
      <c r="I493" s="37">
        <v>9040040636</v>
      </c>
      <c r="J493" s="37" t="s">
        <v>167</v>
      </c>
      <c r="K493" s="325" t="s">
        <v>168</v>
      </c>
      <c r="L493" s="181">
        <v>12</v>
      </c>
      <c r="M493" s="181" t="s">
        <v>375</v>
      </c>
      <c r="N493" s="37" t="s">
        <v>376</v>
      </c>
      <c r="O493" s="31">
        <f>IF(F493&gt;0,F493-AB493,"")</f>
        <v>0</v>
      </c>
      <c r="P493" s="37" t="str">
        <f>IF(F493&gt;0,IF(AB493="","PLANNING SUPPLY",IF(AB493&lt;=F493,"ONTIME DELIVERY","DELAY")),"")</f>
        <v>ONTIME DELIVERY</v>
      </c>
      <c r="Q493" s="181" t="str">
        <f>IFERROR(IF(J493&gt;0,VLOOKUP(J493,#REF!,MATCH($Q$6,#REF!,0),0),""),"")</f>
        <v/>
      </c>
      <c r="R493" s="181" t="str">
        <f>IFERROR(IF(J493&gt;0,VLOOKUP(J493,#REF!,MATCH($R$6,#REF!,0),0),""),"")</f>
        <v/>
      </c>
      <c r="S493" s="181" t="e">
        <f>IF(I496&gt;0,Q493+R493,"")</f>
        <v>#VALUE!</v>
      </c>
      <c r="T493" s="181"/>
      <c r="U493" s="181"/>
      <c r="V493" s="37"/>
      <c r="W493" s="181" t="e">
        <f>IF(I496&gt;0,IF(S493&gt;L493,"READY STOCK",IF(S493=0,"OUT OF STOCK",IF(S493&lt;L493,"LOW STOCK",""))),"")</f>
        <v>#VALUE!</v>
      </c>
      <c r="X493" s="38"/>
      <c r="Y493" s="38"/>
      <c r="Z493" s="38"/>
      <c r="AA493" s="38"/>
      <c r="AB493" s="50">
        <v>46265</v>
      </c>
      <c r="AC493" s="181">
        <v>33923</v>
      </c>
      <c r="AD493" s="51">
        <v>12</v>
      </c>
      <c r="AE493" s="37" t="s">
        <v>383</v>
      </c>
      <c r="AF493" s="37" t="s">
        <v>381</v>
      </c>
      <c r="AG493" s="33" t="str">
        <f>IF(G493&gt;0,IF(AD493&gt;0,IF(AD493=0,"Waiting",IF(AD493&lt;L493,"Partial",IF(AD493=L493,"Full Supply",IF(AD493&gt;L493,"Over Shared")))),"Waiting"),"")</f>
        <v>Full Supply</v>
      </c>
      <c r="AH493" s="37"/>
      <c r="AI493" s="37"/>
      <c r="AJ493" s="181"/>
      <c r="AK493" s="40"/>
      <c r="AL493" s="40"/>
      <c r="AM493" s="40"/>
      <c r="AN493" s="37"/>
      <c r="AO493" s="34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181">
        <f>L493-AD493</f>
        <v>0</v>
      </c>
    </row>
    <row r="494" spans="1:52" ht="15.5" customHeight="1">
      <c r="A494" s="360" t="s">
        <v>372</v>
      </c>
      <c r="B494" s="340">
        <v>46260</v>
      </c>
      <c r="C494" s="181">
        <v>49975</v>
      </c>
      <c r="D494" s="30">
        <v>46260</v>
      </c>
      <c r="E494" s="30">
        <v>46254</v>
      </c>
      <c r="F494" s="30">
        <v>46264</v>
      </c>
      <c r="G494" s="37">
        <v>4420231928</v>
      </c>
      <c r="H494" s="37" t="s">
        <v>373</v>
      </c>
      <c r="I494" s="37">
        <v>9040024721</v>
      </c>
      <c r="J494" s="37" t="s">
        <v>239</v>
      </c>
      <c r="K494" s="325" t="s">
        <v>240</v>
      </c>
      <c r="L494" s="181">
        <v>2</v>
      </c>
      <c r="M494" s="181" t="s">
        <v>389</v>
      </c>
      <c r="N494" s="37" t="s">
        <v>382</v>
      </c>
      <c r="O494" s="31">
        <f>IF(F494&gt;0,F494-AB494,"")</f>
        <v>46264</v>
      </c>
      <c r="P494" s="37" t="str">
        <f>IF(F494&gt;0,IF(AB494="","PLANNING SUPPLY",IF(AB494&lt;=F494,"ONTIME DELIVERY","DELAY")),"")</f>
        <v>PLANNING SUPPLY</v>
      </c>
      <c r="Q494" s="181" t="str">
        <f>IFERROR(IF(J494&gt;0,VLOOKUP(J494,#REF!,MATCH($Q$6,#REF!,0),0),""),"")</f>
        <v/>
      </c>
      <c r="R494" s="181" t="str">
        <f>IFERROR(IF(J494&gt;0,VLOOKUP(J494,#REF!,MATCH($R$6,#REF!,0),0),""),"")</f>
        <v/>
      </c>
      <c r="S494" s="181" t="e">
        <f>IF(I497&gt;0,Q494+R494,"")</f>
        <v>#VALUE!</v>
      </c>
      <c r="T494" s="181"/>
      <c r="U494" s="181"/>
      <c r="V494" s="37"/>
      <c r="W494" s="181" t="e">
        <f>IF(I497&gt;0,IF(S494&gt;L494,"READY STOCK",IF(S494=0,"OUT OF STOCK",IF(S494&lt;L494,"LOW STOCK",""))),"")</f>
        <v>#VALUE!</v>
      </c>
      <c r="X494" s="38"/>
      <c r="Y494" s="38"/>
      <c r="Z494" s="38"/>
      <c r="AA494" s="38"/>
      <c r="AB494" s="50"/>
      <c r="AC494" s="181"/>
      <c r="AD494" s="51"/>
      <c r="AE494" s="37"/>
      <c r="AF494" s="37"/>
      <c r="AG494" s="33" t="str">
        <f>IF(G494&gt;0,IF(AD494&gt;0,IF(AD494=0,"Waiting",IF(AD494&lt;L494,"Partial",IF(AD494=L494,"Full Supply",IF(AD494&gt;L494,"Over Shared")))),"Waiting"),"")</f>
        <v>Waiting</v>
      </c>
      <c r="AH494" s="56">
        <v>46268</v>
      </c>
      <c r="AI494" s="37" t="s">
        <v>1294</v>
      </c>
      <c r="AJ494" s="181">
        <v>21</v>
      </c>
      <c r="AK494" s="40">
        <v>26396</v>
      </c>
      <c r="AL494" s="42">
        <v>46287</v>
      </c>
      <c r="AM494" s="40">
        <v>21</v>
      </c>
      <c r="AN494" s="37"/>
      <c r="AO494" s="232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181">
        <f>L494-AD494</f>
        <v>2</v>
      </c>
    </row>
    <row r="495" spans="1:52" ht="15.5" customHeight="1">
      <c r="A495" s="360" t="s">
        <v>372</v>
      </c>
      <c r="B495" s="340">
        <v>46260</v>
      </c>
      <c r="C495" s="181">
        <v>49975</v>
      </c>
      <c r="D495" s="30">
        <v>46260</v>
      </c>
      <c r="E495" s="30">
        <v>46254</v>
      </c>
      <c r="F495" s="30">
        <v>46264</v>
      </c>
      <c r="G495" s="37">
        <v>4420231928</v>
      </c>
      <c r="H495" s="37" t="s">
        <v>373</v>
      </c>
      <c r="I495" s="37">
        <v>9040051092</v>
      </c>
      <c r="J495" s="37" t="s">
        <v>89</v>
      </c>
      <c r="K495" s="325" t="s">
        <v>90</v>
      </c>
      <c r="L495" s="181">
        <v>6</v>
      </c>
      <c r="M495" s="181" t="s">
        <v>375</v>
      </c>
      <c r="N495" s="37" t="s">
        <v>382</v>
      </c>
      <c r="O495" s="31">
        <f>IF(F495&gt;0,F495-AB495,"")</f>
        <v>-18</v>
      </c>
      <c r="P495" s="37" t="str">
        <f>IF(F495&gt;0,IF(AB495="","PLANNING SUPPLY",IF(AB495&lt;=F495,"ONTIME DELIVERY","DELAY")),"")</f>
        <v>DELAY</v>
      </c>
      <c r="Q495" s="181" t="str">
        <f>IFERROR(IF(J495&gt;0,VLOOKUP(J495,#REF!,MATCH($Q$6,#REF!,0),0),""),"")</f>
        <v/>
      </c>
      <c r="R495" s="181" t="str">
        <f>IFERROR(IF(J495&gt;0,VLOOKUP(J495,#REF!,MATCH($R$6,#REF!,0),0),""),"")</f>
        <v/>
      </c>
      <c r="S495" s="181" t="e">
        <f>IF(I498&gt;0,Q495+R495,"")</f>
        <v>#VALUE!</v>
      </c>
      <c r="T495" s="181"/>
      <c r="U495" s="181"/>
      <c r="V495" s="37"/>
      <c r="W495" s="181" t="e">
        <f>IF(I498&gt;0,IF(S495&gt;L495,"READY STOCK",IF(S495=0,"OUT OF STOCK",IF(S495&lt;L495,"LOW STOCK",""))),"")</f>
        <v>#VALUE!</v>
      </c>
      <c r="X495" s="38"/>
      <c r="Y495" s="38"/>
      <c r="Z495" s="38"/>
      <c r="AA495" s="38"/>
      <c r="AB495" s="50">
        <v>46282</v>
      </c>
      <c r="AC495" s="181">
        <v>34388</v>
      </c>
      <c r="AD495" s="51">
        <v>6</v>
      </c>
      <c r="AE495" s="37" t="s">
        <v>387</v>
      </c>
      <c r="AF495" s="37" t="s">
        <v>381</v>
      </c>
      <c r="AG495" s="33" t="str">
        <f>IF(G495&gt;0,IF(AD495&gt;0,IF(AD495=0,"Waiting",IF(AD495&lt;L495,"Partial",IF(AD495=L495,"Full Supply",IF(AD495&gt;L495,"Over Shared")))),"Waiting"),"")</f>
        <v>Full Supply</v>
      </c>
      <c r="AH495" s="56">
        <v>46261</v>
      </c>
      <c r="AI495" s="37" t="s">
        <v>467</v>
      </c>
      <c r="AJ495" s="181">
        <v>6</v>
      </c>
      <c r="AK495" s="40">
        <v>26191</v>
      </c>
      <c r="AL495" s="189">
        <v>46269</v>
      </c>
      <c r="AM495" s="40">
        <v>16</v>
      </c>
      <c r="AN495" s="212"/>
      <c r="AO495" s="214">
        <v>46275</v>
      </c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181">
        <f>L495-AD495</f>
        <v>0</v>
      </c>
    </row>
    <row r="496" spans="1:52" ht="15.5" customHeight="1">
      <c r="A496" s="360" t="s">
        <v>372</v>
      </c>
      <c r="B496" s="340">
        <v>46260</v>
      </c>
      <c r="C496" s="181">
        <v>49975</v>
      </c>
      <c r="D496" s="30">
        <v>46260</v>
      </c>
      <c r="E496" s="30">
        <v>46254</v>
      </c>
      <c r="F496" s="30">
        <v>46264</v>
      </c>
      <c r="G496" s="37">
        <v>4420231928</v>
      </c>
      <c r="H496" s="37" t="s">
        <v>373</v>
      </c>
      <c r="I496" s="37">
        <v>9040073264</v>
      </c>
      <c r="J496" s="37" t="s">
        <v>85</v>
      </c>
      <c r="K496" s="325" t="s">
        <v>86</v>
      </c>
      <c r="L496" s="181">
        <v>3</v>
      </c>
      <c r="M496" s="181" t="s">
        <v>375</v>
      </c>
      <c r="N496" s="37" t="s">
        <v>382</v>
      </c>
      <c r="O496" s="31">
        <f>IF(F496&gt;0,F496-AB496,"")</f>
        <v>-18</v>
      </c>
      <c r="P496" s="37" t="str">
        <f>IF(F496&gt;0,IF(AB496="","PLANNING SUPPLY",IF(AB496&lt;=F496,"ONTIME DELIVERY","DELAY")),"")</f>
        <v>DELAY</v>
      </c>
      <c r="Q496" s="181" t="str">
        <f>IFERROR(IF(J496&gt;0,VLOOKUP(J496,#REF!,MATCH($Q$6,#REF!,0),0),""),"")</f>
        <v/>
      </c>
      <c r="R496" s="181" t="str">
        <f>IFERROR(IF(J496&gt;0,VLOOKUP(J496,#REF!,MATCH($R$6,#REF!,0),0),""),"")</f>
        <v/>
      </c>
      <c r="S496" s="181" t="e">
        <f>IF(I499&gt;0,Q496+R496,"")</f>
        <v>#VALUE!</v>
      </c>
      <c r="T496" s="181"/>
      <c r="U496" s="181"/>
      <c r="V496" s="37"/>
      <c r="W496" s="181" t="e">
        <f>IF(I499&gt;0,IF(S496&gt;L496,"READY STOCK",IF(S496=0,"OUT OF STOCK",IF(S496&lt;L496,"LOW STOCK",""))),"")</f>
        <v>#VALUE!</v>
      </c>
      <c r="X496" s="38"/>
      <c r="Y496" s="38"/>
      <c r="Z496" s="38"/>
      <c r="AA496" s="38"/>
      <c r="AB496" s="50">
        <v>46282</v>
      </c>
      <c r="AC496" s="181">
        <v>34384</v>
      </c>
      <c r="AD496" s="51">
        <v>3</v>
      </c>
      <c r="AE496" s="37" t="s">
        <v>387</v>
      </c>
      <c r="AF496" s="37" t="s">
        <v>381</v>
      </c>
      <c r="AG496" s="33" t="str">
        <f>IF(G496&gt;0,IF(AD496&gt;0,IF(AD496=0,"Waiting",IF(AD496&lt;L496,"Partial",IF(AD496=L496,"Full Supply",IF(AD496&gt;L496,"Over Shared")))),"Waiting"),"")</f>
        <v>Full Supply</v>
      </c>
      <c r="AH496" s="56">
        <v>46261</v>
      </c>
      <c r="AI496" s="37" t="s">
        <v>467</v>
      </c>
      <c r="AJ496" s="181">
        <v>3</v>
      </c>
      <c r="AK496" s="40">
        <v>26191</v>
      </c>
      <c r="AL496" s="189">
        <v>46269</v>
      </c>
      <c r="AM496" s="40">
        <v>8</v>
      </c>
      <c r="AN496" s="212"/>
      <c r="AO496" s="214">
        <v>46275</v>
      </c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181">
        <f>L496-AD496</f>
        <v>0</v>
      </c>
    </row>
    <row r="497" spans="1:52" ht="15.5" customHeight="1">
      <c r="A497" s="360" t="s">
        <v>372</v>
      </c>
      <c r="B497" s="340">
        <v>46261</v>
      </c>
      <c r="C497" s="181">
        <v>50072</v>
      </c>
      <c r="D497" s="30">
        <v>46260</v>
      </c>
      <c r="E497" s="30">
        <v>46253</v>
      </c>
      <c r="F497" s="30">
        <v>46284</v>
      </c>
      <c r="G497" s="37">
        <v>4420231777</v>
      </c>
      <c r="H497" s="37" t="s">
        <v>373</v>
      </c>
      <c r="I497" s="37">
        <v>9040044317</v>
      </c>
      <c r="J497" s="37" t="s">
        <v>143</v>
      </c>
      <c r="K497" s="325" t="s">
        <v>144</v>
      </c>
      <c r="L497" s="181">
        <v>5</v>
      </c>
      <c r="M497" s="181" t="s">
        <v>375</v>
      </c>
      <c r="N497" s="37" t="s">
        <v>376</v>
      </c>
      <c r="O497" s="31">
        <f>IF(F497&gt;0,F497-AB497,"")</f>
        <v>-20</v>
      </c>
      <c r="P497" s="37" t="str">
        <f>IF(F497&gt;0,IF(AB497="","PLANNING SUPPLY",IF(AB497&lt;=F497,"ONTIME DELIVERY","DELAY")),"")</f>
        <v>DELAY</v>
      </c>
      <c r="Q497" s="181" t="str">
        <f>IFERROR(IF(J497&gt;0,VLOOKUP(J497,#REF!,MATCH($Q$6,#REF!,0),0),""),"")</f>
        <v/>
      </c>
      <c r="R497" s="181" t="str">
        <f>IFERROR(IF(J497&gt;0,VLOOKUP(J497,#REF!,MATCH($R$6,#REF!,0),0),""),"")</f>
        <v/>
      </c>
      <c r="S497" s="181" t="e">
        <f>IF(I500&gt;0,Q497+R497,"")</f>
        <v>#VALUE!</v>
      </c>
      <c r="T497" s="181"/>
      <c r="U497" s="181"/>
      <c r="V497" s="37"/>
      <c r="W497" s="181" t="e">
        <f>IF(I500&gt;0,IF(S497&gt;L497,"READY STOCK",IF(S497=0,"OUT OF STOCK",IF(S497&lt;L497,"LOW STOCK",""))),"")</f>
        <v>#VALUE!</v>
      </c>
      <c r="X497" s="38"/>
      <c r="Y497" s="38"/>
      <c r="Z497" s="38"/>
      <c r="AA497" s="38"/>
      <c r="AB497" s="57">
        <v>46304</v>
      </c>
      <c r="AC497" s="181">
        <v>34863</v>
      </c>
      <c r="AD497" s="53">
        <v>5</v>
      </c>
      <c r="AE497" s="58" t="s">
        <v>387</v>
      </c>
      <c r="AF497" s="58" t="s">
        <v>381</v>
      </c>
      <c r="AG497" s="33" t="str">
        <f>IF(G497&gt;0,IF(AD497&gt;0,IF(AD497=0,"Waiting",IF(AD497&lt;L497,"Partial",IF(AD497=L497,"Full Supply",IF(AD497&gt;L497,"Over Shared")))),"Waiting"),"")</f>
        <v>Full Supply</v>
      </c>
      <c r="AH497" s="56">
        <v>46266</v>
      </c>
      <c r="AI497" s="37" t="s">
        <v>1130</v>
      </c>
      <c r="AJ497" s="181">
        <v>8</v>
      </c>
      <c r="AK497" s="40">
        <v>26348</v>
      </c>
      <c r="AL497" s="45">
        <v>46286</v>
      </c>
      <c r="AM497" s="40">
        <v>8</v>
      </c>
      <c r="AN497" s="37"/>
      <c r="AO497" s="239">
        <v>46295</v>
      </c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181">
        <f>L497-AD497</f>
        <v>0</v>
      </c>
    </row>
    <row r="498" spans="1:52" ht="15.5" customHeight="1">
      <c r="A498" s="360" t="s">
        <v>372</v>
      </c>
      <c r="B498" s="340">
        <v>46261</v>
      </c>
      <c r="C498" s="181">
        <v>50072</v>
      </c>
      <c r="D498" s="30">
        <v>46260</v>
      </c>
      <c r="E498" s="30">
        <v>46253</v>
      </c>
      <c r="F498" s="30">
        <v>46284</v>
      </c>
      <c r="G498" s="37">
        <v>4420231777</v>
      </c>
      <c r="H498" s="37" t="s">
        <v>373</v>
      </c>
      <c r="I498" s="37">
        <v>9040009495</v>
      </c>
      <c r="J498" s="37" t="s">
        <v>320</v>
      </c>
      <c r="K498" s="325" t="s">
        <v>321</v>
      </c>
      <c r="L498" s="181">
        <v>1</v>
      </c>
      <c r="M498" s="181" t="s">
        <v>375</v>
      </c>
      <c r="N498" s="37" t="s">
        <v>376</v>
      </c>
      <c r="O498" s="31">
        <f>IF(F498&gt;0,F498-AB498,"")</f>
        <v>-16</v>
      </c>
      <c r="P498" s="37" t="str">
        <f>IF(F498&gt;0,IF(AB498="","PLANNING SUPPLY",IF(AB498&lt;=F498,"ONTIME DELIVERY","DELAY")),"")</f>
        <v>DELAY</v>
      </c>
      <c r="Q498" s="181" t="str">
        <f>IFERROR(IF(J498&gt;0,VLOOKUP(J498,#REF!,MATCH($Q$6,#REF!,0),0),""),"")</f>
        <v/>
      </c>
      <c r="R498" s="181" t="str">
        <f>IFERROR(IF(J498&gt;0,VLOOKUP(J498,#REF!,MATCH($R$6,#REF!,0),0),""),"")</f>
        <v/>
      </c>
      <c r="S498" s="181" t="e">
        <f>IF(I501&gt;0,Q498+R498,"")</f>
        <v>#VALUE!</v>
      </c>
      <c r="T498" s="181"/>
      <c r="U498" s="181"/>
      <c r="V498" s="37"/>
      <c r="W498" s="181" t="e">
        <f>IF(I501&gt;0,IF(S498&gt;L498,"READY STOCK",IF(S498=0,"OUT OF STOCK",IF(S498&lt;L498,"LOW STOCK",""))),"")</f>
        <v>#VALUE!</v>
      </c>
      <c r="X498" s="38"/>
      <c r="Y498" s="38"/>
      <c r="Z498" s="38"/>
      <c r="AA498" s="38"/>
      <c r="AB498" s="50">
        <v>46300</v>
      </c>
      <c r="AC498" s="44">
        <v>34722</v>
      </c>
      <c r="AD498" s="51">
        <v>1</v>
      </c>
      <c r="AE498" s="37" t="s">
        <v>387</v>
      </c>
      <c r="AF498" s="37" t="s">
        <v>381</v>
      </c>
      <c r="AG498" s="33" t="str">
        <f>IF(G498&gt;0,IF(AD498&gt;0,IF(AD498=0,"Waiting",IF(AD498&lt;L498,"Partial",IF(AD498=L498,"Full Supply",IF(AD498&gt;L498,"Over Shared")))),"Waiting"),"")</f>
        <v>Full Supply</v>
      </c>
      <c r="AH498" s="56"/>
      <c r="AI498" s="37"/>
      <c r="AJ498" s="181"/>
      <c r="AK498" s="40"/>
      <c r="AL498" s="40"/>
      <c r="AM498" s="40"/>
      <c r="AN498" s="37"/>
      <c r="AO498" s="34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181">
        <f>L498-AD498</f>
        <v>0</v>
      </c>
    </row>
    <row r="499" spans="1:52" ht="15.5" customHeight="1">
      <c r="A499" s="360" t="s">
        <v>372</v>
      </c>
      <c r="B499" s="340">
        <v>46261</v>
      </c>
      <c r="C499" s="181">
        <v>50072</v>
      </c>
      <c r="D499" s="30">
        <v>46260</v>
      </c>
      <c r="E499" s="30">
        <v>46253</v>
      </c>
      <c r="F499" s="30">
        <v>46284</v>
      </c>
      <c r="G499" s="37">
        <v>4420231777</v>
      </c>
      <c r="H499" s="37" t="s">
        <v>373</v>
      </c>
      <c r="I499" s="37">
        <v>9040024384</v>
      </c>
      <c r="J499" s="37" t="s">
        <v>54</v>
      </c>
      <c r="K499" s="325" t="s">
        <v>55</v>
      </c>
      <c r="L499" s="181">
        <v>1</v>
      </c>
      <c r="M499" s="181" t="s">
        <v>427</v>
      </c>
      <c r="N499" s="37" t="s">
        <v>376</v>
      </c>
      <c r="O499" s="31">
        <f>IF(F499&gt;0,F499-AB499,"")</f>
        <v>-16</v>
      </c>
      <c r="P499" s="37" t="str">
        <f>IF(F499&gt;0,IF(AB499="","PLANNING SUPPLY",IF(AB499&lt;=F499,"ONTIME DELIVERY","DELAY")),"")</f>
        <v>DELAY</v>
      </c>
      <c r="Q499" s="181" t="str">
        <f>IFERROR(IF(J499&gt;0,VLOOKUP(J499,#REF!,MATCH($Q$6,#REF!,0),0),""),"")</f>
        <v/>
      </c>
      <c r="R499" s="181" t="str">
        <f>IFERROR(IF(J499&gt;0,VLOOKUP(J499,#REF!,MATCH($R$6,#REF!,0),0),""),"")</f>
        <v/>
      </c>
      <c r="S499" s="181" t="e">
        <f>IF(I502&gt;0,Q499+R499,"")</f>
        <v>#VALUE!</v>
      </c>
      <c r="T499" s="181"/>
      <c r="U499" s="181"/>
      <c r="V499" s="37"/>
      <c r="W499" s="181" t="e">
        <f>IF(I502&gt;0,IF(S499&gt;L499,"READY STOCK",IF(S499=0,"OUT OF STOCK",IF(S499&lt;L499,"LOW STOCK",""))),"")</f>
        <v>#VALUE!</v>
      </c>
      <c r="X499" s="38"/>
      <c r="Y499" s="38"/>
      <c r="Z499" s="38"/>
      <c r="AA499" s="38"/>
      <c r="AB499" s="50">
        <v>46300</v>
      </c>
      <c r="AC499" s="44">
        <v>34722</v>
      </c>
      <c r="AD499" s="51">
        <v>1</v>
      </c>
      <c r="AE499" s="37" t="s">
        <v>387</v>
      </c>
      <c r="AF499" s="37" t="s">
        <v>381</v>
      </c>
      <c r="AG499" s="33" t="str">
        <f>IF(G499&gt;0,IF(AD499&gt;0,IF(AD499=0,"Waiting",IF(AD499&lt;L499,"Partial",IF(AD499=L499,"Full Supply",IF(AD499&gt;L499,"Over Shared")))),"Waiting"),"")</f>
        <v>Full Supply</v>
      </c>
      <c r="AH499" s="56">
        <v>46266</v>
      </c>
      <c r="AI499" s="37" t="s">
        <v>1130</v>
      </c>
      <c r="AJ499" s="181">
        <v>3</v>
      </c>
      <c r="AK499" s="40"/>
      <c r="AL499" s="40"/>
      <c r="AM499" s="40"/>
      <c r="AN499" s="227" t="s">
        <v>409</v>
      </c>
      <c r="AO499" s="34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181">
        <f>L499-AD499</f>
        <v>0</v>
      </c>
    </row>
    <row r="500" spans="1:52" ht="15.5" customHeight="1">
      <c r="A500" s="360" t="s">
        <v>372</v>
      </c>
      <c r="B500" s="340">
        <v>46261</v>
      </c>
      <c r="C500" s="181">
        <v>50072</v>
      </c>
      <c r="D500" s="30">
        <v>46260</v>
      </c>
      <c r="E500" s="30">
        <v>46253</v>
      </c>
      <c r="F500" s="30">
        <v>46284</v>
      </c>
      <c r="G500" s="37">
        <v>4420231777</v>
      </c>
      <c r="H500" s="37" t="s">
        <v>373</v>
      </c>
      <c r="I500" s="37">
        <v>9040031134</v>
      </c>
      <c r="J500" s="37" t="s">
        <v>254</v>
      </c>
      <c r="K500" s="325" t="s">
        <v>255</v>
      </c>
      <c r="L500" s="181">
        <v>5</v>
      </c>
      <c r="M500" s="181" t="s">
        <v>375</v>
      </c>
      <c r="N500" s="37" t="s">
        <v>376</v>
      </c>
      <c r="O500" s="31">
        <f>IF(F500&gt;0,F500-AB500,"")</f>
        <v>19</v>
      </c>
      <c r="P500" s="37" t="str">
        <f>IF(F500&gt;0,IF(AB500="","PLANNING SUPPLY",IF(AB500&lt;=F500,"ONTIME DELIVERY","DELAY")),"")</f>
        <v>ONTIME DELIVERY</v>
      </c>
      <c r="Q500" s="181" t="str">
        <f>IFERROR(IF(J500&gt;0,VLOOKUP(J500,#REF!,MATCH($Q$6,#REF!,0),0),""),"")</f>
        <v/>
      </c>
      <c r="R500" s="181" t="str">
        <f>IFERROR(IF(J500&gt;0,VLOOKUP(J500,#REF!,MATCH($R$6,#REF!,0),0),""),"")</f>
        <v/>
      </c>
      <c r="S500" s="181" t="e">
        <f>IF(I503&gt;0,Q500+R500,"")</f>
        <v>#VALUE!</v>
      </c>
      <c r="T500" s="181"/>
      <c r="U500" s="181"/>
      <c r="V500" s="37"/>
      <c r="W500" s="181" t="e">
        <f>IF(I503&gt;0,IF(S500&gt;L500,"READY STOCK",IF(S500=0,"OUT OF STOCK",IF(S500&lt;L500,"LOW STOCK",""))),"")</f>
        <v>#VALUE!</v>
      </c>
      <c r="X500" s="38"/>
      <c r="Y500" s="38"/>
      <c r="Z500" s="38"/>
      <c r="AA500" s="38"/>
      <c r="AB500" s="50">
        <v>46265</v>
      </c>
      <c r="AC500" s="181">
        <v>33924</v>
      </c>
      <c r="AD500" s="51">
        <v>5</v>
      </c>
      <c r="AE500" s="37" t="s">
        <v>383</v>
      </c>
      <c r="AF500" s="37" t="s">
        <v>381</v>
      </c>
      <c r="AG500" s="33" t="str">
        <f>IF(G500&gt;0,IF(AD500&gt;0,IF(AD500=0,"Waiting",IF(AD500&lt;L500,"Partial",IF(AD500=L500,"Full Supply",IF(AD500&gt;L500,"Over Shared")))),"Waiting"),"")</f>
        <v>Full Supply</v>
      </c>
      <c r="AH500" s="37"/>
      <c r="AI500" s="37"/>
      <c r="AJ500" s="181"/>
      <c r="AK500" s="40"/>
      <c r="AL500" s="40"/>
      <c r="AM500" s="40"/>
      <c r="AN500" s="37"/>
      <c r="AO500" s="34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181">
        <f>L500-AD500</f>
        <v>0</v>
      </c>
    </row>
    <row r="501" spans="1:52" ht="15.5" customHeight="1">
      <c r="A501" s="360" t="s">
        <v>372</v>
      </c>
      <c r="B501" s="340">
        <v>46261</v>
      </c>
      <c r="C501" s="181">
        <v>50072</v>
      </c>
      <c r="D501" s="30">
        <v>46260</v>
      </c>
      <c r="E501" s="30">
        <v>46253</v>
      </c>
      <c r="F501" s="30">
        <v>46284</v>
      </c>
      <c r="G501" s="37">
        <v>4420231777</v>
      </c>
      <c r="H501" s="37" t="s">
        <v>373</v>
      </c>
      <c r="I501" s="37">
        <v>9040040401</v>
      </c>
      <c r="J501" s="37" t="s">
        <v>231</v>
      </c>
      <c r="K501" s="325" t="s">
        <v>232</v>
      </c>
      <c r="L501" s="181">
        <v>3</v>
      </c>
      <c r="M501" s="181" t="s">
        <v>389</v>
      </c>
      <c r="N501" s="37" t="s">
        <v>376</v>
      </c>
      <c r="O501" s="31">
        <f>IF(F501&gt;0,F501-AB501,"")</f>
        <v>-24</v>
      </c>
      <c r="P501" s="37" t="str">
        <f>IF(F501&gt;0,IF(AB501="","PLANNING SUPPLY",IF(AB501&lt;=F501,"ONTIME DELIVERY","DELAY")),"")</f>
        <v>DELAY</v>
      </c>
      <c r="Q501" s="181" t="str">
        <f>IFERROR(IF(J501&gt;0,VLOOKUP(J501,#REF!,MATCH($Q$6,#REF!,0),0),""),"")</f>
        <v/>
      </c>
      <c r="R501" s="181" t="str">
        <f>IFERROR(IF(J501&gt;0,VLOOKUP(J501,#REF!,MATCH($R$6,#REF!,0),0),""),"")</f>
        <v/>
      </c>
      <c r="S501" s="181" t="e">
        <f>IF(I504&gt;0,Q501+R501,"")</f>
        <v>#VALUE!</v>
      </c>
      <c r="T501" s="181"/>
      <c r="U501" s="181"/>
      <c r="V501" s="37"/>
      <c r="W501" s="181" t="e">
        <f>IF(I504&gt;0,IF(S501&gt;L501,"READY STOCK",IF(S501=0,"OUT OF STOCK",IF(S501&lt;L501,"LOW STOCK",""))),"")</f>
        <v>#VALUE!</v>
      </c>
      <c r="X501" s="38"/>
      <c r="Y501" s="38"/>
      <c r="Z501" s="38"/>
      <c r="AA501" s="38"/>
      <c r="AB501" s="57">
        <v>46308</v>
      </c>
      <c r="AC501" s="181">
        <v>34529</v>
      </c>
      <c r="AD501" s="51">
        <f>2+1</f>
        <v>3</v>
      </c>
      <c r="AE501" s="58" t="s">
        <v>471</v>
      </c>
      <c r="AF501" s="58" t="s">
        <v>381</v>
      </c>
      <c r="AG501" s="33" t="str">
        <f>IF(G501&gt;0,IF(AD501&gt;0,IF(AD501=0,"Waiting",IF(AD501&lt;L501,"Partial",IF(AD501=L501,"Full Supply",IF(AD501&gt;L501,"Over Shared")))),"Waiting"),"")</f>
        <v>Full Supply</v>
      </c>
      <c r="AH501" s="37"/>
      <c r="AI501" s="37"/>
      <c r="AJ501" s="181"/>
      <c r="AK501" s="40"/>
      <c r="AL501" s="40"/>
      <c r="AM501" s="40"/>
      <c r="AN501" s="37"/>
      <c r="AO501" s="34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181">
        <f>L501-AD501</f>
        <v>0</v>
      </c>
    </row>
    <row r="502" spans="1:52" ht="15.5" customHeight="1">
      <c r="A502" s="360" t="s">
        <v>372</v>
      </c>
      <c r="B502" s="340">
        <v>46261</v>
      </c>
      <c r="C502" s="181">
        <v>50072</v>
      </c>
      <c r="D502" s="30">
        <v>46260</v>
      </c>
      <c r="E502" s="30">
        <v>46253</v>
      </c>
      <c r="F502" s="30">
        <v>46284</v>
      </c>
      <c r="G502" s="37">
        <v>4420231777</v>
      </c>
      <c r="H502" s="37" t="s">
        <v>373</v>
      </c>
      <c r="I502" s="37">
        <v>9040040420</v>
      </c>
      <c r="J502" s="37" t="s">
        <v>219</v>
      </c>
      <c r="K502" s="325" t="s">
        <v>220</v>
      </c>
      <c r="L502" s="181">
        <v>1</v>
      </c>
      <c r="M502" s="181" t="s">
        <v>389</v>
      </c>
      <c r="N502" s="37" t="s">
        <v>376</v>
      </c>
      <c r="O502" s="31">
        <f>IF(F502&gt;0,F502-AB502,"")</f>
        <v>-24</v>
      </c>
      <c r="P502" s="37" t="str">
        <f>IF(F502&gt;0,IF(AB502="","PLANNING SUPPLY",IF(AB502&lt;=F502,"ONTIME DELIVERY","DELAY")),"")</f>
        <v>DELAY</v>
      </c>
      <c r="Q502" s="181" t="str">
        <f>IFERROR(IF(J502&gt;0,VLOOKUP(J502,#REF!,MATCH($Q$6,#REF!,0),0),""),"")</f>
        <v/>
      </c>
      <c r="R502" s="181" t="str">
        <f>IFERROR(IF(J502&gt;0,VLOOKUP(J502,#REF!,MATCH($R$6,#REF!,0),0),""),"")</f>
        <v/>
      </c>
      <c r="S502" s="181" t="e">
        <f>IF(I505&gt;0,Q502+R502,"")</f>
        <v>#VALUE!</v>
      </c>
      <c r="T502" s="181"/>
      <c r="U502" s="181"/>
      <c r="V502" s="37"/>
      <c r="W502" s="181" t="e">
        <f>IF(I505&gt;0,IF(S502&gt;L502,"READY STOCK",IF(S502=0,"OUT OF STOCK",IF(S502&lt;L502,"LOW STOCK",""))),"")</f>
        <v>#VALUE!</v>
      </c>
      <c r="X502" s="38"/>
      <c r="Y502" s="38"/>
      <c r="Z502" s="38"/>
      <c r="AA502" s="38"/>
      <c r="AB502" s="57">
        <v>46308</v>
      </c>
      <c r="AC502" s="246">
        <v>35001</v>
      </c>
      <c r="AD502" s="53">
        <v>1</v>
      </c>
      <c r="AE502" s="58" t="s">
        <v>387</v>
      </c>
      <c r="AF502" s="58" t="s">
        <v>381</v>
      </c>
      <c r="AG502" s="33" t="str">
        <f>IF(G502&gt;0,IF(AD502&gt;0,IF(AD502=0,"Waiting",IF(AD502&lt;L502,"Partial",IF(AD502=L502,"Full Supply",IF(AD502&gt;L502,"Over Shared")))),"Waiting"),"")</f>
        <v>Full Supply</v>
      </c>
      <c r="AH502" s="56">
        <v>46266</v>
      </c>
      <c r="AI502" s="37" t="s">
        <v>1130</v>
      </c>
      <c r="AJ502" s="181">
        <v>6</v>
      </c>
      <c r="AK502" s="40">
        <v>26385</v>
      </c>
      <c r="AL502" s="42">
        <v>46287</v>
      </c>
      <c r="AM502" s="40"/>
      <c r="AN502" s="37"/>
      <c r="AO502" s="41">
        <v>46294</v>
      </c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181">
        <f>L502-AD502</f>
        <v>0</v>
      </c>
    </row>
    <row r="503" spans="1:52" ht="15.5" customHeight="1">
      <c r="A503" s="360" t="s">
        <v>372</v>
      </c>
      <c r="B503" s="340">
        <v>46261</v>
      </c>
      <c r="C503" s="181">
        <v>50072</v>
      </c>
      <c r="D503" s="30">
        <v>46260</v>
      </c>
      <c r="E503" s="30">
        <v>46253</v>
      </c>
      <c r="F503" s="30">
        <v>46284</v>
      </c>
      <c r="G503" s="37">
        <v>4420231777</v>
      </c>
      <c r="H503" s="37" t="s">
        <v>373</v>
      </c>
      <c r="I503" s="37">
        <v>9040040455</v>
      </c>
      <c r="J503" s="37" t="s">
        <v>95</v>
      </c>
      <c r="K503" s="325" t="s">
        <v>97</v>
      </c>
      <c r="L503" s="181">
        <v>1</v>
      </c>
      <c r="M503" s="181" t="s">
        <v>375</v>
      </c>
      <c r="N503" s="37" t="s">
        <v>376</v>
      </c>
      <c r="O503" s="31">
        <f>IF(F503&gt;0,F503-AB503,"")</f>
        <v>17</v>
      </c>
      <c r="P503" s="37" t="str">
        <f>IF(F503&gt;0,IF(AB503="","PLANNING SUPPLY",IF(AB503&lt;=F503,"ONTIME DELIVERY","DELAY")),"")</f>
        <v>ONTIME DELIVERY</v>
      </c>
      <c r="Q503" s="181" t="str">
        <f>IFERROR(IF(J503&gt;0,VLOOKUP(J503,#REF!,MATCH($Q$6,#REF!,0),0),""),"")</f>
        <v/>
      </c>
      <c r="R503" s="181" t="str">
        <f>IFERROR(IF(J503&gt;0,VLOOKUP(J503,#REF!,MATCH($R$6,#REF!,0),0),""),"")</f>
        <v/>
      </c>
      <c r="S503" s="181" t="e">
        <f>IF(I506&gt;0,Q503+R503,"")</f>
        <v>#VALUE!</v>
      </c>
      <c r="T503" s="181"/>
      <c r="U503" s="181"/>
      <c r="V503" s="37"/>
      <c r="W503" s="181" t="e">
        <f>IF(I506&gt;0,IF(S503&gt;L503,"READY STOCK",IF(S503=0,"OUT OF STOCK",IF(S503&lt;L503,"LOW STOCK",""))),"")</f>
        <v>#VALUE!</v>
      </c>
      <c r="X503" s="38"/>
      <c r="Y503" s="38"/>
      <c r="Z503" s="38"/>
      <c r="AA503" s="38"/>
      <c r="AB503" s="50">
        <v>46267</v>
      </c>
      <c r="AC503" s="181">
        <v>33988</v>
      </c>
      <c r="AD503" s="51">
        <v>1</v>
      </c>
      <c r="AE503" s="37" t="s">
        <v>383</v>
      </c>
      <c r="AF503" s="37" t="s">
        <v>381</v>
      </c>
      <c r="AG503" s="33" t="str">
        <f>IF(G503&gt;0,IF(AD503&gt;0,IF(AD503=0,"Waiting",IF(AD503&lt;L503,"Partial",IF(AD503=L503,"Full Supply",IF(AD503&gt;L503,"Over Shared")))),"Waiting"),"")</f>
        <v>Full Supply</v>
      </c>
      <c r="AH503" s="56">
        <v>46266</v>
      </c>
      <c r="AI503" s="37"/>
      <c r="AJ503" s="181">
        <v>1</v>
      </c>
      <c r="AK503" s="40"/>
      <c r="AL503" s="40"/>
      <c r="AM503" s="40"/>
      <c r="AN503" s="216"/>
      <c r="AO503" s="34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181">
        <f>L503-AD503</f>
        <v>0</v>
      </c>
    </row>
    <row r="504" spans="1:52" ht="15.5" customHeight="1">
      <c r="A504" s="360" t="s">
        <v>372</v>
      </c>
      <c r="B504" s="340">
        <v>46261</v>
      </c>
      <c r="C504" s="181">
        <v>50072</v>
      </c>
      <c r="D504" s="30">
        <v>46260</v>
      </c>
      <c r="E504" s="30">
        <v>46253</v>
      </c>
      <c r="F504" s="30">
        <v>46284</v>
      </c>
      <c r="G504" s="37">
        <v>4420231777</v>
      </c>
      <c r="H504" s="37" t="s">
        <v>373</v>
      </c>
      <c r="I504" s="37">
        <v>9040041385</v>
      </c>
      <c r="J504" s="37" t="s">
        <v>6</v>
      </c>
      <c r="K504" s="325" t="s">
        <v>7</v>
      </c>
      <c r="L504" s="181">
        <v>2</v>
      </c>
      <c r="M504" s="181" t="s">
        <v>375</v>
      </c>
      <c r="N504" s="37" t="s">
        <v>376</v>
      </c>
      <c r="O504" s="31">
        <f>IF(F504&gt;0,F504-AB504,"")</f>
        <v>-30</v>
      </c>
      <c r="P504" s="37" t="str">
        <f>IF(F504&gt;0,IF(AB504="","PLANNING SUPPLY",IF(AB504&lt;=F504,"ONTIME DELIVERY","DELAY")),"")</f>
        <v>DELAY</v>
      </c>
      <c r="Q504" s="181" t="str">
        <f>IFERROR(IF(J504&gt;0,VLOOKUP(J504,#REF!,MATCH($Q$6,#REF!,0),0),""),"")</f>
        <v/>
      </c>
      <c r="R504" s="181" t="str">
        <f>IFERROR(IF(J504&gt;0,VLOOKUP(J504,#REF!,MATCH($R$6,#REF!,0),0),""),"")</f>
        <v/>
      </c>
      <c r="S504" s="181" t="e">
        <f>IF(I507&gt;0,Q504+R504,"")</f>
        <v>#VALUE!</v>
      </c>
      <c r="T504" s="181"/>
      <c r="U504" s="181"/>
      <c r="V504" s="37"/>
      <c r="W504" s="181" t="e">
        <f>IF(I507&gt;0,IF(S504&gt;L504,"READY STOCK",IF(S504=0,"OUT OF STOCK",IF(S504&lt;L504,"LOW STOCK",""))),"")</f>
        <v>#VALUE!</v>
      </c>
      <c r="X504" s="38"/>
      <c r="Y504" s="38"/>
      <c r="Z504" s="38"/>
      <c r="AA504" s="38"/>
      <c r="AB504" s="50">
        <v>46314</v>
      </c>
      <c r="AC504" s="44" t="s">
        <v>1315</v>
      </c>
      <c r="AD504" s="51">
        <v>2</v>
      </c>
      <c r="AE504" s="37" t="s">
        <v>387</v>
      </c>
      <c r="AF504" s="37" t="s">
        <v>381</v>
      </c>
      <c r="AG504" s="33" t="str">
        <f>IF(G504&gt;0,IF(AD504&gt;0,IF(AD504=0,"Waiting",IF(AD504&lt;L504,"Partial",IF(AD504=L504,"Full Supply",IF(AD504&gt;L504,"Over Shared")))),"Waiting"),"")</f>
        <v>Full Supply</v>
      </c>
      <c r="AH504" s="56">
        <v>46295</v>
      </c>
      <c r="AI504" s="37" t="s">
        <v>1314</v>
      </c>
      <c r="AJ504" s="181">
        <v>25</v>
      </c>
      <c r="AK504" s="40">
        <v>26475</v>
      </c>
      <c r="AL504" s="42">
        <v>46296</v>
      </c>
      <c r="AM504" s="181">
        <v>25</v>
      </c>
      <c r="AN504" s="37"/>
      <c r="AO504" s="41">
        <v>46296</v>
      </c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181">
        <f>L504-AD504</f>
        <v>0</v>
      </c>
    </row>
    <row r="505" spans="1:52" ht="15.5" customHeight="1">
      <c r="A505" s="360" t="s">
        <v>372</v>
      </c>
      <c r="B505" s="340">
        <v>46261</v>
      </c>
      <c r="C505" s="181">
        <v>50073</v>
      </c>
      <c r="D505" s="30">
        <v>46261</v>
      </c>
      <c r="E505" s="30">
        <v>46255</v>
      </c>
      <c r="F505" s="30">
        <v>46282</v>
      </c>
      <c r="G505" s="37">
        <v>4420231969</v>
      </c>
      <c r="H505" s="37" t="s">
        <v>373</v>
      </c>
      <c r="I505" s="37">
        <v>9040052369</v>
      </c>
      <c r="J505" s="37" t="s">
        <v>199</v>
      </c>
      <c r="K505" s="325" t="s">
        <v>200</v>
      </c>
      <c r="L505" s="181">
        <v>70</v>
      </c>
      <c r="M505" s="181" t="s">
        <v>375</v>
      </c>
      <c r="N505" s="37" t="s">
        <v>482</v>
      </c>
      <c r="O505" s="31">
        <f>IF(F505&gt;0,F505-X505,"")</f>
        <v>46282</v>
      </c>
      <c r="P505" s="37" t="str">
        <f>IF(F505&gt;0,IF(X505="","PLANNING SUPPLY",IF(X505&lt;=F505,"ONTIME DELIVERY","DELAY")),"")</f>
        <v>PLANNING SUPPLY</v>
      </c>
      <c r="Q505" s="181" t="str">
        <f>IFERROR(IF(J505&gt;0,VLOOKUP(J505,#REF!,MATCH($Q$6,#REF!,0),0),""),"")</f>
        <v/>
      </c>
      <c r="R505" s="181" t="str">
        <f>IFERROR(IF(J505&gt;0,VLOOKUP(J505,#REF!,MATCH($R$6,#REF!,0),0),""),"")</f>
        <v/>
      </c>
      <c r="S505" s="181" t="e">
        <f>IF(I508&gt;0,Q505+R505,"")</f>
        <v>#VALUE!</v>
      </c>
      <c r="T505" s="181"/>
      <c r="U505" s="181"/>
      <c r="V505" s="37"/>
      <c r="W505" s="181" t="e">
        <f>IF(I508&gt;0,IF(S505&gt;L505,"READY STOCK",IF(S505=0,"OUT OF STOCK",IF(S505&lt;L505,"LOW STOCK",""))),"")</f>
        <v>#VALUE!</v>
      </c>
      <c r="X505" s="38"/>
      <c r="Y505" s="38"/>
      <c r="Z505" s="237"/>
      <c r="AA505" s="38"/>
      <c r="AB505" s="50">
        <v>46300</v>
      </c>
      <c r="AC505" s="44">
        <v>34723</v>
      </c>
      <c r="AD505" s="51">
        <v>70</v>
      </c>
      <c r="AE505" s="37" t="s">
        <v>387</v>
      </c>
      <c r="AF505" s="37" t="s">
        <v>381</v>
      </c>
      <c r="AG505" s="33" t="str">
        <f>IF(G505&gt;0,IF(AD505&gt;0,IF(AD505=0,"Waiting",IF(AD505&lt;L505,"Partial",IF(AD505=L505,"Full Supply",IF(AD505&gt;L505,"Over Shared")))),"Waiting"),"")</f>
        <v>Full Supply</v>
      </c>
      <c r="AH505" s="37"/>
      <c r="AI505" s="37"/>
      <c r="AJ505" s="181"/>
      <c r="AK505" s="40"/>
      <c r="AL505" s="40"/>
      <c r="AM505" s="40"/>
      <c r="AN505" s="37"/>
      <c r="AO505" s="34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181">
        <f>L505-AD505</f>
        <v>0</v>
      </c>
    </row>
    <row r="506" spans="1:52" ht="15.5" customHeight="1">
      <c r="A506" s="360" t="s">
        <v>372</v>
      </c>
      <c r="B506" s="340">
        <v>46261</v>
      </c>
      <c r="C506" s="181">
        <v>50073</v>
      </c>
      <c r="D506" s="30">
        <v>46261</v>
      </c>
      <c r="E506" s="30">
        <v>46255</v>
      </c>
      <c r="F506" s="30">
        <v>46282</v>
      </c>
      <c r="G506" s="37">
        <v>4420231969</v>
      </c>
      <c r="H506" s="37" t="s">
        <v>373</v>
      </c>
      <c r="I506" s="37">
        <v>9040052401</v>
      </c>
      <c r="J506" s="37" t="s">
        <v>252</v>
      </c>
      <c r="K506" s="325" t="s">
        <v>253</v>
      </c>
      <c r="L506" s="181">
        <v>6</v>
      </c>
      <c r="M506" s="181" t="s">
        <v>375</v>
      </c>
      <c r="N506" s="37" t="s">
        <v>482</v>
      </c>
      <c r="O506" s="31">
        <f>IF(F506&gt;0,F506-AB506,"")</f>
        <v>-12</v>
      </c>
      <c r="P506" s="37" t="str">
        <f>IF(F506&gt;0,IF(AB506="","PLANNING SUPPLY",IF(AB506&lt;=F506,"ONTIME DELIVERY","DELAY")),"")</f>
        <v>DELAY</v>
      </c>
      <c r="Q506" s="181" t="str">
        <f>IFERROR(IF(J506&gt;0,VLOOKUP(J506,#REF!,MATCH($Q$6,#REF!,0),0),""),"")</f>
        <v/>
      </c>
      <c r="R506" s="181" t="str">
        <f>IFERROR(IF(J506&gt;0,VLOOKUP(J506,#REF!,MATCH($R$6,#REF!,0),0),""),"")</f>
        <v/>
      </c>
      <c r="S506" s="181" t="e">
        <f>IF(I509&gt;0,Q506+R506,"")</f>
        <v>#VALUE!</v>
      </c>
      <c r="T506" s="181"/>
      <c r="U506" s="181"/>
      <c r="V506" s="37"/>
      <c r="W506" s="181" t="e">
        <f>IF(I509&gt;0,IF(S506&gt;L506,"READY STOCK",IF(S506=0,"OUT OF STOCK",IF(S506&lt;L506,"LOW STOCK",""))),"")</f>
        <v>#VALUE!</v>
      </c>
      <c r="X506" s="38"/>
      <c r="Y506" s="38"/>
      <c r="Z506" s="38"/>
      <c r="AA506" s="38"/>
      <c r="AB506" s="50">
        <v>46294</v>
      </c>
      <c r="AC506" s="181">
        <v>34624</v>
      </c>
      <c r="AD506" s="51">
        <v>6</v>
      </c>
      <c r="AE506" s="37" t="s">
        <v>387</v>
      </c>
      <c r="AF506" s="37"/>
      <c r="AG506" s="33" t="str">
        <f>IF(G506&gt;0,IF(AD506&gt;0,IF(AD506=0,"Waiting",IF(AD506&lt;L506,"Partial",IF(AD506=L506,"Full Supply",IF(AD506&gt;L506,"Over Shared")))),"Waiting"),"")</f>
        <v>Full Supply</v>
      </c>
      <c r="AH506" s="37"/>
      <c r="AI506" s="37"/>
      <c r="AJ506" s="181"/>
      <c r="AK506" s="40"/>
      <c r="AL506" s="40"/>
      <c r="AM506" s="40"/>
      <c r="AN506" s="37"/>
      <c r="AO506" s="34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181">
        <f>L506-AD506</f>
        <v>0</v>
      </c>
    </row>
    <row r="507" spans="1:52" ht="15.5" customHeight="1">
      <c r="A507" s="360" t="s">
        <v>372</v>
      </c>
      <c r="B507" s="340">
        <v>46261</v>
      </c>
      <c r="C507" s="181">
        <v>50073</v>
      </c>
      <c r="D507" s="30">
        <v>46261</v>
      </c>
      <c r="E507" s="30">
        <v>46255</v>
      </c>
      <c r="F507" s="30">
        <v>46282</v>
      </c>
      <c r="G507" s="37">
        <v>4420231969</v>
      </c>
      <c r="H507" s="37" t="s">
        <v>373</v>
      </c>
      <c r="I507" s="37">
        <v>9040052402</v>
      </c>
      <c r="J507" s="37" t="s">
        <v>197</v>
      </c>
      <c r="K507" s="325" t="s">
        <v>198</v>
      </c>
      <c r="L507" s="181">
        <v>6</v>
      </c>
      <c r="M507" s="181" t="s">
        <v>375</v>
      </c>
      <c r="N507" s="37" t="s">
        <v>482</v>
      </c>
      <c r="O507" s="31">
        <f>IF(F507&gt;0,F507-AB507,"")</f>
        <v>7</v>
      </c>
      <c r="P507" s="37" t="str">
        <f>IF(F507&gt;0,IF(AB507="","PLANNING SUPPLY",IF(AB507&lt;=F507,"ONTIME DELIVERY","DELAY")),"")</f>
        <v>ONTIME DELIVERY</v>
      </c>
      <c r="Q507" s="181" t="str">
        <f>IFERROR(IF(J507&gt;0,VLOOKUP(J507,#REF!,MATCH($Q$6,#REF!,0),0),""),"")</f>
        <v/>
      </c>
      <c r="R507" s="181" t="str">
        <f>IFERROR(IF(J507&gt;0,VLOOKUP(J507,#REF!,MATCH($R$6,#REF!,0),0),""),"")</f>
        <v/>
      </c>
      <c r="S507" s="181" t="e">
        <f>IF(I510&gt;0,Q507+R507,"")</f>
        <v>#VALUE!</v>
      </c>
      <c r="T507" s="181"/>
      <c r="U507" s="181"/>
      <c r="V507" s="37"/>
      <c r="W507" s="181" t="e">
        <f>IF(I510&gt;0,IF(S507&gt;L507,"READY STOCK",IF(S507=0,"OUT OF STOCK",IF(S507&lt;L507,"LOW STOCK",""))),"")</f>
        <v>#VALUE!</v>
      </c>
      <c r="X507" s="38"/>
      <c r="Y507" s="38"/>
      <c r="Z507" s="38"/>
      <c r="AA507" s="38"/>
      <c r="AB507" s="50">
        <v>46275</v>
      </c>
      <c r="AC507" s="181">
        <v>34178</v>
      </c>
      <c r="AD507" s="51">
        <v>6</v>
      </c>
      <c r="AE507" s="37" t="s">
        <v>383</v>
      </c>
      <c r="AF507" s="37" t="s">
        <v>381</v>
      </c>
      <c r="AG507" s="33" t="str">
        <f>IF(G507&gt;0,IF(AD507&gt;0,IF(AD507=0,"Waiting",IF(AD507&lt;L507,"Partial",IF(AD507=L507,"Full Supply",IF(AD507&gt;L507,"Over Shared")))),"Waiting"),"")</f>
        <v>Full Supply</v>
      </c>
      <c r="AH507" s="37"/>
      <c r="AI507" s="37"/>
      <c r="AJ507" s="181"/>
      <c r="AK507" s="40"/>
      <c r="AL507" s="40"/>
      <c r="AM507" s="40"/>
      <c r="AN507" s="37"/>
      <c r="AO507" s="34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181">
        <f>L507-AD507</f>
        <v>0</v>
      </c>
    </row>
    <row r="508" spans="1:52" ht="15.5" customHeight="1">
      <c r="A508" s="360" t="s">
        <v>372</v>
      </c>
      <c r="B508" s="340">
        <v>46261</v>
      </c>
      <c r="C508" s="181">
        <v>50073</v>
      </c>
      <c r="D508" s="30">
        <v>46261</v>
      </c>
      <c r="E508" s="30">
        <v>46255</v>
      </c>
      <c r="F508" s="30">
        <v>46282</v>
      </c>
      <c r="G508" s="37">
        <v>4420231969</v>
      </c>
      <c r="H508" s="37" t="s">
        <v>373</v>
      </c>
      <c r="I508" s="37">
        <v>9040052403</v>
      </c>
      <c r="J508" s="37" t="s">
        <v>257</v>
      </c>
      <c r="K508" s="325" t="s">
        <v>258</v>
      </c>
      <c r="L508" s="181">
        <v>6</v>
      </c>
      <c r="M508" s="181" t="s">
        <v>375</v>
      </c>
      <c r="N508" s="37" t="s">
        <v>482</v>
      </c>
      <c r="O508" s="31">
        <f>IF(F508&gt;0,F508-AB508,"")</f>
        <v>7</v>
      </c>
      <c r="P508" s="37" t="str">
        <f>IF(F508&gt;0,IF(AB508="","PLANNING SUPPLY",IF(AB508&lt;=F508,"ONTIME DELIVERY","DELAY")),"")</f>
        <v>ONTIME DELIVERY</v>
      </c>
      <c r="Q508" s="181" t="str">
        <f>IFERROR(IF(J508&gt;0,VLOOKUP(J508,#REF!,MATCH($Q$6,#REF!,0),0),""),"")</f>
        <v/>
      </c>
      <c r="R508" s="181" t="str">
        <f>IFERROR(IF(J508&gt;0,VLOOKUP(J508,#REF!,MATCH($R$6,#REF!,0),0),""),"")</f>
        <v/>
      </c>
      <c r="S508" s="181" t="e">
        <f>IF(I511&gt;0,Q508+R508,"")</f>
        <v>#VALUE!</v>
      </c>
      <c r="T508" s="181"/>
      <c r="U508" s="181"/>
      <c r="V508" s="37"/>
      <c r="W508" s="181" t="e">
        <f>IF(I511&gt;0,IF(S508&gt;L508,"READY STOCK",IF(S508=0,"OUT OF STOCK",IF(S508&lt;L508,"LOW STOCK",""))),"")</f>
        <v>#VALUE!</v>
      </c>
      <c r="X508" s="38"/>
      <c r="Y508" s="38"/>
      <c r="Z508" s="38"/>
      <c r="AA508" s="38"/>
      <c r="AB508" s="50">
        <v>46275</v>
      </c>
      <c r="AC508" s="181">
        <v>34178</v>
      </c>
      <c r="AD508" s="51">
        <v>6</v>
      </c>
      <c r="AE508" s="37" t="s">
        <v>383</v>
      </c>
      <c r="AF508" s="37" t="s">
        <v>381</v>
      </c>
      <c r="AG508" s="33" t="str">
        <f>IF(G508&gt;0,IF(AD508&gt;0,IF(AD508=0,"Waiting",IF(AD508&lt;L508,"Partial",IF(AD508=L508,"Full Supply",IF(AD508&gt;L508,"Over Shared")))),"Waiting"),"")</f>
        <v>Full Supply</v>
      </c>
      <c r="AH508" s="37"/>
      <c r="AI508" s="37"/>
      <c r="AJ508" s="181"/>
      <c r="AK508" s="40"/>
      <c r="AL508" s="40"/>
      <c r="AM508" s="40"/>
      <c r="AN508" s="37"/>
      <c r="AO508" s="34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181">
        <f>L508-AD508</f>
        <v>0</v>
      </c>
    </row>
    <row r="509" spans="1:52" ht="15.5" customHeight="1">
      <c r="A509" s="360" t="s">
        <v>372</v>
      </c>
      <c r="B509" s="340">
        <v>46261</v>
      </c>
      <c r="C509" s="181">
        <v>50073</v>
      </c>
      <c r="D509" s="30">
        <v>46261</v>
      </c>
      <c r="E509" s="30">
        <v>46255</v>
      </c>
      <c r="F509" s="30">
        <v>46282</v>
      </c>
      <c r="G509" s="37">
        <v>4420231969</v>
      </c>
      <c r="H509" s="37" t="s">
        <v>373</v>
      </c>
      <c r="I509" s="37">
        <v>9040056162</v>
      </c>
      <c r="J509" s="37" t="s">
        <v>10</v>
      </c>
      <c r="K509" s="325" t="s">
        <v>149</v>
      </c>
      <c r="L509" s="181">
        <v>7</v>
      </c>
      <c r="M509" s="181" t="s">
        <v>375</v>
      </c>
      <c r="N509" s="37" t="s">
        <v>482</v>
      </c>
      <c r="O509" s="31">
        <f>IF(F509&gt;0,F509-AB509,"")</f>
        <v>0</v>
      </c>
      <c r="P509" s="37" t="str">
        <f>IF(F509&gt;0,IF(AB509="","PLANNING SUPPLY",IF(AB509&lt;=F509,"ONTIME DELIVERY","DELAY")),"")</f>
        <v>ONTIME DELIVERY</v>
      </c>
      <c r="Q509" s="181" t="str">
        <f>IFERROR(IF(J509&gt;0,VLOOKUP(J509,#REF!,MATCH($Q$6,#REF!,0),0),""),"")</f>
        <v/>
      </c>
      <c r="R509" s="181" t="str">
        <f>IFERROR(IF(J509&gt;0,VLOOKUP(J509,#REF!,MATCH($R$6,#REF!,0),0),""),"")</f>
        <v/>
      </c>
      <c r="S509" s="181" t="e">
        <f>IF(I512&gt;0,Q509+R509,"")</f>
        <v>#VALUE!</v>
      </c>
      <c r="T509" s="181"/>
      <c r="U509" s="181"/>
      <c r="V509" s="37"/>
      <c r="W509" s="181" t="e">
        <f>IF(I512&gt;0,IF(S509&gt;L509,"READY STOCK",IF(S509=0,"OUT OF STOCK",IF(S509&lt;L509,"LOW STOCK",""))),"")</f>
        <v>#VALUE!</v>
      </c>
      <c r="X509" s="38"/>
      <c r="Y509" s="38"/>
      <c r="Z509" s="38"/>
      <c r="AA509" s="38"/>
      <c r="AB509" s="50">
        <v>46282</v>
      </c>
      <c r="AC509" s="181">
        <v>34335</v>
      </c>
      <c r="AD509" s="51">
        <v>7</v>
      </c>
      <c r="AE509" s="37" t="s">
        <v>383</v>
      </c>
      <c r="AF509" s="37" t="s">
        <v>381</v>
      </c>
      <c r="AG509" s="33" t="str">
        <f>IF(G509&gt;0,IF(AD509&gt;0,IF(AD509=0,"Waiting",IF(AD509&lt;L509,"Partial",IF(AD509=L509,"Full Supply",IF(AD509&gt;L509,"Over Shared")))),"Waiting"),"")</f>
        <v>Full Supply</v>
      </c>
      <c r="AH509" s="37"/>
      <c r="AI509" s="37"/>
      <c r="AJ509" s="181"/>
      <c r="AK509" s="40"/>
      <c r="AL509" s="40"/>
      <c r="AM509" s="40"/>
      <c r="AN509" s="37"/>
      <c r="AO509" s="34"/>
      <c r="AP509" s="37"/>
      <c r="AQ509" s="37"/>
      <c r="AR509" s="37"/>
      <c r="AS509" s="37"/>
      <c r="AT509" s="37"/>
      <c r="AU509" s="36" t="str">
        <f>IF(AR509=0,"Waiting",IF(AR509&lt;AH509,"Kurang",IF(AR509=AH509,"Sesuai",IF(AR509&gt;AH509,"Over Shared"))))</f>
        <v>Waiting</v>
      </c>
      <c r="AV509" s="37"/>
      <c r="AW509" s="37"/>
      <c r="AX509" s="37"/>
      <c r="AY509" s="37"/>
      <c r="AZ509" s="181">
        <f>L509-AD509</f>
        <v>0</v>
      </c>
    </row>
    <row r="510" spans="1:52" ht="15.5" customHeight="1">
      <c r="A510" s="360" t="s">
        <v>372</v>
      </c>
      <c r="B510" s="340">
        <v>46262</v>
      </c>
      <c r="C510" s="181">
        <v>50115</v>
      </c>
      <c r="D510" s="30">
        <v>46262</v>
      </c>
      <c r="E510" s="30">
        <v>46260</v>
      </c>
      <c r="F510" s="30">
        <v>46274</v>
      </c>
      <c r="G510" s="37">
        <v>4420232158</v>
      </c>
      <c r="H510" s="37" t="s">
        <v>373</v>
      </c>
      <c r="I510" s="37">
        <v>9040018351</v>
      </c>
      <c r="J510" s="37" t="s">
        <v>147</v>
      </c>
      <c r="K510" s="325" t="s">
        <v>148</v>
      </c>
      <c r="L510" s="181">
        <v>36</v>
      </c>
      <c r="M510" s="181" t="s">
        <v>427</v>
      </c>
      <c r="N510" s="37" t="s">
        <v>384</v>
      </c>
      <c r="O510" s="31">
        <f>IF(F510&gt;0,F510-AB510,"")</f>
        <v>-34</v>
      </c>
      <c r="P510" s="37" t="str">
        <f>IF(F510&gt;0,IF(AB510="","PLANNING SUPPLY",IF(AB510&lt;=F510,"ONTIME DELIVERY","DELAY")),"")</f>
        <v>DELAY</v>
      </c>
      <c r="Q510" s="181" t="str">
        <f>IFERROR(IF(J510&gt;0,VLOOKUP(J510,#REF!,MATCH($Q$6,#REF!,0),0),""),"")</f>
        <v/>
      </c>
      <c r="R510" s="181" t="str">
        <f>IFERROR(IF(J510&gt;0,VLOOKUP(J510,#REF!,MATCH($R$6,#REF!,0),0),""),"")</f>
        <v/>
      </c>
      <c r="S510" s="181" t="e">
        <f>IF(I513&gt;0,Q510+R510,"")</f>
        <v>#VALUE!</v>
      </c>
      <c r="T510" s="181"/>
      <c r="U510" s="181"/>
      <c r="V510" s="37"/>
      <c r="W510" s="181" t="e">
        <f>IF(I513&gt;0,IF(S510&gt;L510,"READY STOCK",IF(S510=0,"OUT OF STOCK",IF(S510&lt;L510,"LOW STOCK",""))),"")</f>
        <v>#VALUE!</v>
      </c>
      <c r="X510" s="38"/>
      <c r="Y510" s="38"/>
      <c r="Z510" s="38"/>
      <c r="AA510" s="38"/>
      <c r="AB510" s="50">
        <v>46308</v>
      </c>
      <c r="AC510" s="219" t="s">
        <v>1316</v>
      </c>
      <c r="AD510" s="51">
        <f>30+5</f>
        <v>35</v>
      </c>
      <c r="AE510" s="37" t="s">
        <v>387</v>
      </c>
      <c r="AF510" s="37" t="s">
        <v>381</v>
      </c>
      <c r="AG510" s="33" t="str">
        <f>IF(G510&gt;0,IF(AD510&gt;0,IF(AD510=0,"Waiting",IF(AD510&lt;L510,"Partial",IF(AD510=L510,"Full Supply",IF(AD510&gt;L510,"Over Shared")))),"Waiting"),"")</f>
        <v>Partial</v>
      </c>
      <c r="AH510" s="56">
        <v>46265</v>
      </c>
      <c r="AI510" s="37" t="s">
        <v>1317</v>
      </c>
      <c r="AJ510" s="181">
        <v>50</v>
      </c>
      <c r="AK510" s="40">
        <v>26140</v>
      </c>
      <c r="AL510" s="42">
        <v>46266</v>
      </c>
      <c r="AM510" s="40">
        <v>50</v>
      </c>
      <c r="AN510" s="37"/>
      <c r="AO510" s="46">
        <v>46289</v>
      </c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181">
        <f>L510-AD510</f>
        <v>1</v>
      </c>
    </row>
    <row r="511" spans="1:52" ht="15.5" customHeight="1">
      <c r="A511" s="360" t="s">
        <v>372</v>
      </c>
      <c r="B511" s="340">
        <v>46265</v>
      </c>
      <c r="C511" s="181">
        <v>50341</v>
      </c>
      <c r="D511" s="30">
        <v>46265</v>
      </c>
      <c r="E511" s="30">
        <v>46258</v>
      </c>
      <c r="F511" s="30">
        <v>46272</v>
      </c>
      <c r="G511" s="37">
        <v>4420232049</v>
      </c>
      <c r="H511" s="37" t="s">
        <v>373</v>
      </c>
      <c r="I511" s="37">
        <v>9040032418</v>
      </c>
      <c r="J511" s="37" t="s">
        <v>276</v>
      </c>
      <c r="K511" s="325" t="s">
        <v>277</v>
      </c>
      <c r="L511" s="181">
        <v>1</v>
      </c>
      <c r="M511" s="181" t="s">
        <v>375</v>
      </c>
      <c r="N511" s="37" t="s">
        <v>431</v>
      </c>
      <c r="O511" s="31">
        <f>IF(F511&gt;0,F511-AB511,"")</f>
        <v>-16</v>
      </c>
      <c r="P511" s="37" t="str">
        <f>IF(F511&gt;0,IF(AB511="","PLANNING SUPPLY",IF(AB511&lt;=F511,"ONTIME DELIVERY","DELAY")),"")</f>
        <v>DELAY</v>
      </c>
      <c r="Q511" s="181" t="str">
        <f>IFERROR(IF(J511&gt;0,VLOOKUP(J511,#REF!,MATCH($Q$6,#REF!,0),0),""),"")</f>
        <v/>
      </c>
      <c r="R511" s="181" t="str">
        <f>IFERROR(IF(J511&gt;0,VLOOKUP(J511,#REF!,MATCH($R$6,#REF!,0),0),""),"")</f>
        <v/>
      </c>
      <c r="S511" s="181" t="e">
        <f>IF(I514&gt;0,Q511+R511,"")</f>
        <v>#VALUE!</v>
      </c>
      <c r="T511" s="181"/>
      <c r="U511" s="181"/>
      <c r="V511" s="37"/>
      <c r="W511" s="181" t="e">
        <f>IF(I514&gt;0,IF(S511&gt;L511,"READY STOCK",IF(S511=0,"OUT OF STOCK",IF(S511&lt;L511,"LOW STOCK",""))),"")</f>
        <v>#VALUE!</v>
      </c>
      <c r="X511" s="38"/>
      <c r="Y511" s="38"/>
      <c r="Z511" s="38"/>
      <c r="AA511" s="38"/>
      <c r="AB511" s="50">
        <v>46288</v>
      </c>
      <c r="AC511" s="181">
        <v>34454</v>
      </c>
      <c r="AD511" s="51">
        <v>1</v>
      </c>
      <c r="AE511" s="37" t="s">
        <v>383</v>
      </c>
      <c r="AF511" s="37" t="s">
        <v>381</v>
      </c>
      <c r="AG511" s="33" t="str">
        <f>IF(G511&gt;0,IF(AD511&gt;0,IF(AD511=0,"Waiting",IF(AD511&lt;L511,"Partial",IF(AD511=L511,"Full Supply",IF(AD511&gt;L511,"Over Shared")))),"Waiting"),"")</f>
        <v>Full Supply</v>
      </c>
      <c r="AH511" s="37"/>
      <c r="AI511" s="37"/>
      <c r="AJ511" s="181"/>
      <c r="AK511" s="40"/>
      <c r="AL511" s="40"/>
      <c r="AM511" s="40"/>
      <c r="AN511" s="37"/>
      <c r="AO511" s="34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181">
        <f>L511-AD511</f>
        <v>0</v>
      </c>
    </row>
    <row r="512" spans="1:52" ht="15.5" customHeight="1">
      <c r="A512" s="361" t="s">
        <v>372</v>
      </c>
      <c r="B512" s="341">
        <v>46265</v>
      </c>
      <c r="C512" s="222">
        <v>50341</v>
      </c>
      <c r="D512" s="221">
        <v>46265</v>
      </c>
      <c r="E512" s="221">
        <v>46258</v>
      </c>
      <c r="F512" s="221">
        <v>46272</v>
      </c>
      <c r="G512" s="227">
        <v>4420232049</v>
      </c>
      <c r="H512" s="227" t="s">
        <v>373</v>
      </c>
      <c r="I512" s="227">
        <v>9040136923</v>
      </c>
      <c r="J512" s="37" t="s">
        <v>235</v>
      </c>
      <c r="K512" s="325" t="s">
        <v>236</v>
      </c>
      <c r="L512" s="222">
        <v>5</v>
      </c>
      <c r="M512" s="222" t="s">
        <v>446</v>
      </c>
      <c r="N512" s="37" t="s">
        <v>431</v>
      </c>
      <c r="O512" s="31">
        <f>IF(F512&gt;0,F512-AB512,"")</f>
        <v>46272</v>
      </c>
      <c r="P512" s="37" t="str">
        <f>IF(F512&gt;0,IF(AB512="","PLANNING SUPPLY",IF(AB512&lt;=F512,"ONTIME DELIVERY","DELAY")),"")</f>
        <v>PLANNING SUPPLY</v>
      </c>
      <c r="Q512" s="222" t="str">
        <f>IFERROR(IF(J512&gt;0,VLOOKUP(J512,#REF!,MATCH($Q$6,#REF!,0),0),""),"")</f>
        <v/>
      </c>
      <c r="R512" s="222" t="str">
        <f>IFERROR(IF(J512&gt;0,VLOOKUP(J512,#REF!,MATCH($R$6,#REF!,0),0),""),"")</f>
        <v/>
      </c>
      <c r="S512" s="222" t="e">
        <f>IF(I515&gt;0,Q512+R512,"")</f>
        <v>#VALUE!</v>
      </c>
      <c r="T512" s="222"/>
      <c r="U512" s="222"/>
      <c r="V512" s="223" t="s">
        <v>1318</v>
      </c>
      <c r="W512" s="222" t="e">
        <f>IF(I515&gt;0,IF(S512&gt;L512,"READY STOCK",IF(S512=0,"OUT OF STOCK",IF(S512&lt;L512,"LOW STOCK",""))),"")</f>
        <v>#VALUE!</v>
      </c>
      <c r="X512" s="224"/>
      <c r="Y512" s="224"/>
      <c r="Z512" s="224"/>
      <c r="AA512" s="224"/>
      <c r="AB512" s="225"/>
      <c r="AC512" s="181"/>
      <c r="AD512" s="226"/>
      <c r="AE512" s="227"/>
      <c r="AF512" s="227"/>
      <c r="AG512" s="33" t="str">
        <f>IF(G512&gt;0,IF(AD512&gt;0,IF(AD512=0,"Waiting",IF(AD512&lt;L512,"Partial",IF(AD512=L512,"Full Supply",IF(AD512&gt;L512,"Over Shared")))),"Waiting"),"")</f>
        <v>Waiting</v>
      </c>
      <c r="AH512" s="228">
        <v>46266</v>
      </c>
      <c r="AI512" s="227" t="s">
        <v>1130</v>
      </c>
      <c r="AJ512" s="222">
        <v>5</v>
      </c>
      <c r="AK512" s="229"/>
      <c r="AL512" s="229"/>
      <c r="AM512" s="229"/>
      <c r="AN512" s="227"/>
      <c r="AO512" s="227"/>
      <c r="AP512" s="227"/>
      <c r="AQ512" s="227"/>
      <c r="AR512" s="227"/>
      <c r="AS512" s="227"/>
      <c r="AT512" s="227"/>
      <c r="AU512" s="227"/>
      <c r="AV512" s="227"/>
      <c r="AW512" s="227"/>
      <c r="AX512" s="227"/>
      <c r="AY512" s="227"/>
      <c r="AZ512" s="181">
        <f>L512-AD512</f>
        <v>5</v>
      </c>
    </row>
    <row r="513" spans="1:52" ht="15.5" customHeight="1">
      <c r="A513" s="360" t="s">
        <v>372</v>
      </c>
      <c r="B513" s="340">
        <v>46265</v>
      </c>
      <c r="C513" s="181">
        <v>50341</v>
      </c>
      <c r="D513" s="30">
        <v>46265</v>
      </c>
      <c r="E513" s="30">
        <v>46258</v>
      </c>
      <c r="F513" s="30">
        <v>46272</v>
      </c>
      <c r="G513" s="37">
        <v>4420232049</v>
      </c>
      <c r="H513" s="37" t="s">
        <v>373</v>
      </c>
      <c r="I513" s="37">
        <v>9040132279</v>
      </c>
      <c r="J513" s="37" t="s">
        <v>247</v>
      </c>
      <c r="K513" s="325" t="s">
        <v>248</v>
      </c>
      <c r="L513" s="181">
        <v>4</v>
      </c>
      <c r="M513" s="181" t="s">
        <v>375</v>
      </c>
      <c r="N513" s="37" t="s">
        <v>431</v>
      </c>
      <c r="O513" s="31">
        <f>IF(F513&gt;0,F513-AB513,"")</f>
        <v>46272</v>
      </c>
      <c r="P513" s="37" t="str">
        <f>IF(F513&gt;0,IF(AB513="","PLANNING SUPPLY",IF(AB513&lt;=F513,"ONTIME DELIVERY","DELAY")),"")</f>
        <v>PLANNING SUPPLY</v>
      </c>
      <c r="Q513" s="181" t="str">
        <f>IFERROR(IF(J513&gt;0,VLOOKUP(J513,#REF!,MATCH($Q$6,#REF!,0),0),""),"")</f>
        <v/>
      </c>
      <c r="R513" s="181" t="str">
        <f>IFERROR(IF(J513&gt;0,VLOOKUP(J513,#REF!,MATCH($R$6,#REF!,0),0),""),"")</f>
        <v/>
      </c>
      <c r="S513" s="181" t="e">
        <f>IF(I516&gt;0,Q513+R513,"")</f>
        <v>#VALUE!</v>
      </c>
      <c r="T513" s="181"/>
      <c r="U513" s="181"/>
      <c r="V513" s="37"/>
      <c r="W513" s="181" t="e">
        <f>IF(I516&gt;0,IF(S513&gt;L513,"READY STOCK",IF(S513=0,"OUT OF STOCK",IF(S513&lt;L513,"LOW STOCK",""))),"")</f>
        <v>#VALUE!</v>
      </c>
      <c r="X513" s="38"/>
      <c r="Y513" s="38"/>
      <c r="Z513" s="38"/>
      <c r="AA513" s="38"/>
      <c r="AB513" s="50"/>
      <c r="AC513" s="181"/>
      <c r="AD513" s="51"/>
      <c r="AE513" s="37"/>
      <c r="AF513" s="37"/>
      <c r="AG513" s="33" t="str">
        <f>IF(G513&gt;0,IF(AD513&gt;0,IF(AD513=0,"Waiting",IF(AD513&lt;L513,"Partial",IF(AD513=L513,"Full Supply",IF(AD513&gt;L513,"Over Shared")))),"Waiting"),"")</f>
        <v>Waiting</v>
      </c>
      <c r="AH513" s="56">
        <v>46266</v>
      </c>
      <c r="AI513" s="37" t="s">
        <v>1307</v>
      </c>
      <c r="AJ513" s="181">
        <v>4</v>
      </c>
      <c r="AK513" s="40">
        <v>26321</v>
      </c>
      <c r="AL513" s="40"/>
      <c r="AM513" s="40">
        <v>100</v>
      </c>
      <c r="AN513" s="37"/>
      <c r="AO513" s="55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181">
        <f>L513-AD513</f>
        <v>4</v>
      </c>
    </row>
    <row r="514" spans="1:52" ht="15.5" customHeight="1">
      <c r="A514" s="360" t="s">
        <v>372</v>
      </c>
      <c r="B514" s="340">
        <v>46265</v>
      </c>
      <c r="C514" s="181">
        <v>50342</v>
      </c>
      <c r="D514" s="30">
        <v>46265</v>
      </c>
      <c r="E514" s="30">
        <v>46262</v>
      </c>
      <c r="F514" s="30">
        <v>46286</v>
      </c>
      <c r="G514" s="37">
        <v>4420232372</v>
      </c>
      <c r="H514" s="37" t="s">
        <v>373</v>
      </c>
      <c r="I514" s="37">
        <v>9040040699</v>
      </c>
      <c r="J514" s="37" t="s">
        <v>27</v>
      </c>
      <c r="K514" s="325" t="s">
        <v>28</v>
      </c>
      <c r="L514" s="181">
        <v>5</v>
      </c>
      <c r="M514" s="181" t="s">
        <v>375</v>
      </c>
      <c r="N514" s="37" t="s">
        <v>400</v>
      </c>
      <c r="O514" s="31">
        <f>IF(F514&gt;0,F514-AB514,"")</f>
        <v>11</v>
      </c>
      <c r="P514" s="37" t="str">
        <f>IF(F514&gt;0,IF(AB514="","PLANNING SUPPLY",IF(AB514&lt;=F514,"ONTIME DELIVERY","DELAY")),"")</f>
        <v>ONTIME DELIVERY</v>
      </c>
      <c r="Q514" s="181" t="str">
        <f>IFERROR(IF(J514&gt;0,VLOOKUP(J514,#REF!,MATCH($Q$6,#REF!,0),0),""),"")</f>
        <v/>
      </c>
      <c r="R514" s="181" t="str">
        <f>IFERROR(IF(J514&gt;0,VLOOKUP(J514,#REF!,MATCH($R$6,#REF!,0),0),""),"")</f>
        <v/>
      </c>
      <c r="S514" s="181" t="e">
        <f>IF(I517&gt;0,Q514+R514,"")</f>
        <v>#VALUE!</v>
      </c>
      <c r="T514" s="181"/>
      <c r="U514" s="181"/>
      <c r="V514" s="37"/>
      <c r="W514" s="181" t="e">
        <f>IF(I517&gt;0,IF(S514&gt;L514,"READY STOCK",IF(S514=0,"OUT OF STOCK",IF(S514&lt;L514,"LOW STOCK",""))),"")</f>
        <v>#VALUE!</v>
      </c>
      <c r="X514" s="38"/>
      <c r="Y514" s="38"/>
      <c r="Z514" s="38"/>
      <c r="AA514" s="38"/>
      <c r="AB514" s="50">
        <v>46275</v>
      </c>
      <c r="AC514" s="219">
        <v>34167</v>
      </c>
      <c r="AD514" s="51">
        <v>5</v>
      </c>
      <c r="AE514" s="37" t="s">
        <v>383</v>
      </c>
      <c r="AF514" s="37" t="s">
        <v>381</v>
      </c>
      <c r="AG514" s="33" t="str">
        <f>IF(G514&gt;0,IF(AD514&gt;0,IF(AD514=0,"Waiting",IF(AD514&lt;L514,"Partial",IF(AD514=L514,"Full Supply",IF(AD514&gt;L514,"Over Shared")))),"Waiting"),"")</f>
        <v>Full Supply</v>
      </c>
      <c r="AH514" s="37"/>
      <c r="AI514" s="37"/>
      <c r="AJ514" s="181"/>
      <c r="AK514" s="40"/>
      <c r="AL514" s="40"/>
      <c r="AM514" s="40"/>
      <c r="AN514" s="37"/>
      <c r="AO514" s="34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181">
        <f>L514-AD514</f>
        <v>0</v>
      </c>
    </row>
    <row r="515" spans="1:52" ht="15.5" customHeight="1">
      <c r="A515" s="360" t="s">
        <v>372</v>
      </c>
      <c r="B515" s="340">
        <v>46265</v>
      </c>
      <c r="C515" s="181">
        <v>50342</v>
      </c>
      <c r="D515" s="30">
        <v>46265</v>
      </c>
      <c r="E515" s="30">
        <v>46262</v>
      </c>
      <c r="F515" s="30">
        <v>46286</v>
      </c>
      <c r="G515" s="37">
        <v>4420232372</v>
      </c>
      <c r="H515" s="37" t="s">
        <v>373</v>
      </c>
      <c r="I515" s="37">
        <v>9040052369</v>
      </c>
      <c r="J515" s="37" t="s">
        <v>199</v>
      </c>
      <c r="K515" s="325" t="s">
        <v>200</v>
      </c>
      <c r="L515" s="181">
        <v>11</v>
      </c>
      <c r="M515" s="181" t="s">
        <v>375</v>
      </c>
      <c r="N515" s="37" t="s">
        <v>400</v>
      </c>
      <c r="O515" s="31">
        <f>IF(F515&gt;0,F515-AB515,"")</f>
        <v>-14</v>
      </c>
      <c r="P515" s="37" t="str">
        <f>IF(F515&gt;0,IF(AB515="","PLANNING SUPPLY",IF(AB515&lt;=F515,"ONTIME DELIVERY","DELAY")),"")</f>
        <v>DELAY</v>
      </c>
      <c r="Q515" s="181" t="str">
        <f>IFERROR(IF(J515&gt;0,VLOOKUP(J515,#REF!,MATCH($Q$6,#REF!,0),0),""),"")</f>
        <v/>
      </c>
      <c r="R515" s="181" t="str">
        <f>IFERROR(IF(J515&gt;0,VLOOKUP(J515,#REF!,MATCH($R$6,#REF!,0),0),""),"")</f>
        <v/>
      </c>
      <c r="S515" s="181" t="e">
        <f>IF(I518&gt;0,Q515+R515,"")</f>
        <v>#VALUE!</v>
      </c>
      <c r="T515" s="181"/>
      <c r="U515" s="181"/>
      <c r="V515" s="37"/>
      <c r="W515" s="181" t="e">
        <f>IF(I518&gt;0,IF(S515&gt;L515,"READY STOCK",IF(S515=0,"OUT OF STOCK",IF(S515&lt;L515,"LOW STOCK",""))),"")</f>
        <v>#VALUE!</v>
      </c>
      <c r="X515" s="38"/>
      <c r="Y515" s="38"/>
      <c r="Z515" s="38"/>
      <c r="AA515" s="38"/>
      <c r="AB515" s="50">
        <v>46300</v>
      </c>
      <c r="AC515" s="44">
        <v>24729</v>
      </c>
      <c r="AD515" s="51">
        <v>11</v>
      </c>
      <c r="AE515" s="37" t="s">
        <v>387</v>
      </c>
      <c r="AF515" s="37" t="s">
        <v>381</v>
      </c>
      <c r="AG515" s="33" t="str">
        <f>IF(G515&gt;0,IF(AD515&gt;0,IF(AD515=0,"Waiting",IF(AD515&lt;L515,"Partial",IF(AD515=L515,"Full Supply",IF(AD515&gt;L515,"Over Shared")))),"Waiting"),"")</f>
        <v>Full Supply</v>
      </c>
      <c r="AH515" s="37"/>
      <c r="AI515" s="37"/>
      <c r="AJ515" s="181"/>
      <c r="AK515" s="40"/>
      <c r="AL515" s="40"/>
      <c r="AM515" s="40"/>
      <c r="AN515" s="37"/>
      <c r="AO515" s="34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181">
        <f>L515-AD515</f>
        <v>0</v>
      </c>
    </row>
    <row r="516" spans="1:52" ht="15.5" customHeight="1">
      <c r="A516" s="360" t="s">
        <v>372</v>
      </c>
      <c r="B516" s="340">
        <v>46265</v>
      </c>
      <c r="C516" s="181">
        <v>50342</v>
      </c>
      <c r="D516" s="30">
        <v>46265</v>
      </c>
      <c r="E516" s="30">
        <v>46262</v>
      </c>
      <c r="F516" s="30">
        <v>46286</v>
      </c>
      <c r="G516" s="37">
        <v>4420232372</v>
      </c>
      <c r="H516" s="37" t="s">
        <v>373</v>
      </c>
      <c r="I516" s="37">
        <v>9040055051</v>
      </c>
      <c r="J516" s="37" t="s">
        <v>10</v>
      </c>
      <c r="K516" s="325" t="s">
        <v>149</v>
      </c>
      <c r="L516" s="181">
        <v>8</v>
      </c>
      <c r="M516" s="181" t="s">
        <v>375</v>
      </c>
      <c r="N516" s="37" t="s">
        <v>400</v>
      </c>
      <c r="O516" s="31">
        <f>IF(F516&gt;0,F516-AB516,"")</f>
        <v>19</v>
      </c>
      <c r="P516" s="37" t="str">
        <f>IF(F516&gt;0,IF(AB516="","PLANNING SUPPLY",IF(AB516&lt;=F516,"ONTIME DELIVERY","DELAY")),"")</f>
        <v>ONTIME DELIVERY</v>
      </c>
      <c r="Q516" s="181" t="str">
        <f>IFERROR(IF(J516&gt;0,VLOOKUP(J516,#REF!,MATCH($Q$6,#REF!,0),0),""),"")</f>
        <v/>
      </c>
      <c r="R516" s="181" t="str">
        <f>IFERROR(IF(J516&gt;0,VLOOKUP(J516,#REF!,MATCH($R$6,#REF!,0),0),""),"")</f>
        <v/>
      </c>
      <c r="S516" s="181" t="e">
        <f>IF(I519&gt;0,Q516+R516,"")</f>
        <v>#VALUE!</v>
      </c>
      <c r="T516" s="181"/>
      <c r="U516" s="181"/>
      <c r="V516" s="37"/>
      <c r="W516" s="181" t="e">
        <f>IF(I519&gt;0,IF(S516&gt;L516,"READY STOCK",IF(S516=0,"OUT OF STOCK",IF(S516&lt;L516,"LOW STOCK",""))),"")</f>
        <v>#VALUE!</v>
      </c>
      <c r="X516" s="38"/>
      <c r="Y516" s="38"/>
      <c r="Z516" s="38"/>
      <c r="AA516" s="38"/>
      <c r="AB516" s="50">
        <v>46267</v>
      </c>
      <c r="AC516" s="181">
        <v>33990</v>
      </c>
      <c r="AD516" s="51">
        <v>8</v>
      </c>
      <c r="AE516" s="37" t="s">
        <v>383</v>
      </c>
      <c r="AF516" s="37" t="s">
        <v>381</v>
      </c>
      <c r="AG516" s="33" t="str">
        <f>IF(G516&gt;0,IF(AD516&gt;0,IF(AD516=0,"Waiting",IF(AD516&lt;L516,"Partial",IF(AD516=L516,"Full Supply",IF(AD516&gt;L516,"Over Shared")))),"Waiting"),"")</f>
        <v>Full Supply</v>
      </c>
      <c r="AH516" s="37"/>
      <c r="AI516" s="37"/>
      <c r="AJ516" s="181"/>
      <c r="AK516" s="40"/>
      <c r="AL516" s="40"/>
      <c r="AM516" s="40"/>
      <c r="AN516" s="37"/>
      <c r="AO516" s="34"/>
      <c r="AP516" s="37"/>
      <c r="AQ516" s="37"/>
      <c r="AR516" s="37"/>
      <c r="AS516" s="37"/>
      <c r="AT516" s="37"/>
      <c r="AU516" s="36" t="str">
        <f>IF(AR516=0,"Waiting",IF(AR516&lt;AH516,"Kurang",IF(AR516=AH516,"Sesuai",IF(AR516&gt;AH516,"Over Shared"))))</f>
        <v>Waiting</v>
      </c>
      <c r="AV516" s="37"/>
      <c r="AW516" s="37"/>
      <c r="AX516" s="37"/>
      <c r="AY516" s="37"/>
      <c r="AZ516" s="181">
        <f>L516-AD516</f>
        <v>0</v>
      </c>
    </row>
    <row r="517" spans="1:52" ht="15.5" customHeight="1">
      <c r="A517" s="360" t="s">
        <v>372</v>
      </c>
      <c r="B517" s="340">
        <v>46265</v>
      </c>
      <c r="C517" s="181">
        <v>50343</v>
      </c>
      <c r="D517" s="30">
        <v>46265</v>
      </c>
      <c r="E517" s="30">
        <v>46261</v>
      </c>
      <c r="F517" s="30">
        <v>46285</v>
      </c>
      <c r="G517" s="230">
        <v>4420232236</v>
      </c>
      <c r="H517" s="37" t="s">
        <v>373</v>
      </c>
      <c r="I517" s="37">
        <v>9040040390</v>
      </c>
      <c r="J517" s="37" t="s">
        <v>209</v>
      </c>
      <c r="K517" s="325" t="s">
        <v>210</v>
      </c>
      <c r="L517" s="181">
        <v>7</v>
      </c>
      <c r="M517" s="181" t="s">
        <v>421</v>
      </c>
      <c r="N517" s="37" t="s">
        <v>400</v>
      </c>
      <c r="O517" s="31">
        <f>IF(F517&gt;0,F517-AB517,"")</f>
        <v>18</v>
      </c>
      <c r="P517" s="37" t="str">
        <f>IF(F517&gt;0,IF(AB517="","PLANNING SUPPLY",IF(AB517&lt;=F517,"ONTIME DELIVERY","DELAY")),"")</f>
        <v>ONTIME DELIVERY</v>
      </c>
      <c r="Q517" s="181" t="str">
        <f>IFERROR(IF(J517&gt;0,VLOOKUP(J517,#REF!,MATCH($Q$6,#REF!,0),0),""),"")</f>
        <v/>
      </c>
      <c r="R517" s="181" t="str">
        <f>IFERROR(IF(J517&gt;0,VLOOKUP(J517,#REF!,MATCH($R$6,#REF!,0),0),""),"")</f>
        <v/>
      </c>
      <c r="S517" s="181" t="e">
        <f>IF(I520&gt;0,Q517+R517,"")</f>
        <v>#VALUE!</v>
      </c>
      <c r="T517" s="181"/>
      <c r="U517" s="181"/>
      <c r="V517" s="37"/>
      <c r="W517" s="181" t="e">
        <f>IF(I520&gt;0,IF(S517&gt;L517,"READY STOCK",IF(S517=0,"OUT OF STOCK",IF(S517&lt;L517,"LOW STOCK",""))),"")</f>
        <v>#VALUE!</v>
      </c>
      <c r="X517" s="38"/>
      <c r="Y517" s="38"/>
      <c r="Z517" s="38"/>
      <c r="AA517" s="38"/>
      <c r="AB517" s="50">
        <v>46267</v>
      </c>
      <c r="AC517" s="181">
        <v>33989</v>
      </c>
      <c r="AD517" s="51">
        <v>7</v>
      </c>
      <c r="AE517" s="37" t="s">
        <v>383</v>
      </c>
      <c r="AF517" s="37" t="s">
        <v>381</v>
      </c>
      <c r="AG517" s="33" t="str">
        <f>IF(G517&gt;0,IF(AD517&gt;0,IF(AD517=0,"Waiting",IF(AD517&lt;L517,"Partial",IF(AD517=L517,"Full Supply",IF(AD517&gt;L517,"Over Shared")))),"Waiting"),"")</f>
        <v>Full Supply</v>
      </c>
      <c r="AH517" s="37"/>
      <c r="AI517" s="37"/>
      <c r="AJ517" s="181"/>
      <c r="AK517" s="40"/>
      <c r="AL517" s="40"/>
      <c r="AM517" s="40"/>
      <c r="AN517" s="37"/>
      <c r="AO517" s="34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181">
        <f>L517-AD517</f>
        <v>0</v>
      </c>
    </row>
    <row r="518" spans="1:52" ht="15.5" customHeight="1">
      <c r="A518" s="360" t="s">
        <v>372</v>
      </c>
      <c r="B518" s="340">
        <v>46265</v>
      </c>
      <c r="C518" s="181">
        <v>50343</v>
      </c>
      <c r="D518" s="30">
        <v>46265</v>
      </c>
      <c r="E518" s="30">
        <v>46261</v>
      </c>
      <c r="F518" s="30">
        <v>46285</v>
      </c>
      <c r="G518" s="230">
        <v>4420232236</v>
      </c>
      <c r="H518" s="37" t="s">
        <v>373</v>
      </c>
      <c r="I518" s="37">
        <v>9040001301</v>
      </c>
      <c r="J518" s="37" t="s">
        <v>33</v>
      </c>
      <c r="K518" s="325" t="s">
        <v>34</v>
      </c>
      <c r="L518" s="181">
        <v>6</v>
      </c>
      <c r="M518" s="181" t="s">
        <v>375</v>
      </c>
      <c r="N518" s="37" t="s">
        <v>400</v>
      </c>
      <c r="O518" s="31">
        <f>IF(F518&gt;0,F518-AB518,"")</f>
        <v>18</v>
      </c>
      <c r="P518" s="37" t="str">
        <f>IF(F518&gt;0,IF(AB518="","PLANNING SUPPLY",IF(AB518&lt;=F518,"ONTIME DELIVERY","DELAY")),"")</f>
        <v>ONTIME DELIVERY</v>
      </c>
      <c r="Q518" s="181" t="str">
        <f>IFERROR(IF(J518&gt;0,VLOOKUP(J518,#REF!,MATCH($Q$6,#REF!,0),0),""),"")</f>
        <v/>
      </c>
      <c r="R518" s="181" t="str">
        <f>IFERROR(IF(J518&gt;0,VLOOKUP(J518,#REF!,MATCH($R$6,#REF!,0),0),""),"")</f>
        <v/>
      </c>
      <c r="S518" s="181" t="e">
        <f>IF(I521&gt;0,Q518+R518,"")</f>
        <v>#VALUE!</v>
      </c>
      <c r="T518" s="181"/>
      <c r="U518" s="181"/>
      <c r="V518" s="37"/>
      <c r="W518" s="181" t="e">
        <f>IF(I521&gt;0,IF(S518&gt;L518,"READY STOCK",IF(S518=0,"OUT OF STOCK",IF(S518&lt;L518,"LOW STOCK",""))),"")</f>
        <v>#VALUE!</v>
      </c>
      <c r="X518" s="38"/>
      <c r="Y518" s="38"/>
      <c r="Z518" s="38"/>
      <c r="AA518" s="38"/>
      <c r="AB518" s="50">
        <v>46267</v>
      </c>
      <c r="AC518" s="181">
        <v>33989</v>
      </c>
      <c r="AD518" s="51">
        <v>6</v>
      </c>
      <c r="AE518" s="37" t="s">
        <v>383</v>
      </c>
      <c r="AF518" s="37" t="s">
        <v>381</v>
      </c>
      <c r="AG518" s="33" t="str">
        <f>IF(G518&gt;0,IF(AD518&gt;0,IF(AD518=0,"Waiting",IF(AD518&lt;L518,"Partial",IF(AD518=L518,"Full Supply",IF(AD518&gt;L518,"Over Shared")))),"Waiting"),"")</f>
        <v>Full Supply</v>
      </c>
      <c r="AH518" s="37"/>
      <c r="AI518" s="37"/>
      <c r="AJ518" s="181"/>
      <c r="AK518" s="40"/>
      <c r="AL518" s="40"/>
      <c r="AM518" s="40"/>
      <c r="AN518" s="37"/>
      <c r="AO518" s="34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181">
        <f>L518-AD518</f>
        <v>0</v>
      </c>
    </row>
    <row r="519" spans="1:52" ht="15.5" customHeight="1">
      <c r="A519" s="360" t="s">
        <v>372</v>
      </c>
      <c r="B519" s="340">
        <v>46265</v>
      </c>
      <c r="C519" s="181">
        <v>50343</v>
      </c>
      <c r="D519" s="30">
        <v>46265</v>
      </c>
      <c r="E519" s="30">
        <v>46261</v>
      </c>
      <c r="F519" s="30">
        <v>46285</v>
      </c>
      <c r="G519" s="230">
        <v>4420232236</v>
      </c>
      <c r="H519" s="37" t="s">
        <v>373</v>
      </c>
      <c r="I519" s="37">
        <v>9040016343</v>
      </c>
      <c r="J519" s="37" t="s">
        <v>211</v>
      </c>
      <c r="K519" s="325" t="s">
        <v>212</v>
      </c>
      <c r="L519" s="181">
        <v>22</v>
      </c>
      <c r="M519" s="181" t="s">
        <v>429</v>
      </c>
      <c r="N519" s="37" t="s">
        <v>400</v>
      </c>
      <c r="O519" s="31">
        <f>IF(F519&gt;0,F519-AB519,"")</f>
        <v>3</v>
      </c>
      <c r="P519" s="37" t="str">
        <f>IF(F519&gt;0,IF(AB519="","PLANNING SUPPLY",IF(AB519&lt;=F519,"ONTIME DELIVERY","DELAY")),"")</f>
        <v>ONTIME DELIVERY</v>
      </c>
      <c r="Q519" s="181" t="str">
        <f>IFERROR(IF(J519&gt;0,VLOOKUP(J519,#REF!,MATCH($Q$6,#REF!,0),0),""),"")</f>
        <v/>
      </c>
      <c r="R519" s="181" t="str">
        <f>IFERROR(IF(J519&gt;0,VLOOKUP(J519,#REF!,MATCH($R$6,#REF!,0),0),""),"")</f>
        <v/>
      </c>
      <c r="S519" s="181" t="e">
        <f>IF(I522&gt;0,Q519+R519,"")</f>
        <v>#VALUE!</v>
      </c>
      <c r="T519" s="181"/>
      <c r="U519" s="181"/>
      <c r="V519" s="37"/>
      <c r="W519" s="181" t="e">
        <f>IF(I522&gt;0,IF(S519&gt;L519,"READY STOCK",IF(S519=0,"OUT OF STOCK",IF(S519&lt;L519,"LOW STOCK",""))),"")</f>
        <v>#VALUE!</v>
      </c>
      <c r="X519" s="38"/>
      <c r="Y519" s="38"/>
      <c r="Z519" s="38"/>
      <c r="AA519" s="38"/>
      <c r="AB519" s="50">
        <v>46282</v>
      </c>
      <c r="AC519" s="181">
        <v>34337</v>
      </c>
      <c r="AD519" s="51">
        <v>22</v>
      </c>
      <c r="AE519" s="37" t="s">
        <v>383</v>
      </c>
      <c r="AF519" s="37" t="s">
        <v>381</v>
      </c>
      <c r="AG519" s="33" t="str">
        <f>IF(G519&gt;0,IF(AD519&gt;0,IF(AD519=0,"Waiting",IF(AD519&lt;L519,"Partial",IF(AD519=L519,"Full Supply",IF(AD519&gt;L519,"Over Shared")))),"Waiting"),"")</f>
        <v>Full Supply</v>
      </c>
      <c r="AH519" s="56">
        <v>46266</v>
      </c>
      <c r="AI519" s="37" t="s">
        <v>1130</v>
      </c>
      <c r="AJ519" s="181">
        <v>32</v>
      </c>
      <c r="AK519" s="40">
        <v>26347</v>
      </c>
      <c r="AL519" s="45">
        <v>46286</v>
      </c>
      <c r="AM519" s="40">
        <v>32</v>
      </c>
      <c r="AN519" s="37"/>
      <c r="AO519" s="239">
        <v>46296</v>
      </c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181">
        <f>L519-AD519</f>
        <v>0</v>
      </c>
    </row>
    <row r="520" spans="1:52" ht="15.5" customHeight="1">
      <c r="A520" s="360" t="s">
        <v>372</v>
      </c>
      <c r="B520" s="340">
        <v>46265</v>
      </c>
      <c r="C520" s="181">
        <v>50344</v>
      </c>
      <c r="D520" s="30">
        <v>46265</v>
      </c>
      <c r="E520" s="30">
        <v>46261</v>
      </c>
      <c r="F520" s="30">
        <v>46275</v>
      </c>
      <c r="G520" s="230">
        <v>4420232247</v>
      </c>
      <c r="H520" s="37" t="s">
        <v>373</v>
      </c>
      <c r="I520" s="37">
        <v>9040040401</v>
      </c>
      <c r="J520" s="37" t="s">
        <v>231</v>
      </c>
      <c r="K520" s="325" t="s">
        <v>232</v>
      </c>
      <c r="L520" s="181">
        <v>3</v>
      </c>
      <c r="M520" s="181" t="s">
        <v>389</v>
      </c>
      <c r="N520" s="37" t="s">
        <v>940</v>
      </c>
      <c r="O520" s="31">
        <f>IF(F520&gt;0,F520-AB520,"")</f>
        <v>-33</v>
      </c>
      <c r="P520" s="37" t="str">
        <f>IF(F520&gt;0,IF(AB520="","PLANNING SUPPLY",IF(AB520&lt;=F520,"ONTIME DELIVERY","DELAY")),"")</f>
        <v>DELAY</v>
      </c>
      <c r="Q520" s="181" t="str">
        <f>IFERROR(IF(J520&gt;0,VLOOKUP(J520,#REF!,MATCH($Q$6,#REF!,0),0),""),"")</f>
        <v/>
      </c>
      <c r="R520" s="181" t="str">
        <f>IFERROR(IF(J520&gt;0,VLOOKUP(J520,#REF!,MATCH($R$6,#REF!,0),0),""),"")</f>
        <v/>
      </c>
      <c r="S520" s="181" t="e">
        <f>IF(I523&gt;0,Q520+R520,"")</f>
        <v>#VALUE!</v>
      </c>
      <c r="T520" s="181"/>
      <c r="U520" s="181"/>
      <c r="V520" s="37"/>
      <c r="W520" s="181" t="e">
        <f>IF(I523&gt;0,IF(S520&gt;L520,"READY STOCK",IF(S520=0,"OUT OF STOCK",IF(S520&lt;L520,"LOW STOCK",""))),"")</f>
        <v>#VALUE!</v>
      </c>
      <c r="X520" s="38"/>
      <c r="Y520" s="38"/>
      <c r="Z520" s="38"/>
      <c r="AA520" s="38"/>
      <c r="AB520" s="57">
        <v>46308</v>
      </c>
      <c r="AC520" s="246">
        <v>35003</v>
      </c>
      <c r="AD520" s="53">
        <v>3</v>
      </c>
      <c r="AE520" s="58" t="s">
        <v>387</v>
      </c>
      <c r="AF520" s="37" t="s">
        <v>381</v>
      </c>
      <c r="AG520" s="33" t="str">
        <f>IF(G520&gt;0,IF(AD520&gt;0,IF(AD520=0,"Waiting",IF(AD520&lt;L520,"Partial",IF(AD520=L520,"Full Supply",IF(AD520&gt;L520,"Over Shared")))),"Waiting"),"")</f>
        <v>Full Supply</v>
      </c>
      <c r="AH520" s="37"/>
      <c r="AI520" s="37"/>
      <c r="AJ520" s="181"/>
      <c r="AK520" s="40"/>
      <c r="AL520" s="40"/>
      <c r="AM520" s="40"/>
      <c r="AN520" s="37"/>
      <c r="AO520" s="34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181">
        <f>L520-AD520</f>
        <v>0</v>
      </c>
    </row>
    <row r="521" spans="1:52" ht="15.5" customHeight="1">
      <c r="A521" s="360" t="s">
        <v>372</v>
      </c>
      <c r="B521" s="340">
        <v>46265</v>
      </c>
      <c r="C521" s="181">
        <v>50345</v>
      </c>
      <c r="D521" s="30">
        <v>46265</v>
      </c>
      <c r="E521" s="30">
        <v>46263</v>
      </c>
      <c r="F521" s="30">
        <v>46280</v>
      </c>
      <c r="G521" s="37">
        <v>4420232424</v>
      </c>
      <c r="H521" s="37" t="s">
        <v>373</v>
      </c>
      <c r="I521" s="37">
        <v>9040009397</v>
      </c>
      <c r="J521" s="37" t="s">
        <v>287</v>
      </c>
      <c r="K521" s="325" t="s">
        <v>288</v>
      </c>
      <c r="L521" s="181">
        <v>1</v>
      </c>
      <c r="M521" s="181" t="s">
        <v>421</v>
      </c>
      <c r="N521" s="37" t="s">
        <v>434</v>
      </c>
      <c r="O521" s="31">
        <f>IF(F521&gt;0,F521-AB521,"")</f>
        <v>-9</v>
      </c>
      <c r="P521" s="37" t="str">
        <f>IF(F521&gt;0,IF(AB521="","PLANNING SUPPLY",IF(AB521&lt;=F521,"ONTIME DELIVERY","DELAY")),"")</f>
        <v>DELAY</v>
      </c>
      <c r="Q521" s="181" t="str">
        <f>IFERROR(IF(J521&gt;0,VLOOKUP(J521,#REF!,MATCH($Q$6,#REF!,0),0),""),"")</f>
        <v/>
      </c>
      <c r="R521" s="181" t="str">
        <f>IFERROR(IF(J521&gt;0,VLOOKUP(J521,#REF!,MATCH($R$6,#REF!,0),0),""),"")</f>
        <v/>
      </c>
      <c r="S521" s="181" t="e">
        <f>IF(I524&gt;0,Q521+R521,"")</f>
        <v>#VALUE!</v>
      </c>
      <c r="T521" s="181"/>
      <c r="U521" s="181"/>
      <c r="V521" s="37"/>
      <c r="W521" s="181" t="e">
        <f>IF(I524&gt;0,IF(S521&gt;L521,"READY STOCK",IF(S521=0,"OUT OF STOCK",IF(S521&lt;L521,"LOW STOCK",""))),"")</f>
        <v>#VALUE!</v>
      </c>
      <c r="X521" s="38"/>
      <c r="Y521" s="38"/>
      <c r="Z521" s="38"/>
      <c r="AA521" s="38"/>
      <c r="AB521" s="50">
        <v>46289</v>
      </c>
      <c r="AC521" s="181">
        <v>34533</v>
      </c>
      <c r="AD521" s="51">
        <v>1</v>
      </c>
      <c r="AE521" s="37" t="s">
        <v>383</v>
      </c>
      <c r="AF521" s="37" t="s">
        <v>381</v>
      </c>
      <c r="AG521" s="33" t="str">
        <f>IF(G521&gt;0,IF(AD521&gt;0,IF(AD521=0,"Waiting",IF(AD521&lt;L521,"Partial",IF(AD521=L521,"Full Supply",IF(AD521&gt;L521,"Over Shared")))),"Waiting"),"")</f>
        <v>Full Supply</v>
      </c>
      <c r="AH521" s="37"/>
      <c r="AI521" s="37"/>
      <c r="AJ521" s="181"/>
      <c r="AK521" s="40"/>
      <c r="AL521" s="40"/>
      <c r="AM521" s="40"/>
      <c r="AN521" s="37"/>
      <c r="AO521" s="34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181">
        <f>L521-AD521</f>
        <v>0</v>
      </c>
    </row>
    <row r="522" spans="1:52" ht="15.5" customHeight="1">
      <c r="A522" s="360" t="s">
        <v>372</v>
      </c>
      <c r="B522" s="340">
        <v>46265</v>
      </c>
      <c r="C522" s="181">
        <v>50345</v>
      </c>
      <c r="D522" s="30">
        <v>46265</v>
      </c>
      <c r="E522" s="30">
        <v>46263</v>
      </c>
      <c r="F522" s="30">
        <v>46280</v>
      </c>
      <c r="G522" s="37">
        <v>4420232424</v>
      </c>
      <c r="H522" s="37" t="s">
        <v>373</v>
      </c>
      <c r="I522" s="37">
        <v>9040008107</v>
      </c>
      <c r="J522" s="37" t="s">
        <v>227</v>
      </c>
      <c r="K522" s="325" t="s">
        <v>228</v>
      </c>
      <c r="L522" s="181">
        <v>2</v>
      </c>
      <c r="M522" s="181" t="s">
        <v>389</v>
      </c>
      <c r="N522" s="37" t="s">
        <v>434</v>
      </c>
      <c r="O522" s="31">
        <f>IF(F522&gt;0,F522-AB522,"")</f>
        <v>-9</v>
      </c>
      <c r="P522" s="37" t="str">
        <f>IF(F522&gt;0,IF(AB522="","PLANNING SUPPLY",IF(AB522&lt;=F522,"ONTIME DELIVERY","DELAY")),"")</f>
        <v>DELAY</v>
      </c>
      <c r="Q522" s="181" t="str">
        <f>IFERROR(IF(J522&gt;0,VLOOKUP(J522,#REF!,MATCH($Q$6,#REF!,0),0),""),"")</f>
        <v/>
      </c>
      <c r="R522" s="181" t="str">
        <f>IFERROR(IF(J522&gt;0,VLOOKUP(J522,#REF!,MATCH($R$6,#REF!,0),0),""),"")</f>
        <v/>
      </c>
      <c r="S522" s="181" t="e">
        <f>IF(I525&gt;0,Q522+R522,"")</f>
        <v>#VALUE!</v>
      </c>
      <c r="T522" s="181"/>
      <c r="U522" s="181"/>
      <c r="V522" s="37"/>
      <c r="W522" s="181" t="e">
        <f>IF(I525&gt;0,IF(S522&gt;L522,"READY STOCK",IF(S522=0,"OUT OF STOCK",IF(S522&lt;L522,"LOW STOCK",""))),"")</f>
        <v>#VALUE!</v>
      </c>
      <c r="X522" s="38"/>
      <c r="Y522" s="38"/>
      <c r="Z522" s="38"/>
      <c r="AA522" s="38"/>
      <c r="AB522" s="50">
        <v>46289</v>
      </c>
      <c r="AC522" s="181">
        <v>34533</v>
      </c>
      <c r="AD522" s="51">
        <v>2</v>
      </c>
      <c r="AE522" s="37" t="s">
        <v>383</v>
      </c>
      <c r="AF522" s="37" t="s">
        <v>381</v>
      </c>
      <c r="AG522" s="33" t="str">
        <f>IF(G522&gt;0,IF(AD522&gt;0,IF(AD522=0,"Waiting",IF(AD522&lt;L522,"Partial",IF(AD522=L522,"Full Supply",IF(AD522&gt;L522,"Over Shared")))),"Waiting"),"")</f>
        <v>Full Supply</v>
      </c>
      <c r="AH522" s="37"/>
      <c r="AI522" s="37"/>
      <c r="AJ522" s="181"/>
      <c r="AK522" s="40"/>
      <c r="AL522" s="40"/>
      <c r="AM522" s="40"/>
      <c r="AN522" s="37"/>
      <c r="AO522" s="34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181">
        <f>L522-AD522</f>
        <v>0</v>
      </c>
    </row>
    <row r="523" spans="1:52" ht="15.5" customHeight="1">
      <c r="A523" s="360" t="s">
        <v>372</v>
      </c>
      <c r="B523" s="340">
        <v>46265</v>
      </c>
      <c r="C523" s="181">
        <v>50345</v>
      </c>
      <c r="D523" s="30">
        <v>46265</v>
      </c>
      <c r="E523" s="30">
        <v>46263</v>
      </c>
      <c r="F523" s="30">
        <v>46280</v>
      </c>
      <c r="G523" s="37">
        <v>4420232424</v>
      </c>
      <c r="H523" s="37" t="s">
        <v>373</v>
      </c>
      <c r="I523" s="37">
        <v>9040044080</v>
      </c>
      <c r="J523" s="37" t="s">
        <v>70</v>
      </c>
      <c r="K523" s="325" t="s">
        <v>71</v>
      </c>
      <c r="L523" s="181">
        <v>4</v>
      </c>
      <c r="M523" s="181" t="s">
        <v>425</v>
      </c>
      <c r="N523" s="37" t="s">
        <v>434</v>
      </c>
      <c r="O523" s="31">
        <f>IF(F523&gt;0,F523-AB523,"")</f>
        <v>46280</v>
      </c>
      <c r="P523" s="37" t="str">
        <f>IF(F523&gt;0,IF(AB523="","PLANNING SUPPLY",IF(AB523&lt;=F523,"ONTIME DELIVERY","DELAY")),"")</f>
        <v>PLANNING SUPPLY</v>
      </c>
      <c r="Q523" s="181" t="str">
        <f>IFERROR(IF(J523&gt;0,VLOOKUP(J523,#REF!,MATCH($Q$6,#REF!,0),0),""),"")</f>
        <v/>
      </c>
      <c r="R523" s="181" t="str">
        <f>IFERROR(IF(J523&gt;0,VLOOKUP(J523,#REF!,MATCH($R$6,#REF!,0),0),""),"")</f>
        <v/>
      </c>
      <c r="S523" s="181" t="e">
        <f>IF(I526&gt;0,Q523+R523,"")</f>
        <v>#VALUE!</v>
      </c>
      <c r="T523" s="181"/>
      <c r="U523" s="181"/>
      <c r="V523" s="37"/>
      <c r="W523" s="181" t="e">
        <f>IF(I526&gt;0,IF(S523&gt;L523,"READY STOCK",IF(S523=0,"OUT OF STOCK",IF(S523&lt;L523,"LOW STOCK",""))),"")</f>
        <v>#VALUE!</v>
      </c>
      <c r="X523" s="38"/>
      <c r="Y523" s="38"/>
      <c r="Z523" s="38"/>
      <c r="AA523" s="38"/>
      <c r="AB523" s="50"/>
      <c r="AC523" s="181"/>
      <c r="AD523" s="51"/>
      <c r="AE523" s="37"/>
      <c r="AF523" s="37"/>
      <c r="AG523" s="33" t="str">
        <f>IF(G523&gt;0,IF(AD523&gt;0,IF(AD523=0,"Waiting",IF(AD523&lt;L523,"Partial",IF(AD523=L523,"Full Supply",IF(AD523&gt;L523,"Over Shared")))),"Waiting"),"")</f>
        <v>Waiting</v>
      </c>
      <c r="AH523" s="37"/>
      <c r="AI523" s="37"/>
      <c r="AJ523" s="181"/>
      <c r="AK523" s="40"/>
      <c r="AL523" s="40"/>
      <c r="AM523" s="40"/>
      <c r="AN523" s="37"/>
      <c r="AO523" s="34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181">
        <f>L523-AD523</f>
        <v>4</v>
      </c>
    </row>
    <row r="524" spans="1:52" ht="15.5" customHeight="1">
      <c r="A524" s="360" t="s">
        <v>372</v>
      </c>
      <c r="B524" s="340">
        <v>46265</v>
      </c>
      <c r="C524" s="181">
        <v>50345</v>
      </c>
      <c r="D524" s="30">
        <v>46265</v>
      </c>
      <c r="E524" s="30">
        <v>46263</v>
      </c>
      <c r="F524" s="30">
        <v>46280</v>
      </c>
      <c r="G524" s="37">
        <v>4420232424</v>
      </c>
      <c r="H524" s="37" t="s">
        <v>373</v>
      </c>
      <c r="I524" s="37">
        <v>9040044155</v>
      </c>
      <c r="J524" s="37" t="s">
        <v>303</v>
      </c>
      <c r="K524" s="325" t="s">
        <v>304</v>
      </c>
      <c r="L524" s="181">
        <v>2</v>
      </c>
      <c r="M524" s="181" t="s">
        <v>425</v>
      </c>
      <c r="N524" s="37" t="s">
        <v>434</v>
      </c>
      <c r="O524" s="31">
        <f>IF(F524&gt;0,F524-AB524,"")</f>
        <v>13</v>
      </c>
      <c r="P524" s="37" t="str">
        <f>IF(F524&gt;0,IF(AB524="","PLANNING SUPPLY",IF(AB524&lt;=F524,"ONTIME DELIVERY","DELAY")),"")</f>
        <v>ONTIME DELIVERY</v>
      </c>
      <c r="Q524" s="181" t="str">
        <f>IFERROR(IF(J524&gt;0,VLOOKUP(J524,#REF!,MATCH($Q$6,#REF!,0),0),""),"")</f>
        <v/>
      </c>
      <c r="R524" s="181" t="str">
        <f>IFERROR(IF(J524&gt;0,VLOOKUP(J524,#REF!,MATCH($R$6,#REF!,0),0),""),"")</f>
        <v/>
      </c>
      <c r="S524" s="181" t="e">
        <f>IF(I527&gt;0,Q524+R524,"")</f>
        <v>#VALUE!</v>
      </c>
      <c r="T524" s="181"/>
      <c r="U524" s="181"/>
      <c r="V524" s="37"/>
      <c r="W524" s="181" t="e">
        <f>IF(I527&gt;0,IF(S524&gt;L524,"READY STOCK",IF(S524=0,"OUT OF STOCK",IF(S524&lt;L524,"LOW STOCK",""))),"")</f>
        <v>#VALUE!</v>
      </c>
      <c r="X524" s="38"/>
      <c r="Y524" s="38"/>
      <c r="Z524" s="38"/>
      <c r="AA524" s="38"/>
      <c r="AB524" s="50">
        <v>46267</v>
      </c>
      <c r="AC524" s="181">
        <v>33991</v>
      </c>
      <c r="AD524" s="51">
        <v>2</v>
      </c>
      <c r="AE524" s="37" t="s">
        <v>383</v>
      </c>
      <c r="AF524" s="37" t="s">
        <v>381</v>
      </c>
      <c r="AG524" s="33" t="str">
        <f>IF(G524&gt;0,IF(AD524&gt;0,IF(AD524=0,"Waiting",IF(AD524&lt;L524,"Partial",IF(AD524=L524,"Full Supply",IF(AD524&gt;L524,"Over Shared")))),"Waiting"),"")</f>
        <v>Full Supply</v>
      </c>
      <c r="AH524" s="37"/>
      <c r="AI524" s="37"/>
      <c r="AJ524" s="181"/>
      <c r="AK524" s="40"/>
      <c r="AL524" s="40"/>
      <c r="AM524" s="40"/>
      <c r="AN524" s="37"/>
      <c r="AO524" s="34"/>
      <c r="AP524" s="37"/>
      <c r="AQ524" s="37"/>
      <c r="AR524" s="37"/>
      <c r="AS524" s="37"/>
      <c r="AT524" s="37"/>
      <c r="AU524" s="37"/>
      <c r="AV524" s="37">
        <v>54614</v>
      </c>
      <c r="AW524" s="37"/>
      <c r="AX524" s="37"/>
      <c r="AY524" s="37"/>
      <c r="AZ524" s="181">
        <f>L524-AD524</f>
        <v>0</v>
      </c>
    </row>
    <row r="525" spans="1:52" ht="15.5" customHeight="1">
      <c r="A525" s="360" t="s">
        <v>372</v>
      </c>
      <c r="B525" s="340">
        <v>46265</v>
      </c>
      <c r="C525" s="181">
        <v>50345</v>
      </c>
      <c r="D525" s="30">
        <v>46265</v>
      </c>
      <c r="E525" s="30">
        <v>46263</v>
      </c>
      <c r="F525" s="30">
        <v>46280</v>
      </c>
      <c r="G525" s="37">
        <v>4420232424</v>
      </c>
      <c r="H525" s="37" t="s">
        <v>373</v>
      </c>
      <c r="I525" s="230">
        <v>9040049046</v>
      </c>
      <c r="J525" s="37" t="s">
        <v>127</v>
      </c>
      <c r="K525" s="325" t="s">
        <v>128</v>
      </c>
      <c r="L525" s="181">
        <v>2</v>
      </c>
      <c r="M525" s="181" t="s">
        <v>425</v>
      </c>
      <c r="N525" s="37" t="s">
        <v>434</v>
      </c>
      <c r="O525" s="31">
        <f>IF(F525&gt;0,F525-AB525,"")</f>
        <v>46280</v>
      </c>
      <c r="P525" s="37" t="str">
        <f>IF(F525&gt;0,IF(AB525="","PLANNING SUPPLY",IF(AB525&lt;=F525,"ONTIME DELIVERY","DELAY")),"")</f>
        <v>PLANNING SUPPLY</v>
      </c>
      <c r="Q525" s="181" t="str">
        <f>IFERROR(IF(J525&gt;0,VLOOKUP(J525,#REF!,MATCH($Q$6,#REF!,0),0),""),"")</f>
        <v/>
      </c>
      <c r="R525" s="181" t="str">
        <f>IFERROR(IF(J525&gt;0,VLOOKUP(J525,#REF!,MATCH($R$6,#REF!,0),0),""),"")</f>
        <v/>
      </c>
      <c r="S525" s="181" t="e">
        <f>IF(I528&gt;0,Q525+R525,"")</f>
        <v>#VALUE!</v>
      </c>
      <c r="T525" s="181"/>
      <c r="U525" s="181"/>
      <c r="V525" s="37"/>
      <c r="W525" s="181" t="e">
        <f>IF(I528&gt;0,IF(S525&gt;L525,"READY STOCK",IF(S525=0,"OUT OF STOCK",IF(S525&lt;L525,"LOW STOCK",""))),"")</f>
        <v>#VALUE!</v>
      </c>
      <c r="X525" s="38"/>
      <c r="Y525" s="38"/>
      <c r="Z525" s="38"/>
      <c r="AA525" s="38"/>
      <c r="AB525" s="50"/>
      <c r="AC525" s="181"/>
      <c r="AD525" s="51"/>
      <c r="AE525" s="37"/>
      <c r="AF525" s="37"/>
      <c r="AG525" s="33" t="str">
        <f>IF(G525&gt;0,IF(AD525&gt;0,IF(AD525=0,"Waiting",IF(AD525&lt;L525,"Partial",IF(AD525=L525,"Full Supply",IF(AD525&gt;L525,"Over Shared")))),"Waiting"),"")</f>
        <v>Waiting</v>
      </c>
      <c r="AH525" s="56">
        <v>46267</v>
      </c>
      <c r="AI525" s="37" t="s">
        <v>1312</v>
      </c>
      <c r="AJ525" s="181">
        <v>2</v>
      </c>
      <c r="AK525" s="40"/>
      <c r="AL525" s="40"/>
      <c r="AM525" s="40"/>
      <c r="AN525" s="216"/>
      <c r="AO525" s="55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181">
        <f>L525-AD525</f>
        <v>2</v>
      </c>
    </row>
    <row r="526" spans="1:52" ht="15.5" customHeight="1">
      <c r="A526" s="360" t="s">
        <v>372</v>
      </c>
      <c r="B526" s="340">
        <v>46265</v>
      </c>
      <c r="C526" s="181">
        <v>50345</v>
      </c>
      <c r="D526" s="30">
        <v>46265</v>
      </c>
      <c r="E526" s="30">
        <v>46263</v>
      </c>
      <c r="F526" s="30">
        <v>46280</v>
      </c>
      <c r="G526" s="37">
        <v>4420232424</v>
      </c>
      <c r="H526" s="37" t="s">
        <v>373</v>
      </c>
      <c r="I526" s="230">
        <v>9040016343</v>
      </c>
      <c r="J526" s="37" t="s">
        <v>211</v>
      </c>
      <c r="K526" s="325" t="s">
        <v>212</v>
      </c>
      <c r="L526" s="181">
        <v>10</v>
      </c>
      <c r="M526" s="181" t="s">
        <v>425</v>
      </c>
      <c r="N526" s="37" t="s">
        <v>434</v>
      </c>
      <c r="O526" s="31">
        <f>IF(F526&gt;0,F526-AB526,"")</f>
        <v>-2</v>
      </c>
      <c r="P526" s="37" t="str">
        <f>IF(F526&gt;0,IF(AB526="","PLANNING SUPPLY",IF(AB526&lt;=F526,"ONTIME DELIVERY","DELAY")),"")</f>
        <v>DELAY</v>
      </c>
      <c r="Q526" s="181" t="str">
        <f>IFERROR(IF(J526&gt;0,VLOOKUP(J526,#REF!,MATCH($Q$6,#REF!,0),0),""),"")</f>
        <v/>
      </c>
      <c r="R526" s="181" t="str">
        <f>IFERROR(IF(J526&gt;0,VLOOKUP(J526,#REF!,MATCH($R$6,#REF!,0),0),""),"")</f>
        <v/>
      </c>
      <c r="S526" s="181" t="e">
        <f>IF(I529&gt;0,Q526+R526,"")</f>
        <v>#VALUE!</v>
      </c>
      <c r="T526" s="181"/>
      <c r="U526" s="181"/>
      <c r="V526" s="37"/>
      <c r="W526" s="181" t="e">
        <f>IF(I529&gt;0,IF(S526&gt;L526,"READY STOCK",IF(S526=0,"OUT OF STOCK",IF(S526&lt;L526,"LOW STOCK",""))),"")</f>
        <v>#VALUE!</v>
      </c>
      <c r="X526" s="38"/>
      <c r="Y526" s="38"/>
      <c r="Z526" s="38"/>
      <c r="AA526" s="38"/>
      <c r="AB526" s="50">
        <v>46282</v>
      </c>
      <c r="AC526" s="181">
        <v>34338</v>
      </c>
      <c r="AD526" s="51">
        <v>10</v>
      </c>
      <c r="AE526" s="37" t="s">
        <v>383</v>
      </c>
      <c r="AF526" s="37" t="s">
        <v>381</v>
      </c>
      <c r="AG526" s="33" t="str">
        <f>IF(G526&gt;0,IF(AD526&gt;0,IF(AD526=0,"Waiting",IF(AD526&lt;L526,"Partial",IF(AD526=L526,"Full Supply",IF(AD526&gt;L526,"Over Shared")))),"Waiting"),"")</f>
        <v>Full Supply</v>
      </c>
      <c r="AH526" s="56">
        <v>46266</v>
      </c>
      <c r="AI526" s="37" t="s">
        <v>1130</v>
      </c>
      <c r="AJ526" s="181">
        <v>32</v>
      </c>
      <c r="AK526" s="40">
        <v>26347</v>
      </c>
      <c r="AL526" s="45">
        <v>46286</v>
      </c>
      <c r="AM526" s="40">
        <v>32</v>
      </c>
      <c r="AN526" s="37"/>
      <c r="AO526" s="239">
        <v>46296</v>
      </c>
      <c r="AP526" s="37"/>
      <c r="AQ526" s="37"/>
      <c r="AR526" s="37"/>
      <c r="AS526" s="37"/>
      <c r="AT526" s="37"/>
      <c r="AU526" s="37"/>
      <c r="AV526" s="37">
        <v>54614</v>
      </c>
      <c r="AW526" s="37"/>
      <c r="AX526" s="37"/>
      <c r="AY526" s="37"/>
      <c r="AZ526" s="181">
        <f>L526-AD526</f>
        <v>0</v>
      </c>
    </row>
    <row r="527" spans="1:52" ht="15.5" customHeight="1">
      <c r="A527" s="360" t="s">
        <v>372</v>
      </c>
      <c r="B527" s="340">
        <v>46265</v>
      </c>
      <c r="C527" s="181">
        <v>50345</v>
      </c>
      <c r="D527" s="30">
        <v>46265</v>
      </c>
      <c r="E527" s="30">
        <v>46263</v>
      </c>
      <c r="F527" s="30">
        <v>46280</v>
      </c>
      <c r="G527" s="37">
        <v>4420232424</v>
      </c>
      <c r="H527" s="37" t="s">
        <v>373</v>
      </c>
      <c r="I527" s="230">
        <v>9040022707</v>
      </c>
      <c r="J527" s="37" t="s">
        <v>79</v>
      </c>
      <c r="K527" s="325" t="s">
        <v>80</v>
      </c>
      <c r="L527" s="181">
        <v>3</v>
      </c>
      <c r="M527" s="181" t="s">
        <v>425</v>
      </c>
      <c r="N527" s="37" t="s">
        <v>434</v>
      </c>
      <c r="O527" s="31">
        <f>IF(F527&gt;0,F527-AB527,"")</f>
        <v>13</v>
      </c>
      <c r="P527" s="37" t="str">
        <f>IF(F527&gt;0,IF(AB527="","PLANNING SUPPLY",IF(AB527&lt;=F527,"ONTIME DELIVERY","DELAY")),"")</f>
        <v>ONTIME DELIVERY</v>
      </c>
      <c r="Q527" s="181" t="str">
        <f>IFERROR(IF(J527&gt;0,VLOOKUP(J527,#REF!,MATCH($Q$6,#REF!,0),0),""),"")</f>
        <v/>
      </c>
      <c r="R527" s="181" t="str">
        <f>IFERROR(IF(J527&gt;0,VLOOKUP(J527,#REF!,MATCH($R$6,#REF!,0),0),""),"")</f>
        <v/>
      </c>
      <c r="S527" s="181" t="e">
        <f>IF(I530&gt;0,Q527+R527,"")</f>
        <v>#VALUE!</v>
      </c>
      <c r="T527" s="181"/>
      <c r="U527" s="181"/>
      <c r="V527" s="37"/>
      <c r="W527" s="181" t="e">
        <f>IF(I530&gt;0,IF(S527&gt;L527,"READY STOCK",IF(S527=0,"OUT OF STOCK",IF(S527&lt;L527,"LOW STOCK",""))),"")</f>
        <v>#VALUE!</v>
      </c>
      <c r="X527" s="38"/>
      <c r="Y527" s="38"/>
      <c r="Z527" s="38"/>
      <c r="AA527" s="38"/>
      <c r="AB527" s="50">
        <v>46267</v>
      </c>
      <c r="AC527" s="181">
        <v>33991</v>
      </c>
      <c r="AD527" s="51">
        <v>3</v>
      </c>
      <c r="AE527" s="37" t="s">
        <v>383</v>
      </c>
      <c r="AF527" s="37" t="s">
        <v>381</v>
      </c>
      <c r="AG527" s="33" t="str">
        <f>IF(G527&gt;0,IF(AD527&gt;0,IF(AD527=0,"Waiting",IF(AD527&lt;L527,"Partial",IF(AD527=L527,"Full Supply",IF(AD527&gt;L527,"Over Shared")))),"Waiting"),"")</f>
        <v>Full Supply</v>
      </c>
      <c r="AH527" s="37"/>
      <c r="AI527" s="37"/>
      <c r="AJ527" s="181"/>
      <c r="AK527" s="40"/>
      <c r="AL527" s="40"/>
      <c r="AM527" s="40"/>
      <c r="AN527" s="37"/>
      <c r="AO527" s="34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181">
        <f>L527-AD527</f>
        <v>0</v>
      </c>
    </row>
    <row r="528" spans="1:52" ht="15.5" customHeight="1">
      <c r="A528" s="360" t="s">
        <v>372</v>
      </c>
      <c r="B528" s="340">
        <v>46265</v>
      </c>
      <c r="C528" s="181">
        <v>50345</v>
      </c>
      <c r="D528" s="30">
        <v>46265</v>
      </c>
      <c r="E528" s="30">
        <v>46263</v>
      </c>
      <c r="F528" s="30">
        <v>46280</v>
      </c>
      <c r="G528" s="37">
        <v>4420232424</v>
      </c>
      <c r="H528" s="37" t="s">
        <v>373</v>
      </c>
      <c r="I528" s="230">
        <v>9040044317</v>
      </c>
      <c r="J528" s="227" t="s">
        <v>143</v>
      </c>
      <c r="K528" s="325" t="s">
        <v>144</v>
      </c>
      <c r="L528" s="181">
        <v>3</v>
      </c>
      <c r="M528" s="181" t="s">
        <v>425</v>
      </c>
      <c r="N528" s="37" t="s">
        <v>434</v>
      </c>
      <c r="O528" s="31">
        <f>IF(F528&gt;0,F528-AB528,"")</f>
        <v>46280</v>
      </c>
      <c r="P528" s="37" t="str">
        <f>IF(F528&gt;0,IF(AB528="","PLANNING SUPPLY",IF(AB528&lt;=F528,"ONTIME DELIVERY","DELAY")),"")</f>
        <v>PLANNING SUPPLY</v>
      </c>
      <c r="Q528" s="181" t="str">
        <f>IFERROR(IF(J528&gt;0,VLOOKUP(J528,#REF!,MATCH($Q$6,#REF!,0),0),""),"")</f>
        <v/>
      </c>
      <c r="R528" s="181" t="str">
        <f>IFERROR(IF(J528&gt;0,VLOOKUP(J528,#REF!,MATCH($R$6,#REF!,0),0),""),"")</f>
        <v/>
      </c>
      <c r="S528" s="181" t="e">
        <f>IF(I531&gt;0,Q528+R528,"")</f>
        <v>#VALUE!</v>
      </c>
      <c r="T528" s="181"/>
      <c r="U528" s="181"/>
      <c r="V528" s="37"/>
      <c r="W528" s="181" t="e">
        <f>IF(I531&gt;0,IF(S528&gt;L528,"READY STOCK",IF(S528=0,"OUT OF STOCK",IF(S528&lt;L528,"LOW STOCK",""))),"")</f>
        <v>#VALUE!</v>
      </c>
      <c r="X528" s="38"/>
      <c r="Y528" s="38"/>
      <c r="Z528" s="38"/>
      <c r="AA528" s="38"/>
      <c r="AB528" s="57"/>
      <c r="AC528" s="181"/>
      <c r="AD528" s="53"/>
      <c r="AE528" s="58"/>
      <c r="AF528" s="58"/>
      <c r="AG528" s="33" t="str">
        <f>IF(G528&gt;0,IF(AD528&gt;0,IF(AD528=0,"Waiting",IF(AD528&lt;L528,"Partial",IF(AD528=L528,"Full Supply",IF(AD528&gt;L528,"Over Shared")))),"Waiting"),"")</f>
        <v>Waiting</v>
      </c>
      <c r="AH528" s="56">
        <v>46266</v>
      </c>
      <c r="AI528" s="37" t="s">
        <v>1130</v>
      </c>
      <c r="AJ528" s="181">
        <v>8</v>
      </c>
      <c r="AK528" s="40">
        <v>26348</v>
      </c>
      <c r="AL528" s="45">
        <v>46286</v>
      </c>
      <c r="AM528" s="40">
        <v>8</v>
      </c>
      <c r="AN528" s="37"/>
      <c r="AO528" s="239">
        <v>46295</v>
      </c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181">
        <f>L528-AD528</f>
        <v>3</v>
      </c>
    </row>
    <row r="529" spans="1:52" ht="15.5" customHeight="1">
      <c r="A529" s="360" t="s">
        <v>372</v>
      </c>
      <c r="B529" s="340">
        <v>46266</v>
      </c>
      <c r="C529" s="181">
        <v>50369</v>
      </c>
      <c r="D529" s="30">
        <v>46266</v>
      </c>
      <c r="E529" s="30">
        <v>46258</v>
      </c>
      <c r="F529" s="30">
        <v>46289</v>
      </c>
      <c r="G529" s="37">
        <v>4420232110</v>
      </c>
      <c r="H529" s="37" t="s">
        <v>373</v>
      </c>
      <c r="I529" s="37">
        <v>9040009391</v>
      </c>
      <c r="J529" s="37" t="s">
        <v>293</v>
      </c>
      <c r="K529" s="325" t="s">
        <v>294</v>
      </c>
      <c r="L529" s="181">
        <v>20</v>
      </c>
      <c r="M529" s="181" t="s">
        <v>425</v>
      </c>
      <c r="N529" s="37" t="s">
        <v>408</v>
      </c>
      <c r="O529" s="31">
        <f>IF(F529&gt;0,F529-AB529,"")</f>
        <v>-20</v>
      </c>
      <c r="P529" s="37" t="str">
        <f>IF(F529&gt;0,IF(AB529="","PLANNING SUPPLY",IF(AB529&lt;=F529,"ONTIME DELIVERY","DELAY")),"")</f>
        <v>DELAY</v>
      </c>
      <c r="Q529" s="181" t="str">
        <f>IFERROR(IF(J529&gt;0,VLOOKUP(J529,#REF!,MATCH($Q$6,#REF!,0),0),""),"")</f>
        <v/>
      </c>
      <c r="R529" s="181" t="str">
        <f>IFERROR(IF(J529&gt;0,VLOOKUP(J529,#REF!,MATCH($R$6,#REF!,0),0),""),"")</f>
        <v/>
      </c>
      <c r="S529" s="181" t="e">
        <f>IF(I532&gt;0,Q529+R529,"")</f>
        <v>#VALUE!</v>
      </c>
      <c r="T529" s="181"/>
      <c r="U529" s="181"/>
      <c r="V529" s="37"/>
      <c r="W529" s="181" t="e">
        <f>IF(I532&gt;0,IF(S529&gt;L529,"READY STOCK",IF(S529=0,"OUT OF STOCK",IF(S529&lt;L529,"LOW STOCK",""))),"")</f>
        <v>#VALUE!</v>
      </c>
      <c r="X529" s="38"/>
      <c r="Y529" s="38"/>
      <c r="Z529" s="38"/>
      <c r="AA529" s="38"/>
      <c r="AB529" s="50">
        <v>46309</v>
      </c>
      <c r="AC529" s="44">
        <v>35049</v>
      </c>
      <c r="AD529" s="51">
        <v>20</v>
      </c>
      <c r="AE529" s="37" t="s">
        <v>387</v>
      </c>
      <c r="AF529" s="37" t="s">
        <v>381</v>
      </c>
      <c r="AG529" s="33" t="str">
        <f>IF(G529&gt;0,IF(AD529&gt;0,IF(AD529=0,"Waiting",IF(AD529&lt;L529,"Partial",IF(AD529=L529,"Full Supply",IF(AD529&gt;L529,"Over Shared")))),"Waiting"),"")</f>
        <v>Full Supply</v>
      </c>
      <c r="AH529" s="37"/>
      <c r="AI529" s="37"/>
      <c r="AJ529" s="181"/>
      <c r="AK529" s="40"/>
      <c r="AL529" s="40"/>
      <c r="AM529" s="40"/>
      <c r="AN529" s="37"/>
      <c r="AO529" s="34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181">
        <f>L529-AD529</f>
        <v>0</v>
      </c>
    </row>
    <row r="530" spans="1:52" ht="15.5" customHeight="1">
      <c r="A530" s="360" t="s">
        <v>372</v>
      </c>
      <c r="B530" s="340">
        <v>46266</v>
      </c>
      <c r="C530" s="181">
        <v>50369</v>
      </c>
      <c r="D530" s="30">
        <v>46266</v>
      </c>
      <c r="E530" s="30">
        <v>46258</v>
      </c>
      <c r="F530" s="30">
        <v>46289</v>
      </c>
      <c r="G530" s="37">
        <v>4420232110</v>
      </c>
      <c r="H530" s="37" t="s">
        <v>373</v>
      </c>
      <c r="I530" s="37">
        <v>9040040446</v>
      </c>
      <c r="J530" s="37" t="s">
        <v>189</v>
      </c>
      <c r="K530" s="325" t="s">
        <v>190</v>
      </c>
      <c r="L530" s="181">
        <v>10</v>
      </c>
      <c r="M530" s="181" t="s">
        <v>421</v>
      </c>
      <c r="N530" s="37" t="s">
        <v>408</v>
      </c>
      <c r="O530" s="31">
        <f>IF(F530&gt;0,F530-AB530,"")</f>
        <v>-1</v>
      </c>
      <c r="P530" s="37" t="str">
        <f>IF(F530&gt;0,IF(AB530="","PLANNING SUPPLY",IF(AB530&lt;=F530,"ONTIME DELIVERY","DELAY")),"")</f>
        <v>DELAY</v>
      </c>
      <c r="Q530" s="181" t="str">
        <f>IFERROR(IF(J530&gt;0,VLOOKUP(J530,#REF!,MATCH($Q$6,#REF!,0),0),""),"")</f>
        <v/>
      </c>
      <c r="R530" s="181" t="str">
        <f>IFERROR(IF(J530&gt;0,VLOOKUP(J530,#REF!,MATCH($R$6,#REF!,0),0),""),"")</f>
        <v/>
      </c>
      <c r="S530" s="181" t="e">
        <f>IF(I533&gt;0,Q530+R530,"")</f>
        <v>#VALUE!</v>
      </c>
      <c r="T530" s="181"/>
      <c r="U530" s="181"/>
      <c r="V530" s="37"/>
      <c r="W530" s="181" t="e">
        <f>IF(I533&gt;0,IF(S530&gt;L530,"READY STOCK",IF(S530=0,"OUT OF STOCK",IF(S530&lt;L530,"LOW STOCK",""))),"")</f>
        <v>#VALUE!</v>
      </c>
      <c r="X530" s="38"/>
      <c r="Y530" s="38"/>
      <c r="Z530" s="38"/>
      <c r="AA530" s="38"/>
      <c r="AB530" s="50">
        <v>46290</v>
      </c>
      <c r="AC530" s="181" t="s">
        <v>1319</v>
      </c>
      <c r="AD530" s="51">
        <f>2+8</f>
        <v>10</v>
      </c>
      <c r="AE530" s="37" t="s">
        <v>383</v>
      </c>
      <c r="AF530" s="37" t="s">
        <v>381</v>
      </c>
      <c r="AG530" s="33" t="str">
        <f>IF(G530&gt;0,IF(AD530&gt;0,IF(AD530=0,"Waiting",IF(AD530&lt;L530,"Partial",IF(AD530=L530,"Full Supply",IF(AD530&gt;L530,"Over Shared")))),"Waiting"),"")</f>
        <v>Full Supply</v>
      </c>
      <c r="AH530" s="37"/>
      <c r="AI530" s="37"/>
      <c r="AJ530" s="181"/>
      <c r="AK530" s="40"/>
      <c r="AL530" s="40"/>
      <c r="AM530" s="40"/>
      <c r="AN530" s="37"/>
      <c r="AO530" s="34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181">
        <f>L530-AD530</f>
        <v>0</v>
      </c>
    </row>
    <row r="531" spans="1:52" ht="15.5" customHeight="1">
      <c r="A531" s="360" t="s">
        <v>372</v>
      </c>
      <c r="B531" s="340">
        <v>46266</v>
      </c>
      <c r="C531" s="181">
        <v>50369</v>
      </c>
      <c r="D531" s="30">
        <v>46266</v>
      </c>
      <c r="E531" s="30">
        <v>46258</v>
      </c>
      <c r="F531" s="30">
        <v>46289</v>
      </c>
      <c r="G531" s="37">
        <v>4420232110</v>
      </c>
      <c r="H531" s="37" t="s">
        <v>373</v>
      </c>
      <c r="I531" s="37">
        <v>9040040450</v>
      </c>
      <c r="J531" s="37" t="s">
        <v>176</v>
      </c>
      <c r="K531" s="325" t="s">
        <v>177</v>
      </c>
      <c r="L531" s="181">
        <v>1</v>
      </c>
      <c r="M531" s="181" t="s">
        <v>421</v>
      </c>
      <c r="N531" s="37" t="s">
        <v>408</v>
      </c>
      <c r="O531" s="31">
        <f>IF(F531&gt;0,F531-AB531,"")</f>
        <v>-20</v>
      </c>
      <c r="P531" s="37" t="str">
        <f>IF(F531&gt;0,IF(AB531="","PLANNING SUPPLY",IF(AB531&lt;=F531,"ONTIME DELIVERY","DELAY")),"")</f>
        <v>DELAY</v>
      </c>
      <c r="Q531" s="181" t="str">
        <f>IFERROR(IF(J531&gt;0,VLOOKUP(J531,#REF!,MATCH($Q$6,#REF!,0),0),""),"")</f>
        <v/>
      </c>
      <c r="R531" s="181" t="str">
        <f>IFERROR(IF(J531&gt;0,VLOOKUP(J531,#REF!,MATCH($R$6,#REF!,0),0),""),"")</f>
        <v/>
      </c>
      <c r="S531" s="181" t="e">
        <f>IF(I534&gt;0,Q531+R531,"")</f>
        <v>#VALUE!</v>
      </c>
      <c r="T531" s="181"/>
      <c r="U531" s="181"/>
      <c r="V531" s="37"/>
      <c r="W531" s="181" t="e">
        <f>IF(I534&gt;0,IF(S531&gt;L531,"READY STOCK",IF(S531=0,"OUT OF STOCK",IF(S531&lt;L531,"LOW STOCK",""))),"")</f>
        <v>#VALUE!</v>
      </c>
      <c r="X531" s="38"/>
      <c r="Y531" s="38"/>
      <c r="Z531" s="38"/>
      <c r="AA531" s="38"/>
      <c r="AB531" s="50">
        <v>46309</v>
      </c>
      <c r="AC531" s="44">
        <v>35049</v>
      </c>
      <c r="AD531" s="51">
        <v>1</v>
      </c>
      <c r="AE531" s="37" t="s">
        <v>387</v>
      </c>
      <c r="AF531" s="37" t="s">
        <v>381</v>
      </c>
      <c r="AG531" s="33" t="str">
        <f>IF(G531&gt;0,IF(AD531&gt;0,IF(AD531=0,"Waiting",IF(AD531&lt;L531,"Partial",IF(AD531=L531,"Full Supply",IF(AD531&gt;L531,"Over Shared")))),"Waiting"),"")</f>
        <v>Full Supply</v>
      </c>
      <c r="AH531" s="56">
        <v>46268</v>
      </c>
      <c r="AI531" s="37" t="s">
        <v>1294</v>
      </c>
      <c r="AJ531" s="181">
        <v>1</v>
      </c>
      <c r="AK531" s="40">
        <v>26395</v>
      </c>
      <c r="AL531" s="218">
        <v>46287</v>
      </c>
      <c r="AM531" s="40">
        <v>1</v>
      </c>
      <c r="AN531" s="37"/>
      <c r="AO531" s="41">
        <v>46293</v>
      </c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181">
        <f>L531-AD531</f>
        <v>0</v>
      </c>
    </row>
    <row r="532" spans="1:52" ht="15.5" customHeight="1">
      <c r="A532" s="360" t="s">
        <v>372</v>
      </c>
      <c r="B532" s="340">
        <v>46266</v>
      </c>
      <c r="C532" s="181">
        <v>50369</v>
      </c>
      <c r="D532" s="30">
        <v>46266</v>
      </c>
      <c r="E532" s="30">
        <v>46258</v>
      </c>
      <c r="F532" s="30">
        <v>46289</v>
      </c>
      <c r="G532" s="37">
        <v>4420232110</v>
      </c>
      <c r="H532" s="37" t="s">
        <v>373</v>
      </c>
      <c r="I532" s="37">
        <v>9040040834</v>
      </c>
      <c r="J532" s="37" t="s">
        <v>207</v>
      </c>
      <c r="K532" s="325" t="s">
        <v>208</v>
      </c>
      <c r="L532" s="181">
        <v>1</v>
      </c>
      <c r="M532" s="181" t="s">
        <v>389</v>
      </c>
      <c r="N532" s="37" t="s">
        <v>408</v>
      </c>
      <c r="O532" s="31">
        <f>IF(F532&gt;0,F532-AB532,"")</f>
        <v>-1</v>
      </c>
      <c r="P532" s="37" t="str">
        <f>IF(F532&gt;0,IF(AB532="","PLANNING SUPPLY",IF(AB532&lt;=F532,"ONTIME DELIVERY","DELAY")),"")</f>
        <v>DELAY</v>
      </c>
      <c r="Q532" s="181" t="str">
        <f>IFERROR(IF(J532&gt;0,VLOOKUP(J532,#REF!,MATCH($Q$6,#REF!,0),0),""),"")</f>
        <v/>
      </c>
      <c r="R532" s="181" t="str">
        <f>IFERROR(IF(J532&gt;0,VLOOKUP(J532,#REF!,MATCH($R$6,#REF!,0),0),""),"")</f>
        <v/>
      </c>
      <c r="S532" s="181" t="e">
        <f>IF(I535&gt;0,Q532+R532,"")</f>
        <v>#VALUE!</v>
      </c>
      <c r="T532" s="181"/>
      <c r="U532" s="181"/>
      <c r="V532" s="37"/>
      <c r="W532" s="181" t="e">
        <f>IF(I535&gt;0,IF(S532&gt;L532,"READY STOCK",IF(S532=0,"OUT OF STOCK",IF(S532&lt;L532,"LOW STOCK",""))),"")</f>
        <v>#VALUE!</v>
      </c>
      <c r="X532" s="38"/>
      <c r="Y532" s="38"/>
      <c r="Z532" s="38"/>
      <c r="AA532" s="38"/>
      <c r="AB532" s="50">
        <v>46290</v>
      </c>
      <c r="AC532" s="181">
        <v>34579</v>
      </c>
      <c r="AD532" s="51">
        <v>1</v>
      </c>
      <c r="AE532" s="37" t="s">
        <v>383</v>
      </c>
      <c r="AF532" s="37" t="s">
        <v>381</v>
      </c>
      <c r="AG532" s="33" t="str">
        <f>IF(G532&gt;0,IF(AD532&gt;0,IF(AD532=0,"Waiting",IF(AD532&lt;L532,"Partial",IF(AD532=L532,"Full Supply",IF(AD532&gt;L532,"Over Shared")))),"Waiting"),"")</f>
        <v>Full Supply</v>
      </c>
      <c r="AH532" s="37"/>
      <c r="AI532" s="37"/>
      <c r="AJ532" s="181"/>
      <c r="AK532" s="40"/>
      <c r="AL532" s="40"/>
      <c r="AM532" s="40"/>
      <c r="AN532" s="37"/>
      <c r="AO532" s="34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181">
        <f>L532-AD532</f>
        <v>0</v>
      </c>
    </row>
    <row r="533" spans="1:52" ht="15.5" customHeight="1">
      <c r="A533" s="360" t="s">
        <v>372</v>
      </c>
      <c r="B533" s="340">
        <v>46266</v>
      </c>
      <c r="C533" s="181">
        <v>50370</v>
      </c>
      <c r="D533" s="30">
        <v>46266</v>
      </c>
      <c r="E533" s="30">
        <v>46249</v>
      </c>
      <c r="F533" s="30">
        <v>46290</v>
      </c>
      <c r="G533" s="37">
        <v>4420231560</v>
      </c>
      <c r="H533" s="37" t="s">
        <v>373</v>
      </c>
      <c r="I533" s="230">
        <v>9040017811</v>
      </c>
      <c r="J533" s="37" t="s">
        <v>155</v>
      </c>
      <c r="K533" s="325" t="s">
        <v>156</v>
      </c>
      <c r="L533" s="181">
        <v>4</v>
      </c>
      <c r="M533" s="181" t="s">
        <v>375</v>
      </c>
      <c r="N533" s="37" t="s">
        <v>482</v>
      </c>
      <c r="O533" s="31">
        <f>IF(F533&gt;0,F533-AB533,"")</f>
        <v>46290</v>
      </c>
      <c r="P533" s="37" t="str">
        <f>IF(F533&gt;0,IF(AB533="","PLANNING SUPPLY",IF(AB533&lt;=F533,"ONTIME DELIVERY","DELAY")),"")</f>
        <v>PLANNING SUPPLY</v>
      </c>
      <c r="Q533" s="181" t="str">
        <f>IFERROR(IF(F533&gt;0,VLOOKUP(F533,#REF!,MATCH($Q$6,#REF!,0),0),""),"")</f>
        <v/>
      </c>
      <c r="R533" s="181" t="str">
        <f>IFERROR(IF(F533&gt;0,VLOOKUP(F533,#REF!,MATCH($R$6,#REF!,0),0),""),"")</f>
        <v/>
      </c>
      <c r="S533" s="181" t="e">
        <f>IF(I536&gt;0,Q533+R533,"")</f>
        <v>#VALUE!</v>
      </c>
      <c r="T533" s="181"/>
      <c r="U533" s="181"/>
      <c r="V533" s="37"/>
      <c r="W533" s="181" t="e">
        <f>IF(I536&gt;0,IF(S533&gt;L533,"READY STOCK",IF(S533=0,"OUT OF STOCK",IF(S533&lt;L533,"LOW STOCK",""))),"")</f>
        <v>#VALUE!</v>
      </c>
      <c r="X533" s="38"/>
      <c r="Y533" s="38"/>
      <c r="Z533" s="38"/>
      <c r="AA533" s="38"/>
      <c r="AB533" s="50"/>
      <c r="AC533" s="181"/>
      <c r="AD533" s="51"/>
      <c r="AE533" s="37"/>
      <c r="AF533" s="37"/>
      <c r="AG533" s="33" t="str">
        <f>IF(G533&gt;0,IF(AD533&gt;0,IF(AD533=0,"Waiting",IF(AD533&lt;L533,"Partial",IF(AD533=L533,"Full Supply",IF(AD533&gt;L533,"Over Shared")))),"Waiting"),"")</f>
        <v>Waiting</v>
      </c>
      <c r="AH533" s="56">
        <v>46267</v>
      </c>
      <c r="AI533" s="37" t="s">
        <v>1312</v>
      </c>
      <c r="AJ533" s="181">
        <v>4</v>
      </c>
      <c r="AK533" s="40">
        <v>26180</v>
      </c>
      <c r="AL533" s="42">
        <v>46269</v>
      </c>
      <c r="AM533" s="40">
        <v>4</v>
      </c>
      <c r="AN533" s="37"/>
      <c r="AO533" s="41">
        <v>46289</v>
      </c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181">
        <f>L533-AD533</f>
        <v>4</v>
      </c>
    </row>
    <row r="534" spans="1:52" ht="15.5" customHeight="1">
      <c r="A534" s="360" t="s">
        <v>372</v>
      </c>
      <c r="B534" s="340">
        <v>46266</v>
      </c>
      <c r="C534" s="181">
        <v>50370</v>
      </c>
      <c r="D534" s="30">
        <v>46266</v>
      </c>
      <c r="E534" s="30">
        <v>46249</v>
      </c>
      <c r="F534" s="30">
        <v>46290</v>
      </c>
      <c r="G534" s="37">
        <v>4420231560</v>
      </c>
      <c r="H534" s="37" t="s">
        <v>373</v>
      </c>
      <c r="I534" s="230">
        <v>9040040588</v>
      </c>
      <c r="J534" s="37" t="s">
        <v>76</v>
      </c>
      <c r="K534" s="325" t="s">
        <v>77</v>
      </c>
      <c r="L534" s="181">
        <v>10</v>
      </c>
      <c r="M534" s="181" t="s">
        <v>375</v>
      </c>
      <c r="N534" s="37" t="s">
        <v>482</v>
      </c>
      <c r="O534" s="31">
        <f>IF(F534&gt;0,F534-AB534,"")</f>
        <v>18</v>
      </c>
      <c r="P534" s="37" t="str">
        <f>IF(F534&gt;0,IF(AB534="","PLANNING SUPPLY",IF(AB534&lt;=F534,"ONTIME DELIVERY","DELAY")),"")</f>
        <v>ONTIME DELIVERY</v>
      </c>
      <c r="Q534" s="181" t="str">
        <f>IFERROR(IF(J534&gt;0,VLOOKUP(J534,#REF!,MATCH($Q$6,#REF!,0),0),""),"")</f>
        <v/>
      </c>
      <c r="R534" s="181" t="str">
        <f>IFERROR(IF(J534&gt;0,VLOOKUP(J534,#REF!,MATCH($R$6,#REF!,0),0),""),"")</f>
        <v/>
      </c>
      <c r="S534" s="181" t="e">
        <f>IF(I537&gt;0,Q534+R534,"")</f>
        <v>#VALUE!</v>
      </c>
      <c r="T534" s="181"/>
      <c r="U534" s="181"/>
      <c r="V534" s="37"/>
      <c r="W534" s="181" t="e">
        <f>IF(I537&gt;0,IF(S534&gt;L534,"READY STOCK",IF(S534=0,"OUT OF STOCK",IF(S534&lt;L534,"LOW STOCK",""))),"")</f>
        <v>#VALUE!</v>
      </c>
      <c r="X534" s="38"/>
      <c r="Y534" s="38"/>
      <c r="Z534" s="38"/>
      <c r="AA534" s="38"/>
      <c r="AB534" s="50">
        <v>46272</v>
      </c>
      <c r="AC534" s="181">
        <v>34090</v>
      </c>
      <c r="AD534" s="51">
        <v>10</v>
      </c>
      <c r="AE534" s="37" t="s">
        <v>383</v>
      </c>
      <c r="AF534" s="37" t="s">
        <v>381</v>
      </c>
      <c r="AG534" s="33" t="str">
        <f>IF(G534&gt;0,IF(AD534&gt;0,IF(AD534=0,"Waiting",IF(AD534&lt;L534,"Partial",IF(AD534=L534,"Full Supply",IF(AD534&gt;L534,"Over Shared")))),"Waiting"),"")</f>
        <v>Full Supply</v>
      </c>
      <c r="AH534" s="56">
        <v>46268</v>
      </c>
      <c r="AI534" s="37" t="s">
        <v>1294</v>
      </c>
      <c r="AJ534" s="181">
        <v>51</v>
      </c>
      <c r="AK534" s="40">
        <v>26390</v>
      </c>
      <c r="AL534" s="218">
        <v>46287</v>
      </c>
      <c r="AM534" s="40">
        <v>51</v>
      </c>
      <c r="AN534" s="37"/>
      <c r="AO534" s="41">
        <v>46293</v>
      </c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181">
        <f>L534-AD534</f>
        <v>0</v>
      </c>
    </row>
    <row r="535" spans="1:52" ht="15.5" customHeight="1">
      <c r="A535" s="360" t="s">
        <v>372</v>
      </c>
      <c r="B535" s="340">
        <v>46266</v>
      </c>
      <c r="C535" s="181">
        <v>50370</v>
      </c>
      <c r="D535" s="30">
        <v>46266</v>
      </c>
      <c r="E535" s="30">
        <v>46249</v>
      </c>
      <c r="F535" s="30">
        <v>46290</v>
      </c>
      <c r="G535" s="37">
        <v>4420231560</v>
      </c>
      <c r="H535" s="37" t="s">
        <v>373</v>
      </c>
      <c r="I535" s="230">
        <v>9040040699</v>
      </c>
      <c r="J535" s="37" t="s">
        <v>27</v>
      </c>
      <c r="K535" s="325" t="s">
        <v>28</v>
      </c>
      <c r="L535" s="181">
        <v>4</v>
      </c>
      <c r="M535" s="181" t="s">
        <v>375</v>
      </c>
      <c r="N535" s="37" t="s">
        <v>482</v>
      </c>
      <c r="O535" s="31">
        <f>IF(F535&gt;0,F535-AB535,"")</f>
        <v>15</v>
      </c>
      <c r="P535" s="37" t="str">
        <f>IF(F535&gt;0,IF(AB535="","PLANNING SUPPLY",IF(AB535&lt;=F535,"ONTIME DELIVERY","DELAY")),"")</f>
        <v>ONTIME DELIVERY</v>
      </c>
      <c r="Q535" s="181" t="str">
        <f>IFERROR(IF(J535&gt;0,VLOOKUP(J535,#REF!,MATCH($Q$6,#REF!,0),0),""),"")</f>
        <v/>
      </c>
      <c r="R535" s="181" t="str">
        <f>IFERROR(IF(J535&gt;0,VLOOKUP(J535,#REF!,MATCH($R$6,#REF!,0),0),""),"")</f>
        <v/>
      </c>
      <c r="S535" s="181" t="e">
        <f>IF(I538&gt;0,Q535+R535,"")</f>
        <v>#VALUE!</v>
      </c>
      <c r="T535" s="181"/>
      <c r="U535" s="181"/>
      <c r="V535" s="37"/>
      <c r="W535" s="181" t="e">
        <f>IF(I538&gt;0,IF(S535&gt;L535,"READY STOCK",IF(S535=0,"OUT OF STOCK",IF(S535&lt;L535,"LOW STOCK",""))),"")</f>
        <v>#VALUE!</v>
      </c>
      <c r="X535" s="38"/>
      <c r="Y535" s="38"/>
      <c r="Z535" s="38"/>
      <c r="AA535" s="38"/>
      <c r="AB535" s="50">
        <v>46275</v>
      </c>
      <c r="AC535" s="181">
        <v>34165</v>
      </c>
      <c r="AD535" s="51">
        <v>4</v>
      </c>
      <c r="AE535" s="37" t="s">
        <v>383</v>
      </c>
      <c r="AF535" s="37" t="s">
        <v>381</v>
      </c>
      <c r="AG535" s="33" t="str">
        <f>IF(G535&gt;0,IF(AD535&gt;0,IF(AD535=0,"Waiting",IF(AD535&lt;L535,"Partial",IF(AD535=L535,"Full Supply",IF(AD535&gt;L535,"Over Shared")))),"Waiting"),"")</f>
        <v>Full Supply</v>
      </c>
      <c r="AH535" s="37"/>
      <c r="AI535" s="37"/>
      <c r="AJ535" s="181"/>
      <c r="AK535" s="40"/>
      <c r="AL535" s="40"/>
      <c r="AM535" s="40"/>
      <c r="AN535" s="37"/>
      <c r="AO535" s="34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181">
        <f>L535-AD535</f>
        <v>0</v>
      </c>
    </row>
    <row r="536" spans="1:52" ht="15.5" customHeight="1">
      <c r="A536" s="360" t="s">
        <v>372</v>
      </c>
      <c r="B536" s="340">
        <v>46266</v>
      </c>
      <c r="C536" s="181">
        <v>50370</v>
      </c>
      <c r="D536" s="30">
        <v>46266</v>
      </c>
      <c r="E536" s="30">
        <v>46249</v>
      </c>
      <c r="F536" s="30">
        <v>46290</v>
      </c>
      <c r="G536" s="37">
        <v>4420231560</v>
      </c>
      <c r="H536" s="37" t="s">
        <v>373</v>
      </c>
      <c r="I536" s="230">
        <v>9040001301</v>
      </c>
      <c r="J536" s="37" t="s">
        <v>33</v>
      </c>
      <c r="K536" s="325" t="s">
        <v>34</v>
      </c>
      <c r="L536" s="181">
        <v>2</v>
      </c>
      <c r="M536" s="181" t="s">
        <v>375</v>
      </c>
      <c r="N536" s="37" t="s">
        <v>482</v>
      </c>
      <c r="O536" s="31">
        <f>IF(F536&gt;0,F536-AB536,"")</f>
        <v>-27</v>
      </c>
      <c r="P536" s="37" t="str">
        <f>IF(F536&gt;0,IF(AB536="","PLANNING SUPPLY",IF(AB536&lt;=F536,"ONTIME DELIVERY","DELAY")),"")</f>
        <v>DELAY</v>
      </c>
      <c r="Q536" s="181" t="str">
        <f>IFERROR(IF(J536&gt;0,VLOOKUP(J536,#REF!,MATCH($Q$6,#REF!,0),0),""),"")</f>
        <v/>
      </c>
      <c r="R536" s="181" t="str">
        <f>IFERROR(IF(J536&gt;0,VLOOKUP(J536,#REF!,MATCH($R$6,#REF!,0),0),""),"")</f>
        <v/>
      </c>
      <c r="S536" s="181" t="e">
        <f>IF(I539&gt;0,Q536+R536,"")</f>
        <v>#VALUE!</v>
      </c>
      <c r="T536" s="181"/>
      <c r="U536" s="181"/>
      <c r="V536" s="37"/>
      <c r="W536" s="181" t="e">
        <f>IF(I539&gt;0,IF(S536&gt;L536,"READY STOCK",IF(S536=0,"OUT OF STOCK",IF(S536&lt;L536,"LOW STOCK",""))),"")</f>
        <v>#VALUE!</v>
      </c>
      <c r="X536" s="38"/>
      <c r="Y536" s="38"/>
      <c r="Z536" s="38"/>
      <c r="AA536" s="38"/>
      <c r="AB536" s="50">
        <v>46317</v>
      </c>
      <c r="AC536" s="231" t="s">
        <v>1320</v>
      </c>
      <c r="AD536" s="51">
        <v>2</v>
      </c>
      <c r="AE536" s="37" t="s">
        <v>387</v>
      </c>
      <c r="AF536" s="37" t="s">
        <v>381</v>
      </c>
      <c r="AG536" s="33" t="str">
        <f>IF(G536&gt;0,IF(AD536&gt;0,IF(AD536=0,"Waiting",IF(AD536&lt;L536,"Partial",IF(AD536=L536,"Full Supply",IF(AD536&gt;L536,"Over Shared")))),"Waiting"),"")</f>
        <v>Full Supply</v>
      </c>
      <c r="AH536" s="37"/>
      <c r="AI536" s="37"/>
      <c r="AJ536" s="181"/>
      <c r="AK536" s="40"/>
      <c r="AL536" s="40"/>
      <c r="AM536" s="40"/>
      <c r="AN536" s="37"/>
      <c r="AO536" s="34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181">
        <f>L536-AD536</f>
        <v>0</v>
      </c>
    </row>
    <row r="537" spans="1:52" ht="15.5" customHeight="1">
      <c r="A537" s="360" t="s">
        <v>372</v>
      </c>
      <c r="B537" s="340">
        <v>46266</v>
      </c>
      <c r="C537" s="181">
        <v>50370</v>
      </c>
      <c r="D537" s="30">
        <v>46266</v>
      </c>
      <c r="E537" s="30">
        <v>46249</v>
      </c>
      <c r="F537" s="30">
        <v>46290</v>
      </c>
      <c r="G537" s="37">
        <v>4420231560</v>
      </c>
      <c r="H537" s="37" t="s">
        <v>373</v>
      </c>
      <c r="I537" s="37">
        <v>9040014955</v>
      </c>
      <c r="J537" s="37" t="s">
        <v>27</v>
      </c>
      <c r="K537" s="325" t="s">
        <v>28</v>
      </c>
      <c r="L537" s="181">
        <v>2</v>
      </c>
      <c r="M537" s="181" t="s">
        <v>375</v>
      </c>
      <c r="N537" s="37" t="s">
        <v>482</v>
      </c>
      <c r="O537" s="31">
        <f>IF(F537&gt;0,F537-AB537,"")</f>
        <v>15</v>
      </c>
      <c r="P537" s="37" t="str">
        <f>IF(F537&gt;0,IF(AB537="","PLANNING SUPPLY",IF(AB537&lt;=F537,"ONTIME DELIVERY","DELAY")),"")</f>
        <v>ONTIME DELIVERY</v>
      </c>
      <c r="Q537" s="181" t="str">
        <f>IFERROR(IF(J537&gt;0,VLOOKUP(J537,#REF!,MATCH($Q$6,#REF!,0),0),""),"")</f>
        <v/>
      </c>
      <c r="R537" s="181" t="str">
        <f>IFERROR(IF(J537&gt;0,VLOOKUP(J537,#REF!,MATCH($R$6,#REF!,0),0),""),"")</f>
        <v/>
      </c>
      <c r="S537" s="181" t="e">
        <f>IF(I540&gt;0,Q537+R537,"")</f>
        <v>#VALUE!</v>
      </c>
      <c r="T537" s="181"/>
      <c r="U537" s="181"/>
      <c r="V537" s="37"/>
      <c r="W537" s="181" t="e">
        <f>IF(I540&gt;0,IF(S537&gt;L537,"READY STOCK",IF(S537=0,"OUT OF STOCK",IF(S537&lt;L537,"LOW STOCK",""))),"")</f>
        <v>#VALUE!</v>
      </c>
      <c r="X537" s="38"/>
      <c r="Y537" s="38"/>
      <c r="Z537" s="38"/>
      <c r="AA537" s="38"/>
      <c r="AB537" s="50">
        <v>46275</v>
      </c>
      <c r="AC537" s="181">
        <v>34165</v>
      </c>
      <c r="AD537" s="51">
        <v>2</v>
      </c>
      <c r="AE537" s="37" t="s">
        <v>383</v>
      </c>
      <c r="AF537" s="37" t="s">
        <v>381</v>
      </c>
      <c r="AG537" s="33" t="str">
        <f>IF(G537&gt;0,IF(AD537&gt;0,IF(AD537=0,"Waiting",IF(AD537&lt;L537,"Partial",IF(AD537=L537,"Full Supply",IF(AD537&gt;L537,"Over Shared")))),"Waiting"),"")</f>
        <v>Full Supply</v>
      </c>
      <c r="AH537" s="37"/>
      <c r="AI537" s="37"/>
      <c r="AJ537" s="181"/>
      <c r="AK537" s="40"/>
      <c r="AL537" s="40"/>
      <c r="AM537" s="40"/>
      <c r="AN537" s="37"/>
      <c r="AO537" s="34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181">
        <f>L537-AD537</f>
        <v>0</v>
      </c>
    </row>
    <row r="538" spans="1:52" ht="15.5" customHeight="1">
      <c r="A538" s="360" t="s">
        <v>372</v>
      </c>
      <c r="B538" s="340">
        <v>46266</v>
      </c>
      <c r="C538" s="181">
        <v>50370</v>
      </c>
      <c r="D538" s="30">
        <v>46266</v>
      </c>
      <c r="E538" s="30">
        <v>46249</v>
      </c>
      <c r="F538" s="30">
        <v>46290</v>
      </c>
      <c r="G538" s="37">
        <v>4420231560</v>
      </c>
      <c r="H538" s="37" t="s">
        <v>373</v>
      </c>
      <c r="I538" s="37">
        <v>9040040403</v>
      </c>
      <c r="J538" s="37" t="s">
        <v>299</v>
      </c>
      <c r="K538" s="325" t="s">
        <v>300</v>
      </c>
      <c r="L538" s="181">
        <v>10</v>
      </c>
      <c r="M538" s="181" t="s">
        <v>375</v>
      </c>
      <c r="N538" s="37" t="s">
        <v>482</v>
      </c>
      <c r="O538" s="31">
        <f>IF(F538&gt;0,F538-AB538,"")</f>
        <v>-10</v>
      </c>
      <c r="P538" s="37" t="str">
        <f>IF(F538&gt;0,IF(AB538="","PLANNING SUPPLY",IF(AB538&lt;=F538,"ONTIME DELIVERY","DELAY")),"")</f>
        <v>DELAY</v>
      </c>
      <c r="Q538" s="181" t="str">
        <f>IFERROR(IF(J538&gt;0,VLOOKUP(J538,#REF!,MATCH($Q$6,#REF!,0),0),""),"")</f>
        <v/>
      </c>
      <c r="R538" s="181" t="str">
        <f>IFERROR(IF(J538&gt;0,VLOOKUP(J538,#REF!,MATCH($R$6,#REF!,0),0),""),"")</f>
        <v/>
      </c>
      <c r="S538" s="181" t="e">
        <f>IF(I541&gt;0,Q538+R538,"")</f>
        <v>#VALUE!</v>
      </c>
      <c r="T538" s="181"/>
      <c r="U538" s="181"/>
      <c r="V538" s="37"/>
      <c r="W538" s="181" t="e">
        <f>IF(I541&gt;0,IF(S538&gt;L538,"READY STOCK",IF(S538=0,"OUT OF STOCK",IF(S538&lt;L538,"LOW STOCK",""))),"")</f>
        <v>#VALUE!</v>
      </c>
      <c r="X538" s="38"/>
      <c r="Y538" s="38"/>
      <c r="Z538" s="38"/>
      <c r="AA538" s="38"/>
      <c r="AB538" s="50">
        <v>46300</v>
      </c>
      <c r="AC538" s="44">
        <v>34719</v>
      </c>
      <c r="AD538" s="51">
        <v>10</v>
      </c>
      <c r="AE538" s="37" t="s">
        <v>387</v>
      </c>
      <c r="AF538" s="37" t="s">
        <v>381</v>
      </c>
      <c r="AG538" s="33" t="str">
        <f>IF(G538&gt;0,IF(AD538&gt;0,IF(AD538=0,"Waiting",IF(AD538&lt;L538,"Partial",IF(AD538=L538,"Full Supply",IF(AD538&gt;L538,"Over Shared")))),"Waiting"),"")</f>
        <v>Full Supply</v>
      </c>
      <c r="AH538" s="37"/>
      <c r="AI538" s="37"/>
      <c r="AJ538" s="181"/>
      <c r="AK538" s="40"/>
      <c r="AL538" s="40"/>
      <c r="AM538" s="40"/>
      <c r="AN538" s="37"/>
      <c r="AO538" s="34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181">
        <f>L538-AD538</f>
        <v>0</v>
      </c>
    </row>
    <row r="539" spans="1:52" ht="15.5" customHeight="1">
      <c r="A539" s="360" t="s">
        <v>372</v>
      </c>
      <c r="B539" s="340">
        <v>46266</v>
      </c>
      <c r="C539" s="181">
        <v>50370</v>
      </c>
      <c r="D539" s="30">
        <v>46266</v>
      </c>
      <c r="E539" s="30">
        <v>46249</v>
      </c>
      <c r="F539" s="30">
        <v>46290</v>
      </c>
      <c r="G539" s="37">
        <v>4420231560</v>
      </c>
      <c r="H539" s="37" t="s">
        <v>373</v>
      </c>
      <c r="I539" s="230">
        <v>9040052369</v>
      </c>
      <c r="J539" s="37" t="s">
        <v>199</v>
      </c>
      <c r="K539" s="325" t="s">
        <v>200</v>
      </c>
      <c r="L539" s="181">
        <v>50</v>
      </c>
      <c r="M539" s="181" t="s">
        <v>375</v>
      </c>
      <c r="N539" s="37" t="s">
        <v>482</v>
      </c>
      <c r="O539" s="31">
        <f>IF(F539&gt;0,F539-AB539,"")</f>
        <v>-10</v>
      </c>
      <c r="P539" s="37" t="str">
        <f>IF(F539&gt;0,IF(AB539="","PLANNING SUPPLY",IF(AB539&lt;=F539,"ONTIME DELIVERY","DELAY")),"")</f>
        <v>DELAY</v>
      </c>
      <c r="Q539" s="181" t="str">
        <f>IFERROR(IF(J539&gt;0,VLOOKUP(J539,#REF!,MATCH($Q$6,#REF!,0),0),""),"")</f>
        <v/>
      </c>
      <c r="R539" s="181" t="str">
        <f>IFERROR(IF(J539&gt;0,VLOOKUP(J539,#REF!,MATCH($R$6,#REF!,0),0),""),"")</f>
        <v/>
      </c>
      <c r="S539" s="181" t="e">
        <f>IF(I542&gt;0,Q539+R539,"")</f>
        <v>#VALUE!</v>
      </c>
      <c r="T539" s="181"/>
      <c r="U539" s="181"/>
      <c r="V539" s="37"/>
      <c r="W539" s="181" t="e">
        <f>IF(I542&gt;0,IF(S539&gt;L539,"READY STOCK",IF(S539=0,"OUT OF STOCK",IF(S539&lt;L539,"LOW STOCK",""))),"")</f>
        <v>#VALUE!</v>
      </c>
      <c r="X539" s="38"/>
      <c r="Y539" s="38"/>
      <c r="Z539" s="38"/>
      <c r="AA539" s="38"/>
      <c r="AB539" s="50">
        <v>46300</v>
      </c>
      <c r="AC539" s="44">
        <v>34719</v>
      </c>
      <c r="AD539" s="51">
        <v>50</v>
      </c>
      <c r="AE539" s="37" t="s">
        <v>387</v>
      </c>
      <c r="AF539" s="37" t="s">
        <v>381</v>
      </c>
      <c r="AG539" s="33" t="str">
        <f>IF(G539&gt;0,IF(AD539&gt;0,IF(AD539=0,"Waiting",IF(AD539&lt;L539,"Partial",IF(AD539=L539,"Full Supply",IF(AD539&gt;L539,"Over Shared")))),"Waiting"),"")</f>
        <v>Full Supply</v>
      </c>
      <c r="AH539" s="37"/>
      <c r="AI539" s="37"/>
      <c r="AJ539" s="181"/>
      <c r="AK539" s="40"/>
      <c r="AL539" s="40"/>
      <c r="AM539" s="40"/>
      <c r="AN539" s="37"/>
      <c r="AO539" s="34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181">
        <f>L539-AD539</f>
        <v>0</v>
      </c>
    </row>
    <row r="540" spans="1:52" ht="15.5" customHeight="1">
      <c r="A540" s="360" t="s">
        <v>372</v>
      </c>
      <c r="B540" s="340">
        <v>46266</v>
      </c>
      <c r="C540" s="181">
        <v>50370</v>
      </c>
      <c r="D540" s="30">
        <v>46266</v>
      </c>
      <c r="E540" s="30">
        <v>46249</v>
      </c>
      <c r="F540" s="30">
        <v>46290</v>
      </c>
      <c r="G540" s="37">
        <v>4420231560</v>
      </c>
      <c r="H540" s="37" t="s">
        <v>373</v>
      </c>
      <c r="I540" s="230">
        <v>9040052401</v>
      </c>
      <c r="J540" s="37" t="s">
        <v>252</v>
      </c>
      <c r="K540" s="325" t="s">
        <v>253</v>
      </c>
      <c r="L540" s="181">
        <v>10</v>
      </c>
      <c r="M540" s="181" t="s">
        <v>375</v>
      </c>
      <c r="N540" s="37" t="s">
        <v>482</v>
      </c>
      <c r="O540" s="31">
        <f>IF(F540&gt;0,F540-AB540,"")</f>
        <v>-4</v>
      </c>
      <c r="P540" s="37" t="str">
        <f>IF(F540&gt;0,IF(AB540="","PLANNING SUPPLY",IF(AB540&lt;=F540,"ONTIME DELIVERY","DELAY")),"")</f>
        <v>DELAY</v>
      </c>
      <c r="Q540" s="181" t="str">
        <f>IFERROR(IF(J540&gt;0,VLOOKUP(J540,#REF!,MATCH($Q$6,#REF!,0),0),""),"")</f>
        <v/>
      </c>
      <c r="R540" s="181" t="str">
        <f>IFERROR(IF(J540&gt;0,VLOOKUP(J540,#REF!,MATCH($R$6,#REF!,0),0),""),"")</f>
        <v/>
      </c>
      <c r="S540" s="181" t="e">
        <f>IF(I543&gt;0,Q540+R540,"")</f>
        <v>#VALUE!</v>
      </c>
      <c r="T540" s="181"/>
      <c r="U540" s="181"/>
      <c r="V540" s="37"/>
      <c r="W540" s="181" t="e">
        <f>IF(I543&gt;0,IF(S540&gt;L540,"READY STOCK",IF(S540=0,"OUT OF STOCK",IF(S540&lt;L540,"LOW STOCK",""))),"")</f>
        <v>#VALUE!</v>
      </c>
      <c r="X540" s="38"/>
      <c r="Y540" s="38"/>
      <c r="Z540" s="38"/>
      <c r="AA540" s="38"/>
      <c r="AB540" s="50">
        <v>46294</v>
      </c>
      <c r="AC540" s="181">
        <v>34625</v>
      </c>
      <c r="AD540" s="51">
        <v>10</v>
      </c>
      <c r="AE540" s="37" t="s">
        <v>387</v>
      </c>
      <c r="AF540" s="37"/>
      <c r="AG540" s="33" t="str">
        <f>IF(G540&gt;0,IF(AD540&gt;0,IF(AD540=0,"Waiting",IF(AD540&lt;L540,"Partial",IF(AD540=L540,"Full Supply",IF(AD540&gt;L540,"Over Shared")))),"Waiting"),"")</f>
        <v>Full Supply</v>
      </c>
      <c r="AH540" s="37"/>
      <c r="AI540" s="37"/>
      <c r="AJ540" s="181"/>
      <c r="AK540" s="40"/>
      <c r="AL540" s="40"/>
      <c r="AM540" s="40"/>
      <c r="AN540" s="37"/>
      <c r="AO540" s="34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181">
        <f>L540-AD540</f>
        <v>0</v>
      </c>
    </row>
    <row r="541" spans="1:52" ht="15.5" customHeight="1">
      <c r="A541" s="360" t="s">
        <v>372</v>
      </c>
      <c r="B541" s="340">
        <v>46266</v>
      </c>
      <c r="C541" s="181">
        <v>50370</v>
      </c>
      <c r="D541" s="30">
        <v>46266</v>
      </c>
      <c r="E541" s="30">
        <v>46249</v>
      </c>
      <c r="F541" s="30">
        <v>46290</v>
      </c>
      <c r="G541" s="37">
        <v>4420231560</v>
      </c>
      <c r="H541" s="37" t="s">
        <v>373</v>
      </c>
      <c r="I541" s="230">
        <v>9040052402</v>
      </c>
      <c r="J541" s="37" t="s">
        <v>197</v>
      </c>
      <c r="K541" s="325" t="s">
        <v>198</v>
      </c>
      <c r="L541" s="181">
        <v>10</v>
      </c>
      <c r="M541" s="181" t="s">
        <v>375</v>
      </c>
      <c r="N541" s="37" t="s">
        <v>482</v>
      </c>
      <c r="O541" s="31">
        <f>IF(F541&gt;0,F541-AB541,"")</f>
        <v>15</v>
      </c>
      <c r="P541" s="37" t="str">
        <f>IF(F541&gt;0,IF(AB541="","PLANNING SUPPLY",IF(AB541&lt;=F541,"ONTIME DELIVERY","DELAY")),"")</f>
        <v>ONTIME DELIVERY</v>
      </c>
      <c r="Q541" s="181" t="str">
        <f>IFERROR(IF(J541&gt;0,VLOOKUP(J541,#REF!,MATCH($Q$6,#REF!,0),0),""),"")</f>
        <v/>
      </c>
      <c r="R541" s="181" t="str">
        <f>IFERROR(IF(J541&gt;0,VLOOKUP(J541,#REF!,MATCH($R$6,#REF!,0),0),""),"")</f>
        <v/>
      </c>
      <c r="S541" s="181" t="e">
        <f>IF(I544&gt;0,Q541+R541,"")</f>
        <v>#VALUE!</v>
      </c>
      <c r="T541" s="181"/>
      <c r="U541" s="181"/>
      <c r="V541" s="37"/>
      <c r="W541" s="181" t="e">
        <f>IF(I544&gt;0,IF(S541&gt;L541,"READY STOCK",IF(S541=0,"OUT OF STOCK",IF(S541&lt;L541,"LOW STOCK",""))),"")</f>
        <v>#VALUE!</v>
      </c>
      <c r="X541" s="38"/>
      <c r="Y541" s="38"/>
      <c r="Z541" s="38"/>
      <c r="AA541" s="38"/>
      <c r="AB541" s="50">
        <v>46275</v>
      </c>
      <c r="AC541" s="181">
        <v>34165</v>
      </c>
      <c r="AD541" s="51">
        <v>10</v>
      </c>
      <c r="AE541" s="37" t="s">
        <v>383</v>
      </c>
      <c r="AF541" s="37" t="s">
        <v>381</v>
      </c>
      <c r="AG541" s="33" t="str">
        <f>IF(G541&gt;0,IF(AD541&gt;0,IF(AD541=0,"Waiting",IF(AD541&lt;L541,"Partial",IF(AD541=L541,"Full Supply",IF(AD541&gt;L541,"Over Shared")))),"Waiting"),"")</f>
        <v>Full Supply</v>
      </c>
      <c r="AH541" s="37"/>
      <c r="AI541" s="37"/>
      <c r="AJ541" s="181"/>
      <c r="AK541" s="40"/>
      <c r="AL541" s="40"/>
      <c r="AM541" s="40"/>
      <c r="AN541" s="37"/>
      <c r="AO541" s="34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181">
        <f>L541-AD541</f>
        <v>0</v>
      </c>
    </row>
    <row r="542" spans="1:52" ht="15.5" customHeight="1">
      <c r="A542" s="360" t="s">
        <v>372</v>
      </c>
      <c r="B542" s="340">
        <v>46266</v>
      </c>
      <c r="C542" s="181">
        <v>50370</v>
      </c>
      <c r="D542" s="30">
        <v>46266</v>
      </c>
      <c r="E542" s="30">
        <v>46249</v>
      </c>
      <c r="F542" s="30">
        <v>46290</v>
      </c>
      <c r="G542" s="37">
        <v>4420231560</v>
      </c>
      <c r="H542" s="37" t="s">
        <v>373</v>
      </c>
      <c r="I542" s="230">
        <v>9040052403</v>
      </c>
      <c r="J542" s="37" t="s">
        <v>257</v>
      </c>
      <c r="K542" s="325" t="s">
        <v>258</v>
      </c>
      <c r="L542" s="181">
        <v>5</v>
      </c>
      <c r="M542" s="181" t="s">
        <v>375</v>
      </c>
      <c r="N542" s="37" t="s">
        <v>482</v>
      </c>
      <c r="O542" s="31">
        <f>IF(F542&gt;0,F542-AB542,"")</f>
        <v>18</v>
      </c>
      <c r="P542" s="37" t="str">
        <f>IF(F542&gt;0,IF(AB542="","PLANNING SUPPLY",IF(AB542&lt;=F542,"ONTIME DELIVERY","DELAY")),"")</f>
        <v>ONTIME DELIVERY</v>
      </c>
      <c r="Q542" s="181" t="str">
        <f>IFERROR(IF(J542&gt;0,VLOOKUP(J542,#REF!,MATCH($Q$6,#REF!,0),0),""),"")</f>
        <v/>
      </c>
      <c r="R542" s="181" t="str">
        <f>IFERROR(IF(J542&gt;0,VLOOKUP(J542,#REF!,MATCH($R$6,#REF!,0),0),""),"")</f>
        <v/>
      </c>
      <c r="S542" s="181" t="e">
        <f>IF(I545&gt;0,Q542+R542,"")</f>
        <v>#VALUE!</v>
      </c>
      <c r="T542" s="181"/>
      <c r="U542" s="181"/>
      <c r="V542" s="37"/>
      <c r="W542" s="181" t="e">
        <f>IF(I545&gt;0,IF(S542&gt;L542,"READY STOCK",IF(S542=0,"OUT OF STOCK",IF(S542&lt;L542,"LOW STOCK",""))),"")</f>
        <v>#VALUE!</v>
      </c>
      <c r="X542" s="38"/>
      <c r="Y542" s="38"/>
      <c r="Z542" s="38"/>
      <c r="AA542" s="38"/>
      <c r="AB542" s="50">
        <v>46272</v>
      </c>
      <c r="AC542" s="181">
        <v>34090</v>
      </c>
      <c r="AD542" s="51">
        <v>5</v>
      </c>
      <c r="AE542" s="37" t="s">
        <v>383</v>
      </c>
      <c r="AF542" s="37" t="s">
        <v>381</v>
      </c>
      <c r="AG542" s="33" t="str">
        <f>IF(G542&gt;0,IF(AD542&gt;0,IF(AD542=0,"Waiting",IF(AD542&lt;L542,"Partial",IF(AD542=L542,"Full Supply",IF(AD542&gt;L542,"Over Shared")))),"Waiting"),"")</f>
        <v>Full Supply</v>
      </c>
      <c r="AH542" s="37"/>
      <c r="AI542" s="37"/>
      <c r="AJ542" s="181"/>
      <c r="AK542" s="40"/>
      <c r="AL542" s="40"/>
      <c r="AM542" s="40"/>
      <c r="AN542" s="37"/>
      <c r="AO542" s="34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181">
        <f>L542-AD542</f>
        <v>0</v>
      </c>
    </row>
    <row r="543" spans="1:52" ht="15.5" customHeight="1">
      <c r="A543" s="360" t="s">
        <v>372</v>
      </c>
      <c r="B543" s="340">
        <v>46266</v>
      </c>
      <c r="C543" s="181">
        <v>50370</v>
      </c>
      <c r="D543" s="30">
        <v>46266</v>
      </c>
      <c r="E543" s="30">
        <v>46249</v>
      </c>
      <c r="F543" s="30">
        <v>46290</v>
      </c>
      <c r="G543" s="37">
        <v>4420231560</v>
      </c>
      <c r="H543" s="37" t="s">
        <v>373</v>
      </c>
      <c r="I543" s="230">
        <v>9040052405</v>
      </c>
      <c r="J543" s="37" t="s">
        <v>260</v>
      </c>
      <c r="K543" s="325" t="s">
        <v>261</v>
      </c>
      <c r="L543" s="181">
        <v>4</v>
      </c>
      <c r="M543" s="181" t="s">
        <v>375</v>
      </c>
      <c r="N543" s="37" t="s">
        <v>482</v>
      </c>
      <c r="O543" s="31">
        <f>IF(F543&gt;0,F543-AB543,"")</f>
        <v>11</v>
      </c>
      <c r="P543" s="37" t="str">
        <f>IF(F543&gt;0,IF(AB543="","PLANNING SUPPLY",IF(AB543&lt;=F543,"ONTIME DELIVERY","DELAY")),"")</f>
        <v>ONTIME DELIVERY</v>
      </c>
      <c r="Q543" s="181" t="str">
        <f>IFERROR(IF(J543&gt;0,VLOOKUP(J543,#REF!,MATCH($Q$6,#REF!,0),0),""),"")</f>
        <v/>
      </c>
      <c r="R543" s="181" t="str">
        <f>IFERROR(IF(J543&gt;0,VLOOKUP(J543,#REF!,MATCH($R$6,#REF!,0),0),""),"")</f>
        <v/>
      </c>
      <c r="S543" s="181" t="e">
        <f>IF(I546&gt;0,Q543+R543,"")</f>
        <v>#VALUE!</v>
      </c>
      <c r="T543" s="181"/>
      <c r="U543" s="181"/>
      <c r="V543" s="37"/>
      <c r="W543" s="181" t="e">
        <f>IF(I546&gt;0,IF(S543&gt;L543,"READY STOCK",IF(S543=0,"OUT OF STOCK",IF(S543&lt;L543,"LOW STOCK",""))),"")</f>
        <v>#VALUE!</v>
      </c>
      <c r="X543" s="38"/>
      <c r="Y543" s="38"/>
      <c r="Z543" s="38"/>
      <c r="AA543" s="38"/>
      <c r="AB543" s="50">
        <v>46279</v>
      </c>
      <c r="AC543" s="181">
        <v>34245</v>
      </c>
      <c r="AD543" s="51">
        <v>4</v>
      </c>
      <c r="AE543" s="37" t="s">
        <v>387</v>
      </c>
      <c r="AF543" s="37" t="s">
        <v>381</v>
      </c>
      <c r="AG543" s="33" t="str">
        <f>IF(G543&gt;0,IF(AD543&gt;0,IF(AD543=0,"Waiting",IF(AD543&lt;L543,"Partial",IF(AD543=L543,"Full Supply",IF(AD543&gt;L543,"Over Shared")))),"Waiting"),"")</f>
        <v>Full Supply</v>
      </c>
      <c r="AH543" s="37"/>
      <c r="AI543" s="37"/>
      <c r="AJ543" s="181"/>
      <c r="AK543" s="40"/>
      <c r="AL543" s="40"/>
      <c r="AM543" s="40"/>
      <c r="AN543" s="37"/>
      <c r="AO543" s="34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181">
        <f>L543-AD543</f>
        <v>0</v>
      </c>
    </row>
    <row r="544" spans="1:52" ht="15.5" customHeight="1">
      <c r="A544" s="360" t="s">
        <v>372</v>
      </c>
      <c r="B544" s="340">
        <v>46266</v>
      </c>
      <c r="C544" s="181">
        <v>50372</v>
      </c>
      <c r="D544" s="30">
        <v>46266</v>
      </c>
      <c r="E544" s="30">
        <v>46258</v>
      </c>
      <c r="F544" s="30">
        <v>46295</v>
      </c>
      <c r="G544" s="37">
        <v>4420232042</v>
      </c>
      <c r="H544" s="37" t="s">
        <v>373</v>
      </c>
      <c r="I544" s="37">
        <v>9040052403</v>
      </c>
      <c r="J544" s="37" t="s">
        <v>257</v>
      </c>
      <c r="K544" s="325" t="s">
        <v>258</v>
      </c>
      <c r="L544" s="181">
        <v>6</v>
      </c>
      <c r="M544" s="181" t="s">
        <v>375</v>
      </c>
      <c r="N544" s="37" t="s">
        <v>382</v>
      </c>
      <c r="O544" s="31">
        <f>IF(F544&gt;0,F544-AB544,"")</f>
        <v>23</v>
      </c>
      <c r="P544" s="37" t="str">
        <f>IF(F544&gt;0,IF(AB544="","PLANNING SUPPLY",IF(AB544&lt;=F544,"ONTIME DELIVERY","DELAY")),"")</f>
        <v>ONTIME DELIVERY</v>
      </c>
      <c r="Q544" s="181" t="str">
        <f>IFERROR(IF(J544&gt;0,VLOOKUP(J544,#REF!,MATCH($Q$6,#REF!,0),0),""),"")</f>
        <v/>
      </c>
      <c r="R544" s="181" t="str">
        <f>IFERROR(IF(J544&gt;0,VLOOKUP(J544,#REF!,MATCH($R$6,#REF!,0),0),""),"")</f>
        <v/>
      </c>
      <c r="S544" s="181" t="e">
        <f>IF(I547&gt;0,Q544+R544,"")</f>
        <v>#VALUE!</v>
      </c>
      <c r="T544" s="181"/>
      <c r="U544" s="181"/>
      <c r="V544" s="37"/>
      <c r="W544" s="181" t="e">
        <f>IF(I547&gt;0,IF(S544&gt;L544,"READY STOCK",IF(S544=0,"OUT OF STOCK",IF(S544&lt;L544,"LOW STOCK",""))),"")</f>
        <v>#VALUE!</v>
      </c>
      <c r="X544" s="38"/>
      <c r="Y544" s="38"/>
      <c r="Z544" s="38"/>
      <c r="AA544" s="38"/>
      <c r="AB544" s="50">
        <v>46272</v>
      </c>
      <c r="AC544" s="181">
        <v>34091</v>
      </c>
      <c r="AD544" s="51">
        <v>6</v>
      </c>
      <c r="AE544" s="37" t="s">
        <v>383</v>
      </c>
      <c r="AF544" s="37" t="s">
        <v>381</v>
      </c>
      <c r="AG544" s="33" t="str">
        <f>IF(G544&gt;0,IF(AD544&gt;0,IF(AD544=0,"Waiting",IF(AD544&lt;L544,"Partial",IF(AD544=L544,"Full Supply",IF(AD544&gt;L544,"Over Shared")))),"Waiting"),"")</f>
        <v>Full Supply</v>
      </c>
      <c r="AH544" s="37"/>
      <c r="AI544" s="37"/>
      <c r="AJ544" s="181"/>
      <c r="AK544" s="40"/>
      <c r="AL544" s="40"/>
      <c r="AM544" s="40"/>
      <c r="AN544" s="37"/>
      <c r="AO544" s="34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181">
        <f>L544-AD544</f>
        <v>0</v>
      </c>
    </row>
    <row r="545" spans="1:52" ht="15.5" customHeight="1">
      <c r="A545" s="360" t="s">
        <v>372</v>
      </c>
      <c r="B545" s="340">
        <v>46266</v>
      </c>
      <c r="C545" s="181">
        <v>50372</v>
      </c>
      <c r="D545" s="30">
        <v>46266</v>
      </c>
      <c r="E545" s="30">
        <v>46258</v>
      </c>
      <c r="F545" s="30">
        <v>46295</v>
      </c>
      <c r="G545" s="37">
        <v>4420232042</v>
      </c>
      <c r="H545" s="37" t="s">
        <v>373</v>
      </c>
      <c r="I545" s="37">
        <v>9040052405</v>
      </c>
      <c r="J545" s="37" t="s">
        <v>260</v>
      </c>
      <c r="K545" s="325" t="s">
        <v>261</v>
      </c>
      <c r="L545" s="181">
        <v>6</v>
      </c>
      <c r="M545" s="181" t="s">
        <v>375</v>
      </c>
      <c r="N545" s="37" t="s">
        <v>382</v>
      </c>
      <c r="O545" s="31">
        <f>IF(F545&gt;0,F545-AB545,"")</f>
        <v>20</v>
      </c>
      <c r="P545" s="37" t="str">
        <f>IF(F545&gt;0,IF(AB545="","PLANNING SUPPLY",IF(AB545&lt;=F545,"ONTIME DELIVERY","DELAY")),"")</f>
        <v>ONTIME DELIVERY</v>
      </c>
      <c r="Q545" s="181" t="str">
        <f>IFERROR(IF(J545&gt;0,VLOOKUP(J545,#REF!,MATCH($Q$6,#REF!,0),0),""),"")</f>
        <v/>
      </c>
      <c r="R545" s="181" t="str">
        <f>IFERROR(IF(J545&gt;0,VLOOKUP(J545,#REF!,MATCH($R$6,#REF!,0),0),""),"")</f>
        <v/>
      </c>
      <c r="S545" s="181" t="e">
        <f>IF(I548&gt;0,Q545+R545,"")</f>
        <v>#VALUE!</v>
      </c>
      <c r="T545" s="181"/>
      <c r="U545" s="181"/>
      <c r="V545" s="37"/>
      <c r="W545" s="181" t="e">
        <f>IF(I548&gt;0,IF(S545&gt;L545,"READY STOCK",IF(S545=0,"OUT OF STOCK",IF(S545&lt;L545,"LOW STOCK",""))),"")</f>
        <v>#VALUE!</v>
      </c>
      <c r="X545" s="38"/>
      <c r="Y545" s="38"/>
      <c r="Z545" s="38"/>
      <c r="AA545" s="38"/>
      <c r="AB545" s="50">
        <v>46275</v>
      </c>
      <c r="AC545" s="181">
        <v>34181</v>
      </c>
      <c r="AD545" s="51">
        <v>6</v>
      </c>
      <c r="AE545" s="37" t="s">
        <v>383</v>
      </c>
      <c r="AF545" s="37" t="s">
        <v>381</v>
      </c>
      <c r="AG545" s="33" t="str">
        <f>IF(G545&gt;0,IF(AD545&gt;0,IF(AD545=0,"Waiting",IF(AD545&lt;L545,"Partial",IF(AD545=L545,"Full Supply",IF(AD545&gt;L545,"Over Shared")))),"Waiting"),"")</f>
        <v>Full Supply</v>
      </c>
      <c r="AH545" s="37"/>
      <c r="AI545" s="37"/>
      <c r="AJ545" s="181"/>
      <c r="AK545" s="40"/>
      <c r="AL545" s="40"/>
      <c r="AM545" s="40"/>
      <c r="AN545" s="37"/>
      <c r="AO545" s="34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181">
        <f>L545-AD545</f>
        <v>0</v>
      </c>
    </row>
    <row r="546" spans="1:52" ht="15.5" customHeight="1">
      <c r="A546" s="360" t="s">
        <v>372</v>
      </c>
      <c r="B546" s="340">
        <v>46266</v>
      </c>
      <c r="C546" s="181">
        <v>50372</v>
      </c>
      <c r="D546" s="30">
        <v>46266</v>
      </c>
      <c r="E546" s="30">
        <v>46258</v>
      </c>
      <c r="F546" s="30">
        <v>46295</v>
      </c>
      <c r="G546" s="37">
        <v>4420232042</v>
      </c>
      <c r="H546" s="37" t="s">
        <v>373</v>
      </c>
      <c r="I546" s="37">
        <v>9040028877</v>
      </c>
      <c r="J546" s="37" t="s">
        <v>199</v>
      </c>
      <c r="K546" s="325" t="s">
        <v>200</v>
      </c>
      <c r="L546" s="181">
        <v>12</v>
      </c>
      <c r="M546" s="181" t="s">
        <v>375</v>
      </c>
      <c r="N546" s="37" t="s">
        <v>382</v>
      </c>
      <c r="O546" s="31">
        <f>IF(F546&gt;0,F546-AB546,"")</f>
        <v>7</v>
      </c>
      <c r="P546" s="37" t="str">
        <f>IF(F546&gt;0,IF(AB546="","PLANNING SUPPLY",IF(AB546&lt;=F546,"ONTIME DELIVERY","DELAY")),"")</f>
        <v>ONTIME DELIVERY</v>
      </c>
      <c r="Q546" s="181" t="str">
        <f>IFERROR(IF(J546&gt;0,VLOOKUP(J546,#REF!,MATCH($Q$6,#REF!,0),0),""),"")</f>
        <v/>
      </c>
      <c r="R546" s="181" t="str">
        <f>IFERROR(IF(J546&gt;0,VLOOKUP(J546,#REF!,MATCH($R$6,#REF!,0),0),""),"")</f>
        <v/>
      </c>
      <c r="S546" s="181" t="e">
        <f>IF(I549&gt;0,Q546+R546,"")</f>
        <v>#VALUE!</v>
      </c>
      <c r="T546" s="181"/>
      <c r="U546" s="181"/>
      <c r="V546" s="37"/>
      <c r="W546" s="181" t="e">
        <f>IF(I549&gt;0,IF(S546&gt;L546,"READY STOCK",IF(S546=0,"OUT OF STOCK",IF(S546&lt;L546,"LOW STOCK",""))),"")</f>
        <v>#VALUE!</v>
      </c>
      <c r="X546" s="38"/>
      <c r="Y546" s="38"/>
      <c r="Z546" s="38"/>
      <c r="AA546" s="38"/>
      <c r="AB546" s="50">
        <v>46288</v>
      </c>
      <c r="AC546" s="181">
        <v>34487</v>
      </c>
      <c r="AD546" s="51">
        <v>12</v>
      </c>
      <c r="AE546" s="37" t="s">
        <v>383</v>
      </c>
      <c r="AF546" s="37" t="s">
        <v>381</v>
      </c>
      <c r="AG546" s="33" t="str">
        <f>IF(G546&gt;0,IF(AD546&gt;0,IF(AD546=0,"Waiting",IF(AD546&lt;L546,"Partial",IF(AD546=L546,"Full Supply",IF(AD546&gt;L546,"Over Shared")))),"Waiting"),"")</f>
        <v>Full Supply</v>
      </c>
      <c r="AH546" s="37"/>
      <c r="AI546" s="37"/>
      <c r="AJ546" s="181"/>
      <c r="AK546" s="40"/>
      <c r="AL546" s="40"/>
      <c r="AM546" s="40"/>
      <c r="AN546" s="37"/>
      <c r="AO546" s="34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181">
        <f>L546-AD546</f>
        <v>0</v>
      </c>
    </row>
    <row r="547" spans="1:52" ht="15.5" customHeight="1">
      <c r="A547" s="360" t="s">
        <v>372</v>
      </c>
      <c r="B547" s="340">
        <v>46266</v>
      </c>
      <c r="C547" s="181">
        <v>50372</v>
      </c>
      <c r="D547" s="30">
        <v>46266</v>
      </c>
      <c r="E547" s="30">
        <v>46258</v>
      </c>
      <c r="F547" s="30">
        <v>46295</v>
      </c>
      <c r="G547" s="37">
        <v>4420232042</v>
      </c>
      <c r="H547" s="37" t="s">
        <v>373</v>
      </c>
      <c r="I547" s="37">
        <v>9040031134</v>
      </c>
      <c r="J547" s="37" t="s">
        <v>254</v>
      </c>
      <c r="K547" s="325" t="s">
        <v>255</v>
      </c>
      <c r="L547" s="181">
        <v>12</v>
      </c>
      <c r="M547" s="181" t="s">
        <v>375</v>
      </c>
      <c r="N547" s="37" t="s">
        <v>382</v>
      </c>
      <c r="O547" s="31">
        <f>IF(F547&gt;0,F547-AB547,"")</f>
        <v>-5</v>
      </c>
      <c r="P547" s="37" t="str">
        <f>IF(F547&gt;0,IF(AB547="","PLANNING SUPPLY",IF(AB547&lt;=F547,"ONTIME DELIVERY","DELAY")),"")</f>
        <v>DELAY</v>
      </c>
      <c r="Q547" s="181" t="str">
        <f>IFERROR(IF(J547&gt;0,VLOOKUP(J547,#REF!,MATCH($Q$6,#REF!,0),0),""),"")</f>
        <v/>
      </c>
      <c r="R547" s="181" t="str">
        <f>IFERROR(IF(J547&gt;0,VLOOKUP(J547,#REF!,MATCH($R$6,#REF!,0),0),""),"")</f>
        <v/>
      </c>
      <c r="S547" s="181" t="e">
        <f>IF(I550&gt;0,Q547+R547,"")</f>
        <v>#VALUE!</v>
      </c>
      <c r="T547" s="181"/>
      <c r="U547" s="181"/>
      <c r="V547" s="37"/>
      <c r="W547" s="181" t="e">
        <f>IF(I550&gt;0,IF(S547&gt;L547,"READY STOCK",IF(S547=0,"OUT OF STOCK",IF(S547&lt;L547,"LOW STOCK",""))),"")</f>
        <v>#VALUE!</v>
      </c>
      <c r="X547" s="38"/>
      <c r="Y547" s="38"/>
      <c r="Z547" s="38"/>
      <c r="AA547" s="38"/>
      <c r="AB547" s="50">
        <v>46300</v>
      </c>
      <c r="AC547" s="44">
        <v>34724</v>
      </c>
      <c r="AD547" s="51">
        <v>12</v>
      </c>
      <c r="AE547" s="37" t="s">
        <v>387</v>
      </c>
      <c r="AF547" s="37" t="s">
        <v>381</v>
      </c>
      <c r="AG547" s="33" t="str">
        <f>IF(G547&gt;0,IF(AD547&gt;0,IF(AD547=0,"Waiting",IF(AD547&lt;L547,"Partial",IF(AD547=L547,"Full Supply",IF(AD547&gt;L547,"Over Shared")))),"Waiting"),"")</f>
        <v>Full Supply</v>
      </c>
      <c r="AH547" s="37"/>
      <c r="AI547" s="37"/>
      <c r="AJ547" s="181"/>
      <c r="AK547" s="40"/>
      <c r="AL547" s="40"/>
      <c r="AM547" s="40"/>
      <c r="AN547" s="37"/>
      <c r="AO547" s="34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181">
        <f>L547-AD547</f>
        <v>0</v>
      </c>
    </row>
    <row r="548" spans="1:52" ht="15.5" customHeight="1">
      <c r="A548" s="360" t="s">
        <v>372</v>
      </c>
      <c r="B548" s="340">
        <v>46266</v>
      </c>
      <c r="C548" s="181">
        <v>50372</v>
      </c>
      <c r="D548" s="30">
        <v>46266</v>
      </c>
      <c r="E548" s="30">
        <v>46258</v>
      </c>
      <c r="F548" s="30">
        <v>46295</v>
      </c>
      <c r="G548" s="37">
        <v>4420232042</v>
      </c>
      <c r="H548" s="37" t="s">
        <v>373</v>
      </c>
      <c r="I548" s="37">
        <v>9040020519</v>
      </c>
      <c r="J548" s="37" t="s">
        <v>93</v>
      </c>
      <c r="K548" s="325" t="s">
        <v>94</v>
      </c>
      <c r="L548" s="181">
        <v>4</v>
      </c>
      <c r="M548" s="181" t="s">
        <v>427</v>
      </c>
      <c r="N548" s="37" t="s">
        <v>382</v>
      </c>
      <c r="O548" s="31">
        <f>IF(F548&gt;0,F548-AB548,"")</f>
        <v>46295</v>
      </c>
      <c r="P548" s="37" t="str">
        <f>IF(F548&gt;0,IF(AB548="","PLANNING SUPPLY",IF(AB548&lt;=F548,"ONTIME DELIVERY","DELAY")),"")</f>
        <v>PLANNING SUPPLY</v>
      </c>
      <c r="Q548" s="181" t="str">
        <f>IFERROR(IF(J548&gt;0,VLOOKUP(J548,#REF!,MATCH($Q$6,#REF!,0),0),""),"")</f>
        <v/>
      </c>
      <c r="R548" s="181" t="str">
        <f>IFERROR(IF(J548&gt;0,VLOOKUP(J548,#REF!,MATCH($R$6,#REF!,0),0),""),"")</f>
        <v/>
      </c>
      <c r="S548" s="181" t="e">
        <f>IF(I551&gt;0,Q548+R548,"")</f>
        <v>#VALUE!</v>
      </c>
      <c r="T548" s="181"/>
      <c r="U548" s="181"/>
      <c r="V548" s="37"/>
      <c r="W548" s="181" t="e">
        <f>IF(I551&gt;0,IF(S548&gt;L548,"READY STOCK",IF(S548=0,"OUT OF STOCK",IF(S548&lt;L548,"LOW STOCK",""))),"")</f>
        <v>#VALUE!</v>
      </c>
      <c r="X548" s="38"/>
      <c r="Y548" s="38"/>
      <c r="Z548" s="38"/>
      <c r="AA548" s="38"/>
      <c r="AB548" s="50"/>
      <c r="AC548" s="181"/>
      <c r="AD548" s="51"/>
      <c r="AE548" s="37"/>
      <c r="AF548" s="37"/>
      <c r="AG548" s="33" t="str">
        <f>IF(G548&gt;0,IF(AD548&gt;0,IF(AD548=0,"Waiting",IF(AD548&lt;L548,"Partial",IF(AD548=L548,"Full Supply",IF(AD548&gt;L548,"Over Shared")))),"Waiting"),"")</f>
        <v>Waiting</v>
      </c>
      <c r="AH548" s="37"/>
      <c r="AI548" s="37"/>
      <c r="AJ548" s="181"/>
      <c r="AK548" s="40"/>
      <c r="AL548" s="40"/>
      <c r="AM548" s="40"/>
      <c r="AN548" s="37"/>
      <c r="AO548" s="34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181">
        <f>L548-AD548</f>
        <v>4</v>
      </c>
    </row>
    <row r="549" spans="1:52" ht="15.5" customHeight="1">
      <c r="A549" s="360" t="s">
        <v>372</v>
      </c>
      <c r="B549" s="340">
        <v>46266</v>
      </c>
      <c r="C549" s="181">
        <v>50372</v>
      </c>
      <c r="D549" s="30">
        <v>46266</v>
      </c>
      <c r="E549" s="30">
        <v>46258</v>
      </c>
      <c r="F549" s="30">
        <v>46295</v>
      </c>
      <c r="G549" s="37">
        <v>4420232042</v>
      </c>
      <c r="H549" s="37" t="s">
        <v>373</v>
      </c>
      <c r="I549" s="37">
        <v>9040037223</v>
      </c>
      <c r="J549" s="37" t="s">
        <v>274</v>
      </c>
      <c r="K549" s="325" t="s">
        <v>275</v>
      </c>
      <c r="L549" s="181">
        <v>4</v>
      </c>
      <c r="M549" s="181" t="s">
        <v>375</v>
      </c>
      <c r="N549" s="37" t="s">
        <v>382</v>
      </c>
      <c r="O549" s="31">
        <f>IF(F549&gt;0,F549-AB549,"")</f>
        <v>16</v>
      </c>
      <c r="P549" s="37" t="str">
        <f>IF(F549&gt;0,IF(AB549="","PLANNING SUPPLY",IF(AB549&lt;=F549,"ONTIME DELIVERY","DELAY")),"")</f>
        <v>ONTIME DELIVERY</v>
      </c>
      <c r="Q549" s="181" t="str">
        <f>IFERROR(IF(J549&gt;0,VLOOKUP(J549,#REF!,MATCH($Q$6,#REF!,0),0),""),"")</f>
        <v/>
      </c>
      <c r="R549" s="181" t="str">
        <f>IFERROR(IF(J549&gt;0,VLOOKUP(J549,#REF!,MATCH($R$6,#REF!,0),0),""),"")</f>
        <v/>
      </c>
      <c r="S549" s="181" t="e">
        <f>IF(I552&gt;0,Q549+R549,"")</f>
        <v>#VALUE!</v>
      </c>
      <c r="T549" s="181"/>
      <c r="U549" s="181"/>
      <c r="V549" s="37"/>
      <c r="W549" s="181" t="e">
        <f>IF(I552&gt;0,IF(S549&gt;L549,"READY STOCK",IF(S549=0,"OUT OF STOCK",IF(S549&lt;L549,"LOW STOCK",""))),"")</f>
        <v>#VALUE!</v>
      </c>
      <c r="X549" s="38"/>
      <c r="Y549" s="38"/>
      <c r="Z549" s="38"/>
      <c r="AA549" s="38"/>
      <c r="AB549" s="50">
        <v>46279</v>
      </c>
      <c r="AC549" s="181">
        <v>34246</v>
      </c>
      <c r="AD549" s="51">
        <v>4</v>
      </c>
      <c r="AE549" s="37" t="s">
        <v>387</v>
      </c>
      <c r="AF549" s="37" t="s">
        <v>381</v>
      </c>
      <c r="AG549" s="33" t="str">
        <f>IF(G549&gt;0,IF(AD549&gt;0,IF(AD549=0,"Waiting",IF(AD549&lt;L549,"Partial",IF(AD549=L549,"Full Supply",IF(AD549&gt;L549,"Over Shared")))),"Waiting"),"")</f>
        <v>Full Supply</v>
      </c>
      <c r="AH549" s="37"/>
      <c r="AI549" s="37"/>
      <c r="AJ549" s="181"/>
      <c r="AK549" s="40"/>
      <c r="AL549" s="40"/>
      <c r="AM549" s="40"/>
      <c r="AN549" s="37"/>
      <c r="AO549" s="34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181">
        <f>L549-AD549</f>
        <v>0</v>
      </c>
    </row>
    <row r="550" spans="1:52" ht="15.5" customHeight="1">
      <c r="A550" s="360" t="s">
        <v>372</v>
      </c>
      <c r="B550" s="340">
        <v>46266</v>
      </c>
      <c r="C550" s="181">
        <v>50372</v>
      </c>
      <c r="D550" s="30">
        <v>46266</v>
      </c>
      <c r="E550" s="30">
        <v>46258</v>
      </c>
      <c r="F550" s="30">
        <v>46295</v>
      </c>
      <c r="G550" s="37">
        <v>4420232042</v>
      </c>
      <c r="H550" s="37" t="s">
        <v>373</v>
      </c>
      <c r="I550" s="37">
        <v>9040032418</v>
      </c>
      <c r="J550" s="37" t="s">
        <v>276</v>
      </c>
      <c r="K550" s="325" t="s">
        <v>277</v>
      </c>
      <c r="L550" s="181">
        <v>4</v>
      </c>
      <c r="M550" s="181" t="s">
        <v>375</v>
      </c>
      <c r="N550" s="37" t="s">
        <v>382</v>
      </c>
      <c r="O550" s="31">
        <f>IF(F550&gt;0,F550-AB550,"")</f>
        <v>7</v>
      </c>
      <c r="P550" s="37" t="str">
        <f>IF(F550&gt;0,IF(AB550="","PLANNING SUPPLY",IF(AB550&lt;=F550,"ONTIME DELIVERY","DELAY")),"")</f>
        <v>ONTIME DELIVERY</v>
      </c>
      <c r="Q550" s="181" t="str">
        <f>IFERROR(IF(J550&gt;0,VLOOKUP(J550,#REF!,MATCH($Q$6,#REF!,0),0),""),"")</f>
        <v/>
      </c>
      <c r="R550" s="181" t="str">
        <f>IFERROR(IF(J550&gt;0,VLOOKUP(J550,#REF!,MATCH($R$6,#REF!,0),0),""),"")</f>
        <v/>
      </c>
      <c r="S550" s="181" t="e">
        <f>IF(I553&gt;0,Q550+R550,"")</f>
        <v>#VALUE!</v>
      </c>
      <c r="T550" s="181"/>
      <c r="U550" s="181"/>
      <c r="V550" s="37"/>
      <c r="W550" s="181" t="e">
        <f>IF(I553&gt;0,IF(S550&gt;L550,"READY STOCK",IF(S550=0,"OUT OF STOCK",IF(S550&lt;L550,"LOW STOCK",""))),"")</f>
        <v>#VALUE!</v>
      </c>
      <c r="X550" s="38"/>
      <c r="Y550" s="38"/>
      <c r="Z550" s="38"/>
      <c r="AA550" s="38"/>
      <c r="AB550" s="50">
        <v>46288</v>
      </c>
      <c r="AC550" s="181">
        <v>34469</v>
      </c>
      <c r="AD550" s="51">
        <v>4</v>
      </c>
      <c r="AE550" s="37" t="s">
        <v>383</v>
      </c>
      <c r="AF550" s="37" t="s">
        <v>381</v>
      </c>
      <c r="AG550" s="33" t="str">
        <f>IF(G550&gt;0,IF(AD550&gt;0,IF(AD550=0,"Waiting",IF(AD550&lt;L550,"Partial",IF(AD550=L550,"Full Supply",IF(AD550&gt;L550,"Over Shared")))),"Waiting"),"")</f>
        <v>Full Supply</v>
      </c>
      <c r="AH550" s="37"/>
      <c r="AI550" s="37"/>
      <c r="AJ550" s="181"/>
      <c r="AK550" s="40"/>
      <c r="AL550" s="40"/>
      <c r="AM550" s="40"/>
      <c r="AN550" s="37"/>
      <c r="AO550" s="34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181">
        <f>L550-AD550</f>
        <v>0</v>
      </c>
    </row>
    <row r="551" spans="1:52" ht="15.5" customHeight="1">
      <c r="A551" s="360" t="s">
        <v>372</v>
      </c>
      <c r="B551" s="340">
        <v>46266</v>
      </c>
      <c r="C551" s="181">
        <v>50372</v>
      </c>
      <c r="D551" s="30">
        <v>46266</v>
      </c>
      <c r="E551" s="30">
        <v>46258</v>
      </c>
      <c r="F551" s="30">
        <v>46295</v>
      </c>
      <c r="G551" s="37">
        <v>4420232042</v>
      </c>
      <c r="H551" s="37" t="s">
        <v>373</v>
      </c>
      <c r="I551" s="37">
        <v>9040008449</v>
      </c>
      <c r="J551" s="37" t="s">
        <v>145</v>
      </c>
      <c r="K551" s="325" t="s">
        <v>146</v>
      </c>
      <c r="L551" s="181">
        <v>1</v>
      </c>
      <c r="M551" s="181" t="s">
        <v>375</v>
      </c>
      <c r="N551" s="37" t="s">
        <v>382</v>
      </c>
      <c r="O551" s="31">
        <f>IF(F551&gt;0,F551-AB551,"")</f>
        <v>20</v>
      </c>
      <c r="P551" s="37" t="str">
        <f>IF(F551&gt;0,IF(AB551="","PLANNING SUPPLY",IF(AB551&lt;=F551,"ONTIME DELIVERY","DELAY")),"")</f>
        <v>ONTIME DELIVERY</v>
      </c>
      <c r="Q551" s="181" t="str">
        <f>IFERROR(IF(J551&gt;0,VLOOKUP(J551,#REF!,MATCH($Q$6,#REF!,0),0),""),"")</f>
        <v/>
      </c>
      <c r="R551" s="181" t="str">
        <f>IFERROR(IF(J551&gt;0,VLOOKUP(J551,#REF!,MATCH($R$6,#REF!,0),0),""),"")</f>
        <v/>
      </c>
      <c r="S551" s="181" t="e">
        <f>IF(I554&gt;0,Q551+R551,"")</f>
        <v>#VALUE!</v>
      </c>
      <c r="T551" s="181"/>
      <c r="U551" s="181"/>
      <c r="V551" s="37"/>
      <c r="W551" s="181" t="e">
        <f>IF(I554&gt;0,IF(S551&gt;L551,"READY STOCK",IF(S551=0,"OUT OF STOCK",IF(S551&lt;L551,"LOW STOCK",""))),"")</f>
        <v>#VALUE!</v>
      </c>
      <c r="X551" s="38"/>
      <c r="Y551" s="38"/>
      <c r="Z551" s="38"/>
      <c r="AA551" s="38"/>
      <c r="AB551" s="50">
        <v>46275</v>
      </c>
      <c r="AC551" s="181" t="s">
        <v>338</v>
      </c>
      <c r="AD551" s="51">
        <v>1</v>
      </c>
      <c r="AE551" s="37" t="s">
        <v>383</v>
      </c>
      <c r="AF551" s="58" t="s">
        <v>381</v>
      </c>
      <c r="AG551" s="33" t="str">
        <f>IF(G551&gt;0,IF(AD551&gt;0,IF(AD551=0,"Waiting",IF(AD551&lt;L551,"Partial",IF(AD551=L551,"Full Supply",IF(AD551&gt;L551,"Over Shared")))),"Waiting"),"")</f>
        <v>Full Supply</v>
      </c>
      <c r="AH551" s="37"/>
      <c r="AI551" s="37"/>
      <c r="AJ551" s="181"/>
      <c r="AK551" s="40"/>
      <c r="AL551" s="40"/>
      <c r="AM551" s="40"/>
      <c r="AN551" s="37"/>
      <c r="AO551" s="34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181">
        <f>L551-AD551</f>
        <v>0</v>
      </c>
    </row>
    <row r="552" spans="1:52" ht="15.5" customHeight="1">
      <c r="A552" s="360" t="s">
        <v>372</v>
      </c>
      <c r="B552" s="340">
        <v>46266</v>
      </c>
      <c r="C552" s="181">
        <v>50374</v>
      </c>
      <c r="D552" s="30">
        <v>46266</v>
      </c>
      <c r="E552" s="30">
        <v>46262</v>
      </c>
      <c r="F552" s="30">
        <v>46293</v>
      </c>
      <c r="G552" s="37">
        <v>4420232405</v>
      </c>
      <c r="H552" s="37" t="s">
        <v>373</v>
      </c>
      <c r="I552" s="37">
        <v>9040054960</v>
      </c>
      <c r="J552" s="37" t="s">
        <v>306</v>
      </c>
      <c r="K552" s="325" t="s">
        <v>307</v>
      </c>
      <c r="L552" s="181">
        <v>1</v>
      </c>
      <c r="M552" s="181" t="s">
        <v>421</v>
      </c>
      <c r="N552" s="37" t="s">
        <v>408</v>
      </c>
      <c r="O552" s="31">
        <f>IF(F552&gt;0,F552-AB552,"")</f>
        <v>-8</v>
      </c>
      <c r="P552" s="37" t="str">
        <f>IF(F552&gt;0,IF(AB552="","PLANNING SUPPLY",IF(AB552&lt;=F552,"ONTIME DELIVERY","DELAY")),"")</f>
        <v>DELAY</v>
      </c>
      <c r="Q552" s="181" t="str">
        <f>IFERROR(IF(J552&gt;0,VLOOKUP(J552,#REF!,MATCH($Q$6,#REF!,0),0),""),"")</f>
        <v/>
      </c>
      <c r="R552" s="181" t="str">
        <f>IFERROR(IF(J552&gt;0,VLOOKUP(J552,#REF!,MATCH($R$6,#REF!,0),0),""),"")</f>
        <v/>
      </c>
      <c r="S552" s="181" t="e">
        <f>IF(I555&gt;0,Q552+R552,"")</f>
        <v>#VALUE!</v>
      </c>
      <c r="T552" s="181"/>
      <c r="U552" s="181"/>
      <c r="V552" s="37"/>
      <c r="W552" s="181" t="e">
        <f>IF(I555&gt;0,IF(S552&gt;L552,"READY STOCK",IF(S552=0,"OUT OF STOCK",IF(S552&lt;L552,"LOW STOCK",""))),"")</f>
        <v>#VALUE!</v>
      </c>
      <c r="X552" s="38"/>
      <c r="Y552" s="38"/>
      <c r="Z552" s="38"/>
      <c r="AA552" s="38"/>
      <c r="AB552" s="57">
        <v>46301</v>
      </c>
      <c r="AC552" s="181">
        <v>34790</v>
      </c>
      <c r="AD552" s="53">
        <v>1</v>
      </c>
      <c r="AE552" s="58" t="s">
        <v>387</v>
      </c>
      <c r="AF552" s="58" t="s">
        <v>381</v>
      </c>
      <c r="AG552" s="33" t="str">
        <f>IF(G552&gt;0,IF(AD552&gt;0,IF(AD552=0,"Waiting",IF(AD552&lt;L552,"Partial",IF(AD552=L552,"Full Supply",IF(AD552&gt;L552,"Over Shared")))),"Waiting"),"")</f>
        <v>Full Supply</v>
      </c>
      <c r="AH552" s="37"/>
      <c r="AI552" s="37"/>
      <c r="AJ552" s="181"/>
      <c r="AK552" s="40">
        <v>26523</v>
      </c>
      <c r="AL552" s="40"/>
      <c r="AM552" s="40"/>
      <c r="AN552" s="37" t="s">
        <v>1321</v>
      </c>
      <c r="AO552" s="41">
        <v>46299</v>
      </c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181">
        <f>L552-AD552</f>
        <v>0</v>
      </c>
    </row>
    <row r="553" spans="1:52" ht="15.5" customHeight="1">
      <c r="A553" s="360" t="s">
        <v>372</v>
      </c>
      <c r="B553" s="340">
        <v>46266</v>
      </c>
      <c r="C553" s="181">
        <v>50374</v>
      </c>
      <c r="D553" s="30">
        <v>46266</v>
      </c>
      <c r="E553" s="30">
        <v>46262</v>
      </c>
      <c r="F553" s="30">
        <v>46293</v>
      </c>
      <c r="G553" s="37">
        <v>4420232405</v>
      </c>
      <c r="H553" s="37" t="s">
        <v>373</v>
      </c>
      <c r="I553" s="37">
        <v>9040009391</v>
      </c>
      <c r="J553" s="37" t="s">
        <v>293</v>
      </c>
      <c r="K553" s="325" t="s">
        <v>294</v>
      </c>
      <c r="L553" s="181">
        <v>2</v>
      </c>
      <c r="M553" s="181" t="s">
        <v>375</v>
      </c>
      <c r="N553" s="37" t="s">
        <v>408</v>
      </c>
      <c r="O553" s="31">
        <f>IF(F553&gt;0,F553-AB553,"")</f>
        <v>3</v>
      </c>
      <c r="P553" s="37" t="str">
        <f>IF(F553&gt;0,IF(AB553="","PLANNING SUPPLY",IF(AB553&lt;=F553,"ONTIME DELIVERY","DELAY")),"")</f>
        <v>ONTIME DELIVERY</v>
      </c>
      <c r="Q553" s="181" t="str">
        <f>IFERROR(IF(J553&gt;0,VLOOKUP(J553,#REF!,MATCH($Q$6,#REF!,0),0),""),"")</f>
        <v/>
      </c>
      <c r="R553" s="181" t="str">
        <f>IFERROR(IF(J553&gt;0,VLOOKUP(J553,#REF!,MATCH($R$6,#REF!,0),0),""),"")</f>
        <v/>
      </c>
      <c r="S553" s="181" t="e">
        <f>IF(I556&gt;0,Q553+R553,"")</f>
        <v>#VALUE!</v>
      </c>
      <c r="T553" s="181"/>
      <c r="U553" s="181"/>
      <c r="V553" s="37"/>
      <c r="W553" s="181" t="e">
        <f>IF(I556&gt;0,IF(S553&gt;L553,"READY STOCK",IF(S553=0,"OUT OF STOCK",IF(S553&lt;L553,"LOW STOCK",""))),"")</f>
        <v>#VALUE!</v>
      </c>
      <c r="X553" s="38"/>
      <c r="Y553" s="38"/>
      <c r="Z553" s="38"/>
      <c r="AA553" s="38"/>
      <c r="AB553" s="50">
        <v>46290</v>
      </c>
      <c r="AC553" s="181">
        <v>34575</v>
      </c>
      <c r="AD553" s="51">
        <v>2</v>
      </c>
      <c r="AE553" s="37" t="s">
        <v>383</v>
      </c>
      <c r="AF553" s="37" t="s">
        <v>381</v>
      </c>
      <c r="AG553" s="33" t="str">
        <f>IF(G553&gt;0,IF(AD553&gt;0,IF(AD553=0,"Waiting",IF(AD553&lt;L553,"Partial",IF(AD553=L553,"Full Supply",IF(AD553&gt;L553,"Over Shared")))),"Waiting"),"")</f>
        <v>Full Supply</v>
      </c>
      <c r="AH553" s="37"/>
      <c r="AI553" s="37"/>
      <c r="AJ553" s="181"/>
      <c r="AK553" s="40"/>
      <c r="AL553" s="40"/>
      <c r="AM553" s="40"/>
      <c r="AN553" s="37"/>
      <c r="AO553" s="34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181">
        <f>L553-AD553</f>
        <v>0</v>
      </c>
    </row>
    <row r="554" spans="1:52" ht="15.5" customHeight="1">
      <c r="A554" s="360" t="s">
        <v>372</v>
      </c>
      <c r="B554" s="340">
        <v>46266</v>
      </c>
      <c r="C554" s="181">
        <v>50374</v>
      </c>
      <c r="D554" s="30">
        <v>46266</v>
      </c>
      <c r="E554" s="30">
        <v>46262</v>
      </c>
      <c r="F554" s="30">
        <v>46293</v>
      </c>
      <c r="G554" s="37">
        <v>4420232405</v>
      </c>
      <c r="H554" s="37" t="s">
        <v>373</v>
      </c>
      <c r="I554" s="37">
        <v>9040042451</v>
      </c>
      <c r="J554" s="37" t="s">
        <v>295</v>
      </c>
      <c r="K554" s="325" t="s">
        <v>296</v>
      </c>
      <c r="L554" s="181">
        <v>4</v>
      </c>
      <c r="M554" s="181" t="s">
        <v>375</v>
      </c>
      <c r="N554" s="37" t="s">
        <v>408</v>
      </c>
      <c r="O554" s="31">
        <f>IF(F554&gt;0,F554-AB554,"")</f>
        <v>14</v>
      </c>
      <c r="P554" s="37" t="str">
        <f>IF(F554&gt;0,IF(AB554="","PLANNING SUPPLY",IF(AB554&lt;=F554,"ONTIME DELIVERY","DELAY")),"")</f>
        <v>ONTIME DELIVERY</v>
      </c>
      <c r="Q554" s="181" t="str">
        <f>IFERROR(IF(J554&gt;0,VLOOKUP(J554,#REF!,MATCH($Q$6,#REF!,0),0),""),"")</f>
        <v/>
      </c>
      <c r="R554" s="181" t="str">
        <f>IFERROR(IF(J554&gt;0,VLOOKUP(J554,#REF!,MATCH($R$6,#REF!,0),0),""),"")</f>
        <v/>
      </c>
      <c r="S554" s="181" t="e">
        <f>IF(I557&gt;0,Q554+R554,"")</f>
        <v>#VALUE!</v>
      </c>
      <c r="T554" s="181"/>
      <c r="U554" s="181"/>
      <c r="V554" s="37"/>
      <c r="W554" s="181" t="e">
        <f>IF(I557&gt;0,IF(S554&gt;L554,"READY STOCK",IF(S554=0,"OUT OF STOCK",IF(S554&lt;L554,"LOW STOCK",""))),"")</f>
        <v>#VALUE!</v>
      </c>
      <c r="X554" s="38"/>
      <c r="Y554" s="38"/>
      <c r="Z554" s="38"/>
      <c r="AA554" s="38"/>
      <c r="AB554" s="50">
        <v>46279</v>
      </c>
      <c r="AC554" s="181">
        <v>34247</v>
      </c>
      <c r="AD554" s="51">
        <v>4</v>
      </c>
      <c r="AE554" s="37" t="s">
        <v>387</v>
      </c>
      <c r="AF554" s="37" t="s">
        <v>381</v>
      </c>
      <c r="AG554" s="33" t="str">
        <f>IF(G554&gt;0,IF(AD554&gt;0,IF(AD554=0,"Waiting",IF(AD554&lt;L554,"Partial",IF(AD554=L554,"Full Supply",IF(AD554&gt;L554,"Over Shared")))),"Waiting"),"")</f>
        <v>Full Supply</v>
      </c>
      <c r="AH554" s="37"/>
      <c r="AI554" s="37"/>
      <c r="AJ554" s="181"/>
      <c r="AK554" s="40"/>
      <c r="AL554" s="40"/>
      <c r="AM554" s="40"/>
      <c r="AN554" s="37"/>
      <c r="AO554" s="34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181">
        <f>L554-AD554</f>
        <v>0</v>
      </c>
    </row>
    <row r="555" spans="1:52" ht="15.5" customHeight="1">
      <c r="A555" s="360" t="s">
        <v>372</v>
      </c>
      <c r="B555" s="340">
        <v>46266</v>
      </c>
      <c r="C555" s="181">
        <v>50376</v>
      </c>
      <c r="D555" s="30">
        <v>46266</v>
      </c>
      <c r="E555" s="30">
        <v>46258</v>
      </c>
      <c r="F555" s="30">
        <v>46289</v>
      </c>
      <c r="G555" s="37">
        <v>4420232090</v>
      </c>
      <c r="H555" s="37" t="s">
        <v>373</v>
      </c>
      <c r="I555" s="37">
        <v>9040052369</v>
      </c>
      <c r="J555" s="37" t="s">
        <v>199</v>
      </c>
      <c r="K555" s="325" t="s">
        <v>200</v>
      </c>
      <c r="L555" s="181">
        <v>8</v>
      </c>
      <c r="M555" s="181" t="s">
        <v>375</v>
      </c>
      <c r="N555" s="37" t="s">
        <v>376</v>
      </c>
      <c r="O555" s="31">
        <f>IF(F555&gt;0,F555-AB555,"")</f>
        <v>-11</v>
      </c>
      <c r="P555" s="37" t="str">
        <f>IF(F555&gt;0,IF(AB555="","PLANNING SUPPLY",IF(AB555&lt;=F555,"ONTIME DELIVERY","DELAY")),"")</f>
        <v>DELAY</v>
      </c>
      <c r="Q555" s="181" t="str">
        <f>IFERROR(IF(J555&gt;0,VLOOKUP(J555,#REF!,MATCH($Q$6,#REF!,0),0),""),"")</f>
        <v/>
      </c>
      <c r="R555" s="181" t="str">
        <f>IFERROR(IF(J555&gt;0,VLOOKUP(J555,#REF!,MATCH($R$6,#REF!,0),0),""),"")</f>
        <v/>
      </c>
      <c r="S555" s="181" t="e">
        <f>IF(I558&gt;0,Q555+R555,"")</f>
        <v>#VALUE!</v>
      </c>
      <c r="T555" s="181"/>
      <c r="U555" s="181"/>
      <c r="V555" s="37"/>
      <c r="W555" s="181" t="e">
        <f>IF(I558&gt;0,IF(S555&gt;L555,"READY STOCK",IF(S555=0,"OUT OF STOCK",IF(S555&lt;L555,"LOW STOCK",""))),"")</f>
        <v>#VALUE!</v>
      </c>
      <c r="X555" s="38"/>
      <c r="Y555" s="38"/>
      <c r="Z555" s="38"/>
      <c r="AA555" s="38"/>
      <c r="AB555" s="50">
        <v>46300</v>
      </c>
      <c r="AC555" s="44">
        <v>34725</v>
      </c>
      <c r="AD555" s="51">
        <v>8</v>
      </c>
      <c r="AE555" s="37" t="s">
        <v>387</v>
      </c>
      <c r="AF555" s="37" t="s">
        <v>381</v>
      </c>
      <c r="AG555" s="33" t="str">
        <f>IF(G555&gt;0,IF(AD555&gt;0,IF(AD555=0,"Waiting",IF(AD555&lt;L555,"Partial",IF(AD555=L555,"Full Supply",IF(AD555&gt;L555,"Over Shared")))),"Waiting"),"")</f>
        <v>Full Supply</v>
      </c>
      <c r="AH555" s="37"/>
      <c r="AI555" s="37"/>
      <c r="AJ555" s="181"/>
      <c r="AK555" s="40"/>
      <c r="AL555" s="40"/>
      <c r="AM555" s="40"/>
      <c r="AN555" s="37"/>
      <c r="AO555" s="34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181">
        <f>L555-AD555</f>
        <v>0</v>
      </c>
    </row>
    <row r="556" spans="1:52" ht="15.5" customHeight="1">
      <c r="A556" s="360" t="s">
        <v>372</v>
      </c>
      <c r="B556" s="340">
        <v>46266</v>
      </c>
      <c r="C556" s="181">
        <v>50376</v>
      </c>
      <c r="D556" s="30">
        <v>46266</v>
      </c>
      <c r="E556" s="30">
        <v>46258</v>
      </c>
      <c r="F556" s="30">
        <v>46289</v>
      </c>
      <c r="G556" s="37">
        <v>4420232090</v>
      </c>
      <c r="H556" s="37" t="s">
        <v>373</v>
      </c>
      <c r="I556" s="37">
        <v>9040052401</v>
      </c>
      <c r="J556" s="37" t="s">
        <v>252</v>
      </c>
      <c r="K556" s="325" t="s">
        <v>253</v>
      </c>
      <c r="L556" s="181">
        <v>5</v>
      </c>
      <c r="M556" s="181" t="s">
        <v>375</v>
      </c>
      <c r="N556" s="37" t="s">
        <v>376</v>
      </c>
      <c r="O556" s="31">
        <f>IF(F556&gt;0,F556-AB556,"")</f>
        <v>-5</v>
      </c>
      <c r="P556" s="37" t="str">
        <f>IF(F556&gt;0,IF(AB556="","PLANNING SUPPLY",IF(AB556&lt;=F556,"ONTIME DELIVERY","DELAY")),"")</f>
        <v>DELAY</v>
      </c>
      <c r="Q556" s="181" t="str">
        <f>IFERROR(IF(J556&gt;0,VLOOKUP(J556,#REF!,MATCH($Q$6,#REF!,0),0),""),"")</f>
        <v/>
      </c>
      <c r="R556" s="181" t="str">
        <f>IFERROR(IF(J556&gt;0,VLOOKUP(J556,#REF!,MATCH($R$6,#REF!,0),0),""),"")</f>
        <v/>
      </c>
      <c r="S556" s="181" t="e">
        <f>IF(I559&gt;0,Q556+R556,"")</f>
        <v>#VALUE!</v>
      </c>
      <c r="T556" s="181"/>
      <c r="U556" s="181"/>
      <c r="V556" s="37"/>
      <c r="W556" s="181" t="e">
        <f>IF(I559&gt;0,IF(S556&gt;L556,"READY STOCK",IF(S556=0,"OUT OF STOCK",IF(S556&lt;L556,"LOW STOCK",""))),"")</f>
        <v>#VALUE!</v>
      </c>
      <c r="X556" s="38"/>
      <c r="Y556" s="38"/>
      <c r="Z556" s="38"/>
      <c r="AA556" s="38"/>
      <c r="AB556" s="50">
        <v>46294</v>
      </c>
      <c r="AC556" s="181">
        <v>34626</v>
      </c>
      <c r="AD556" s="51">
        <v>5</v>
      </c>
      <c r="AE556" s="37" t="s">
        <v>387</v>
      </c>
      <c r="AF556" s="37" t="s">
        <v>381</v>
      </c>
      <c r="AG556" s="33" t="str">
        <f>IF(G556&gt;0,IF(AD556&gt;0,IF(AD556=0,"Waiting",IF(AD556&lt;L556,"Partial",IF(AD556=L556,"Full Supply",IF(AD556&gt;L556,"Over Shared")))),"Waiting"),"")</f>
        <v>Full Supply</v>
      </c>
      <c r="AH556" s="37"/>
      <c r="AI556" s="37"/>
      <c r="AJ556" s="181"/>
      <c r="AK556" s="40"/>
      <c r="AL556" s="40"/>
      <c r="AM556" s="40"/>
      <c r="AN556" s="37"/>
      <c r="AO556" s="34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181">
        <f>L556-AD556</f>
        <v>0</v>
      </c>
    </row>
    <row r="557" spans="1:52" ht="15.5" customHeight="1">
      <c r="A557" s="360" t="s">
        <v>372</v>
      </c>
      <c r="B557" s="340">
        <v>46266</v>
      </c>
      <c r="C557" s="181">
        <v>50376</v>
      </c>
      <c r="D557" s="30">
        <v>46266</v>
      </c>
      <c r="E557" s="30">
        <v>46258</v>
      </c>
      <c r="F557" s="30">
        <v>46289</v>
      </c>
      <c r="G557" s="37">
        <v>4420232090</v>
      </c>
      <c r="H557" s="37" t="s">
        <v>373</v>
      </c>
      <c r="I557" s="37">
        <v>9040055051</v>
      </c>
      <c r="J557" s="37" t="s">
        <v>10</v>
      </c>
      <c r="K557" s="325" t="s">
        <v>149</v>
      </c>
      <c r="L557" s="181">
        <v>9</v>
      </c>
      <c r="M557" s="181" t="s">
        <v>375</v>
      </c>
      <c r="N557" s="37" t="s">
        <v>376</v>
      </c>
      <c r="O557" s="31">
        <f>IF(F557&gt;0,F557-AB557,"")</f>
        <v>7</v>
      </c>
      <c r="P557" s="37" t="str">
        <f>IF(F557&gt;0,IF(AB557="","PLANNING SUPPLY",IF(AB557&lt;=F557,"ONTIME DELIVERY","DELAY")),"")</f>
        <v>ONTIME DELIVERY</v>
      </c>
      <c r="Q557" s="181" t="str">
        <f>IFERROR(IF(J557&gt;0,VLOOKUP(J557,#REF!,MATCH($Q$6,#REF!,0),0),""),"")</f>
        <v/>
      </c>
      <c r="R557" s="181" t="str">
        <f>IFERROR(IF(J557&gt;0,VLOOKUP(J557,#REF!,MATCH($R$6,#REF!,0),0),""),"")</f>
        <v/>
      </c>
      <c r="S557" s="181" t="e">
        <f>IF(I560&gt;0,Q557+R557,"")</f>
        <v>#VALUE!</v>
      </c>
      <c r="T557" s="181"/>
      <c r="U557" s="181"/>
      <c r="V557" s="37"/>
      <c r="W557" s="181" t="e">
        <f>IF(I560&gt;0,IF(S557&gt;L557,"READY STOCK",IF(S557=0,"OUT OF STOCK",IF(S557&lt;L557,"LOW STOCK",""))),"")</f>
        <v>#VALUE!</v>
      </c>
      <c r="X557" s="38"/>
      <c r="Y557" s="38"/>
      <c r="Z557" s="38"/>
      <c r="AA557" s="38"/>
      <c r="AB557" s="50">
        <v>46282</v>
      </c>
      <c r="AC557" s="181">
        <v>34333</v>
      </c>
      <c r="AD557" s="51">
        <v>9</v>
      </c>
      <c r="AE557" s="37" t="s">
        <v>383</v>
      </c>
      <c r="AF557" s="37" t="s">
        <v>381</v>
      </c>
      <c r="AG557" s="33" t="str">
        <f>IF(G557&gt;0,IF(AD557&gt;0,IF(AD557=0,"Waiting",IF(AD557&lt;L557,"Partial",IF(AD557=L557,"Full Supply",IF(AD557&gt;L557,"Over Shared")))),"Waiting"),"")</f>
        <v>Full Supply</v>
      </c>
      <c r="AH557" s="37"/>
      <c r="AI557" s="37"/>
      <c r="AJ557" s="181"/>
      <c r="AK557" s="40"/>
      <c r="AL557" s="40"/>
      <c r="AM557" s="40"/>
      <c r="AN557" s="37"/>
      <c r="AO557" s="34"/>
      <c r="AP557" s="37"/>
      <c r="AQ557" s="37"/>
      <c r="AR557" s="37"/>
      <c r="AS557" s="37"/>
      <c r="AT557" s="37"/>
      <c r="AU557" s="36" t="str">
        <f>IF(AR557=0,"Waiting",IF(AR557&lt;AH557,"Kurang",IF(AR557=AH557,"Sesuai",IF(AR557&gt;AH557,"Over Shared"))))</f>
        <v>Waiting</v>
      </c>
      <c r="AV557" s="37"/>
      <c r="AW557" s="37"/>
      <c r="AX557" s="37"/>
      <c r="AY557" s="37"/>
      <c r="AZ557" s="181">
        <f>L557-AD557</f>
        <v>0</v>
      </c>
    </row>
    <row r="558" spans="1:52" ht="15.5" customHeight="1">
      <c r="A558" s="360" t="s">
        <v>372</v>
      </c>
      <c r="B558" s="340">
        <v>46266</v>
      </c>
      <c r="C558" s="181">
        <v>50377</v>
      </c>
      <c r="D558" s="30">
        <v>46266</v>
      </c>
      <c r="E558" s="30">
        <v>46260</v>
      </c>
      <c r="F558" s="30">
        <v>46291</v>
      </c>
      <c r="G558" s="37">
        <v>4420232173</v>
      </c>
      <c r="H558" s="37" t="s">
        <v>373</v>
      </c>
      <c r="I558" s="37">
        <v>9040042224</v>
      </c>
      <c r="J558" s="37" t="s">
        <v>195</v>
      </c>
      <c r="K558" s="325" t="s">
        <v>196</v>
      </c>
      <c r="L558" s="181">
        <v>5</v>
      </c>
      <c r="M558" s="181" t="s">
        <v>421</v>
      </c>
      <c r="N558" s="37" t="s">
        <v>376</v>
      </c>
      <c r="O558" s="31">
        <f>IF(F558&gt;0,F558-AB558,"")</f>
        <v>-18</v>
      </c>
      <c r="P558" s="37" t="str">
        <f>IF(F558&gt;0,IF(AB558="","PLANNING SUPPLY",IF(AB558&lt;=F558,"ONTIME DELIVERY","DELAY")),"")</f>
        <v>DELAY</v>
      </c>
      <c r="Q558" s="181" t="str">
        <f>IFERROR(IF(J558&gt;0,VLOOKUP(J558,#REF!,MATCH($Q$6,#REF!,0),0),""),"")</f>
        <v/>
      </c>
      <c r="R558" s="181" t="str">
        <f>IFERROR(IF(J558&gt;0,VLOOKUP(J558,#REF!,MATCH($R$6,#REF!,0),0),""),"")</f>
        <v/>
      </c>
      <c r="S558" s="181" t="e">
        <f>IF(I561&gt;0,Q558+R558,"")</f>
        <v>#VALUE!</v>
      </c>
      <c r="T558" s="181"/>
      <c r="U558" s="181"/>
      <c r="V558" s="37"/>
      <c r="W558" s="181" t="e">
        <f>IF(I561&gt;0,IF(S558&gt;L558,"READY STOCK",IF(S558=0,"OUT OF STOCK",IF(S558&lt;L558,"LOW STOCK",""))),"")</f>
        <v>#VALUE!</v>
      </c>
      <c r="X558" s="38"/>
      <c r="Y558" s="38"/>
      <c r="Z558" s="38"/>
      <c r="AA558" s="38"/>
      <c r="AB558" s="50">
        <v>46309</v>
      </c>
      <c r="AC558" s="44">
        <v>35045</v>
      </c>
      <c r="AD558" s="51">
        <v>5</v>
      </c>
      <c r="AE558" s="37" t="s">
        <v>387</v>
      </c>
      <c r="AF558" s="37" t="s">
        <v>381</v>
      </c>
      <c r="AG558" s="33" t="str">
        <f>IF(G558&gt;0,IF(AD558&gt;0,IF(AD558=0,"Waiting",IF(AD558&lt;L558,"Partial",IF(AD558=L558,"Full Supply",IF(AD558&gt;L558,"Over Shared")))),"Waiting"),"")</f>
        <v>Full Supply</v>
      </c>
      <c r="AH558" s="56">
        <v>46287</v>
      </c>
      <c r="AI558" s="37" t="s">
        <v>1322</v>
      </c>
      <c r="AJ558" s="181">
        <v>56</v>
      </c>
      <c r="AK558" s="40">
        <v>26381</v>
      </c>
      <c r="AL558" s="218">
        <v>46287</v>
      </c>
      <c r="AM558" s="40">
        <v>56</v>
      </c>
      <c r="AN558" s="37"/>
      <c r="AO558" s="41">
        <v>46290</v>
      </c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181">
        <f>L558-AD558</f>
        <v>0</v>
      </c>
    </row>
    <row r="559" spans="1:52" ht="15.5" customHeight="1">
      <c r="A559" s="360" t="s">
        <v>372</v>
      </c>
      <c r="B559" s="340">
        <v>46266</v>
      </c>
      <c r="C559" s="181">
        <v>50377</v>
      </c>
      <c r="D559" s="30">
        <v>46266</v>
      </c>
      <c r="E559" s="30">
        <v>46260</v>
      </c>
      <c r="F559" s="30">
        <v>46291</v>
      </c>
      <c r="G559" s="37">
        <v>4420232173</v>
      </c>
      <c r="H559" s="37" t="s">
        <v>373</v>
      </c>
      <c r="I559" s="37">
        <v>9040040420</v>
      </c>
      <c r="J559" s="37" t="s">
        <v>219</v>
      </c>
      <c r="K559" s="325" t="s">
        <v>220</v>
      </c>
      <c r="L559" s="181">
        <v>5</v>
      </c>
      <c r="M559" s="181" t="s">
        <v>389</v>
      </c>
      <c r="N559" s="37" t="s">
        <v>376</v>
      </c>
      <c r="O559" s="31">
        <f>IF(F559&gt;0,F559-AB559,"")</f>
        <v>-17</v>
      </c>
      <c r="P559" s="37" t="str">
        <f>IF(F559&gt;0,IF(AB559="","PLANNING SUPPLY",IF(AB559&lt;=F559,"ONTIME DELIVERY","DELAY")),"")</f>
        <v>DELAY</v>
      </c>
      <c r="Q559" s="181" t="str">
        <f>IFERROR(IF(J559&gt;0,VLOOKUP(J559,#REF!,MATCH($Q$6,#REF!,0),0),""),"")</f>
        <v/>
      </c>
      <c r="R559" s="181" t="str">
        <f>IFERROR(IF(J559&gt;0,VLOOKUP(J559,#REF!,MATCH($R$6,#REF!,0),0),""),"")</f>
        <v/>
      </c>
      <c r="S559" s="181" t="e">
        <f>IF(I562&gt;0,Q559+R559,"")</f>
        <v>#VALUE!</v>
      </c>
      <c r="T559" s="181"/>
      <c r="U559" s="181"/>
      <c r="V559" s="37"/>
      <c r="W559" s="181" t="e">
        <f>IF(I562&gt;0,IF(S559&gt;L559,"READY STOCK",IF(S559=0,"OUT OF STOCK",IF(S559&lt;L559,"LOW STOCK",""))),"")</f>
        <v>#VALUE!</v>
      </c>
      <c r="X559" s="38"/>
      <c r="Y559" s="38"/>
      <c r="Z559" s="38"/>
      <c r="AA559" s="38"/>
      <c r="AB559" s="57">
        <v>46308</v>
      </c>
      <c r="AC559" s="246">
        <v>34969</v>
      </c>
      <c r="AD559" s="53">
        <v>5</v>
      </c>
      <c r="AE559" s="58" t="s">
        <v>387</v>
      </c>
      <c r="AF559" s="58" t="s">
        <v>381</v>
      </c>
      <c r="AG559" s="33" t="str">
        <f>IF(G559&gt;0,IF(AD559&gt;0,IF(AD559=0,"Waiting",IF(AD559&lt;L559,"Partial",IF(AD559=L559,"Full Supply",IF(AD559&gt;L559,"Over Shared")))),"Waiting"),"")</f>
        <v>Full Supply</v>
      </c>
      <c r="AH559" s="56">
        <v>46268</v>
      </c>
      <c r="AI559" s="37" t="s">
        <v>1294</v>
      </c>
      <c r="AJ559" s="181">
        <v>5</v>
      </c>
      <c r="AK559" s="40">
        <v>26385</v>
      </c>
      <c r="AL559" s="42">
        <v>46287</v>
      </c>
      <c r="AM559" s="40"/>
      <c r="AN559" s="37"/>
      <c r="AO559" s="41">
        <v>46294</v>
      </c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181">
        <f>L559-AD559</f>
        <v>0</v>
      </c>
    </row>
    <row r="560" spans="1:52" ht="15.5" customHeight="1">
      <c r="A560" s="360" t="s">
        <v>372</v>
      </c>
      <c r="B560" s="340">
        <v>46266</v>
      </c>
      <c r="C560" s="181">
        <v>50377</v>
      </c>
      <c r="D560" s="30">
        <v>46266</v>
      </c>
      <c r="E560" s="30">
        <v>46260</v>
      </c>
      <c r="F560" s="30">
        <v>46291</v>
      </c>
      <c r="G560" s="37">
        <v>4420232173</v>
      </c>
      <c r="H560" s="37" t="s">
        <v>373</v>
      </c>
      <c r="I560" s="37">
        <v>9040044191</v>
      </c>
      <c r="J560" s="37" t="s">
        <v>187</v>
      </c>
      <c r="K560" s="325" t="s">
        <v>188</v>
      </c>
      <c r="L560" s="181">
        <v>10</v>
      </c>
      <c r="M560" s="181" t="s">
        <v>375</v>
      </c>
      <c r="N560" s="37" t="s">
        <v>376</v>
      </c>
      <c r="O560" s="31">
        <f>IF(F560&gt;0,F560-AB560,"")</f>
        <v>12</v>
      </c>
      <c r="P560" s="37" t="str">
        <f>IF(F560&gt;0,IF(AB560="","PLANNING SUPPLY",IF(AB560&lt;=F560,"ONTIME DELIVERY","DELAY")),"")</f>
        <v>ONTIME DELIVERY</v>
      </c>
      <c r="Q560" s="181" t="str">
        <f>IFERROR(IF(J560&gt;0,VLOOKUP(J560,#REF!,MATCH($Q$6,#REF!,0),0),""),"")</f>
        <v/>
      </c>
      <c r="R560" s="181" t="str">
        <f>IFERROR(IF(J560&gt;0,VLOOKUP(J560,#REF!,MATCH($R$6,#REF!,0),0),""),"")</f>
        <v/>
      </c>
      <c r="S560" s="181" t="e">
        <f>IF(I563&gt;0,Q560+R560,"")</f>
        <v>#VALUE!</v>
      </c>
      <c r="T560" s="181"/>
      <c r="U560" s="181"/>
      <c r="V560" s="37"/>
      <c r="W560" s="181" t="e">
        <f>IF(I563&gt;0,IF(S560&gt;L560,"READY STOCK",IF(S560=0,"OUT OF STOCK",IF(S560&lt;L560,"LOW STOCK",""))),"")</f>
        <v>#VALUE!</v>
      </c>
      <c r="X560" s="38"/>
      <c r="Y560" s="38"/>
      <c r="Z560" s="38"/>
      <c r="AA560" s="38"/>
      <c r="AB560" s="50">
        <v>46279</v>
      </c>
      <c r="AC560" s="181">
        <v>34242</v>
      </c>
      <c r="AD560" s="51">
        <v>10</v>
      </c>
      <c r="AE560" s="37" t="s">
        <v>387</v>
      </c>
      <c r="AF560" s="37" t="s">
        <v>381</v>
      </c>
      <c r="AG560" s="33" t="str">
        <f>IF(G560&gt;0,IF(AD560&gt;0,IF(AD560=0,"Waiting",IF(AD560&lt;L560,"Partial",IF(AD560=L560,"Full Supply",IF(AD560&gt;L560,"Over Shared")))),"Waiting"),"")</f>
        <v>Full Supply</v>
      </c>
      <c r="AH560" s="37"/>
      <c r="AI560" s="37"/>
      <c r="AJ560" s="181"/>
      <c r="AK560" s="40"/>
      <c r="AL560" s="40"/>
      <c r="AM560" s="40"/>
      <c r="AN560" s="37"/>
      <c r="AO560" s="34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181">
        <f>L560-AD560</f>
        <v>0</v>
      </c>
    </row>
    <row r="561" spans="1:52" ht="15.5" customHeight="1">
      <c r="A561" s="360" t="s">
        <v>372</v>
      </c>
      <c r="B561" s="340">
        <v>46266</v>
      </c>
      <c r="C561" s="181">
        <v>50377</v>
      </c>
      <c r="D561" s="30">
        <v>46266</v>
      </c>
      <c r="E561" s="30">
        <v>46260</v>
      </c>
      <c r="F561" s="30">
        <v>46291</v>
      </c>
      <c r="G561" s="37">
        <v>4420232173</v>
      </c>
      <c r="H561" s="37" t="s">
        <v>373</v>
      </c>
      <c r="I561" s="37">
        <v>9040028877</v>
      </c>
      <c r="J561" s="37" t="s">
        <v>199</v>
      </c>
      <c r="K561" s="325" t="s">
        <v>200</v>
      </c>
      <c r="L561" s="181">
        <v>20</v>
      </c>
      <c r="M561" s="181" t="s">
        <v>375</v>
      </c>
      <c r="N561" s="37" t="s">
        <v>376</v>
      </c>
      <c r="O561" s="31">
        <f>IF(F561&gt;0,F561-AB561,"")</f>
        <v>-9</v>
      </c>
      <c r="P561" s="37" t="str">
        <f>IF(F561&gt;0,IF(AB561="","PLANNING SUPPLY",IF(AB561&lt;=F561,"ONTIME DELIVERY","DELAY")),"")</f>
        <v>DELAY</v>
      </c>
      <c r="Q561" s="181" t="str">
        <f>IFERROR(IF(J561&gt;0,VLOOKUP(J561,#REF!,MATCH($Q$6,#REF!,0),0),""),"")</f>
        <v/>
      </c>
      <c r="R561" s="181" t="str">
        <f>IFERROR(IF(J561&gt;0,VLOOKUP(J561,#REF!,MATCH($R$6,#REF!,0),0),""),"")</f>
        <v/>
      </c>
      <c r="S561" s="181" t="e">
        <f>IF(I564&gt;0,Q561+R561,"")</f>
        <v>#VALUE!</v>
      </c>
      <c r="T561" s="181"/>
      <c r="U561" s="181"/>
      <c r="V561" s="37"/>
      <c r="W561" s="181" t="e">
        <f>IF(I564&gt;0,IF(S561&gt;L561,"READY STOCK",IF(S561=0,"OUT OF STOCK",IF(S561&lt;L561,"LOW STOCK",""))),"")</f>
        <v>#VALUE!</v>
      </c>
      <c r="X561" s="38"/>
      <c r="Y561" s="38"/>
      <c r="Z561" s="38"/>
      <c r="AA561" s="38"/>
      <c r="AB561" s="50">
        <v>46300</v>
      </c>
      <c r="AC561" s="44">
        <v>34728</v>
      </c>
      <c r="AD561" s="51">
        <v>20</v>
      </c>
      <c r="AE561" s="37" t="s">
        <v>387</v>
      </c>
      <c r="AF561" s="37" t="s">
        <v>381</v>
      </c>
      <c r="AG561" s="33" t="str">
        <f>IF(G561&gt;0,IF(AD561&gt;0,IF(AD561=0,"Waiting",IF(AD561&lt;L561,"Partial",IF(AD561=L561,"Full Supply",IF(AD561&gt;L561,"Over Shared")))),"Waiting"),"")</f>
        <v>Full Supply</v>
      </c>
      <c r="AH561" s="37"/>
      <c r="AI561" s="37"/>
      <c r="AJ561" s="181"/>
      <c r="AK561" s="40"/>
      <c r="AL561" s="40"/>
      <c r="AM561" s="40"/>
      <c r="AN561" s="37"/>
      <c r="AO561" s="34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181">
        <f>L561-AD561</f>
        <v>0</v>
      </c>
    </row>
    <row r="562" spans="1:52" ht="15.5" customHeight="1">
      <c r="A562" s="360" t="s">
        <v>372</v>
      </c>
      <c r="B562" s="340">
        <v>46266</v>
      </c>
      <c r="C562" s="181">
        <v>50377</v>
      </c>
      <c r="D562" s="30">
        <v>46266</v>
      </c>
      <c r="E562" s="30">
        <v>46260</v>
      </c>
      <c r="F562" s="30">
        <v>46291</v>
      </c>
      <c r="G562" s="37">
        <v>4420232173</v>
      </c>
      <c r="H562" s="37" t="s">
        <v>373</v>
      </c>
      <c r="I562" s="37">
        <v>9040012343</v>
      </c>
      <c r="J562" s="37" t="s">
        <v>303</v>
      </c>
      <c r="K562" s="325" t="s">
        <v>304</v>
      </c>
      <c r="L562" s="181">
        <v>15</v>
      </c>
      <c r="M562" s="181" t="s">
        <v>375</v>
      </c>
      <c r="N562" s="37" t="s">
        <v>376</v>
      </c>
      <c r="O562" s="31">
        <f>IF(F562&gt;0,F562-AB562,"")</f>
        <v>12</v>
      </c>
      <c r="P562" s="37" t="str">
        <f>IF(F562&gt;0,IF(AB562="","PLANNING SUPPLY",IF(AB562&lt;=F562,"ONTIME DELIVERY","DELAY")),"")</f>
        <v>ONTIME DELIVERY</v>
      </c>
      <c r="Q562" s="181" t="str">
        <f>IFERROR(IF(J562&gt;0,VLOOKUP(J562,#REF!,MATCH($Q$6,#REF!,0),0),""),"")</f>
        <v/>
      </c>
      <c r="R562" s="181" t="str">
        <f>IFERROR(IF(J562&gt;0,VLOOKUP(J562,#REF!,MATCH($R$6,#REF!,0),0),""),"")</f>
        <v/>
      </c>
      <c r="S562" s="181" t="e">
        <f>IF(I565&gt;0,Q562+R562,"")</f>
        <v>#VALUE!</v>
      </c>
      <c r="T562" s="181"/>
      <c r="U562" s="181"/>
      <c r="V562" s="37"/>
      <c r="W562" s="181" t="e">
        <f>IF(I565&gt;0,IF(S562&gt;L562,"READY STOCK",IF(S562=0,"OUT OF STOCK",IF(S562&lt;L562,"LOW STOCK",""))),"")</f>
        <v>#VALUE!</v>
      </c>
      <c r="X562" s="38"/>
      <c r="Y562" s="38"/>
      <c r="Z562" s="38"/>
      <c r="AA562" s="38"/>
      <c r="AB562" s="50">
        <v>46279</v>
      </c>
      <c r="AC562" s="181">
        <v>34248</v>
      </c>
      <c r="AD562" s="51">
        <v>15</v>
      </c>
      <c r="AE562" s="37" t="s">
        <v>387</v>
      </c>
      <c r="AF562" s="37" t="s">
        <v>381</v>
      </c>
      <c r="AG562" s="33" t="str">
        <f>IF(G562&gt;0,IF(AD562&gt;0,IF(AD562=0,"Waiting",IF(AD562&lt;L562,"Partial",IF(AD562=L562,"Full Supply",IF(AD562&gt;L562,"Over Shared")))),"Waiting"),"")</f>
        <v>Full Supply</v>
      </c>
      <c r="AH562" s="56">
        <v>46267</v>
      </c>
      <c r="AI562" s="37" t="s">
        <v>1312</v>
      </c>
      <c r="AJ562" s="181">
        <v>27</v>
      </c>
      <c r="AK562" s="40"/>
      <c r="AL562" s="40"/>
      <c r="AM562" s="40"/>
      <c r="AN562" s="216" t="s">
        <v>468</v>
      </c>
      <c r="AO562" s="232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181">
        <f>L562-AD562</f>
        <v>0</v>
      </c>
    </row>
    <row r="563" spans="1:52" ht="15.5" customHeight="1">
      <c r="A563" s="360" t="s">
        <v>372</v>
      </c>
      <c r="B563" s="340">
        <v>46266</v>
      </c>
      <c r="C563" s="181">
        <v>50377</v>
      </c>
      <c r="D563" s="30">
        <v>46266</v>
      </c>
      <c r="E563" s="30">
        <v>46260</v>
      </c>
      <c r="F563" s="30">
        <v>46291</v>
      </c>
      <c r="G563" s="37">
        <v>4420232173</v>
      </c>
      <c r="H563" s="37" t="s">
        <v>373</v>
      </c>
      <c r="I563" s="37">
        <v>9040055051</v>
      </c>
      <c r="J563" s="37" t="s">
        <v>10</v>
      </c>
      <c r="K563" s="325" t="s">
        <v>149</v>
      </c>
      <c r="L563" s="181">
        <v>8</v>
      </c>
      <c r="M563" s="181" t="s">
        <v>375</v>
      </c>
      <c r="N563" s="37" t="s">
        <v>376</v>
      </c>
      <c r="O563" s="31">
        <f>IF(F563&gt;0,F563-AB563,"")</f>
        <v>9</v>
      </c>
      <c r="P563" s="37" t="str">
        <f>IF(F563&gt;0,IF(AB563="","PLANNING SUPPLY",IF(AB563&lt;=F563,"ONTIME DELIVERY","DELAY")),"")</f>
        <v>ONTIME DELIVERY</v>
      </c>
      <c r="Q563" s="181" t="str">
        <f>IFERROR(IF(J563&gt;0,VLOOKUP(J563,#REF!,MATCH($Q$6,#REF!,0),0),""),"")</f>
        <v/>
      </c>
      <c r="R563" s="181" t="str">
        <f>IFERROR(IF(J563&gt;0,VLOOKUP(J563,#REF!,MATCH($R$6,#REF!,0),0),""),"")</f>
        <v/>
      </c>
      <c r="S563" s="181" t="e">
        <f>IF(I566&gt;0,Q563+R563,"")</f>
        <v>#VALUE!</v>
      </c>
      <c r="T563" s="181"/>
      <c r="U563" s="181"/>
      <c r="V563" s="37"/>
      <c r="W563" s="181" t="e">
        <f>IF(I566&gt;0,IF(S563&gt;L563,"READY STOCK",IF(S563=0,"OUT OF STOCK",IF(S563&lt;L563,"LOW STOCK",""))),"")</f>
        <v>#VALUE!</v>
      </c>
      <c r="X563" s="38"/>
      <c r="Y563" s="38"/>
      <c r="Z563" s="38"/>
      <c r="AA563" s="38"/>
      <c r="AB563" s="50">
        <v>46282</v>
      </c>
      <c r="AC563" s="181">
        <v>34334</v>
      </c>
      <c r="AD563" s="51">
        <v>8</v>
      </c>
      <c r="AE563" s="37" t="s">
        <v>383</v>
      </c>
      <c r="AF563" s="37" t="s">
        <v>381</v>
      </c>
      <c r="AG563" s="33" t="str">
        <f>IF(G563&gt;0,IF(AD563&gt;0,IF(AD563=0,"Waiting",IF(AD563&lt;L563,"Partial",IF(AD563=L563,"Full Supply",IF(AD563&gt;L563,"Over Shared")))),"Waiting"),"")</f>
        <v>Full Supply</v>
      </c>
      <c r="AH563" s="37"/>
      <c r="AI563" s="37"/>
      <c r="AJ563" s="181"/>
      <c r="AK563" s="40"/>
      <c r="AL563" s="40"/>
      <c r="AM563" s="40"/>
      <c r="AN563" s="37"/>
      <c r="AO563" s="34"/>
      <c r="AP563" s="37"/>
      <c r="AQ563" s="37"/>
      <c r="AR563" s="37"/>
      <c r="AS563" s="37"/>
      <c r="AT563" s="37"/>
      <c r="AU563" s="36" t="str">
        <f>IF(AR563=0,"Waiting",IF(AR563&lt;AH563,"Kurang",IF(AR563=AH563,"Sesuai",IF(AR563&gt;AH563,"Over Shared"))))</f>
        <v>Waiting</v>
      </c>
      <c r="AV563" s="37"/>
      <c r="AW563" s="37"/>
      <c r="AX563" s="37"/>
      <c r="AY563" s="37"/>
      <c r="AZ563" s="181">
        <f>L563-AD563</f>
        <v>0</v>
      </c>
    </row>
    <row r="564" spans="1:52" ht="15.5" customHeight="1">
      <c r="A564" s="360" t="s">
        <v>372</v>
      </c>
      <c r="B564" s="340">
        <v>46266</v>
      </c>
      <c r="C564" s="181">
        <v>50384</v>
      </c>
      <c r="D564" s="30">
        <v>46266</v>
      </c>
      <c r="E564" s="30">
        <v>46262</v>
      </c>
      <c r="F564" s="30">
        <v>46295</v>
      </c>
      <c r="G564" s="37">
        <v>4420232344</v>
      </c>
      <c r="H564" s="37" t="s">
        <v>373</v>
      </c>
      <c r="I564" s="37">
        <v>9040024721</v>
      </c>
      <c r="J564" s="37" t="s">
        <v>239</v>
      </c>
      <c r="K564" s="325" t="s">
        <v>240</v>
      </c>
      <c r="L564" s="181">
        <v>2</v>
      </c>
      <c r="M564" s="181" t="s">
        <v>389</v>
      </c>
      <c r="N564" s="37" t="s">
        <v>382</v>
      </c>
      <c r="O564" s="31">
        <f>IF(F564&gt;0,F564-AB564,"")</f>
        <v>46295</v>
      </c>
      <c r="P564" s="37" t="str">
        <f>IF(F564&gt;0,IF(AB564="","PLANNING SUPPLY",IF(AB564&lt;=F564,"ONTIME DELIVERY","DELAY")),"")</f>
        <v>PLANNING SUPPLY</v>
      </c>
      <c r="Q564" s="181" t="str">
        <f>IFERROR(IF(J564&gt;0,VLOOKUP(J564,#REF!,MATCH($Q$6,#REF!,0),0),""),"")</f>
        <v/>
      </c>
      <c r="R564" s="181" t="str">
        <f>IFERROR(IF(J564&gt;0,VLOOKUP(J564,#REF!,MATCH($R$6,#REF!,0),0),""),"")</f>
        <v/>
      </c>
      <c r="S564" s="181" t="e">
        <f>IF(I567&gt;0,Q564+R564,"")</f>
        <v>#VALUE!</v>
      </c>
      <c r="T564" s="181"/>
      <c r="U564" s="181"/>
      <c r="V564" s="37"/>
      <c r="W564" s="181" t="e">
        <f>IF(I567&gt;0,IF(S564&gt;L564,"READY STOCK",IF(S564=0,"OUT OF STOCK",IF(S564&lt;L564,"LOW STOCK",""))),"")</f>
        <v>#VALUE!</v>
      </c>
      <c r="X564" s="38"/>
      <c r="Y564" s="38"/>
      <c r="Z564" s="38"/>
      <c r="AA564" s="38"/>
      <c r="AB564" s="50"/>
      <c r="AC564" s="181"/>
      <c r="AD564" s="51"/>
      <c r="AE564" s="37"/>
      <c r="AF564" s="37"/>
      <c r="AG564" s="33" t="str">
        <f>IF(G564&gt;0,IF(AD564&gt;0,IF(AD564=0,"Waiting",IF(AD564&lt;L564,"Partial",IF(AD564=L564,"Full Supply",IF(AD564&gt;L564,"Over Shared")))),"Waiting"),"")</f>
        <v>Waiting</v>
      </c>
      <c r="AH564" s="56">
        <v>46268</v>
      </c>
      <c r="AI564" s="37" t="s">
        <v>1294</v>
      </c>
      <c r="AJ564" s="181">
        <v>21</v>
      </c>
      <c r="AK564" s="40">
        <v>26396</v>
      </c>
      <c r="AL564" s="42">
        <v>46287</v>
      </c>
      <c r="AM564" s="40">
        <v>21</v>
      </c>
      <c r="AN564" s="37"/>
      <c r="AO564" s="232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181">
        <f>L564-AD564</f>
        <v>2</v>
      </c>
    </row>
    <row r="565" spans="1:52" ht="15.5" customHeight="1">
      <c r="A565" s="360" t="s">
        <v>372</v>
      </c>
      <c r="B565" s="340">
        <v>46266</v>
      </c>
      <c r="C565" s="181">
        <v>50384</v>
      </c>
      <c r="D565" s="30">
        <v>46266</v>
      </c>
      <c r="E565" s="30">
        <v>46262</v>
      </c>
      <c r="F565" s="30">
        <v>46295</v>
      </c>
      <c r="G565" s="37">
        <v>4420232344</v>
      </c>
      <c r="H565" s="37" t="s">
        <v>373</v>
      </c>
      <c r="I565" s="37">
        <v>9040051092</v>
      </c>
      <c r="J565" s="37" t="s">
        <v>89</v>
      </c>
      <c r="K565" s="325" t="s">
        <v>90</v>
      </c>
      <c r="L565" s="181">
        <v>6</v>
      </c>
      <c r="M565" s="181" t="s">
        <v>375</v>
      </c>
      <c r="N565" s="37" t="s">
        <v>382</v>
      </c>
      <c r="O565" s="31">
        <f>IF(F565&gt;0,F565-AB565,"")</f>
        <v>13</v>
      </c>
      <c r="P565" s="37" t="str">
        <f>IF(F565&gt;0,IF(AB565="","PLANNING SUPPLY",IF(AB565&lt;=F565,"ONTIME DELIVERY","DELAY")),"")</f>
        <v>ONTIME DELIVERY</v>
      </c>
      <c r="Q565" s="181" t="str">
        <f>IFERROR(IF(J565&gt;0,VLOOKUP(J565,#REF!,MATCH($Q$6,#REF!,0),0),""),"")</f>
        <v/>
      </c>
      <c r="R565" s="181" t="str">
        <f>IFERROR(IF(J565&gt;0,VLOOKUP(J565,#REF!,MATCH($R$6,#REF!,0),0),""),"")</f>
        <v/>
      </c>
      <c r="S565" s="181" t="e">
        <f>IF(I568&gt;0,Q565+R565,"")</f>
        <v>#VALUE!</v>
      </c>
      <c r="T565" s="181"/>
      <c r="U565" s="181"/>
      <c r="V565" s="37"/>
      <c r="W565" s="181" t="e">
        <f>IF(I568&gt;0,IF(S565&gt;L565,"READY STOCK",IF(S565=0,"OUT OF STOCK",IF(S565&lt;L565,"LOW STOCK",""))),"")</f>
        <v>#VALUE!</v>
      </c>
      <c r="X565" s="38"/>
      <c r="Y565" s="38"/>
      <c r="Z565" s="38"/>
      <c r="AA565" s="38"/>
      <c r="AB565" s="50">
        <v>46282</v>
      </c>
      <c r="AC565" s="181">
        <v>34390</v>
      </c>
      <c r="AD565" s="51">
        <v>6</v>
      </c>
      <c r="AE565" s="37" t="s">
        <v>387</v>
      </c>
      <c r="AF565" s="37" t="s">
        <v>381</v>
      </c>
      <c r="AG565" s="33" t="str">
        <f>IF(G565&gt;0,IF(AD565&gt;0,IF(AD565=0,"Waiting",IF(AD565&lt;L565,"Partial",IF(AD565=L565,"Full Supply",IF(AD565&gt;L565,"Over Shared")))),"Waiting"),"")</f>
        <v>Full Supply</v>
      </c>
      <c r="AH565" s="56">
        <v>46268</v>
      </c>
      <c r="AI565" s="37" t="s">
        <v>1294</v>
      </c>
      <c r="AJ565" s="181">
        <v>13</v>
      </c>
      <c r="AK565" s="40">
        <v>26191</v>
      </c>
      <c r="AL565" s="189">
        <v>46269</v>
      </c>
      <c r="AM565" s="40">
        <v>16</v>
      </c>
      <c r="AN565" s="37"/>
      <c r="AO565" s="214">
        <v>46275</v>
      </c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181">
        <f>L565-AD565</f>
        <v>0</v>
      </c>
    </row>
    <row r="566" spans="1:52" ht="15.5" customHeight="1">
      <c r="A566" s="360" t="s">
        <v>372</v>
      </c>
      <c r="B566" s="340">
        <v>46266</v>
      </c>
      <c r="C566" s="181">
        <v>50384</v>
      </c>
      <c r="D566" s="30">
        <v>46266</v>
      </c>
      <c r="E566" s="30">
        <v>46262</v>
      </c>
      <c r="F566" s="30">
        <v>46295</v>
      </c>
      <c r="G566" s="37">
        <v>4420232344</v>
      </c>
      <c r="H566" s="37" t="s">
        <v>373</v>
      </c>
      <c r="I566" s="37">
        <v>9040073264</v>
      </c>
      <c r="J566" s="37" t="s">
        <v>85</v>
      </c>
      <c r="K566" s="325" t="s">
        <v>86</v>
      </c>
      <c r="L566" s="181">
        <v>3</v>
      </c>
      <c r="M566" s="181" t="s">
        <v>375</v>
      </c>
      <c r="N566" s="37" t="s">
        <v>382</v>
      </c>
      <c r="O566" s="31">
        <f>IF(F566&gt;0,F566-AB566,"")</f>
        <v>13</v>
      </c>
      <c r="P566" s="37" t="str">
        <f>IF(F566&gt;0,IF(AB566="","PLANNING SUPPLY",IF(AB566&lt;=F566,"ONTIME DELIVERY","DELAY")),"")</f>
        <v>ONTIME DELIVERY</v>
      </c>
      <c r="Q566" s="181" t="str">
        <f>IFERROR(IF(J566&gt;0,VLOOKUP(J566,#REF!,MATCH($Q$6,#REF!,0),0),""),"")</f>
        <v/>
      </c>
      <c r="R566" s="181" t="str">
        <f>IFERROR(IF(J566&gt;0,VLOOKUP(J566,#REF!,MATCH($R$6,#REF!,0),0),""),"")</f>
        <v/>
      </c>
      <c r="S566" s="181" t="e">
        <f>IF(I569&gt;0,Q566+R566,"")</f>
        <v>#VALUE!</v>
      </c>
      <c r="T566" s="181"/>
      <c r="U566" s="181"/>
      <c r="V566" s="37"/>
      <c r="W566" s="181" t="e">
        <f>IF(I569&gt;0,IF(S566&gt;L566,"READY STOCK",IF(S566=0,"OUT OF STOCK",IF(S566&lt;L566,"LOW STOCK",""))),"")</f>
        <v>#VALUE!</v>
      </c>
      <c r="X566" s="38"/>
      <c r="Y566" s="38"/>
      <c r="Z566" s="38"/>
      <c r="AA566" s="38"/>
      <c r="AB566" s="50">
        <v>46282</v>
      </c>
      <c r="AC566" s="181">
        <v>34385</v>
      </c>
      <c r="AD566" s="51">
        <v>3</v>
      </c>
      <c r="AE566" s="37" t="s">
        <v>387</v>
      </c>
      <c r="AF566" s="37" t="s">
        <v>381</v>
      </c>
      <c r="AG566" s="33" t="str">
        <f>IF(G566&gt;0,IF(AD566&gt;0,IF(AD566=0,"Waiting",IF(AD566&lt;L566,"Partial",IF(AD566=L566,"Full Supply",IF(AD566&gt;L566,"Over Shared")))),"Waiting"),"")</f>
        <v>Full Supply</v>
      </c>
      <c r="AH566" s="56">
        <v>46268</v>
      </c>
      <c r="AI566" s="37" t="s">
        <v>1294</v>
      </c>
      <c r="AJ566" s="181">
        <v>10</v>
      </c>
      <c r="AK566" s="40">
        <v>26191</v>
      </c>
      <c r="AL566" s="189">
        <v>46269</v>
      </c>
      <c r="AM566" s="40">
        <v>8</v>
      </c>
      <c r="AN566" s="37"/>
      <c r="AO566" s="214">
        <v>46275</v>
      </c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181">
        <f>L566-AD566</f>
        <v>0</v>
      </c>
    </row>
    <row r="567" spans="1:52" ht="15.5" customHeight="1">
      <c r="A567" s="360" t="s">
        <v>372</v>
      </c>
      <c r="B567" s="340">
        <v>46266</v>
      </c>
      <c r="C567" s="181">
        <v>50384</v>
      </c>
      <c r="D567" s="30">
        <v>46266</v>
      </c>
      <c r="E567" s="30">
        <v>46262</v>
      </c>
      <c r="F567" s="30">
        <v>46295</v>
      </c>
      <c r="G567" s="37">
        <v>4420232344</v>
      </c>
      <c r="H567" s="37" t="s">
        <v>373</v>
      </c>
      <c r="I567" s="37">
        <v>9040022848</v>
      </c>
      <c r="J567" s="37" t="s">
        <v>27</v>
      </c>
      <c r="K567" s="325" t="s">
        <v>28</v>
      </c>
      <c r="L567" s="181">
        <v>1</v>
      </c>
      <c r="M567" s="181" t="s">
        <v>375</v>
      </c>
      <c r="N567" s="37" t="s">
        <v>382</v>
      </c>
      <c r="O567" s="31">
        <f>IF(F567&gt;0,F567-AB567,"")</f>
        <v>20</v>
      </c>
      <c r="P567" s="37" t="str">
        <f>IF(F567&gt;0,IF(AB567="","PLANNING SUPPLY",IF(AB567&lt;=F567,"ONTIME DELIVERY","DELAY")),"")</f>
        <v>ONTIME DELIVERY</v>
      </c>
      <c r="Q567" s="181" t="str">
        <f>IFERROR(IF(J567&gt;0,VLOOKUP(J567,#REF!,MATCH($Q$6,#REF!,0),0),""),"")</f>
        <v/>
      </c>
      <c r="R567" s="181" t="str">
        <f>IFERROR(IF(J567&gt;0,VLOOKUP(J567,#REF!,MATCH($R$6,#REF!,0),0),""),"")</f>
        <v/>
      </c>
      <c r="S567" s="181" t="e">
        <f>IF(I570&gt;0,Q567+R567,"")</f>
        <v>#VALUE!</v>
      </c>
      <c r="T567" s="181"/>
      <c r="U567" s="181"/>
      <c r="V567" s="37"/>
      <c r="W567" s="181" t="e">
        <f>IF(I570&gt;0,IF(S567&gt;L567,"READY STOCK",IF(S567=0,"OUT OF STOCK",IF(S567&lt;L567,"LOW STOCK",""))),"")</f>
        <v>#VALUE!</v>
      </c>
      <c r="X567" s="38"/>
      <c r="Y567" s="38"/>
      <c r="Z567" s="38"/>
      <c r="AA567" s="38"/>
      <c r="AB567" s="50">
        <v>46275</v>
      </c>
      <c r="AC567" s="181">
        <v>34170</v>
      </c>
      <c r="AD567" s="51">
        <v>1</v>
      </c>
      <c r="AE567" s="37" t="s">
        <v>383</v>
      </c>
      <c r="AF567" s="37" t="s">
        <v>381</v>
      </c>
      <c r="AG567" s="33" t="str">
        <f>IF(G567&gt;0,IF(AD567&gt;0,IF(AD567=0,"Waiting",IF(AD567&lt;L567,"Partial",IF(AD567=L567,"Full Supply",IF(AD567&gt;L567,"Over Shared")))),"Waiting"),"")</f>
        <v>Full Supply</v>
      </c>
      <c r="AH567" s="37"/>
      <c r="AI567" s="37"/>
      <c r="AJ567" s="181"/>
      <c r="AK567" s="40"/>
      <c r="AL567" s="40"/>
      <c r="AM567" s="40"/>
      <c r="AN567" s="37"/>
      <c r="AO567" s="34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181">
        <f>L567-AD567</f>
        <v>0</v>
      </c>
    </row>
    <row r="568" spans="1:52" ht="15.5" customHeight="1">
      <c r="A568" s="360" t="s">
        <v>372</v>
      </c>
      <c r="B568" s="340">
        <v>46266</v>
      </c>
      <c r="C568" s="181">
        <v>50384</v>
      </c>
      <c r="D568" s="30">
        <v>46266</v>
      </c>
      <c r="E568" s="30">
        <v>46262</v>
      </c>
      <c r="F568" s="30">
        <v>46295</v>
      </c>
      <c r="G568" s="37">
        <v>4420232344</v>
      </c>
      <c r="H568" s="37" t="s">
        <v>373</v>
      </c>
      <c r="I568" s="37">
        <v>9040028402</v>
      </c>
      <c r="J568" s="37" t="s">
        <v>133</v>
      </c>
      <c r="K568" s="325" t="s">
        <v>134</v>
      </c>
      <c r="L568" s="181">
        <v>2</v>
      </c>
      <c r="M568" s="181" t="s">
        <v>375</v>
      </c>
      <c r="N568" s="37" t="s">
        <v>382</v>
      </c>
      <c r="O568" s="31">
        <f>IF(F568&gt;0,F568-AB568,"")</f>
        <v>-13</v>
      </c>
      <c r="P568" s="37" t="str">
        <f>IF(F568&gt;0,IF(AB568="","PLANNING SUPPLY",IF(AB568&lt;=F568,"ONTIME DELIVERY","DELAY")),"")</f>
        <v>DELAY</v>
      </c>
      <c r="Q568" s="181" t="str">
        <f>IFERROR(IF(J568&gt;0,VLOOKUP(J568,#REF!,MATCH($Q$6,#REF!,0),0),""),"")</f>
        <v/>
      </c>
      <c r="R568" s="181" t="str">
        <f>IFERROR(IF(J568&gt;0,VLOOKUP(J568,#REF!,MATCH($R$6,#REF!,0),0),""),"")</f>
        <v/>
      </c>
      <c r="S568" s="181" t="e">
        <f>IF(I571&gt;0,Q568+R568,"")</f>
        <v>#VALUE!</v>
      </c>
      <c r="T568" s="181"/>
      <c r="U568" s="181"/>
      <c r="V568" s="37"/>
      <c r="W568" s="181" t="e">
        <f>IF(I571&gt;0,IF(S568&gt;L568,"READY STOCK",IF(S568=0,"OUT OF STOCK",IF(S568&lt;L568,"LOW STOCK",""))),"")</f>
        <v>#VALUE!</v>
      </c>
      <c r="X568" s="38"/>
      <c r="Y568" s="38"/>
      <c r="Z568" s="38"/>
      <c r="AA568" s="38"/>
      <c r="AB568" s="50">
        <v>46308</v>
      </c>
      <c r="AC568" s="246">
        <v>34983</v>
      </c>
      <c r="AD568" s="51">
        <v>2</v>
      </c>
      <c r="AE568" s="37" t="s">
        <v>387</v>
      </c>
      <c r="AF568" s="37" t="s">
        <v>381</v>
      </c>
      <c r="AG568" s="33" t="str">
        <f>IF(G568&gt;0,IF(AD568&gt;0,IF(AD568=0,"Waiting",IF(AD568&lt;L568,"Partial",IF(AD568=L568,"Full Supply",IF(AD568&gt;L568,"Over Shared")))),"Waiting"),"")</f>
        <v>Full Supply</v>
      </c>
      <c r="AH568" s="56">
        <v>46268</v>
      </c>
      <c r="AI568" s="37" t="s">
        <v>1294</v>
      </c>
      <c r="AJ568" s="181">
        <v>10</v>
      </c>
      <c r="AK568" s="40"/>
      <c r="AL568" s="40"/>
      <c r="AM568" s="40"/>
      <c r="AN568" s="216" t="s">
        <v>1323</v>
      </c>
      <c r="AO568" s="55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181">
        <f>L568-AD568</f>
        <v>0</v>
      </c>
    </row>
    <row r="569" spans="1:52" ht="15.5" customHeight="1">
      <c r="A569" s="360" t="s">
        <v>372</v>
      </c>
      <c r="B569" s="340">
        <v>46266</v>
      </c>
      <c r="C569" s="181">
        <v>50384</v>
      </c>
      <c r="D569" s="30">
        <v>46266</v>
      </c>
      <c r="E569" s="30">
        <v>46262</v>
      </c>
      <c r="F569" s="30">
        <v>46295</v>
      </c>
      <c r="G569" s="37">
        <v>4420232344</v>
      </c>
      <c r="H569" s="37" t="s">
        <v>373</v>
      </c>
      <c r="I569" s="37">
        <v>9040037431</v>
      </c>
      <c r="J569" s="37" t="s">
        <v>102</v>
      </c>
      <c r="K569" s="325" t="s">
        <v>103</v>
      </c>
      <c r="L569" s="181">
        <v>1</v>
      </c>
      <c r="M569" s="181" t="s">
        <v>375</v>
      </c>
      <c r="N569" s="37" t="s">
        <v>382</v>
      </c>
      <c r="O569" s="31">
        <f>IF(F569&gt;0,F569-AB569,"")</f>
        <v>-13</v>
      </c>
      <c r="P569" s="37" t="str">
        <f>IF(F569&gt;0,IF(AB569="","PLANNING SUPPLY",IF(AB569&lt;=F569,"ONTIME DELIVERY","DELAY")),"")</f>
        <v>DELAY</v>
      </c>
      <c r="Q569" s="181" t="str">
        <f>IFERROR(IF(J569&gt;0,VLOOKUP(J569,#REF!,MATCH($Q$6,#REF!,0),0),""),"")</f>
        <v/>
      </c>
      <c r="R569" s="181" t="str">
        <f>IFERROR(IF(J569&gt;0,VLOOKUP(J569,#REF!,MATCH($R$6,#REF!,0),0),""),"")</f>
        <v/>
      </c>
      <c r="S569" s="181" t="e">
        <f>IF(I572&gt;0,Q569+R569,"")</f>
        <v>#VALUE!</v>
      </c>
      <c r="T569" s="181"/>
      <c r="U569" s="181"/>
      <c r="V569" s="37"/>
      <c r="W569" s="181" t="e">
        <f>IF(I572&gt;0,IF(S569&gt;L569,"READY STOCK",IF(S569=0,"OUT OF STOCK",IF(S569&lt;L569,"LOW STOCK",""))),"")</f>
        <v>#VALUE!</v>
      </c>
      <c r="X569" s="38"/>
      <c r="Y569" s="38"/>
      <c r="Z569" s="38"/>
      <c r="AA569" s="38"/>
      <c r="AB569" s="50">
        <v>46308</v>
      </c>
      <c r="AC569" s="246">
        <v>34983</v>
      </c>
      <c r="AD569" s="51">
        <v>1</v>
      </c>
      <c r="AE569" s="37" t="s">
        <v>387</v>
      </c>
      <c r="AF569" s="37" t="s">
        <v>381</v>
      </c>
      <c r="AG569" s="33" t="str">
        <f>IF(G569&gt;0,IF(AD569&gt;0,IF(AD569=0,"Waiting",IF(AD569&lt;L569,"Partial",IF(AD569=L569,"Full Supply",IF(AD569&gt;L569,"Over Shared")))),"Waiting"),"")</f>
        <v>Full Supply</v>
      </c>
      <c r="AH569" s="56">
        <v>46268</v>
      </c>
      <c r="AI569" s="37" t="s">
        <v>1294</v>
      </c>
      <c r="AJ569" s="181">
        <v>1</v>
      </c>
      <c r="AK569" s="40"/>
      <c r="AL569" s="40"/>
      <c r="AM569" s="40"/>
      <c r="AN569" s="216"/>
      <c r="AO569" s="46">
        <v>46296</v>
      </c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181">
        <f>L569-AD569</f>
        <v>0</v>
      </c>
    </row>
    <row r="570" spans="1:52" ht="15.5" customHeight="1">
      <c r="A570" s="360" t="s">
        <v>372</v>
      </c>
      <c r="B570" s="340">
        <v>46266</v>
      </c>
      <c r="C570" s="181">
        <v>50384</v>
      </c>
      <c r="D570" s="30">
        <v>46266</v>
      </c>
      <c r="E570" s="30">
        <v>46262</v>
      </c>
      <c r="F570" s="30">
        <v>46295</v>
      </c>
      <c r="G570" s="37">
        <v>4420232344</v>
      </c>
      <c r="H570" s="37" t="s">
        <v>373</v>
      </c>
      <c r="I570" s="37">
        <v>9040060831</v>
      </c>
      <c r="J570" s="37" t="s">
        <v>280</v>
      </c>
      <c r="K570" s="325" t="s">
        <v>281</v>
      </c>
      <c r="L570" s="181">
        <v>10</v>
      </c>
      <c r="M570" s="181" t="s">
        <v>421</v>
      </c>
      <c r="N570" s="37" t="s">
        <v>382</v>
      </c>
      <c r="O570" s="31">
        <f>IF(F570&gt;0,F570-AB570,"")</f>
        <v>20</v>
      </c>
      <c r="P570" s="37" t="str">
        <f>IF(F570&gt;0,IF(AB570="","PLANNING SUPPLY",IF(AB570&lt;=F570,"ONTIME DELIVERY","DELAY")),"")</f>
        <v>ONTIME DELIVERY</v>
      </c>
      <c r="Q570" s="181" t="str">
        <f>IFERROR(IF(J570&gt;0,VLOOKUP(J570,#REF!,MATCH($Q$6,#REF!,0),0),""),"")</f>
        <v/>
      </c>
      <c r="R570" s="181" t="str">
        <f>IFERROR(IF(J570&gt;0,VLOOKUP(J570,#REF!,MATCH($R$6,#REF!,0),0),""),"")</f>
        <v/>
      </c>
      <c r="S570" s="181" t="e">
        <f>IF(I573&gt;0,Q570+R570,"")</f>
        <v>#VALUE!</v>
      </c>
      <c r="T570" s="181"/>
      <c r="U570" s="181"/>
      <c r="V570" s="37"/>
      <c r="W570" s="181" t="e">
        <f>IF(I573&gt;0,IF(S570&gt;L570,"READY STOCK",IF(S570=0,"OUT OF STOCK",IF(S570&lt;L570,"LOW STOCK",""))),"")</f>
        <v>#VALUE!</v>
      </c>
      <c r="X570" s="38"/>
      <c r="Y570" s="38"/>
      <c r="Z570" s="38"/>
      <c r="AA570" s="38"/>
      <c r="AB570" s="50">
        <v>46275</v>
      </c>
      <c r="AC570" s="181">
        <v>34170</v>
      </c>
      <c r="AD570" s="51">
        <v>10</v>
      </c>
      <c r="AE570" s="37" t="s">
        <v>383</v>
      </c>
      <c r="AF570" s="37" t="s">
        <v>381</v>
      </c>
      <c r="AG570" s="33" t="str">
        <f>IF(G570&gt;0,IF(AD570&gt;0,IF(AD570=0,"Waiting",IF(AD570&lt;L570,"Partial",IF(AD570=L570,"Full Supply",IF(AD570&gt;L570,"Over Shared")))),"Waiting"),"")</f>
        <v>Full Supply</v>
      </c>
      <c r="AH570" s="37"/>
      <c r="AI570" s="37"/>
      <c r="AJ570" s="181"/>
      <c r="AK570" s="40"/>
      <c r="AL570" s="40"/>
      <c r="AM570" s="40"/>
      <c r="AN570" s="37"/>
      <c r="AO570" s="34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181">
        <f>L570-AD570</f>
        <v>0</v>
      </c>
    </row>
    <row r="571" spans="1:52" ht="15.5" customHeight="1">
      <c r="A571" s="360" t="s">
        <v>372</v>
      </c>
      <c r="B571" s="340">
        <v>46266</v>
      </c>
      <c r="C571" s="181">
        <v>50384</v>
      </c>
      <c r="D571" s="30">
        <v>46266</v>
      </c>
      <c r="E571" s="30">
        <v>46262</v>
      </c>
      <c r="F571" s="30">
        <v>46295</v>
      </c>
      <c r="G571" s="37">
        <v>4420232344</v>
      </c>
      <c r="H571" s="37" t="s">
        <v>373</v>
      </c>
      <c r="I571" s="37">
        <v>9040073265</v>
      </c>
      <c r="J571" s="37" t="s">
        <v>135</v>
      </c>
      <c r="K571" s="325" t="s">
        <v>136</v>
      </c>
      <c r="L571" s="181">
        <v>1</v>
      </c>
      <c r="M571" s="181" t="s">
        <v>375</v>
      </c>
      <c r="N571" s="37" t="s">
        <v>382</v>
      </c>
      <c r="O571" s="31">
        <f>IF(F571&gt;0,F571-AB571,"")</f>
        <v>-19</v>
      </c>
      <c r="P571" s="37" t="str">
        <f>IF(F571&gt;0,IF(AB571="","PLANNING SUPPLY",IF(AB571&lt;=F571,"ONTIME DELIVERY","DELAY")),"")</f>
        <v>DELAY</v>
      </c>
      <c r="Q571" s="181" t="str">
        <f>IFERROR(IF(J571&gt;0,VLOOKUP(J571,#REF!,MATCH($Q$6,#REF!,0),0),""),"")</f>
        <v/>
      </c>
      <c r="R571" s="181" t="str">
        <f>IFERROR(IF(J571&gt;0,VLOOKUP(J571,#REF!,MATCH($R$6,#REF!,0),0),""),"")</f>
        <v/>
      </c>
      <c r="S571" s="181" t="e">
        <f>IF(I574&gt;0,Q571+R571,"")</f>
        <v>#VALUE!</v>
      </c>
      <c r="T571" s="181"/>
      <c r="U571" s="181"/>
      <c r="V571" s="37"/>
      <c r="W571" s="181" t="e">
        <f>IF(I574&gt;0,IF(S571&gt;L571,"READY STOCK",IF(S571=0,"OUT OF STOCK",IF(S571&lt;L571,"LOW STOCK",""))),"")</f>
        <v>#VALUE!</v>
      </c>
      <c r="X571" s="38"/>
      <c r="Y571" s="38"/>
      <c r="Z571" s="38"/>
      <c r="AA571" s="38"/>
      <c r="AB571" s="50">
        <v>46314</v>
      </c>
      <c r="AC571" s="44" t="s">
        <v>1324</v>
      </c>
      <c r="AD571" s="51">
        <v>1</v>
      </c>
      <c r="AE571" s="37" t="s">
        <v>387</v>
      </c>
      <c r="AF571" s="37" t="s">
        <v>381</v>
      </c>
      <c r="AG571" s="33" t="str">
        <f>IF(G571&gt;0,IF(AD571&gt;0,IF(AD571=0,"Waiting",IF(AD571&lt;L571,"Partial",IF(AD571=L571,"Full Supply",IF(AD571&gt;L571,"Over Shared")))),"Waiting"),"")</f>
        <v>Full Supply</v>
      </c>
      <c r="AH571" s="56">
        <v>46268</v>
      </c>
      <c r="AI571" s="37" t="s">
        <v>1294</v>
      </c>
      <c r="AJ571" s="181">
        <v>1</v>
      </c>
      <c r="AK571" s="40">
        <v>26500</v>
      </c>
      <c r="AL571" s="42">
        <v>46295</v>
      </c>
      <c r="AM571" s="40">
        <v>1</v>
      </c>
      <c r="AN571" s="37"/>
      <c r="AO571" s="211">
        <v>46297</v>
      </c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181">
        <f>L571-AD571</f>
        <v>0</v>
      </c>
    </row>
    <row r="572" spans="1:52" ht="15.5" customHeight="1">
      <c r="A572" s="360" t="s">
        <v>372</v>
      </c>
      <c r="B572" s="340">
        <v>46266</v>
      </c>
      <c r="C572" s="181">
        <v>50384</v>
      </c>
      <c r="D572" s="30">
        <v>46266</v>
      </c>
      <c r="E572" s="30">
        <v>46262</v>
      </c>
      <c r="F572" s="30">
        <v>46295</v>
      </c>
      <c r="G572" s="37">
        <v>4420232344</v>
      </c>
      <c r="H572" s="37" t="s">
        <v>373</v>
      </c>
      <c r="I572" s="37">
        <v>9040073267</v>
      </c>
      <c r="J572" s="37" t="s">
        <v>83</v>
      </c>
      <c r="K572" s="325" t="s">
        <v>84</v>
      </c>
      <c r="L572" s="181">
        <v>1</v>
      </c>
      <c r="M572" s="181" t="s">
        <v>375</v>
      </c>
      <c r="N572" s="37" t="s">
        <v>382</v>
      </c>
      <c r="O572" s="31">
        <f>IF(F572&gt;0,F572-AB572,"")</f>
        <v>-13</v>
      </c>
      <c r="P572" s="37" t="str">
        <f>IF(F572&gt;0,IF(AB572="","PLANNING SUPPLY",IF(AB572&lt;=F572,"ONTIME DELIVERY","DELAY")),"")</f>
        <v>DELAY</v>
      </c>
      <c r="Q572" s="181" t="str">
        <f>IFERROR(IF(J572&gt;0,VLOOKUP(J572,#REF!,MATCH($Q$6,#REF!,0),0),""),"")</f>
        <v/>
      </c>
      <c r="R572" s="181" t="str">
        <f>IFERROR(IF(J572&gt;0,VLOOKUP(J572,#REF!,MATCH($R$6,#REF!,0),0),""),"")</f>
        <v/>
      </c>
      <c r="S572" s="181" t="e">
        <f>IF(I575&gt;0,Q572+R572,"")</f>
        <v>#VALUE!</v>
      </c>
      <c r="T572" s="181"/>
      <c r="U572" s="181"/>
      <c r="V572" s="37"/>
      <c r="W572" s="181" t="e">
        <f>IF(I575&gt;0,IF(S572&gt;L572,"READY STOCK",IF(S572=0,"OUT OF STOCK",IF(S572&lt;L572,"LOW STOCK",""))),"")</f>
        <v>#VALUE!</v>
      </c>
      <c r="X572" s="38"/>
      <c r="Y572" s="38"/>
      <c r="Z572" s="38"/>
      <c r="AA572" s="38"/>
      <c r="AB572" s="50">
        <v>46308</v>
      </c>
      <c r="AC572" s="246">
        <v>34983</v>
      </c>
      <c r="AD572" s="51">
        <v>1</v>
      </c>
      <c r="AE572" s="37" t="s">
        <v>387</v>
      </c>
      <c r="AF572" s="37" t="s">
        <v>381</v>
      </c>
      <c r="AG572" s="33" t="str">
        <f>IF(G572&gt;0,IF(AD572&gt;0,IF(AD572=0,"Waiting",IF(AD572&lt;L572,"Partial",IF(AD572=L572,"Full Supply",IF(AD572&gt;L572,"Over Shared")))),"Waiting"),"")</f>
        <v>Full Supply</v>
      </c>
      <c r="AH572" s="56">
        <v>46268</v>
      </c>
      <c r="AI572" s="37" t="s">
        <v>1294</v>
      </c>
      <c r="AJ572" s="181">
        <v>1</v>
      </c>
      <c r="AK572" s="40">
        <v>26519</v>
      </c>
      <c r="AL572" s="218">
        <v>46296</v>
      </c>
      <c r="AM572" s="40"/>
      <c r="AN572" s="216"/>
      <c r="AO572" s="46">
        <v>46296</v>
      </c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181">
        <f>L572-AD572</f>
        <v>0</v>
      </c>
    </row>
    <row r="573" spans="1:52" ht="15.5" customHeight="1">
      <c r="A573" s="360" t="s">
        <v>372</v>
      </c>
      <c r="B573" s="340">
        <v>46266</v>
      </c>
      <c r="C573" s="181">
        <v>50384</v>
      </c>
      <c r="D573" s="30">
        <v>46266</v>
      </c>
      <c r="E573" s="30">
        <v>46262</v>
      </c>
      <c r="F573" s="30">
        <v>46295</v>
      </c>
      <c r="G573" s="37">
        <v>4420232344</v>
      </c>
      <c r="H573" s="37" t="s">
        <v>373</v>
      </c>
      <c r="I573" s="37">
        <v>9040107088</v>
      </c>
      <c r="J573" s="37" t="s">
        <v>114</v>
      </c>
      <c r="K573" s="325" t="s">
        <v>115</v>
      </c>
      <c r="L573" s="181">
        <v>15</v>
      </c>
      <c r="M573" s="181" t="s">
        <v>375</v>
      </c>
      <c r="N573" s="37" t="s">
        <v>382</v>
      </c>
      <c r="O573" s="31">
        <f>IF(F573&gt;0,F573-AB573,"")</f>
        <v>-13</v>
      </c>
      <c r="P573" s="37" t="str">
        <f>IF(F573&gt;0,IF(AB573="","PLANNING SUPPLY",IF(AB573&lt;=F573,"ONTIME DELIVERY","DELAY")),"")</f>
        <v>DELAY</v>
      </c>
      <c r="Q573" s="181" t="str">
        <f>IFERROR(IF(J573&gt;0,VLOOKUP(J573,#REF!,MATCH($Q$6,#REF!,0),0),""),"")</f>
        <v/>
      </c>
      <c r="R573" s="181" t="str">
        <f>IFERROR(IF(J573&gt;0,VLOOKUP(J573,#REF!,MATCH($R$6,#REF!,0),0),""),"")</f>
        <v/>
      </c>
      <c r="S573" s="181" t="e">
        <f>IF(I576&gt;0,Q573+R573,"")</f>
        <v>#VALUE!</v>
      </c>
      <c r="T573" s="181"/>
      <c r="U573" s="181"/>
      <c r="V573" s="37"/>
      <c r="W573" s="181" t="e">
        <f>IF(I576&gt;0,IF(S573&gt;L573,"READY STOCK",IF(S573=0,"OUT OF STOCK",IF(S573&lt;L573,"LOW STOCK",""))),"")</f>
        <v>#VALUE!</v>
      </c>
      <c r="X573" s="38"/>
      <c r="Y573" s="38"/>
      <c r="Z573" s="38"/>
      <c r="AA573" s="38"/>
      <c r="AB573" s="50">
        <v>46308</v>
      </c>
      <c r="AC573" s="246">
        <v>34983</v>
      </c>
      <c r="AD573" s="51">
        <v>15</v>
      </c>
      <c r="AE573" s="37" t="s">
        <v>387</v>
      </c>
      <c r="AF573" s="37" t="s">
        <v>381</v>
      </c>
      <c r="AG573" s="33" t="str">
        <f>IF(G573&gt;0,IF(AD573&gt;0,IF(AD573=0,"Waiting",IF(AD573&lt;L573,"Partial",IF(AD573=L573,"Full Supply",IF(AD573&gt;L573,"Over Shared")))),"Waiting"),"")</f>
        <v>Full Supply</v>
      </c>
      <c r="AH573" s="56">
        <v>46268</v>
      </c>
      <c r="AI573" s="37" t="s">
        <v>1294</v>
      </c>
      <c r="AJ573" s="181">
        <v>15</v>
      </c>
      <c r="AK573" s="40">
        <v>26519</v>
      </c>
      <c r="AL573" s="218">
        <v>46296</v>
      </c>
      <c r="AM573" s="40"/>
      <c r="AN573" s="216"/>
      <c r="AO573" s="46">
        <v>46296</v>
      </c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181">
        <f>L573-AD573</f>
        <v>0</v>
      </c>
    </row>
    <row r="574" spans="1:52" ht="15.5" customHeight="1">
      <c r="A574" s="360" t="s">
        <v>372</v>
      </c>
      <c r="B574" s="340">
        <v>46266</v>
      </c>
      <c r="C574" s="181">
        <v>50384</v>
      </c>
      <c r="D574" s="30">
        <v>46266</v>
      </c>
      <c r="E574" s="30">
        <v>46262</v>
      </c>
      <c r="F574" s="30">
        <v>46295</v>
      </c>
      <c r="G574" s="37">
        <v>4420232344</v>
      </c>
      <c r="H574" s="37" t="s">
        <v>373</v>
      </c>
      <c r="I574" s="37">
        <v>9040126434</v>
      </c>
      <c r="J574" s="37" t="s">
        <v>243</v>
      </c>
      <c r="K574" s="325" t="s">
        <v>244</v>
      </c>
      <c r="L574" s="181">
        <v>20</v>
      </c>
      <c r="M574" s="181" t="s">
        <v>458</v>
      </c>
      <c r="N574" s="37" t="s">
        <v>382</v>
      </c>
      <c r="O574" s="31">
        <f>IF(F574&gt;0,F574-AB574,"")</f>
        <v>46295</v>
      </c>
      <c r="P574" s="37" t="str">
        <f>IF(F574&gt;0,IF(AB574="","PLANNING SUPPLY",IF(AB574&lt;=F574,"ONTIME DELIVERY","DELAY")),"")</f>
        <v>PLANNING SUPPLY</v>
      </c>
      <c r="Q574" s="181" t="str">
        <f>IFERROR(IF(J574&gt;0,VLOOKUP(J574,#REF!,MATCH($Q$6,#REF!,0),0),""),"")</f>
        <v/>
      </c>
      <c r="R574" s="181" t="str">
        <f>IFERROR(IF(J574&gt;0,VLOOKUP(J574,#REF!,MATCH($R$6,#REF!,0),0),""),"")</f>
        <v/>
      </c>
      <c r="S574" s="181" t="e">
        <f>IF(I577&gt;0,Q574+R574,"")</f>
        <v>#VALUE!</v>
      </c>
      <c r="T574" s="181"/>
      <c r="U574" s="181"/>
      <c r="V574" s="37"/>
      <c r="W574" s="181" t="e">
        <f>IF(I577&gt;0,IF(S574&gt;L574,"READY STOCK",IF(S574=0,"OUT OF STOCK",IF(S574&lt;L574,"LOW STOCK",""))),"")</f>
        <v>#VALUE!</v>
      </c>
      <c r="X574" s="38"/>
      <c r="Y574" s="38"/>
      <c r="Z574" s="38"/>
      <c r="AA574" s="38"/>
      <c r="AB574" s="50"/>
      <c r="AC574" s="181"/>
      <c r="AD574" s="51"/>
      <c r="AE574" s="37"/>
      <c r="AF574" s="37"/>
      <c r="AG574" s="33" t="str">
        <f>IF(G574&gt;0,IF(AD574&gt;0,IF(AD574=0,"Waiting",IF(AD574&lt;L574,"Partial",IF(AD574=L574,"Full Supply",IF(AD574&gt;L574,"Over Shared")))),"Waiting"),"")</f>
        <v>Waiting</v>
      </c>
      <c r="AH574" s="56">
        <v>46268</v>
      </c>
      <c r="AI574" s="37" t="s">
        <v>1294</v>
      </c>
      <c r="AJ574" s="181">
        <v>20</v>
      </c>
      <c r="AK574" s="40"/>
      <c r="AL574" s="40"/>
      <c r="AM574" s="40"/>
      <c r="AN574" s="216"/>
      <c r="AO574" s="55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181">
        <f>L574-AD574</f>
        <v>20</v>
      </c>
    </row>
    <row r="575" spans="1:52" ht="15.5" customHeight="1">
      <c r="A575" s="360" t="s">
        <v>372</v>
      </c>
      <c r="B575" s="340">
        <v>46266</v>
      </c>
      <c r="C575" s="181">
        <v>50384</v>
      </c>
      <c r="D575" s="30">
        <v>46266</v>
      </c>
      <c r="E575" s="30">
        <v>46262</v>
      </c>
      <c r="F575" s="30">
        <v>46295</v>
      </c>
      <c r="G575" s="37">
        <v>4420232344</v>
      </c>
      <c r="H575" s="37" t="s">
        <v>373</v>
      </c>
      <c r="I575" s="37">
        <v>9040126455</v>
      </c>
      <c r="J575" s="37" t="s">
        <v>141</v>
      </c>
      <c r="K575" s="325" t="s">
        <v>142</v>
      </c>
      <c r="L575" s="181">
        <v>10</v>
      </c>
      <c r="M575" s="181" t="s">
        <v>375</v>
      </c>
      <c r="N575" s="37" t="s">
        <v>382</v>
      </c>
      <c r="O575" s="31">
        <f>IF(F575&gt;0,F575-AB575,"")</f>
        <v>-13</v>
      </c>
      <c r="P575" s="37" t="str">
        <f>IF(F575&gt;0,IF(AB575="","PLANNING SUPPLY",IF(AB575&lt;=F575,"ONTIME DELIVERY","DELAY")),"")</f>
        <v>DELAY</v>
      </c>
      <c r="Q575" s="181" t="str">
        <f>IFERROR(IF(J575&gt;0,VLOOKUP(J575,#REF!,MATCH($Q$6,#REF!,0),0),""),"")</f>
        <v/>
      </c>
      <c r="R575" s="181" t="str">
        <f>IFERROR(IF(J575&gt;0,VLOOKUP(J575,#REF!,MATCH($R$6,#REF!,0),0),""),"")</f>
        <v/>
      </c>
      <c r="S575" s="181" t="e">
        <f>IF(I578&gt;0,Q575+R575,"")</f>
        <v>#VALUE!</v>
      </c>
      <c r="T575" s="181"/>
      <c r="U575" s="181"/>
      <c r="V575" s="37"/>
      <c r="W575" s="181" t="e">
        <f>IF(I578&gt;0,IF(S575&gt;L575,"READY STOCK",IF(S575=0,"OUT OF STOCK",IF(S575&lt;L575,"LOW STOCK",""))),"")</f>
        <v>#VALUE!</v>
      </c>
      <c r="X575" s="38"/>
      <c r="Y575" s="38"/>
      <c r="Z575" s="38"/>
      <c r="AA575" s="38"/>
      <c r="AB575" s="50">
        <v>46308</v>
      </c>
      <c r="AC575" s="246">
        <v>34983</v>
      </c>
      <c r="AD575" s="51">
        <v>10</v>
      </c>
      <c r="AE575" s="37" t="s">
        <v>387</v>
      </c>
      <c r="AF575" s="37" t="s">
        <v>381</v>
      </c>
      <c r="AG575" s="33" t="str">
        <f>IF(G575&gt;0,IF(AD575&gt;0,IF(AD575=0,"Waiting",IF(AD575&lt;L575,"Partial",IF(AD575=L575,"Full Supply",IF(AD575&gt;L575,"Over Shared")))),"Waiting"),"")</f>
        <v>Full Supply</v>
      </c>
      <c r="AH575" s="56">
        <v>46268</v>
      </c>
      <c r="AI575" s="37" t="s">
        <v>1294</v>
      </c>
      <c r="AJ575" s="181">
        <v>10</v>
      </c>
      <c r="AK575" s="40">
        <v>26519</v>
      </c>
      <c r="AL575" s="218">
        <v>46296</v>
      </c>
      <c r="AM575" s="40"/>
      <c r="AN575" s="216"/>
      <c r="AO575" s="46">
        <v>46296</v>
      </c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181">
        <f>L575-AD575</f>
        <v>0</v>
      </c>
    </row>
    <row r="576" spans="1:52" ht="15.5" customHeight="1">
      <c r="A576" s="360" t="s">
        <v>372</v>
      </c>
      <c r="B576" s="340">
        <v>46266</v>
      </c>
      <c r="C576" s="181">
        <v>50384</v>
      </c>
      <c r="D576" s="30">
        <v>46266</v>
      </c>
      <c r="E576" s="30">
        <v>46262</v>
      </c>
      <c r="F576" s="30">
        <v>46295</v>
      </c>
      <c r="G576" s="37">
        <v>4420232344</v>
      </c>
      <c r="H576" s="37" t="s">
        <v>373</v>
      </c>
      <c r="I576" s="37">
        <v>9040126458</v>
      </c>
      <c r="J576" s="37" t="s">
        <v>217</v>
      </c>
      <c r="K576" s="325" t="s">
        <v>218</v>
      </c>
      <c r="L576" s="181">
        <v>1</v>
      </c>
      <c r="M576" s="181" t="s">
        <v>389</v>
      </c>
      <c r="N576" s="37" t="s">
        <v>382</v>
      </c>
      <c r="O576" s="31">
        <f>IF(F576&gt;0,F576-AB576,"")</f>
        <v>46295</v>
      </c>
      <c r="P576" s="37" t="str">
        <f>IF(F576&gt;0,IF(AB576="","PLANNING SUPPLY",IF(AB576&lt;=F576,"ONTIME DELIVERY","DELAY")),"")</f>
        <v>PLANNING SUPPLY</v>
      </c>
      <c r="Q576" s="181" t="str">
        <f>IFERROR(IF(J576&gt;0,VLOOKUP(J576,#REF!,MATCH($Q$6,#REF!,0),0),""),"")</f>
        <v/>
      </c>
      <c r="R576" s="181" t="str">
        <f>IFERROR(IF(J576&gt;0,VLOOKUP(J576,#REF!,MATCH($R$6,#REF!,0),0),""),"")</f>
        <v/>
      </c>
      <c r="S576" s="181" t="e">
        <f>IF(I579&gt;0,Q576+R576,"")</f>
        <v>#VALUE!</v>
      </c>
      <c r="T576" s="181"/>
      <c r="U576" s="181"/>
      <c r="V576" s="37"/>
      <c r="W576" s="181" t="e">
        <f>IF(I579&gt;0,IF(S576&gt;L576,"READY STOCK",IF(S576=0,"OUT OF STOCK",IF(S576&lt;L576,"LOW STOCK",""))),"")</f>
        <v>#VALUE!</v>
      </c>
      <c r="X576" s="38"/>
      <c r="Y576" s="38"/>
      <c r="Z576" s="38"/>
      <c r="AA576" s="38"/>
      <c r="AB576" s="50"/>
      <c r="AC576" s="181"/>
      <c r="AD576" s="51"/>
      <c r="AE576" s="37"/>
      <c r="AF576" s="37"/>
      <c r="AG576" s="33" t="str">
        <f>IF(G576&gt;0,IF(AD576&gt;0,IF(AD576=0,"Waiting",IF(AD576&lt;L576,"Partial",IF(AD576=L576,"Full Supply",IF(AD576&gt;L576,"Over Shared")))),"Waiting"),"")</f>
        <v>Waiting</v>
      </c>
      <c r="AH576" s="56">
        <v>46268</v>
      </c>
      <c r="AI576" s="37" t="s">
        <v>1294</v>
      </c>
      <c r="AJ576" s="181">
        <v>1</v>
      </c>
      <c r="AK576" s="40">
        <v>26397</v>
      </c>
      <c r="AL576" s="42">
        <v>46287</v>
      </c>
      <c r="AM576" s="40">
        <v>1</v>
      </c>
      <c r="AN576" s="212"/>
      <c r="AO576" s="232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181">
        <f>L576-AD576</f>
        <v>1</v>
      </c>
    </row>
    <row r="577" spans="1:52" ht="15.5" customHeight="1">
      <c r="A577" s="360" t="s">
        <v>372</v>
      </c>
      <c r="B577" s="340">
        <v>46266</v>
      </c>
      <c r="C577" s="181">
        <v>50384</v>
      </c>
      <c r="D577" s="30">
        <v>46266</v>
      </c>
      <c r="E577" s="30">
        <v>46262</v>
      </c>
      <c r="F577" s="30">
        <v>46295</v>
      </c>
      <c r="G577" s="37">
        <v>4420232344</v>
      </c>
      <c r="H577" s="37" t="s">
        <v>373</v>
      </c>
      <c r="I577" s="37">
        <v>9040126460</v>
      </c>
      <c r="J577" s="37" t="s">
        <v>131</v>
      </c>
      <c r="K577" s="325" t="s">
        <v>132</v>
      </c>
      <c r="L577" s="181">
        <v>10</v>
      </c>
      <c r="M577" s="181" t="s">
        <v>375</v>
      </c>
      <c r="N577" s="37" t="s">
        <v>382</v>
      </c>
      <c r="O577" s="31">
        <f>IF(F577&gt;0,F577-AB577,"")</f>
        <v>-19</v>
      </c>
      <c r="P577" s="37" t="str">
        <f>IF(F577&gt;0,IF(AB577="","PLANNING SUPPLY",IF(AB577&lt;=F577,"ONTIME DELIVERY","DELAY")),"")</f>
        <v>DELAY</v>
      </c>
      <c r="Q577" s="181" t="str">
        <f>IFERROR(IF(J577&gt;0,VLOOKUP(J577,#REF!,MATCH($Q$6,#REF!,0),0),""),"")</f>
        <v/>
      </c>
      <c r="R577" s="181" t="str">
        <f>IFERROR(IF(J577&gt;0,VLOOKUP(J577,#REF!,MATCH($R$6,#REF!,0),0),""),"")</f>
        <v/>
      </c>
      <c r="S577" s="181" t="e">
        <f>IF(I580&gt;0,Q577+R577,"")</f>
        <v>#VALUE!</v>
      </c>
      <c r="T577" s="181"/>
      <c r="U577" s="181"/>
      <c r="V577" s="37"/>
      <c r="W577" s="181" t="e">
        <f>IF(I580&gt;0,IF(S577&gt;L577,"READY STOCK",IF(S577=0,"OUT OF STOCK",IF(S577&lt;L577,"LOW STOCK",""))),"")</f>
        <v>#VALUE!</v>
      </c>
      <c r="X577" s="38"/>
      <c r="Y577" s="38"/>
      <c r="Z577" s="38"/>
      <c r="AA577" s="38"/>
      <c r="AB577" s="50">
        <v>46314</v>
      </c>
      <c r="AC577" s="44" t="s">
        <v>1324</v>
      </c>
      <c r="AD577" s="51">
        <v>10</v>
      </c>
      <c r="AE577" s="37" t="s">
        <v>387</v>
      </c>
      <c r="AF577" s="37" t="s">
        <v>381</v>
      </c>
      <c r="AG577" s="33" t="str">
        <f>IF(G577&gt;0,IF(AD577&gt;0,IF(AD577=0,"Waiting",IF(AD577&lt;L577,"Partial",IF(AD577=L577,"Full Supply",IF(AD577&gt;L577,"Over Shared")))),"Waiting"),"")</f>
        <v>Full Supply</v>
      </c>
      <c r="AH577" s="56">
        <v>46268</v>
      </c>
      <c r="AI577" s="37" t="s">
        <v>1294</v>
      </c>
      <c r="AJ577" s="181">
        <v>10</v>
      </c>
      <c r="AK577" s="40"/>
      <c r="AL577" s="40"/>
      <c r="AM577" s="40"/>
      <c r="AN577" s="216"/>
      <c r="AO577" s="46">
        <v>46297</v>
      </c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181">
        <f>L577-AD577</f>
        <v>0</v>
      </c>
    </row>
    <row r="578" spans="1:52" ht="15.5" customHeight="1">
      <c r="A578" s="360" t="s">
        <v>372</v>
      </c>
      <c r="B578" s="340">
        <v>46266</v>
      </c>
      <c r="C578" s="181">
        <v>50384</v>
      </c>
      <c r="D578" s="30">
        <v>46266</v>
      </c>
      <c r="E578" s="30">
        <v>46262</v>
      </c>
      <c r="F578" s="30">
        <v>46295</v>
      </c>
      <c r="G578" s="37">
        <v>4420232344</v>
      </c>
      <c r="H578" s="37" t="s">
        <v>373</v>
      </c>
      <c r="I578" s="37">
        <v>9040126461</v>
      </c>
      <c r="J578" s="37" t="s">
        <v>116</v>
      </c>
      <c r="K578" s="325" t="s">
        <v>117</v>
      </c>
      <c r="L578" s="181">
        <v>10</v>
      </c>
      <c r="M578" s="181" t="s">
        <v>375</v>
      </c>
      <c r="N578" s="37" t="s">
        <v>382</v>
      </c>
      <c r="O578" s="31">
        <f>IF(F578&gt;0,F578-AB578,"")</f>
        <v>-19</v>
      </c>
      <c r="P578" s="37" t="str">
        <f>IF(F578&gt;0,IF(AB578="","PLANNING SUPPLY",IF(AB578&lt;=F578,"ONTIME DELIVERY","DELAY")),"")</f>
        <v>DELAY</v>
      </c>
      <c r="Q578" s="181" t="str">
        <f>IFERROR(IF(J578&gt;0,VLOOKUP(J578,#REF!,MATCH($Q$6,#REF!,0),0),""),"")</f>
        <v/>
      </c>
      <c r="R578" s="181" t="str">
        <f>IFERROR(IF(J578&gt;0,VLOOKUP(J578,#REF!,MATCH($R$6,#REF!,0),0),""),"")</f>
        <v/>
      </c>
      <c r="S578" s="181" t="e">
        <f>IF(I581&gt;0,Q578+R578,"")</f>
        <v>#VALUE!</v>
      </c>
      <c r="T578" s="181"/>
      <c r="U578" s="181"/>
      <c r="V578" s="37"/>
      <c r="W578" s="181" t="e">
        <f>IF(I581&gt;0,IF(S578&gt;L578,"READY STOCK",IF(S578=0,"OUT OF STOCK",IF(S578&lt;L578,"LOW STOCK",""))),"")</f>
        <v>#VALUE!</v>
      </c>
      <c r="X578" s="38"/>
      <c r="Y578" s="38"/>
      <c r="Z578" s="38"/>
      <c r="AA578" s="38"/>
      <c r="AB578" s="50">
        <v>46314</v>
      </c>
      <c r="AC578" s="44" t="s">
        <v>1324</v>
      </c>
      <c r="AD578" s="51">
        <v>10</v>
      </c>
      <c r="AE578" s="37" t="s">
        <v>387</v>
      </c>
      <c r="AF578" s="37" t="s">
        <v>381</v>
      </c>
      <c r="AG578" s="33" t="str">
        <f>IF(G578&gt;0,IF(AD578&gt;0,IF(AD578=0,"Waiting",IF(AD578&lt;L578,"Partial",IF(AD578=L578,"Full Supply",IF(AD578&gt;L578,"Over Shared")))),"Waiting"),"")</f>
        <v>Full Supply</v>
      </c>
      <c r="AH578" s="56">
        <v>46268</v>
      </c>
      <c r="AI578" s="37" t="s">
        <v>1294</v>
      </c>
      <c r="AJ578" s="181">
        <v>10</v>
      </c>
      <c r="AK578" s="40"/>
      <c r="AL578" s="40"/>
      <c r="AM578" s="40"/>
      <c r="AN578" s="216"/>
      <c r="AO578" s="46">
        <v>46297</v>
      </c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181">
        <f>L578-AD578</f>
        <v>0</v>
      </c>
    </row>
    <row r="579" spans="1:52" ht="15.5" customHeight="1">
      <c r="A579" s="360" t="s">
        <v>372</v>
      </c>
      <c r="B579" s="340">
        <v>46266</v>
      </c>
      <c r="C579" s="181">
        <v>50384</v>
      </c>
      <c r="D579" s="30">
        <v>46266</v>
      </c>
      <c r="E579" s="30">
        <v>46262</v>
      </c>
      <c r="F579" s="30">
        <v>46295</v>
      </c>
      <c r="G579" s="37">
        <v>4420232344</v>
      </c>
      <c r="H579" s="37" t="s">
        <v>373</v>
      </c>
      <c r="I579" s="37">
        <v>9040126462</v>
      </c>
      <c r="J579" s="37" t="s">
        <v>118</v>
      </c>
      <c r="K579" s="325" t="s">
        <v>119</v>
      </c>
      <c r="L579" s="181">
        <v>10</v>
      </c>
      <c r="M579" s="181" t="s">
        <v>375</v>
      </c>
      <c r="N579" s="37" t="s">
        <v>382</v>
      </c>
      <c r="O579" s="31">
        <f>IF(F579&gt;0,F579-AB579,"")</f>
        <v>-19</v>
      </c>
      <c r="P579" s="37" t="str">
        <f>IF(F579&gt;0,IF(AB579="","PLANNING SUPPLY",IF(AB579&lt;=F579,"ONTIME DELIVERY","DELAY")),"")</f>
        <v>DELAY</v>
      </c>
      <c r="Q579" s="181" t="str">
        <f>IFERROR(IF(J579&gt;0,VLOOKUP(J579,#REF!,MATCH($Q$6,#REF!,0),0),""),"")</f>
        <v/>
      </c>
      <c r="R579" s="181" t="str">
        <f>IFERROR(IF(J579&gt;0,VLOOKUP(J579,#REF!,MATCH($R$6,#REF!,0),0),""),"")</f>
        <v/>
      </c>
      <c r="S579" s="181" t="e">
        <f>IF(I582&gt;0,Q579+R579,"")</f>
        <v>#VALUE!</v>
      </c>
      <c r="T579" s="181"/>
      <c r="U579" s="181"/>
      <c r="V579" s="37"/>
      <c r="W579" s="181" t="e">
        <f>IF(I582&gt;0,IF(S579&gt;L579,"READY STOCK",IF(S579=0,"OUT OF STOCK",IF(S579&lt;L579,"LOW STOCK",""))),"")</f>
        <v>#VALUE!</v>
      </c>
      <c r="X579" s="38"/>
      <c r="Y579" s="38"/>
      <c r="Z579" s="38"/>
      <c r="AA579" s="38"/>
      <c r="AB579" s="50">
        <v>46314</v>
      </c>
      <c r="AC579" s="44" t="s">
        <v>1324</v>
      </c>
      <c r="AD579" s="51">
        <v>10</v>
      </c>
      <c r="AE579" s="37" t="s">
        <v>387</v>
      </c>
      <c r="AF579" s="37" t="s">
        <v>381</v>
      </c>
      <c r="AG579" s="33" t="str">
        <f>IF(G579&gt;0,IF(AD579&gt;0,IF(AD579=0,"Waiting",IF(AD579&lt;L579,"Partial",IF(AD579=L579,"Full Supply",IF(AD579&gt;L579,"Over Shared")))),"Waiting"),"")</f>
        <v>Full Supply</v>
      </c>
      <c r="AH579" s="56">
        <v>46268</v>
      </c>
      <c r="AI579" s="37" t="s">
        <v>1294</v>
      </c>
      <c r="AJ579" s="181">
        <v>10</v>
      </c>
      <c r="AK579" s="40"/>
      <c r="AL579" s="40"/>
      <c r="AM579" s="40"/>
      <c r="AN579" s="216"/>
      <c r="AO579" s="46">
        <v>46297</v>
      </c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181">
        <f>L579-AD579</f>
        <v>0</v>
      </c>
    </row>
    <row r="580" spans="1:52" ht="15.5" customHeight="1">
      <c r="A580" s="360" t="s">
        <v>372</v>
      </c>
      <c r="B580" s="340">
        <v>46266</v>
      </c>
      <c r="C580" s="181">
        <v>50384</v>
      </c>
      <c r="D580" s="30">
        <v>46266</v>
      </c>
      <c r="E580" s="30">
        <v>46262</v>
      </c>
      <c r="F580" s="30">
        <v>46295</v>
      </c>
      <c r="G580" s="37">
        <v>4420232344</v>
      </c>
      <c r="H580" s="37" t="s">
        <v>373</v>
      </c>
      <c r="I580" s="37">
        <v>9040126464</v>
      </c>
      <c r="J580" s="37" t="s">
        <v>137</v>
      </c>
      <c r="K580" s="325" t="s">
        <v>138</v>
      </c>
      <c r="L580" s="181">
        <v>6</v>
      </c>
      <c r="M580" s="181" t="s">
        <v>375</v>
      </c>
      <c r="N580" s="37" t="s">
        <v>382</v>
      </c>
      <c r="O580" s="31">
        <f>IF(F580&gt;0,F580-AB580,"")</f>
        <v>-13</v>
      </c>
      <c r="P580" s="37" t="str">
        <f>IF(F580&gt;0,IF(AB580="","PLANNING SUPPLY",IF(AB580&lt;=F580,"ONTIME DELIVERY","DELAY")),"")</f>
        <v>DELAY</v>
      </c>
      <c r="Q580" s="181" t="str">
        <f>IFERROR(IF(J580&gt;0,VLOOKUP(J580,#REF!,MATCH($Q$6,#REF!,0),0),""),"")</f>
        <v/>
      </c>
      <c r="R580" s="181" t="str">
        <f>IFERROR(IF(J580&gt;0,VLOOKUP(J580,#REF!,MATCH($R$6,#REF!,0),0),""),"")</f>
        <v/>
      </c>
      <c r="S580" s="181" t="e">
        <f>IF(I583&gt;0,Q580+R580,"")</f>
        <v>#VALUE!</v>
      </c>
      <c r="T580" s="181"/>
      <c r="U580" s="181"/>
      <c r="V580" s="37"/>
      <c r="W580" s="181" t="e">
        <f>IF(I583&gt;0,IF(S580&gt;L580,"READY STOCK",IF(S580=0,"OUT OF STOCK",IF(S580&lt;L580,"LOW STOCK",""))),"")</f>
        <v>#VALUE!</v>
      </c>
      <c r="X580" s="38"/>
      <c r="Y580" s="38"/>
      <c r="Z580" s="38"/>
      <c r="AA580" s="38"/>
      <c r="AB580" s="50">
        <v>46308</v>
      </c>
      <c r="AC580" s="246">
        <v>34983</v>
      </c>
      <c r="AD580" s="51">
        <v>6</v>
      </c>
      <c r="AE580" s="37" t="s">
        <v>387</v>
      </c>
      <c r="AF580" s="37" t="s">
        <v>381</v>
      </c>
      <c r="AG580" s="33" t="str">
        <f>IF(G580&gt;0,IF(AD580&gt;0,IF(AD580=0,"Waiting",IF(AD580&lt;L580,"Partial",IF(AD580=L580,"Full Supply",IF(AD580&gt;L580,"Over Shared")))),"Waiting"),"")</f>
        <v>Full Supply</v>
      </c>
      <c r="AH580" s="56">
        <v>46268</v>
      </c>
      <c r="AI580" s="37" t="s">
        <v>1294</v>
      </c>
      <c r="AJ580" s="181">
        <v>6</v>
      </c>
      <c r="AK580" s="40">
        <v>26519</v>
      </c>
      <c r="AL580" s="215">
        <v>46296</v>
      </c>
      <c r="AM580" s="40"/>
      <c r="AN580" s="216"/>
      <c r="AO580" s="46">
        <v>46297</v>
      </c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181">
        <f>L580-AD580</f>
        <v>0</v>
      </c>
    </row>
    <row r="581" spans="1:52" ht="15.5" customHeight="1">
      <c r="A581" s="360" t="s">
        <v>372</v>
      </c>
      <c r="B581" s="340">
        <v>46266</v>
      </c>
      <c r="C581" s="181">
        <v>50384</v>
      </c>
      <c r="D581" s="30">
        <v>46266</v>
      </c>
      <c r="E581" s="30">
        <v>46262</v>
      </c>
      <c r="F581" s="30">
        <v>46295</v>
      </c>
      <c r="G581" s="37">
        <v>4420232344</v>
      </c>
      <c r="H581" s="37" t="s">
        <v>373</v>
      </c>
      <c r="I581" s="37">
        <v>9040126471</v>
      </c>
      <c r="J581" s="37" t="s">
        <v>81</v>
      </c>
      <c r="K581" s="325" t="s">
        <v>82</v>
      </c>
      <c r="L581" s="181">
        <v>1</v>
      </c>
      <c r="M581" s="181" t="s">
        <v>421</v>
      </c>
      <c r="N581" s="37" t="s">
        <v>382</v>
      </c>
      <c r="O581" s="31">
        <f>IF(F581&gt;0,F581-AB581,"")</f>
        <v>46295</v>
      </c>
      <c r="P581" s="37" t="str">
        <f>IF(F581&gt;0,IF(AB581="","PLANNING SUPPLY",IF(AB581&lt;=F581,"ONTIME DELIVERY","DELAY")),"")</f>
        <v>PLANNING SUPPLY</v>
      </c>
      <c r="Q581" s="181" t="str">
        <f>IFERROR(IF(J581&gt;0,VLOOKUP(J581,#REF!,MATCH($Q$6,#REF!,0),0),""),"")</f>
        <v/>
      </c>
      <c r="R581" s="181" t="str">
        <f>IFERROR(IF(J581&gt;0,VLOOKUP(J581,#REF!,MATCH($R$6,#REF!,0),0),""),"")</f>
        <v/>
      </c>
      <c r="S581" s="181" t="e">
        <f>IF(I584&gt;0,Q581+R581,"")</f>
        <v>#VALUE!</v>
      </c>
      <c r="T581" s="181"/>
      <c r="U581" s="181"/>
      <c r="V581" s="37"/>
      <c r="W581" s="181" t="e">
        <f>IF(I584&gt;0,IF(S581&gt;L581,"READY STOCK",IF(S581=0,"OUT OF STOCK",IF(S581&lt;L581,"LOW STOCK",""))),"")</f>
        <v>#VALUE!</v>
      </c>
      <c r="X581" s="38"/>
      <c r="Y581" s="38"/>
      <c r="Z581" s="38"/>
      <c r="AA581" s="38"/>
      <c r="AB581" s="50"/>
      <c r="AC581" s="181"/>
      <c r="AD581" s="51"/>
      <c r="AE581" s="37"/>
      <c r="AF581" s="37"/>
      <c r="AG581" s="33" t="str">
        <f>IF(G581&gt;0,IF(AD581&gt;0,IF(AD581=0,"Waiting",IF(AD581&lt;L581,"Partial",IF(AD581=L581,"Full Supply",IF(AD581&gt;L581,"Over Shared")))),"Waiting"),"")</f>
        <v>Waiting</v>
      </c>
      <c r="AH581" s="56">
        <v>46268</v>
      </c>
      <c r="AI581" s="37" t="s">
        <v>1294</v>
      </c>
      <c r="AJ581" s="181">
        <v>1</v>
      </c>
      <c r="AK581" s="40"/>
      <c r="AL581" s="40"/>
      <c r="AM581" s="40"/>
      <c r="AN581" s="216"/>
      <c r="AO581" s="46">
        <v>46296</v>
      </c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181">
        <f>L581-AD581</f>
        <v>1</v>
      </c>
    </row>
    <row r="582" spans="1:52" ht="15.5" customHeight="1">
      <c r="A582" s="360" t="s">
        <v>372</v>
      </c>
      <c r="B582" s="340">
        <v>46266</v>
      </c>
      <c r="C582" s="181">
        <v>50384</v>
      </c>
      <c r="D582" s="30">
        <v>46266</v>
      </c>
      <c r="E582" s="30">
        <v>46262</v>
      </c>
      <c r="F582" s="30">
        <v>46295</v>
      </c>
      <c r="G582" s="37">
        <v>4420232344</v>
      </c>
      <c r="H582" s="37" t="s">
        <v>373</v>
      </c>
      <c r="I582" s="37">
        <v>9040024721</v>
      </c>
      <c r="J582" s="37" t="s">
        <v>239</v>
      </c>
      <c r="K582" s="325" t="s">
        <v>240</v>
      </c>
      <c r="L582" s="181">
        <v>1</v>
      </c>
      <c r="M582" s="181" t="s">
        <v>389</v>
      </c>
      <c r="N582" s="37" t="s">
        <v>382</v>
      </c>
      <c r="O582" s="31">
        <f>IF(F582&gt;0,F582-AB582,"")</f>
        <v>46295</v>
      </c>
      <c r="P582" s="37" t="str">
        <f>IF(F582&gt;0,IF(AB582="","PLANNING SUPPLY",IF(AB582&lt;=F582,"ONTIME DELIVERY","DELAY")),"")</f>
        <v>PLANNING SUPPLY</v>
      </c>
      <c r="Q582" s="181" t="str">
        <f>IFERROR(IF(J582&gt;0,VLOOKUP(J582,#REF!,MATCH($Q$6,#REF!,0),0),""),"")</f>
        <v/>
      </c>
      <c r="R582" s="181" t="str">
        <f>IFERROR(IF(J582&gt;0,VLOOKUP(J582,#REF!,MATCH($R$6,#REF!,0),0),""),"")</f>
        <v/>
      </c>
      <c r="S582" s="181" t="e">
        <f>IF(I585&gt;0,Q582+R582,"")</f>
        <v>#VALUE!</v>
      </c>
      <c r="T582" s="181"/>
      <c r="U582" s="181"/>
      <c r="V582" s="37"/>
      <c r="W582" s="181" t="e">
        <f>IF(I585&gt;0,IF(S582&gt;L582,"READY STOCK",IF(S582=0,"OUT OF STOCK",IF(S582&lt;L582,"LOW STOCK",""))),"")</f>
        <v>#VALUE!</v>
      </c>
      <c r="X582" s="38"/>
      <c r="Y582" s="38"/>
      <c r="Z582" s="38"/>
      <c r="AA582" s="38"/>
      <c r="AB582" s="50"/>
      <c r="AC582" s="181"/>
      <c r="AD582" s="51"/>
      <c r="AE582" s="37"/>
      <c r="AF582" s="37"/>
      <c r="AG582" s="33" t="str">
        <f>IF(G582&gt;0,IF(AD582&gt;0,IF(AD582=0,"Waiting",IF(AD582&lt;L582,"Partial",IF(AD582=L582,"Full Supply",IF(AD582&gt;L582,"Over Shared")))),"Waiting"),"")</f>
        <v>Waiting</v>
      </c>
      <c r="AH582" s="56">
        <v>46268</v>
      </c>
      <c r="AI582" s="37" t="s">
        <v>1294</v>
      </c>
      <c r="AJ582" s="181">
        <v>21</v>
      </c>
      <c r="AK582" s="40">
        <v>26396</v>
      </c>
      <c r="AL582" s="42">
        <v>46287</v>
      </c>
      <c r="AM582" s="40">
        <v>21</v>
      </c>
      <c r="AN582" s="37"/>
      <c r="AO582" s="232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181">
        <f>L582-AD582</f>
        <v>1</v>
      </c>
    </row>
    <row r="583" spans="1:52" ht="15.5" customHeight="1">
      <c r="A583" s="360" t="s">
        <v>372</v>
      </c>
      <c r="B583" s="340">
        <v>46266</v>
      </c>
      <c r="C583" s="181">
        <v>50384</v>
      </c>
      <c r="D583" s="30">
        <v>46266</v>
      </c>
      <c r="E583" s="30">
        <v>46262</v>
      </c>
      <c r="F583" s="30">
        <v>46295</v>
      </c>
      <c r="G583" s="37">
        <v>4420232344</v>
      </c>
      <c r="H583" s="37" t="s">
        <v>373</v>
      </c>
      <c r="I583" s="37">
        <v>9040051092</v>
      </c>
      <c r="J583" s="37" t="s">
        <v>89</v>
      </c>
      <c r="K583" s="325" t="s">
        <v>90</v>
      </c>
      <c r="L583" s="181">
        <v>1</v>
      </c>
      <c r="M583" s="181" t="s">
        <v>375</v>
      </c>
      <c r="N583" s="37" t="s">
        <v>382</v>
      </c>
      <c r="O583" s="31">
        <f>IF(F583&gt;0,F583-AB583,"")</f>
        <v>13</v>
      </c>
      <c r="P583" s="37" t="str">
        <f>IF(F583&gt;0,IF(AB583="","PLANNING SUPPLY",IF(AB583&lt;=F583,"ONTIME DELIVERY","DELAY")),"")</f>
        <v>ONTIME DELIVERY</v>
      </c>
      <c r="Q583" s="181" t="str">
        <f>IFERROR(IF(J583&gt;0,VLOOKUP(J583,#REF!,MATCH($Q$6,#REF!,0),0),""),"")</f>
        <v/>
      </c>
      <c r="R583" s="181" t="str">
        <f>IFERROR(IF(J583&gt;0,VLOOKUP(J583,#REF!,MATCH($R$6,#REF!,0),0),""),"")</f>
        <v/>
      </c>
      <c r="S583" s="181" t="e">
        <f>IF(I586&gt;0,Q583+R583,"")</f>
        <v>#VALUE!</v>
      </c>
      <c r="T583" s="181"/>
      <c r="U583" s="181"/>
      <c r="V583" s="37"/>
      <c r="W583" s="181" t="e">
        <f>IF(I586&gt;0,IF(S583&gt;L583,"READY STOCK",IF(S583=0,"OUT OF STOCK",IF(S583&lt;L583,"LOW STOCK",""))),"")</f>
        <v>#VALUE!</v>
      </c>
      <c r="X583" s="38"/>
      <c r="Y583" s="38"/>
      <c r="Z583" s="38"/>
      <c r="AA583" s="38"/>
      <c r="AB583" s="50">
        <v>46282</v>
      </c>
      <c r="AC583" s="181">
        <v>34390</v>
      </c>
      <c r="AD583" s="51">
        <v>1</v>
      </c>
      <c r="AE583" s="37" t="s">
        <v>387</v>
      </c>
      <c r="AF583" s="37" t="s">
        <v>381</v>
      </c>
      <c r="AG583" s="33" t="str">
        <f>IF(G583&gt;0,IF(AD583&gt;0,IF(AD583=0,"Waiting",IF(AD583&lt;L583,"Partial",IF(AD583=L583,"Full Supply",IF(AD583&gt;L583,"Over Shared")))),"Waiting"),"")</f>
        <v>Full Supply</v>
      </c>
      <c r="AH583" s="56">
        <v>46268</v>
      </c>
      <c r="AI583" s="37" t="s">
        <v>1294</v>
      </c>
      <c r="AJ583" s="181">
        <v>13</v>
      </c>
      <c r="AK583" s="40">
        <v>26191</v>
      </c>
      <c r="AL583" s="189">
        <v>46269</v>
      </c>
      <c r="AM583" s="40">
        <v>16</v>
      </c>
      <c r="AN583" s="37"/>
      <c r="AO583" s="214">
        <v>46275</v>
      </c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181">
        <f>L583-AD583</f>
        <v>0</v>
      </c>
    </row>
    <row r="584" spans="1:52" ht="15.5" customHeight="1">
      <c r="A584" s="360" t="s">
        <v>372</v>
      </c>
      <c r="B584" s="340">
        <v>46266</v>
      </c>
      <c r="C584" s="181">
        <v>50384</v>
      </c>
      <c r="D584" s="30">
        <v>46266</v>
      </c>
      <c r="E584" s="30">
        <v>46262</v>
      </c>
      <c r="F584" s="30">
        <v>46295</v>
      </c>
      <c r="G584" s="37">
        <v>4420232344</v>
      </c>
      <c r="H584" s="37" t="s">
        <v>373</v>
      </c>
      <c r="I584" s="37">
        <v>9040073264</v>
      </c>
      <c r="J584" s="37" t="s">
        <v>85</v>
      </c>
      <c r="K584" s="325" t="s">
        <v>86</v>
      </c>
      <c r="L584" s="181">
        <v>1</v>
      </c>
      <c r="M584" s="181" t="s">
        <v>375</v>
      </c>
      <c r="N584" s="37" t="s">
        <v>382</v>
      </c>
      <c r="O584" s="31">
        <f>IF(F584&gt;0,F584-AB584,"")</f>
        <v>13</v>
      </c>
      <c r="P584" s="37" t="str">
        <f>IF(F584&gt;0,IF(AB584="","PLANNING SUPPLY",IF(AB584&lt;=F584,"ONTIME DELIVERY","DELAY")),"")</f>
        <v>ONTIME DELIVERY</v>
      </c>
      <c r="Q584" s="181" t="str">
        <f>IFERROR(IF(J584&gt;0,VLOOKUP(J584,#REF!,MATCH($Q$6,#REF!,0),0),""),"")</f>
        <v/>
      </c>
      <c r="R584" s="181" t="str">
        <f>IFERROR(IF(J584&gt;0,VLOOKUP(J584,#REF!,MATCH($R$6,#REF!,0),0),""),"")</f>
        <v/>
      </c>
      <c r="S584" s="181" t="e">
        <f>IF(I587&gt;0,Q584+R584,"")</f>
        <v>#VALUE!</v>
      </c>
      <c r="T584" s="181"/>
      <c r="U584" s="181"/>
      <c r="V584" s="37"/>
      <c r="W584" s="181" t="e">
        <f>IF(I587&gt;0,IF(S584&gt;L584,"READY STOCK",IF(S584=0,"OUT OF STOCK",IF(S584&lt;L584,"LOW STOCK",""))),"")</f>
        <v>#VALUE!</v>
      </c>
      <c r="X584" s="38"/>
      <c r="Y584" s="38"/>
      <c r="Z584" s="38"/>
      <c r="AA584" s="38"/>
      <c r="AB584" s="50">
        <v>46282</v>
      </c>
      <c r="AC584" s="181">
        <v>34385</v>
      </c>
      <c r="AD584" s="51">
        <v>1</v>
      </c>
      <c r="AE584" s="37" t="s">
        <v>387</v>
      </c>
      <c r="AF584" s="37" t="s">
        <v>381</v>
      </c>
      <c r="AG584" s="33" t="str">
        <f>IF(G584&gt;0,IF(AD584&gt;0,IF(AD584=0,"Waiting",IF(AD584&lt;L584,"Partial",IF(AD584=L584,"Full Supply",IF(AD584&gt;L584,"Over Shared")))),"Waiting"),"")</f>
        <v>Full Supply</v>
      </c>
      <c r="AH584" s="56">
        <v>46268</v>
      </c>
      <c r="AI584" s="37" t="s">
        <v>1294</v>
      </c>
      <c r="AJ584" s="181">
        <v>10</v>
      </c>
      <c r="AK584" s="40">
        <v>26191</v>
      </c>
      <c r="AL584" s="189">
        <v>46269</v>
      </c>
      <c r="AM584" s="40">
        <v>8</v>
      </c>
      <c r="AN584" s="37"/>
      <c r="AO584" s="214">
        <v>46275</v>
      </c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181">
        <f>L584-AD584</f>
        <v>0</v>
      </c>
    </row>
    <row r="585" spans="1:52" ht="15.5" customHeight="1">
      <c r="A585" s="360" t="s">
        <v>372</v>
      </c>
      <c r="B585" s="340">
        <v>46266</v>
      </c>
      <c r="C585" s="181">
        <v>50384</v>
      </c>
      <c r="D585" s="30">
        <v>46266</v>
      </c>
      <c r="E585" s="30">
        <v>46262</v>
      </c>
      <c r="F585" s="30">
        <v>46295</v>
      </c>
      <c r="G585" s="37">
        <v>4420232344</v>
      </c>
      <c r="H585" s="37" t="s">
        <v>373</v>
      </c>
      <c r="I585" s="37">
        <v>9040024721</v>
      </c>
      <c r="J585" s="37" t="s">
        <v>239</v>
      </c>
      <c r="K585" s="325" t="s">
        <v>240</v>
      </c>
      <c r="L585" s="181">
        <v>1</v>
      </c>
      <c r="M585" s="181" t="s">
        <v>389</v>
      </c>
      <c r="N585" s="37" t="s">
        <v>382</v>
      </c>
      <c r="O585" s="31">
        <f>IF(F585&gt;0,F585-AB585,"")</f>
        <v>46295</v>
      </c>
      <c r="P585" s="37" t="str">
        <f>IF(F585&gt;0,IF(AB585="","PLANNING SUPPLY",IF(AB585&lt;=F585,"ONTIME DELIVERY","DELAY")),"")</f>
        <v>PLANNING SUPPLY</v>
      </c>
      <c r="Q585" s="181" t="str">
        <f>IFERROR(IF(J585&gt;0,VLOOKUP(J585,#REF!,MATCH($Q$6,#REF!,0),0),""),"")</f>
        <v/>
      </c>
      <c r="R585" s="181" t="str">
        <f>IFERROR(IF(J585&gt;0,VLOOKUP(J585,#REF!,MATCH($R$6,#REF!,0),0),""),"")</f>
        <v/>
      </c>
      <c r="S585" s="181" t="e">
        <f>IF(I588&gt;0,Q585+R585,"")</f>
        <v>#VALUE!</v>
      </c>
      <c r="T585" s="181"/>
      <c r="U585" s="181"/>
      <c r="V585" s="37"/>
      <c r="W585" s="181" t="e">
        <f>IF(I588&gt;0,IF(S585&gt;L585,"READY STOCK",IF(S585=0,"OUT OF STOCK",IF(S585&lt;L585,"LOW STOCK",""))),"")</f>
        <v>#VALUE!</v>
      </c>
      <c r="X585" s="38"/>
      <c r="Y585" s="38"/>
      <c r="Z585" s="38"/>
      <c r="AA585" s="38"/>
      <c r="AB585" s="50"/>
      <c r="AC585" s="181"/>
      <c r="AD585" s="51"/>
      <c r="AE585" s="37"/>
      <c r="AF585" s="37"/>
      <c r="AG585" s="33" t="str">
        <f>IF(G585&gt;0,IF(AD585&gt;0,IF(AD585=0,"Waiting",IF(AD585&lt;L585,"Partial",IF(AD585=L585,"Full Supply",IF(AD585&gt;L585,"Over Shared")))),"Waiting"),"")</f>
        <v>Waiting</v>
      </c>
      <c r="AH585" s="56">
        <v>46268</v>
      </c>
      <c r="AI585" s="37" t="s">
        <v>1294</v>
      </c>
      <c r="AJ585" s="181">
        <v>21</v>
      </c>
      <c r="AK585" s="40">
        <v>26396</v>
      </c>
      <c r="AL585" s="42">
        <v>46287</v>
      </c>
      <c r="AM585" s="40">
        <v>21</v>
      </c>
      <c r="AN585" s="37"/>
      <c r="AO585" s="232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181">
        <f>L585-AD585</f>
        <v>1</v>
      </c>
    </row>
    <row r="586" spans="1:52" ht="15.5" customHeight="1">
      <c r="A586" s="360" t="s">
        <v>372</v>
      </c>
      <c r="B586" s="340">
        <v>46266</v>
      </c>
      <c r="C586" s="181">
        <v>50384</v>
      </c>
      <c r="D586" s="30">
        <v>46266</v>
      </c>
      <c r="E586" s="30">
        <v>46262</v>
      </c>
      <c r="F586" s="30">
        <v>46295</v>
      </c>
      <c r="G586" s="37">
        <v>4420232344</v>
      </c>
      <c r="H586" s="37" t="s">
        <v>373</v>
      </c>
      <c r="I586" s="37">
        <v>9040051092</v>
      </c>
      <c r="J586" s="37" t="s">
        <v>89</v>
      </c>
      <c r="K586" s="325" t="s">
        <v>90</v>
      </c>
      <c r="L586" s="181">
        <v>1</v>
      </c>
      <c r="M586" s="181" t="s">
        <v>375</v>
      </c>
      <c r="N586" s="37" t="s">
        <v>382</v>
      </c>
      <c r="O586" s="31">
        <f>IF(F586&gt;0,F586-AB586,"")</f>
        <v>13</v>
      </c>
      <c r="P586" s="37" t="str">
        <f>IF(F586&gt;0,IF(AB586="","PLANNING SUPPLY",IF(AB586&lt;=F586,"ONTIME DELIVERY","DELAY")),"")</f>
        <v>ONTIME DELIVERY</v>
      </c>
      <c r="Q586" s="181" t="str">
        <f>IFERROR(IF(J586&gt;0,VLOOKUP(J586,#REF!,MATCH($Q$6,#REF!,0),0),""),"")</f>
        <v/>
      </c>
      <c r="R586" s="181" t="str">
        <f>IFERROR(IF(J586&gt;0,VLOOKUP(J586,#REF!,MATCH($R$6,#REF!,0),0),""),"")</f>
        <v/>
      </c>
      <c r="S586" s="181" t="e">
        <f>IF(I589&gt;0,Q586+R586,"")</f>
        <v>#VALUE!</v>
      </c>
      <c r="T586" s="181"/>
      <c r="U586" s="181"/>
      <c r="V586" s="37"/>
      <c r="W586" s="181" t="e">
        <f>IF(I589&gt;0,IF(S586&gt;L586,"READY STOCK",IF(S586=0,"OUT OF STOCK",IF(S586&lt;L586,"LOW STOCK",""))),"")</f>
        <v>#VALUE!</v>
      </c>
      <c r="X586" s="38"/>
      <c r="Y586" s="38"/>
      <c r="Z586" s="38"/>
      <c r="AA586" s="38"/>
      <c r="AB586" s="50">
        <v>46282</v>
      </c>
      <c r="AC586" s="181">
        <v>34390</v>
      </c>
      <c r="AD586" s="51">
        <v>1</v>
      </c>
      <c r="AE586" s="37" t="s">
        <v>387</v>
      </c>
      <c r="AF586" s="37" t="s">
        <v>381</v>
      </c>
      <c r="AG586" s="33" t="str">
        <f>IF(G586&gt;0,IF(AD586&gt;0,IF(AD586=0,"Waiting",IF(AD586&lt;L586,"Partial",IF(AD586=L586,"Full Supply",IF(AD586&gt;L586,"Over Shared")))),"Waiting"),"")</f>
        <v>Full Supply</v>
      </c>
      <c r="AH586" s="56">
        <v>46268</v>
      </c>
      <c r="AI586" s="37" t="s">
        <v>1294</v>
      </c>
      <c r="AJ586" s="181">
        <v>13</v>
      </c>
      <c r="AK586" s="40">
        <v>26191</v>
      </c>
      <c r="AL586" s="189">
        <v>46269</v>
      </c>
      <c r="AM586" s="40">
        <v>16</v>
      </c>
      <c r="AN586" s="37"/>
      <c r="AO586" s="214">
        <v>46275</v>
      </c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181">
        <f>L586-AD586</f>
        <v>0</v>
      </c>
    </row>
    <row r="587" spans="1:52" ht="15.5" customHeight="1">
      <c r="A587" s="360" t="s">
        <v>372</v>
      </c>
      <c r="B587" s="340">
        <v>46266</v>
      </c>
      <c r="C587" s="181">
        <v>50384</v>
      </c>
      <c r="D587" s="30">
        <v>46266</v>
      </c>
      <c r="E587" s="30">
        <v>46262</v>
      </c>
      <c r="F587" s="30">
        <v>46295</v>
      </c>
      <c r="G587" s="37">
        <v>4420232344</v>
      </c>
      <c r="H587" s="37" t="s">
        <v>373</v>
      </c>
      <c r="I587" s="37">
        <v>9040073264</v>
      </c>
      <c r="J587" s="37" t="s">
        <v>85</v>
      </c>
      <c r="K587" s="325" t="s">
        <v>86</v>
      </c>
      <c r="L587" s="181">
        <v>1</v>
      </c>
      <c r="M587" s="181" t="s">
        <v>375</v>
      </c>
      <c r="N587" s="37" t="s">
        <v>382</v>
      </c>
      <c r="O587" s="31">
        <f>IF(F587&gt;0,F587-AB587,"")</f>
        <v>13</v>
      </c>
      <c r="P587" s="37" t="str">
        <f>IF(F587&gt;0,IF(AB587="","PLANNING SUPPLY",IF(AB587&lt;=F587,"ONTIME DELIVERY","DELAY")),"")</f>
        <v>ONTIME DELIVERY</v>
      </c>
      <c r="Q587" s="181" t="str">
        <f>IFERROR(IF(J587&gt;0,VLOOKUP(J587,#REF!,MATCH($Q$6,#REF!,0),0),""),"")</f>
        <v/>
      </c>
      <c r="R587" s="181" t="str">
        <f>IFERROR(IF(J587&gt;0,VLOOKUP(J587,#REF!,MATCH($R$6,#REF!,0),0),""),"")</f>
        <v/>
      </c>
      <c r="S587" s="181" t="e">
        <f>IF(I590&gt;0,Q587+R587,"")</f>
        <v>#VALUE!</v>
      </c>
      <c r="T587" s="181"/>
      <c r="U587" s="181"/>
      <c r="V587" s="37"/>
      <c r="W587" s="181" t="e">
        <f>IF(I590&gt;0,IF(S587&gt;L587,"READY STOCK",IF(S587=0,"OUT OF STOCK",IF(S587&lt;L587,"LOW STOCK",""))),"")</f>
        <v>#VALUE!</v>
      </c>
      <c r="X587" s="38"/>
      <c r="Y587" s="38"/>
      <c r="Z587" s="38"/>
      <c r="AA587" s="38"/>
      <c r="AB587" s="50">
        <v>46282</v>
      </c>
      <c r="AC587" s="181">
        <v>34385</v>
      </c>
      <c r="AD587" s="51">
        <v>1</v>
      </c>
      <c r="AE587" s="37" t="s">
        <v>387</v>
      </c>
      <c r="AF587" s="37" t="s">
        <v>381</v>
      </c>
      <c r="AG587" s="33" t="str">
        <f>IF(G587&gt;0,IF(AD587&gt;0,IF(AD587=0,"Waiting",IF(AD587&lt;L587,"Partial",IF(AD587=L587,"Full Supply",IF(AD587&gt;L587,"Over Shared")))),"Waiting"),"")</f>
        <v>Full Supply</v>
      </c>
      <c r="AH587" s="56">
        <v>46268</v>
      </c>
      <c r="AI587" s="37" t="s">
        <v>1294</v>
      </c>
      <c r="AJ587" s="181">
        <v>10</v>
      </c>
      <c r="AK587" s="40">
        <v>26191</v>
      </c>
      <c r="AL587" s="189">
        <v>46269</v>
      </c>
      <c r="AM587" s="40">
        <v>8</v>
      </c>
      <c r="AN587" s="37"/>
      <c r="AO587" s="214">
        <v>46275</v>
      </c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181">
        <f>L587-AD587</f>
        <v>0</v>
      </c>
    </row>
    <row r="588" spans="1:52" ht="15.5" customHeight="1">
      <c r="A588" s="360" t="s">
        <v>372</v>
      </c>
      <c r="B588" s="340">
        <v>46266</v>
      </c>
      <c r="C588" s="181">
        <v>50384</v>
      </c>
      <c r="D588" s="30">
        <v>46266</v>
      </c>
      <c r="E588" s="30">
        <v>46262</v>
      </c>
      <c r="F588" s="30">
        <v>46295</v>
      </c>
      <c r="G588" s="37">
        <v>4420232344</v>
      </c>
      <c r="H588" s="37" t="s">
        <v>373</v>
      </c>
      <c r="I588" s="37">
        <v>9040024721</v>
      </c>
      <c r="J588" s="37" t="s">
        <v>239</v>
      </c>
      <c r="K588" s="325" t="s">
        <v>240</v>
      </c>
      <c r="L588" s="181">
        <v>1</v>
      </c>
      <c r="M588" s="181" t="s">
        <v>389</v>
      </c>
      <c r="N588" s="37" t="s">
        <v>382</v>
      </c>
      <c r="O588" s="31">
        <f>IF(F588&gt;0,F588-AB588,"")</f>
        <v>46295</v>
      </c>
      <c r="P588" s="37" t="str">
        <f>IF(F588&gt;0,IF(AB588="","PLANNING SUPPLY",IF(AB588&lt;=F588,"ONTIME DELIVERY","DELAY")),"")</f>
        <v>PLANNING SUPPLY</v>
      </c>
      <c r="Q588" s="181" t="str">
        <f>IFERROR(IF(J588&gt;0,VLOOKUP(J588,#REF!,MATCH($Q$6,#REF!,0),0),""),"")</f>
        <v/>
      </c>
      <c r="R588" s="181" t="str">
        <f>IFERROR(IF(J588&gt;0,VLOOKUP(J588,#REF!,MATCH($R$6,#REF!,0),0),""),"")</f>
        <v/>
      </c>
      <c r="S588" s="181" t="e">
        <f>IF(I591&gt;0,Q588+R588,"")</f>
        <v>#VALUE!</v>
      </c>
      <c r="T588" s="181"/>
      <c r="U588" s="181"/>
      <c r="V588" s="37"/>
      <c r="W588" s="181" t="e">
        <f>IF(I591&gt;0,IF(S588&gt;L588,"READY STOCK",IF(S588=0,"OUT OF STOCK",IF(S588&lt;L588,"LOW STOCK",""))),"")</f>
        <v>#VALUE!</v>
      </c>
      <c r="X588" s="38"/>
      <c r="Y588" s="38"/>
      <c r="Z588" s="38"/>
      <c r="AA588" s="38"/>
      <c r="AB588" s="50"/>
      <c r="AC588" s="181"/>
      <c r="AD588" s="51"/>
      <c r="AE588" s="37"/>
      <c r="AF588" s="37"/>
      <c r="AG588" s="33" t="str">
        <f>IF(G588&gt;0,IF(AD588&gt;0,IF(AD588=0,"Waiting",IF(AD588&lt;L588,"Partial",IF(AD588=L588,"Full Supply",IF(AD588&gt;L588,"Over Shared")))),"Waiting"),"")</f>
        <v>Waiting</v>
      </c>
      <c r="AH588" s="56">
        <v>46268</v>
      </c>
      <c r="AI588" s="37" t="s">
        <v>1294</v>
      </c>
      <c r="AJ588" s="181">
        <v>21</v>
      </c>
      <c r="AK588" s="40">
        <v>26396</v>
      </c>
      <c r="AL588" s="42">
        <v>46287</v>
      </c>
      <c r="AM588" s="40">
        <v>21</v>
      </c>
      <c r="AN588" s="37"/>
      <c r="AO588" s="232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181">
        <f>L588-AD588</f>
        <v>1</v>
      </c>
    </row>
    <row r="589" spans="1:52" ht="15.5" customHeight="1">
      <c r="A589" s="360" t="s">
        <v>372</v>
      </c>
      <c r="B589" s="340">
        <v>46266</v>
      </c>
      <c r="C589" s="181">
        <v>50384</v>
      </c>
      <c r="D589" s="30">
        <v>46266</v>
      </c>
      <c r="E589" s="30">
        <v>46262</v>
      </c>
      <c r="F589" s="30">
        <v>46295</v>
      </c>
      <c r="G589" s="37">
        <v>4420232344</v>
      </c>
      <c r="H589" s="37" t="s">
        <v>373</v>
      </c>
      <c r="I589" s="37">
        <v>9040051092</v>
      </c>
      <c r="J589" s="37" t="s">
        <v>89</v>
      </c>
      <c r="K589" s="325" t="s">
        <v>90</v>
      </c>
      <c r="L589" s="181">
        <v>1</v>
      </c>
      <c r="M589" s="181" t="s">
        <v>375</v>
      </c>
      <c r="N589" s="37" t="s">
        <v>382</v>
      </c>
      <c r="O589" s="31">
        <f>IF(F589&gt;0,F589-AB589,"")</f>
        <v>13</v>
      </c>
      <c r="P589" s="37" t="str">
        <f>IF(F589&gt;0,IF(AB589="","PLANNING SUPPLY",IF(AB589&lt;=F589,"ONTIME DELIVERY","DELAY")),"")</f>
        <v>ONTIME DELIVERY</v>
      </c>
      <c r="Q589" s="181" t="str">
        <f>IFERROR(IF(J589&gt;0,VLOOKUP(J589,#REF!,MATCH($Q$6,#REF!,0),0),""),"")</f>
        <v/>
      </c>
      <c r="R589" s="181" t="str">
        <f>IFERROR(IF(J589&gt;0,VLOOKUP(J589,#REF!,MATCH($R$6,#REF!,0),0),""),"")</f>
        <v/>
      </c>
      <c r="S589" s="181" t="e">
        <f>IF(I592&gt;0,Q589+R589,"")</f>
        <v>#VALUE!</v>
      </c>
      <c r="T589" s="181"/>
      <c r="U589" s="181"/>
      <c r="V589" s="37"/>
      <c r="W589" s="181" t="e">
        <f>IF(I592&gt;0,IF(S589&gt;L589,"READY STOCK",IF(S589=0,"OUT OF STOCK",IF(S589&lt;L589,"LOW STOCK",""))),"")</f>
        <v>#VALUE!</v>
      </c>
      <c r="X589" s="38"/>
      <c r="Y589" s="38"/>
      <c r="Z589" s="38"/>
      <c r="AA589" s="38"/>
      <c r="AB589" s="50">
        <v>46282</v>
      </c>
      <c r="AC589" s="181">
        <v>34390</v>
      </c>
      <c r="AD589" s="51">
        <v>1</v>
      </c>
      <c r="AE589" s="37" t="s">
        <v>387</v>
      </c>
      <c r="AF589" s="37" t="s">
        <v>381</v>
      </c>
      <c r="AG589" s="33" t="str">
        <f>IF(G589&gt;0,IF(AD589&gt;0,IF(AD589=0,"Waiting",IF(AD589&lt;L589,"Partial",IF(AD589=L589,"Full Supply",IF(AD589&gt;L589,"Over Shared")))),"Waiting"),"")</f>
        <v>Full Supply</v>
      </c>
      <c r="AH589" s="56">
        <v>46268</v>
      </c>
      <c r="AI589" s="37" t="s">
        <v>1294</v>
      </c>
      <c r="AJ589" s="181">
        <v>13</v>
      </c>
      <c r="AK589" s="40">
        <v>26191</v>
      </c>
      <c r="AL589" s="189">
        <v>46269</v>
      </c>
      <c r="AM589" s="40">
        <v>16</v>
      </c>
      <c r="AN589" s="37"/>
      <c r="AO589" s="214">
        <v>46275</v>
      </c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181">
        <f>L589-AD589</f>
        <v>0</v>
      </c>
    </row>
    <row r="590" spans="1:52" ht="15.5" customHeight="1">
      <c r="A590" s="360" t="s">
        <v>372</v>
      </c>
      <c r="B590" s="340">
        <v>46266</v>
      </c>
      <c r="C590" s="181">
        <v>50384</v>
      </c>
      <c r="D590" s="30">
        <v>46266</v>
      </c>
      <c r="E590" s="30">
        <v>46262</v>
      </c>
      <c r="F590" s="30">
        <v>46295</v>
      </c>
      <c r="G590" s="37">
        <v>4420232344</v>
      </c>
      <c r="H590" s="37" t="s">
        <v>373</v>
      </c>
      <c r="I590" s="37">
        <v>9040073264</v>
      </c>
      <c r="J590" s="37" t="s">
        <v>85</v>
      </c>
      <c r="K590" s="325" t="s">
        <v>86</v>
      </c>
      <c r="L590" s="181">
        <v>1</v>
      </c>
      <c r="M590" s="181" t="s">
        <v>375</v>
      </c>
      <c r="N590" s="37" t="s">
        <v>382</v>
      </c>
      <c r="O590" s="31">
        <f>IF(F590&gt;0,F590-AB590,"")</f>
        <v>13</v>
      </c>
      <c r="P590" s="37" t="str">
        <f>IF(F590&gt;0,IF(AB590="","PLANNING SUPPLY",IF(AB590&lt;=F590,"ONTIME DELIVERY","DELAY")),"")</f>
        <v>ONTIME DELIVERY</v>
      </c>
      <c r="Q590" s="181" t="str">
        <f>IFERROR(IF(J590&gt;0,VLOOKUP(J590,#REF!,MATCH($Q$6,#REF!,0),0),""),"")</f>
        <v/>
      </c>
      <c r="R590" s="181" t="str">
        <f>IFERROR(IF(J590&gt;0,VLOOKUP(J590,#REF!,MATCH($R$6,#REF!,0),0),""),"")</f>
        <v/>
      </c>
      <c r="S590" s="181" t="e">
        <f>IF(I593&gt;0,Q590+R590,"")</f>
        <v>#VALUE!</v>
      </c>
      <c r="T590" s="181"/>
      <c r="U590" s="181"/>
      <c r="V590" s="37"/>
      <c r="W590" s="181" t="e">
        <f>IF(I593&gt;0,IF(S590&gt;L590,"READY STOCK",IF(S590=0,"OUT OF STOCK",IF(S590&lt;L590,"LOW STOCK",""))),"")</f>
        <v>#VALUE!</v>
      </c>
      <c r="X590" s="38"/>
      <c r="Y590" s="38"/>
      <c r="Z590" s="38"/>
      <c r="AA590" s="38"/>
      <c r="AB590" s="50">
        <v>46282</v>
      </c>
      <c r="AC590" s="181">
        <v>34385</v>
      </c>
      <c r="AD590" s="51">
        <v>1</v>
      </c>
      <c r="AE590" s="37" t="s">
        <v>387</v>
      </c>
      <c r="AF590" s="37" t="s">
        <v>381</v>
      </c>
      <c r="AG590" s="33" t="str">
        <f>IF(G590&gt;0,IF(AD590&gt;0,IF(AD590=0,"Waiting",IF(AD590&lt;L590,"Partial",IF(AD590=L590,"Full Supply",IF(AD590&gt;L590,"Over Shared")))),"Waiting"),"")</f>
        <v>Full Supply</v>
      </c>
      <c r="AH590" s="56">
        <v>46268</v>
      </c>
      <c r="AI590" s="37" t="s">
        <v>1294</v>
      </c>
      <c r="AJ590" s="181">
        <v>10</v>
      </c>
      <c r="AK590" s="40">
        <v>26191</v>
      </c>
      <c r="AL590" s="189">
        <v>46269</v>
      </c>
      <c r="AM590" s="40">
        <v>8</v>
      </c>
      <c r="AN590" s="37"/>
      <c r="AO590" s="214">
        <v>46275</v>
      </c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181">
        <f>L590-AD590</f>
        <v>0</v>
      </c>
    </row>
    <row r="591" spans="1:52" ht="15.5" customHeight="1">
      <c r="A591" s="360" t="s">
        <v>372</v>
      </c>
      <c r="B591" s="340">
        <v>46266</v>
      </c>
      <c r="C591" s="181">
        <v>50384</v>
      </c>
      <c r="D591" s="30">
        <v>46266</v>
      </c>
      <c r="E591" s="30">
        <v>46262</v>
      </c>
      <c r="F591" s="30">
        <v>46295</v>
      </c>
      <c r="G591" s="37">
        <v>4420232344</v>
      </c>
      <c r="H591" s="37" t="s">
        <v>373</v>
      </c>
      <c r="I591" s="37">
        <v>9040024721</v>
      </c>
      <c r="J591" s="37" t="s">
        <v>239</v>
      </c>
      <c r="K591" s="325" t="s">
        <v>240</v>
      </c>
      <c r="L591" s="181">
        <v>1</v>
      </c>
      <c r="M591" s="181" t="s">
        <v>389</v>
      </c>
      <c r="N591" s="37" t="s">
        <v>382</v>
      </c>
      <c r="O591" s="31">
        <f>IF(F591&gt;0,F591-AB591,"")</f>
        <v>46295</v>
      </c>
      <c r="P591" s="37" t="str">
        <f>IF(F591&gt;0,IF(AB591="","PLANNING SUPPLY",IF(AB591&lt;=F591,"ONTIME DELIVERY","DELAY")),"")</f>
        <v>PLANNING SUPPLY</v>
      </c>
      <c r="Q591" s="181" t="str">
        <f>IFERROR(IF(J591&gt;0,VLOOKUP(J591,#REF!,MATCH($Q$6,#REF!,0),0),""),"")</f>
        <v/>
      </c>
      <c r="R591" s="181" t="str">
        <f>IFERROR(IF(J591&gt;0,VLOOKUP(J591,#REF!,MATCH($R$6,#REF!,0),0),""),"")</f>
        <v/>
      </c>
      <c r="S591" s="181" t="e">
        <f>IF(I594&gt;0,Q591+R591,"")</f>
        <v>#VALUE!</v>
      </c>
      <c r="T591" s="181"/>
      <c r="U591" s="181"/>
      <c r="V591" s="37"/>
      <c r="W591" s="181" t="e">
        <f>IF(I594&gt;0,IF(S591&gt;L591,"READY STOCK",IF(S591=0,"OUT OF STOCK",IF(S591&lt;L591,"LOW STOCK",""))),"")</f>
        <v>#VALUE!</v>
      </c>
      <c r="X591" s="38"/>
      <c r="Y591" s="38"/>
      <c r="Z591" s="38"/>
      <c r="AA591" s="38"/>
      <c r="AB591" s="50"/>
      <c r="AC591" s="181"/>
      <c r="AD591" s="51"/>
      <c r="AE591" s="37"/>
      <c r="AF591" s="37"/>
      <c r="AG591" s="33" t="str">
        <f>IF(G591&gt;0,IF(AD591&gt;0,IF(AD591=0,"Waiting",IF(AD591&lt;L591,"Partial",IF(AD591=L591,"Full Supply",IF(AD591&gt;L591,"Over Shared")))),"Waiting"),"")</f>
        <v>Waiting</v>
      </c>
      <c r="AH591" s="56">
        <v>46268</v>
      </c>
      <c r="AI591" s="37" t="s">
        <v>1294</v>
      </c>
      <c r="AJ591" s="181">
        <v>21</v>
      </c>
      <c r="AK591" s="40">
        <v>26396</v>
      </c>
      <c r="AL591" s="42">
        <v>46287</v>
      </c>
      <c r="AM591" s="40">
        <v>21</v>
      </c>
      <c r="AN591" s="37"/>
      <c r="AO591" s="232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181">
        <f>L591-AD591</f>
        <v>1</v>
      </c>
    </row>
    <row r="592" spans="1:52" ht="15.5" customHeight="1">
      <c r="A592" s="360" t="s">
        <v>372</v>
      </c>
      <c r="B592" s="340">
        <v>46266</v>
      </c>
      <c r="C592" s="181">
        <v>50384</v>
      </c>
      <c r="D592" s="30">
        <v>46266</v>
      </c>
      <c r="E592" s="30">
        <v>46262</v>
      </c>
      <c r="F592" s="30">
        <v>46295</v>
      </c>
      <c r="G592" s="37">
        <v>4420232344</v>
      </c>
      <c r="H592" s="37" t="s">
        <v>373</v>
      </c>
      <c r="I592" s="37">
        <v>9040051092</v>
      </c>
      <c r="J592" s="37" t="s">
        <v>89</v>
      </c>
      <c r="K592" s="325" t="s">
        <v>90</v>
      </c>
      <c r="L592" s="181">
        <v>1</v>
      </c>
      <c r="M592" s="181" t="s">
        <v>375</v>
      </c>
      <c r="N592" s="37" t="s">
        <v>382</v>
      </c>
      <c r="O592" s="31">
        <f>IF(F592&gt;0,F592-AB592,"")</f>
        <v>13</v>
      </c>
      <c r="P592" s="37" t="str">
        <f>IF(F592&gt;0,IF(AB592="","PLANNING SUPPLY",IF(AB592&lt;=F592,"ONTIME DELIVERY","DELAY")),"")</f>
        <v>ONTIME DELIVERY</v>
      </c>
      <c r="Q592" s="181" t="str">
        <f>IFERROR(IF(J592&gt;0,VLOOKUP(J592,#REF!,MATCH($Q$6,#REF!,0),0),""),"")</f>
        <v/>
      </c>
      <c r="R592" s="181" t="str">
        <f>IFERROR(IF(J592&gt;0,VLOOKUP(J592,#REF!,MATCH($R$6,#REF!,0),0),""),"")</f>
        <v/>
      </c>
      <c r="S592" s="181" t="e">
        <f>IF(I595&gt;0,Q592+R592,"")</f>
        <v>#VALUE!</v>
      </c>
      <c r="T592" s="181"/>
      <c r="U592" s="181"/>
      <c r="V592" s="37"/>
      <c r="W592" s="181" t="e">
        <f>IF(I595&gt;0,IF(S592&gt;L592,"READY STOCK",IF(S592=0,"OUT OF STOCK",IF(S592&lt;L592,"LOW STOCK",""))),"")</f>
        <v>#VALUE!</v>
      </c>
      <c r="X592" s="38"/>
      <c r="Y592" s="38"/>
      <c r="Z592" s="38"/>
      <c r="AA592" s="38"/>
      <c r="AB592" s="50">
        <v>46282</v>
      </c>
      <c r="AC592" s="181">
        <v>34390</v>
      </c>
      <c r="AD592" s="51">
        <v>1</v>
      </c>
      <c r="AE592" s="37" t="s">
        <v>387</v>
      </c>
      <c r="AF592" s="37" t="s">
        <v>381</v>
      </c>
      <c r="AG592" s="33" t="str">
        <f>IF(G592&gt;0,IF(AD592&gt;0,IF(AD592=0,"Waiting",IF(AD592&lt;L592,"Partial",IF(AD592=L592,"Full Supply",IF(AD592&gt;L592,"Over Shared")))),"Waiting"),"")</f>
        <v>Full Supply</v>
      </c>
      <c r="AH592" s="56">
        <v>46268</v>
      </c>
      <c r="AI592" s="37" t="s">
        <v>1294</v>
      </c>
      <c r="AJ592" s="181">
        <v>13</v>
      </c>
      <c r="AK592" s="40">
        <v>26191</v>
      </c>
      <c r="AL592" s="189">
        <v>46269</v>
      </c>
      <c r="AM592" s="40">
        <v>16</v>
      </c>
      <c r="AN592" s="37"/>
      <c r="AO592" s="214">
        <v>46275</v>
      </c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181">
        <f>L592-AD592</f>
        <v>0</v>
      </c>
    </row>
    <row r="593" spans="1:52" ht="15.5" customHeight="1">
      <c r="A593" s="360" t="s">
        <v>372</v>
      </c>
      <c r="B593" s="340">
        <v>46266</v>
      </c>
      <c r="C593" s="181">
        <v>50384</v>
      </c>
      <c r="D593" s="30">
        <v>46266</v>
      </c>
      <c r="E593" s="30">
        <v>46262</v>
      </c>
      <c r="F593" s="30">
        <v>46295</v>
      </c>
      <c r="G593" s="37">
        <v>4420232344</v>
      </c>
      <c r="H593" s="37" t="s">
        <v>373</v>
      </c>
      <c r="I593" s="37">
        <v>9040073264</v>
      </c>
      <c r="J593" s="37" t="s">
        <v>85</v>
      </c>
      <c r="K593" s="325" t="s">
        <v>86</v>
      </c>
      <c r="L593" s="181">
        <v>1</v>
      </c>
      <c r="M593" s="181" t="s">
        <v>375</v>
      </c>
      <c r="N593" s="37" t="s">
        <v>382</v>
      </c>
      <c r="O593" s="31">
        <f>IF(F593&gt;0,F593-AB593,"")</f>
        <v>13</v>
      </c>
      <c r="P593" s="37" t="str">
        <f>IF(F593&gt;0,IF(AB593="","PLANNING SUPPLY",IF(AB593&lt;=F593,"ONTIME DELIVERY","DELAY")),"")</f>
        <v>ONTIME DELIVERY</v>
      </c>
      <c r="Q593" s="181" t="str">
        <f>IFERROR(IF(J593&gt;0,VLOOKUP(J593,#REF!,MATCH($Q$6,#REF!,0),0),""),"")</f>
        <v/>
      </c>
      <c r="R593" s="181" t="str">
        <f>IFERROR(IF(J593&gt;0,VLOOKUP(J593,#REF!,MATCH($R$6,#REF!,0),0),""),"")</f>
        <v/>
      </c>
      <c r="S593" s="181" t="e">
        <f>IF(I596&gt;0,Q593+R593,"")</f>
        <v>#VALUE!</v>
      </c>
      <c r="T593" s="181"/>
      <c r="U593" s="181"/>
      <c r="V593" s="37"/>
      <c r="W593" s="181" t="e">
        <f>IF(I596&gt;0,IF(S593&gt;L593,"READY STOCK",IF(S593=0,"OUT OF STOCK",IF(S593&lt;L593,"LOW STOCK",""))),"")</f>
        <v>#VALUE!</v>
      </c>
      <c r="X593" s="38"/>
      <c r="Y593" s="38"/>
      <c r="Z593" s="38"/>
      <c r="AA593" s="38"/>
      <c r="AB593" s="50">
        <v>46282</v>
      </c>
      <c r="AC593" s="181">
        <v>34385</v>
      </c>
      <c r="AD593" s="51">
        <v>1</v>
      </c>
      <c r="AE593" s="37" t="s">
        <v>387</v>
      </c>
      <c r="AF593" s="37" t="s">
        <v>381</v>
      </c>
      <c r="AG593" s="33" t="str">
        <f>IF(G593&gt;0,IF(AD593&gt;0,IF(AD593=0,"Waiting",IF(AD593&lt;L593,"Partial",IF(AD593=L593,"Full Supply",IF(AD593&gt;L593,"Over Shared")))),"Waiting"),"")</f>
        <v>Full Supply</v>
      </c>
      <c r="AH593" s="56">
        <v>46268</v>
      </c>
      <c r="AI593" s="37" t="s">
        <v>1294</v>
      </c>
      <c r="AJ593" s="181">
        <v>10</v>
      </c>
      <c r="AK593" s="40">
        <v>26191</v>
      </c>
      <c r="AL593" s="189">
        <v>46269</v>
      </c>
      <c r="AM593" s="40">
        <v>8</v>
      </c>
      <c r="AN593" s="37"/>
      <c r="AO593" s="214">
        <v>46275</v>
      </c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181">
        <f>L593-AD593</f>
        <v>0</v>
      </c>
    </row>
    <row r="594" spans="1:52" ht="15.5" customHeight="1">
      <c r="A594" s="360" t="s">
        <v>372</v>
      </c>
      <c r="B594" s="340">
        <v>46266</v>
      </c>
      <c r="C594" s="181">
        <v>50384</v>
      </c>
      <c r="D594" s="30">
        <v>46266</v>
      </c>
      <c r="E594" s="30">
        <v>46262</v>
      </c>
      <c r="F594" s="30">
        <v>46295</v>
      </c>
      <c r="G594" s="37">
        <v>4420232344</v>
      </c>
      <c r="H594" s="37" t="s">
        <v>373</v>
      </c>
      <c r="I594" s="37">
        <v>9040024721</v>
      </c>
      <c r="J594" s="37" t="s">
        <v>239</v>
      </c>
      <c r="K594" s="325" t="s">
        <v>240</v>
      </c>
      <c r="L594" s="181">
        <v>1</v>
      </c>
      <c r="M594" s="181" t="s">
        <v>389</v>
      </c>
      <c r="N594" s="37" t="s">
        <v>382</v>
      </c>
      <c r="O594" s="31">
        <f>IF(F594&gt;0,F594-AB594,"")</f>
        <v>46295</v>
      </c>
      <c r="P594" s="37" t="str">
        <f>IF(F594&gt;0,IF(AB594="","PLANNING SUPPLY",IF(AB594&lt;=F594,"ONTIME DELIVERY","DELAY")),"")</f>
        <v>PLANNING SUPPLY</v>
      </c>
      <c r="Q594" s="181" t="str">
        <f>IFERROR(IF(J594&gt;0,VLOOKUP(J594,#REF!,MATCH($Q$6,#REF!,0),0),""),"")</f>
        <v/>
      </c>
      <c r="R594" s="181" t="str">
        <f>IFERROR(IF(J594&gt;0,VLOOKUP(J594,#REF!,MATCH($R$6,#REF!,0),0),""),"")</f>
        <v/>
      </c>
      <c r="S594" s="181" t="e">
        <f>IF(I597&gt;0,Q594+R594,"")</f>
        <v>#VALUE!</v>
      </c>
      <c r="T594" s="181"/>
      <c r="U594" s="181"/>
      <c r="V594" s="37"/>
      <c r="W594" s="181" t="e">
        <f>IF(I597&gt;0,IF(S594&gt;L594,"READY STOCK",IF(S594=0,"OUT OF STOCK",IF(S594&lt;L594,"LOW STOCK",""))),"")</f>
        <v>#VALUE!</v>
      </c>
      <c r="X594" s="38"/>
      <c r="Y594" s="38"/>
      <c r="Z594" s="38"/>
      <c r="AA594" s="38"/>
      <c r="AB594" s="50"/>
      <c r="AC594" s="181"/>
      <c r="AD594" s="51"/>
      <c r="AE594" s="37"/>
      <c r="AF594" s="37"/>
      <c r="AG594" s="33" t="str">
        <f>IF(G594&gt;0,IF(AD594&gt;0,IF(AD594=0,"Waiting",IF(AD594&lt;L594,"Partial",IF(AD594=L594,"Full Supply",IF(AD594&gt;L594,"Over Shared")))),"Waiting"),"")</f>
        <v>Waiting</v>
      </c>
      <c r="AH594" s="56">
        <v>46268</v>
      </c>
      <c r="AI594" s="37" t="s">
        <v>1294</v>
      </c>
      <c r="AJ594" s="181">
        <v>21</v>
      </c>
      <c r="AK594" s="40">
        <v>26396</v>
      </c>
      <c r="AL594" s="42">
        <v>46287</v>
      </c>
      <c r="AM594" s="40">
        <v>21</v>
      </c>
      <c r="AN594" s="37"/>
      <c r="AO594" s="232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181">
        <f>L594-AD594</f>
        <v>1</v>
      </c>
    </row>
    <row r="595" spans="1:52" ht="15.5" customHeight="1">
      <c r="A595" s="360" t="s">
        <v>372</v>
      </c>
      <c r="B595" s="340">
        <v>46266</v>
      </c>
      <c r="C595" s="181">
        <v>50384</v>
      </c>
      <c r="D595" s="30">
        <v>46266</v>
      </c>
      <c r="E595" s="30">
        <v>46262</v>
      </c>
      <c r="F595" s="30">
        <v>46295</v>
      </c>
      <c r="G595" s="37">
        <v>4420232344</v>
      </c>
      <c r="H595" s="37" t="s">
        <v>373</v>
      </c>
      <c r="I595" s="37">
        <v>9040051092</v>
      </c>
      <c r="J595" s="37" t="s">
        <v>89</v>
      </c>
      <c r="K595" s="325" t="s">
        <v>90</v>
      </c>
      <c r="L595" s="181">
        <v>1</v>
      </c>
      <c r="M595" s="181" t="s">
        <v>375</v>
      </c>
      <c r="N595" s="37" t="s">
        <v>382</v>
      </c>
      <c r="O595" s="31">
        <f>IF(F595&gt;0,F595-AB595,"")</f>
        <v>13</v>
      </c>
      <c r="P595" s="37" t="str">
        <f>IF(F595&gt;0,IF(AB595="","PLANNING SUPPLY",IF(AB595&lt;=F595,"ONTIME DELIVERY","DELAY")),"")</f>
        <v>ONTIME DELIVERY</v>
      </c>
      <c r="Q595" s="181" t="str">
        <f>IFERROR(IF(J595&gt;0,VLOOKUP(J595,#REF!,MATCH($Q$6,#REF!,0),0),""),"")</f>
        <v/>
      </c>
      <c r="R595" s="181" t="str">
        <f>IFERROR(IF(J595&gt;0,VLOOKUP(J595,#REF!,MATCH($R$6,#REF!,0),0),""),"")</f>
        <v/>
      </c>
      <c r="S595" s="181" t="e">
        <f>IF(I598&gt;0,Q595+R595,"")</f>
        <v>#VALUE!</v>
      </c>
      <c r="T595" s="181"/>
      <c r="U595" s="181"/>
      <c r="V595" s="37"/>
      <c r="W595" s="181" t="e">
        <f>IF(I598&gt;0,IF(S595&gt;L595,"READY STOCK",IF(S595=0,"OUT OF STOCK",IF(S595&lt;L595,"LOW STOCK",""))),"")</f>
        <v>#VALUE!</v>
      </c>
      <c r="X595" s="38"/>
      <c r="Y595" s="38"/>
      <c r="Z595" s="38"/>
      <c r="AA595" s="38"/>
      <c r="AB595" s="50">
        <v>46282</v>
      </c>
      <c r="AC595" s="181">
        <v>34390</v>
      </c>
      <c r="AD595" s="51">
        <v>1</v>
      </c>
      <c r="AE595" s="37" t="s">
        <v>387</v>
      </c>
      <c r="AF595" s="37" t="s">
        <v>381</v>
      </c>
      <c r="AG595" s="33" t="str">
        <f>IF(G595&gt;0,IF(AD595&gt;0,IF(AD595=0,"Waiting",IF(AD595&lt;L595,"Partial",IF(AD595=L595,"Full Supply",IF(AD595&gt;L595,"Over Shared")))),"Waiting"),"")</f>
        <v>Full Supply</v>
      </c>
      <c r="AH595" s="56">
        <v>46268</v>
      </c>
      <c r="AI595" s="37" t="s">
        <v>1294</v>
      </c>
      <c r="AJ595" s="181">
        <v>13</v>
      </c>
      <c r="AK595" s="40">
        <v>26191</v>
      </c>
      <c r="AL595" s="189">
        <v>46269</v>
      </c>
      <c r="AM595" s="40">
        <v>16</v>
      </c>
      <c r="AN595" s="37"/>
      <c r="AO595" s="214">
        <v>46275</v>
      </c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181">
        <f>L595-AD595</f>
        <v>0</v>
      </c>
    </row>
    <row r="596" spans="1:52" ht="15.5" customHeight="1">
      <c r="A596" s="360" t="s">
        <v>372</v>
      </c>
      <c r="B596" s="340">
        <v>46266</v>
      </c>
      <c r="C596" s="181">
        <v>50384</v>
      </c>
      <c r="D596" s="30">
        <v>46266</v>
      </c>
      <c r="E596" s="30">
        <v>46262</v>
      </c>
      <c r="F596" s="30">
        <v>46295</v>
      </c>
      <c r="G596" s="37">
        <v>4420232344</v>
      </c>
      <c r="H596" s="37" t="s">
        <v>373</v>
      </c>
      <c r="I596" s="37">
        <v>9040073264</v>
      </c>
      <c r="J596" s="37" t="s">
        <v>85</v>
      </c>
      <c r="K596" s="325" t="s">
        <v>86</v>
      </c>
      <c r="L596" s="181">
        <v>1</v>
      </c>
      <c r="M596" s="181" t="s">
        <v>375</v>
      </c>
      <c r="N596" s="37" t="s">
        <v>382</v>
      </c>
      <c r="O596" s="31">
        <f>IF(F596&gt;0,F596-AB596,"")</f>
        <v>13</v>
      </c>
      <c r="P596" s="37" t="str">
        <f>IF(F596&gt;0,IF(AB596="","PLANNING SUPPLY",IF(AB596&lt;=F596,"ONTIME DELIVERY","DELAY")),"")</f>
        <v>ONTIME DELIVERY</v>
      </c>
      <c r="Q596" s="181" t="str">
        <f>IFERROR(IF(J596&gt;0,VLOOKUP(J596,#REF!,MATCH($Q$6,#REF!,0),0),""),"")</f>
        <v/>
      </c>
      <c r="R596" s="181" t="str">
        <f>IFERROR(IF(J596&gt;0,VLOOKUP(J596,#REF!,MATCH($R$6,#REF!,0),0),""),"")</f>
        <v/>
      </c>
      <c r="S596" s="181" t="e">
        <f>IF(I599&gt;0,Q596+R596,"")</f>
        <v>#VALUE!</v>
      </c>
      <c r="T596" s="181"/>
      <c r="U596" s="181"/>
      <c r="V596" s="37"/>
      <c r="W596" s="181" t="e">
        <f>IF(I599&gt;0,IF(S596&gt;L596,"READY STOCK",IF(S596=0,"OUT OF STOCK",IF(S596&lt;L596,"LOW STOCK",""))),"")</f>
        <v>#VALUE!</v>
      </c>
      <c r="X596" s="38"/>
      <c r="Y596" s="38"/>
      <c r="Z596" s="38"/>
      <c r="AA596" s="38"/>
      <c r="AB596" s="50">
        <v>46282</v>
      </c>
      <c r="AC596" s="181">
        <v>34385</v>
      </c>
      <c r="AD596" s="51">
        <v>1</v>
      </c>
      <c r="AE596" s="37" t="s">
        <v>387</v>
      </c>
      <c r="AF596" s="37" t="s">
        <v>381</v>
      </c>
      <c r="AG596" s="33" t="str">
        <f>IF(G596&gt;0,IF(AD596&gt;0,IF(AD596=0,"Waiting",IF(AD596&lt;L596,"Partial",IF(AD596=L596,"Full Supply",IF(AD596&gt;L596,"Over Shared")))),"Waiting"),"")</f>
        <v>Full Supply</v>
      </c>
      <c r="AH596" s="56">
        <v>46268</v>
      </c>
      <c r="AI596" s="37" t="s">
        <v>1294</v>
      </c>
      <c r="AJ596" s="181">
        <v>10</v>
      </c>
      <c r="AK596" s="40">
        <v>26191</v>
      </c>
      <c r="AL596" s="189">
        <v>46269</v>
      </c>
      <c r="AM596" s="40">
        <v>8</v>
      </c>
      <c r="AN596" s="37"/>
      <c r="AO596" s="214">
        <v>46275</v>
      </c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181">
        <f>L596-AD596</f>
        <v>0</v>
      </c>
    </row>
    <row r="597" spans="1:52" ht="15.5" customHeight="1">
      <c r="A597" s="360" t="s">
        <v>372</v>
      </c>
      <c r="B597" s="340">
        <v>46266</v>
      </c>
      <c r="C597" s="181">
        <v>50384</v>
      </c>
      <c r="D597" s="30">
        <v>46266</v>
      </c>
      <c r="E597" s="30">
        <v>46262</v>
      </c>
      <c r="F597" s="30">
        <v>46295</v>
      </c>
      <c r="G597" s="37">
        <v>4420232344</v>
      </c>
      <c r="H597" s="37" t="s">
        <v>373</v>
      </c>
      <c r="I597" s="37">
        <v>9040024721</v>
      </c>
      <c r="J597" s="37" t="s">
        <v>239</v>
      </c>
      <c r="K597" s="325" t="s">
        <v>240</v>
      </c>
      <c r="L597" s="181">
        <v>1</v>
      </c>
      <c r="M597" s="181" t="s">
        <v>389</v>
      </c>
      <c r="N597" s="37" t="s">
        <v>382</v>
      </c>
      <c r="O597" s="31">
        <f>IF(F597&gt;0,F597-AB597,"")</f>
        <v>46295</v>
      </c>
      <c r="P597" s="37" t="str">
        <f>IF(F597&gt;0,IF(AB597="","PLANNING SUPPLY",IF(AB597&lt;=F597,"ONTIME DELIVERY","DELAY")),"")</f>
        <v>PLANNING SUPPLY</v>
      </c>
      <c r="Q597" s="181" t="str">
        <f>IFERROR(IF(J597&gt;0,VLOOKUP(J597,#REF!,MATCH($Q$6,#REF!,0),0),""),"")</f>
        <v/>
      </c>
      <c r="R597" s="181" t="str">
        <f>IFERROR(IF(J597&gt;0,VLOOKUP(J597,#REF!,MATCH($R$6,#REF!,0),0),""),"")</f>
        <v/>
      </c>
      <c r="S597" s="181" t="e">
        <f>IF(I600&gt;0,Q597+R597,"")</f>
        <v>#VALUE!</v>
      </c>
      <c r="T597" s="181"/>
      <c r="U597" s="181"/>
      <c r="V597" s="37"/>
      <c r="W597" s="181" t="e">
        <f>IF(I600&gt;0,IF(S597&gt;L597,"READY STOCK",IF(S597=0,"OUT OF STOCK",IF(S597&lt;L597,"LOW STOCK",""))),"")</f>
        <v>#VALUE!</v>
      </c>
      <c r="X597" s="38"/>
      <c r="Y597" s="38"/>
      <c r="Z597" s="38"/>
      <c r="AA597" s="38"/>
      <c r="AB597" s="50"/>
      <c r="AC597" s="181"/>
      <c r="AD597" s="51"/>
      <c r="AE597" s="37"/>
      <c r="AF597" s="37"/>
      <c r="AG597" s="33" t="str">
        <f>IF(G597&gt;0,IF(AD597&gt;0,IF(AD597=0,"Waiting",IF(AD597&lt;L597,"Partial",IF(AD597=L597,"Full Supply",IF(AD597&gt;L597,"Over Shared")))),"Waiting"),"")</f>
        <v>Waiting</v>
      </c>
      <c r="AH597" s="56">
        <v>46268</v>
      </c>
      <c r="AI597" s="37" t="s">
        <v>1294</v>
      </c>
      <c r="AJ597" s="181">
        <v>21</v>
      </c>
      <c r="AK597" s="40">
        <v>26396</v>
      </c>
      <c r="AL597" s="42">
        <v>46287</v>
      </c>
      <c r="AM597" s="40">
        <v>21</v>
      </c>
      <c r="AN597" s="37"/>
      <c r="AO597" s="232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181">
        <f>L597-AD597</f>
        <v>1</v>
      </c>
    </row>
    <row r="598" spans="1:52" ht="15.5" customHeight="1">
      <c r="A598" s="360" t="s">
        <v>372</v>
      </c>
      <c r="B598" s="340">
        <v>46266</v>
      </c>
      <c r="C598" s="181">
        <v>50384</v>
      </c>
      <c r="D598" s="30">
        <v>46266</v>
      </c>
      <c r="E598" s="30">
        <v>46262</v>
      </c>
      <c r="F598" s="30">
        <v>46295</v>
      </c>
      <c r="G598" s="37">
        <v>4420232344</v>
      </c>
      <c r="H598" s="37" t="s">
        <v>373</v>
      </c>
      <c r="I598" s="37">
        <v>9040051092</v>
      </c>
      <c r="J598" s="37" t="s">
        <v>89</v>
      </c>
      <c r="K598" s="325" t="s">
        <v>90</v>
      </c>
      <c r="L598" s="181">
        <v>1</v>
      </c>
      <c r="M598" s="181" t="s">
        <v>375</v>
      </c>
      <c r="N598" s="37" t="s">
        <v>382</v>
      </c>
      <c r="O598" s="31">
        <f>IF(F598&gt;0,F598-AB598,"")</f>
        <v>13</v>
      </c>
      <c r="P598" s="37" t="str">
        <f>IF(F598&gt;0,IF(AB598="","PLANNING SUPPLY",IF(AB598&lt;=F598,"ONTIME DELIVERY","DELAY")),"")</f>
        <v>ONTIME DELIVERY</v>
      </c>
      <c r="Q598" s="181" t="str">
        <f>IFERROR(IF(J598&gt;0,VLOOKUP(J598,#REF!,MATCH($Q$6,#REF!,0),0),""),"")</f>
        <v/>
      </c>
      <c r="R598" s="181" t="str">
        <f>IFERROR(IF(J598&gt;0,VLOOKUP(J598,#REF!,MATCH($R$6,#REF!,0),0),""),"")</f>
        <v/>
      </c>
      <c r="S598" s="181" t="e">
        <f>IF(I601&gt;0,Q598+R598,"")</f>
        <v>#VALUE!</v>
      </c>
      <c r="T598" s="181"/>
      <c r="U598" s="181"/>
      <c r="V598" s="37"/>
      <c r="W598" s="181" t="e">
        <f>IF(I601&gt;0,IF(S598&gt;L598,"READY STOCK",IF(S598=0,"OUT OF STOCK",IF(S598&lt;L598,"LOW STOCK",""))),"")</f>
        <v>#VALUE!</v>
      </c>
      <c r="X598" s="38"/>
      <c r="Y598" s="38"/>
      <c r="Z598" s="38"/>
      <c r="AA598" s="38"/>
      <c r="AB598" s="50">
        <v>46282</v>
      </c>
      <c r="AC598" s="181">
        <v>34390</v>
      </c>
      <c r="AD598" s="51">
        <v>1</v>
      </c>
      <c r="AE598" s="37" t="s">
        <v>387</v>
      </c>
      <c r="AF598" s="37" t="s">
        <v>381</v>
      </c>
      <c r="AG598" s="33" t="str">
        <f>IF(G598&gt;0,IF(AD598&gt;0,IF(AD598=0,"Waiting",IF(AD598&lt;L598,"Partial",IF(AD598=L598,"Full Supply",IF(AD598&gt;L598,"Over Shared")))),"Waiting"),"")</f>
        <v>Full Supply</v>
      </c>
      <c r="AH598" s="56">
        <v>46268</v>
      </c>
      <c r="AI598" s="37" t="s">
        <v>1294</v>
      </c>
      <c r="AJ598" s="181">
        <v>13</v>
      </c>
      <c r="AK598" s="40">
        <v>26191</v>
      </c>
      <c r="AL598" s="189">
        <v>46269</v>
      </c>
      <c r="AM598" s="40">
        <v>16</v>
      </c>
      <c r="AN598" s="37"/>
      <c r="AO598" s="214">
        <v>46275</v>
      </c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181">
        <f>L598-AD598</f>
        <v>0</v>
      </c>
    </row>
    <row r="599" spans="1:52" ht="15.5" customHeight="1">
      <c r="A599" s="360" t="s">
        <v>372</v>
      </c>
      <c r="B599" s="340">
        <v>46266</v>
      </c>
      <c r="C599" s="181">
        <v>50384</v>
      </c>
      <c r="D599" s="30">
        <v>46266</v>
      </c>
      <c r="E599" s="30">
        <v>46262</v>
      </c>
      <c r="F599" s="30">
        <v>46295</v>
      </c>
      <c r="G599" s="37">
        <v>4420232344</v>
      </c>
      <c r="H599" s="37" t="s">
        <v>373</v>
      </c>
      <c r="I599" s="37">
        <v>9040073264</v>
      </c>
      <c r="J599" s="37" t="s">
        <v>85</v>
      </c>
      <c r="K599" s="325" t="s">
        <v>86</v>
      </c>
      <c r="L599" s="181">
        <v>1</v>
      </c>
      <c r="M599" s="181" t="s">
        <v>375</v>
      </c>
      <c r="N599" s="37" t="s">
        <v>382</v>
      </c>
      <c r="O599" s="31">
        <f>IF(F599&gt;0,F599-AB599,"")</f>
        <v>13</v>
      </c>
      <c r="P599" s="37" t="str">
        <f>IF(F599&gt;0,IF(AB599="","PLANNING SUPPLY",IF(AB599&lt;=F599,"ONTIME DELIVERY","DELAY")),"")</f>
        <v>ONTIME DELIVERY</v>
      </c>
      <c r="Q599" s="181" t="str">
        <f>IFERROR(IF(J599&gt;0,VLOOKUP(J599,#REF!,MATCH($Q$6,#REF!,0),0),""),"")</f>
        <v/>
      </c>
      <c r="R599" s="181" t="str">
        <f>IFERROR(IF(J599&gt;0,VLOOKUP(J599,#REF!,MATCH($R$6,#REF!,0),0),""),"")</f>
        <v/>
      </c>
      <c r="S599" s="181" t="e">
        <f>IF(I602&gt;0,Q599+R599,"")</f>
        <v>#VALUE!</v>
      </c>
      <c r="T599" s="181"/>
      <c r="U599" s="181"/>
      <c r="V599" s="37"/>
      <c r="W599" s="181" t="e">
        <f>IF(I602&gt;0,IF(S599&gt;L599,"READY STOCK",IF(S599=0,"OUT OF STOCK",IF(S599&lt;L599,"LOW STOCK",""))),"")</f>
        <v>#VALUE!</v>
      </c>
      <c r="X599" s="38"/>
      <c r="Y599" s="38"/>
      <c r="Z599" s="38"/>
      <c r="AA599" s="38"/>
      <c r="AB599" s="50">
        <v>46282</v>
      </c>
      <c r="AC599" s="181">
        <v>34385</v>
      </c>
      <c r="AD599" s="51">
        <v>1</v>
      </c>
      <c r="AE599" s="37" t="s">
        <v>387</v>
      </c>
      <c r="AF599" s="37" t="s">
        <v>381</v>
      </c>
      <c r="AG599" s="33" t="str">
        <f>IF(G599&gt;0,IF(AD599&gt;0,IF(AD599=0,"Waiting",IF(AD599&lt;L599,"Partial",IF(AD599=L599,"Full Supply",IF(AD599&gt;L599,"Over Shared")))),"Waiting"),"")</f>
        <v>Full Supply</v>
      </c>
      <c r="AH599" s="56">
        <v>46268</v>
      </c>
      <c r="AI599" s="37" t="s">
        <v>1294</v>
      </c>
      <c r="AJ599" s="181">
        <v>10</v>
      </c>
      <c r="AK599" s="40">
        <v>26191</v>
      </c>
      <c r="AL599" s="189">
        <v>46269</v>
      </c>
      <c r="AM599" s="40">
        <v>8</v>
      </c>
      <c r="AN599" s="37"/>
      <c r="AO599" s="214">
        <v>46275</v>
      </c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181">
        <f>L599-AD599</f>
        <v>0</v>
      </c>
    </row>
    <row r="600" spans="1:52" ht="15.5" customHeight="1">
      <c r="A600" s="360" t="s">
        <v>372</v>
      </c>
      <c r="B600" s="340">
        <v>46266</v>
      </c>
      <c r="C600" s="181">
        <v>50384</v>
      </c>
      <c r="D600" s="30">
        <v>46266</v>
      </c>
      <c r="E600" s="30">
        <v>46262</v>
      </c>
      <c r="F600" s="30">
        <v>46295</v>
      </c>
      <c r="G600" s="37">
        <v>4420232344</v>
      </c>
      <c r="H600" s="37" t="s">
        <v>373</v>
      </c>
      <c r="I600" s="37">
        <v>9040024721</v>
      </c>
      <c r="J600" s="37" t="s">
        <v>239</v>
      </c>
      <c r="K600" s="325" t="s">
        <v>240</v>
      </c>
      <c r="L600" s="181">
        <v>1</v>
      </c>
      <c r="M600" s="181" t="s">
        <v>389</v>
      </c>
      <c r="N600" s="37" t="s">
        <v>382</v>
      </c>
      <c r="O600" s="31">
        <f>IF(F600&gt;0,F600-AB600,"")</f>
        <v>46295</v>
      </c>
      <c r="P600" s="37" t="str">
        <f>IF(F600&gt;0,IF(AB600="","PLANNING SUPPLY",IF(AB600&lt;=F600,"ONTIME DELIVERY","DELAY")),"")</f>
        <v>PLANNING SUPPLY</v>
      </c>
      <c r="Q600" s="181" t="str">
        <f>IFERROR(IF(J600&gt;0,VLOOKUP(J600,#REF!,MATCH($Q$6,#REF!,0),0),""),"")</f>
        <v/>
      </c>
      <c r="R600" s="181" t="str">
        <f>IFERROR(IF(J600&gt;0,VLOOKUP(J600,#REF!,MATCH($R$6,#REF!,0),0),""),"")</f>
        <v/>
      </c>
      <c r="S600" s="181" t="e">
        <f>IF(I603&gt;0,Q600+R600,"")</f>
        <v>#VALUE!</v>
      </c>
      <c r="T600" s="181"/>
      <c r="U600" s="181"/>
      <c r="V600" s="37"/>
      <c r="W600" s="181" t="e">
        <f>IF(I603&gt;0,IF(S600&gt;L600,"READY STOCK",IF(S600=0,"OUT OF STOCK",IF(S600&lt;L600,"LOW STOCK",""))),"")</f>
        <v>#VALUE!</v>
      </c>
      <c r="X600" s="38"/>
      <c r="Y600" s="38"/>
      <c r="Z600" s="38"/>
      <c r="AA600" s="38"/>
      <c r="AB600" s="50"/>
      <c r="AC600" s="181"/>
      <c r="AD600" s="51"/>
      <c r="AE600" s="37"/>
      <c r="AF600" s="37"/>
      <c r="AG600" s="33" t="str">
        <f>IF(G600&gt;0,IF(AD600&gt;0,IF(AD600=0,"Waiting",IF(AD600&lt;L600,"Partial",IF(AD600=L600,"Full Supply",IF(AD600&gt;L600,"Over Shared")))),"Waiting"),"")</f>
        <v>Waiting</v>
      </c>
      <c r="AH600" s="56">
        <v>46268</v>
      </c>
      <c r="AI600" s="37" t="s">
        <v>1294</v>
      </c>
      <c r="AJ600" s="181">
        <v>21</v>
      </c>
      <c r="AK600" s="40">
        <v>26396</v>
      </c>
      <c r="AL600" s="42">
        <v>46287</v>
      </c>
      <c r="AM600" s="40">
        <v>21</v>
      </c>
      <c r="AN600" s="37"/>
      <c r="AO600" s="232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181">
        <f>L600-AD600</f>
        <v>1</v>
      </c>
    </row>
    <row r="601" spans="1:52" ht="15.5" customHeight="1">
      <c r="A601" s="360" t="s">
        <v>372</v>
      </c>
      <c r="B601" s="340">
        <v>46266</v>
      </c>
      <c r="C601" s="181">
        <v>50384</v>
      </c>
      <c r="D601" s="30">
        <v>46266</v>
      </c>
      <c r="E601" s="30">
        <v>46262</v>
      </c>
      <c r="F601" s="30">
        <v>46295</v>
      </c>
      <c r="G601" s="37">
        <v>4420232344</v>
      </c>
      <c r="H601" s="37" t="s">
        <v>373</v>
      </c>
      <c r="I601" s="37">
        <v>9040051092</v>
      </c>
      <c r="J601" s="37" t="s">
        <v>89</v>
      </c>
      <c r="K601" s="325" t="s">
        <v>90</v>
      </c>
      <c r="L601" s="181">
        <v>1</v>
      </c>
      <c r="M601" s="181" t="s">
        <v>375</v>
      </c>
      <c r="N601" s="37" t="s">
        <v>382</v>
      </c>
      <c r="O601" s="31">
        <f>IF(F601&gt;0,F601-AB601,"")</f>
        <v>13</v>
      </c>
      <c r="P601" s="37" t="str">
        <f>IF(F601&gt;0,IF(AB601="","PLANNING SUPPLY",IF(AB601&lt;=F601,"ONTIME DELIVERY","DELAY")),"")</f>
        <v>ONTIME DELIVERY</v>
      </c>
      <c r="Q601" s="181" t="str">
        <f>IFERROR(IF(J601&gt;0,VLOOKUP(J601,#REF!,MATCH($Q$6,#REF!,0),0),""),"")</f>
        <v/>
      </c>
      <c r="R601" s="181" t="str">
        <f>IFERROR(IF(J601&gt;0,VLOOKUP(J601,#REF!,MATCH($R$6,#REF!,0),0),""),"")</f>
        <v/>
      </c>
      <c r="S601" s="181" t="e">
        <f>IF(I604&gt;0,Q601+R601,"")</f>
        <v>#VALUE!</v>
      </c>
      <c r="T601" s="181"/>
      <c r="U601" s="181"/>
      <c r="V601" s="37"/>
      <c r="W601" s="181" t="e">
        <f>IF(I604&gt;0,IF(S601&gt;L601,"READY STOCK",IF(S601=0,"OUT OF STOCK",IF(S601&lt;L601,"LOW STOCK",""))),"")</f>
        <v>#VALUE!</v>
      </c>
      <c r="X601" s="38"/>
      <c r="Y601" s="38"/>
      <c r="Z601" s="38"/>
      <c r="AA601" s="38"/>
      <c r="AB601" s="50">
        <v>46282</v>
      </c>
      <c r="AC601" s="181">
        <v>34390</v>
      </c>
      <c r="AD601" s="51">
        <v>1</v>
      </c>
      <c r="AE601" s="37" t="s">
        <v>387</v>
      </c>
      <c r="AF601" s="37" t="s">
        <v>381</v>
      </c>
      <c r="AG601" s="33" t="str">
        <f>IF(G601&gt;0,IF(AD601&gt;0,IF(AD601=0,"Waiting",IF(AD601&lt;L601,"Partial",IF(AD601=L601,"Full Supply",IF(AD601&gt;L601,"Over Shared")))),"Waiting"),"")</f>
        <v>Full Supply</v>
      </c>
      <c r="AH601" s="56">
        <v>46268</v>
      </c>
      <c r="AI601" s="37" t="s">
        <v>1294</v>
      </c>
      <c r="AJ601" s="181">
        <v>13</v>
      </c>
      <c r="AK601" s="40">
        <v>26191</v>
      </c>
      <c r="AL601" s="189">
        <v>46269</v>
      </c>
      <c r="AM601" s="40">
        <v>16</v>
      </c>
      <c r="AN601" s="37"/>
      <c r="AO601" s="214">
        <v>46275</v>
      </c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181">
        <f>L601-AD601</f>
        <v>0</v>
      </c>
    </row>
    <row r="602" spans="1:52" ht="15.5" customHeight="1">
      <c r="A602" s="360" t="s">
        <v>372</v>
      </c>
      <c r="B602" s="340">
        <v>46266</v>
      </c>
      <c r="C602" s="181">
        <v>50384</v>
      </c>
      <c r="D602" s="30">
        <v>46266</v>
      </c>
      <c r="E602" s="30">
        <v>46262</v>
      </c>
      <c r="F602" s="30">
        <v>46295</v>
      </c>
      <c r="G602" s="37">
        <v>4420232344</v>
      </c>
      <c r="H602" s="37" t="s">
        <v>373</v>
      </c>
      <c r="I602" s="37">
        <v>9040073264</v>
      </c>
      <c r="J602" s="37" t="s">
        <v>85</v>
      </c>
      <c r="K602" s="325" t="s">
        <v>86</v>
      </c>
      <c r="L602" s="181">
        <v>1</v>
      </c>
      <c r="M602" s="181" t="s">
        <v>375</v>
      </c>
      <c r="N602" s="37" t="s">
        <v>382</v>
      </c>
      <c r="O602" s="31">
        <f>IF(F602&gt;0,F602-AB602,"")</f>
        <v>13</v>
      </c>
      <c r="P602" s="37" t="str">
        <f>IF(F602&gt;0,IF(AB602="","PLANNING SUPPLY",IF(AB602&lt;=F602,"ONTIME DELIVERY","DELAY")),"")</f>
        <v>ONTIME DELIVERY</v>
      </c>
      <c r="Q602" s="181" t="str">
        <f>IFERROR(IF(J602&gt;0,VLOOKUP(J602,#REF!,MATCH($Q$6,#REF!,0),0),""),"")</f>
        <v/>
      </c>
      <c r="R602" s="181" t="str">
        <f>IFERROR(IF(J602&gt;0,VLOOKUP(J602,#REF!,MATCH($R$6,#REF!,0),0),""),"")</f>
        <v/>
      </c>
      <c r="S602" s="181" t="e">
        <f>IF(I605&gt;0,Q602+R602,"")</f>
        <v>#VALUE!</v>
      </c>
      <c r="T602" s="181"/>
      <c r="U602" s="181"/>
      <c r="V602" s="37"/>
      <c r="W602" s="181" t="e">
        <f>IF(I605&gt;0,IF(S602&gt;L602,"READY STOCK",IF(S602=0,"OUT OF STOCK",IF(S602&lt;L602,"LOW STOCK",""))),"")</f>
        <v>#VALUE!</v>
      </c>
      <c r="X602" s="38"/>
      <c r="Y602" s="38"/>
      <c r="Z602" s="38"/>
      <c r="AA602" s="38"/>
      <c r="AB602" s="50">
        <v>46282</v>
      </c>
      <c r="AC602" s="181">
        <v>34385</v>
      </c>
      <c r="AD602" s="51">
        <v>1</v>
      </c>
      <c r="AE602" s="37" t="s">
        <v>387</v>
      </c>
      <c r="AF602" s="37" t="s">
        <v>381</v>
      </c>
      <c r="AG602" s="33" t="str">
        <f>IF(G602&gt;0,IF(AD602&gt;0,IF(AD602=0,"Waiting",IF(AD602&lt;L602,"Partial",IF(AD602=L602,"Full Supply",IF(AD602&gt;L602,"Over Shared")))),"Waiting"),"")</f>
        <v>Full Supply</v>
      </c>
      <c r="AH602" s="56">
        <v>46268</v>
      </c>
      <c r="AI602" s="37" t="s">
        <v>1294</v>
      </c>
      <c r="AJ602" s="181">
        <v>10</v>
      </c>
      <c r="AK602" s="40">
        <v>26191</v>
      </c>
      <c r="AL602" s="189">
        <v>46269</v>
      </c>
      <c r="AM602" s="40">
        <v>8</v>
      </c>
      <c r="AN602" s="37"/>
      <c r="AO602" s="214">
        <v>46275</v>
      </c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181">
        <f>L602-AD602</f>
        <v>0</v>
      </c>
    </row>
    <row r="603" spans="1:52" ht="15.5" customHeight="1">
      <c r="A603" s="360" t="s">
        <v>372</v>
      </c>
      <c r="B603" s="340">
        <v>46267</v>
      </c>
      <c r="C603" s="181">
        <v>50389</v>
      </c>
      <c r="D603" s="30">
        <v>46267</v>
      </c>
      <c r="E603" s="30">
        <v>46266</v>
      </c>
      <c r="F603" s="30">
        <v>46272</v>
      </c>
      <c r="G603" s="37">
        <v>4420232504</v>
      </c>
      <c r="H603" s="37" t="s">
        <v>373</v>
      </c>
      <c r="I603" s="37">
        <v>9040017824</v>
      </c>
      <c r="J603" s="37" t="s">
        <v>150</v>
      </c>
      <c r="K603" s="325" t="s">
        <v>151</v>
      </c>
      <c r="L603" s="181">
        <v>3</v>
      </c>
      <c r="M603" s="181" t="s">
        <v>375</v>
      </c>
      <c r="N603" s="37" t="s">
        <v>384</v>
      </c>
      <c r="O603" s="31">
        <f>IF(F603&gt;0,F603-AB603,"")</f>
        <v>-35</v>
      </c>
      <c r="P603" s="37" t="str">
        <f>IF(F603&gt;0,IF(AB603="","PLANNING SUPPLY",IF(AB603&lt;=F603,"ONTIME DELIVERY","DELAY")),"")</f>
        <v>DELAY</v>
      </c>
      <c r="Q603" s="181" t="str">
        <f>IFERROR(IF(J603&gt;0,VLOOKUP(J603,#REF!,MATCH($Q$6,#REF!,0),0),""),"")</f>
        <v/>
      </c>
      <c r="R603" s="181" t="str">
        <f>IFERROR(IF(J603&gt;0,VLOOKUP(J603,#REF!,MATCH($R$6,#REF!,0),0),""),"")</f>
        <v/>
      </c>
      <c r="S603" s="181" t="e">
        <f>IF(I606&gt;0,Q603+R603,"")</f>
        <v>#VALUE!</v>
      </c>
      <c r="T603" s="181"/>
      <c r="U603" s="181"/>
      <c r="V603" s="37"/>
      <c r="W603" s="181" t="e">
        <f>IF(I606&gt;0,IF(S603&gt;L603,"READY STOCK",IF(S603=0,"OUT OF STOCK",IF(S603&lt;L603,"LOW STOCK",""))),"")</f>
        <v>#VALUE!</v>
      </c>
      <c r="X603" s="38"/>
      <c r="Y603" s="38"/>
      <c r="Z603" s="38"/>
      <c r="AA603" s="38"/>
      <c r="AB603" s="50">
        <v>46307</v>
      </c>
      <c r="AC603" s="181">
        <v>34938</v>
      </c>
      <c r="AD603" s="51">
        <v>3</v>
      </c>
      <c r="AE603" s="37" t="s">
        <v>387</v>
      </c>
      <c r="AF603" s="37" t="s">
        <v>381</v>
      </c>
      <c r="AG603" s="33" t="str">
        <f>IF(G603&gt;0,IF(AD603&gt;0,IF(AD603=0,"Waiting",IF(AD603&lt;L603,"Partial",IF(AD603=L603,"Full Supply",IF(AD603&gt;L603,"Over Shared")))),"Waiting"),"")</f>
        <v>Full Supply</v>
      </c>
      <c r="AH603" s="56">
        <v>46296</v>
      </c>
      <c r="AI603" s="37" t="s">
        <v>1325</v>
      </c>
      <c r="AJ603" s="181">
        <v>9</v>
      </c>
      <c r="AK603" s="40"/>
      <c r="AL603" s="40"/>
      <c r="AM603" s="40"/>
      <c r="AN603" s="216"/>
      <c r="AO603" s="232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181">
        <f>L603-AD603</f>
        <v>0</v>
      </c>
    </row>
    <row r="604" spans="1:52" ht="15.5" customHeight="1">
      <c r="A604" s="360" t="s">
        <v>372</v>
      </c>
      <c r="B604" s="340">
        <v>46267</v>
      </c>
      <c r="C604" s="181">
        <v>50391</v>
      </c>
      <c r="D604" s="30">
        <v>46267</v>
      </c>
      <c r="E604" s="30">
        <v>46266</v>
      </c>
      <c r="F604" s="30">
        <v>46275</v>
      </c>
      <c r="G604" s="37">
        <v>4420232577</v>
      </c>
      <c r="H604" s="37" t="s">
        <v>373</v>
      </c>
      <c r="I604" s="37">
        <v>9040044191</v>
      </c>
      <c r="J604" s="37" t="s">
        <v>187</v>
      </c>
      <c r="K604" s="325" t="s">
        <v>188</v>
      </c>
      <c r="L604" s="181">
        <v>19</v>
      </c>
      <c r="M604" s="181" t="s">
        <v>375</v>
      </c>
      <c r="N604" s="37" t="s">
        <v>432</v>
      </c>
      <c r="O604" s="31">
        <f>IF(F604&gt;0,F604-AB604,"")</f>
        <v>3</v>
      </c>
      <c r="P604" s="37" t="str">
        <f>IF(F604&gt;0,IF(AB604="","PLANNING SUPPLY",IF(AB604&lt;=F604,"ONTIME DELIVERY","DELAY")),"")</f>
        <v>ONTIME DELIVERY</v>
      </c>
      <c r="Q604" s="181" t="str">
        <f>IFERROR(IF(J604&gt;0,VLOOKUP(J604,#REF!,MATCH($Q$6,#REF!,0),0),""),"")</f>
        <v/>
      </c>
      <c r="R604" s="181" t="str">
        <f>IFERROR(IF(J604&gt;0,VLOOKUP(J604,#REF!,MATCH($R$6,#REF!,0),0),""),"")</f>
        <v/>
      </c>
      <c r="S604" s="181" t="e">
        <f>IF(I607&gt;0,Q604+R604,"")</f>
        <v>#VALUE!</v>
      </c>
      <c r="T604" s="181"/>
      <c r="U604" s="181"/>
      <c r="V604" s="37"/>
      <c r="W604" s="181" t="e">
        <f>IF(I607&gt;0,IF(S604&gt;L604,"READY STOCK",IF(S604=0,"OUT OF STOCK",IF(S604&lt;L604,"LOW STOCK",""))),"")</f>
        <v>#VALUE!</v>
      </c>
      <c r="X604" s="38"/>
      <c r="Y604" s="38"/>
      <c r="Z604" s="38"/>
      <c r="AA604" s="38"/>
      <c r="AB604" s="50">
        <v>46272</v>
      </c>
      <c r="AC604" s="181">
        <v>34093</v>
      </c>
      <c r="AD604" s="51">
        <v>19</v>
      </c>
      <c r="AE604" s="37" t="s">
        <v>383</v>
      </c>
      <c r="AF604" s="37" t="s">
        <v>381</v>
      </c>
      <c r="AG604" s="33" t="str">
        <f>IF(G604&gt;0,IF(AD604&gt;0,IF(AD604=0,"Waiting",IF(AD604&lt;L604,"Partial",IF(AD604=L604,"Full Supply",IF(AD604&gt;L604,"Over Shared")))),"Waiting"),"")</f>
        <v>Full Supply</v>
      </c>
      <c r="AH604" s="37"/>
      <c r="AI604" s="37"/>
      <c r="AJ604" s="181"/>
      <c r="AK604" s="40"/>
      <c r="AL604" s="40"/>
      <c r="AM604" s="40"/>
      <c r="AN604" s="37"/>
      <c r="AO604" s="34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181">
        <f>L604-AD604</f>
        <v>0</v>
      </c>
    </row>
    <row r="605" spans="1:52" ht="15.5" customHeight="1">
      <c r="A605" s="360" t="s">
        <v>372</v>
      </c>
      <c r="B605" s="340">
        <v>46267</v>
      </c>
      <c r="C605" s="181">
        <v>50391</v>
      </c>
      <c r="D605" s="30">
        <v>46267</v>
      </c>
      <c r="E605" s="30">
        <v>46266</v>
      </c>
      <c r="F605" s="30">
        <v>46275</v>
      </c>
      <c r="G605" s="37">
        <v>4420232577</v>
      </c>
      <c r="H605" s="37" t="s">
        <v>373</v>
      </c>
      <c r="I605" s="37">
        <v>9040012687</v>
      </c>
      <c r="J605" s="37" t="s">
        <v>178</v>
      </c>
      <c r="K605" s="325" t="s">
        <v>179</v>
      </c>
      <c r="L605" s="181">
        <v>11</v>
      </c>
      <c r="M605" s="181" t="s">
        <v>375</v>
      </c>
      <c r="N605" s="37" t="s">
        <v>432</v>
      </c>
      <c r="O605" s="31">
        <f>IF(F605&gt;0,F605-AB605,"")</f>
        <v>-4</v>
      </c>
      <c r="P605" s="37" t="str">
        <f>IF(F605&gt;0,IF(AB605="","PLANNING SUPPLY",IF(AB605&lt;=F605,"ONTIME DELIVERY","DELAY")),"")</f>
        <v>DELAY</v>
      </c>
      <c r="Q605" s="181" t="str">
        <f>IFERROR(IF(J605&gt;0,VLOOKUP(J605,#REF!,MATCH($Q$6,#REF!,0),0),""),"")</f>
        <v/>
      </c>
      <c r="R605" s="181" t="str">
        <f>IFERROR(IF(J605&gt;0,VLOOKUP(J605,#REF!,MATCH($R$6,#REF!,0),0),""),"")</f>
        <v/>
      </c>
      <c r="S605" s="181" t="e">
        <f>IF(I608&gt;0,Q605+R605,"")</f>
        <v>#VALUE!</v>
      </c>
      <c r="T605" s="181"/>
      <c r="U605" s="181"/>
      <c r="V605" s="37"/>
      <c r="W605" s="181" t="e">
        <f>IF(I608&gt;0,IF(S605&gt;L605,"READY STOCK",IF(S605=0,"OUT OF STOCK",IF(S605&lt;L605,"LOW STOCK",""))),"")</f>
        <v>#VALUE!</v>
      </c>
      <c r="X605" s="38"/>
      <c r="Y605" s="38"/>
      <c r="Z605" s="38"/>
      <c r="AA605" s="38"/>
      <c r="AB605" s="50">
        <v>46279</v>
      </c>
      <c r="AC605" s="181">
        <v>34240</v>
      </c>
      <c r="AD605" s="51">
        <v>11</v>
      </c>
      <c r="AE605" s="37" t="s">
        <v>387</v>
      </c>
      <c r="AF605" s="37" t="s">
        <v>381</v>
      </c>
      <c r="AG605" s="33" t="str">
        <f>IF(G605&gt;0,IF(AD605&gt;0,IF(AD605=0,"Waiting",IF(AD605&lt;L605,"Partial",IF(AD605=L605,"Full Supply",IF(AD605&gt;L605,"Over Shared")))),"Waiting"),"")</f>
        <v>Full Supply</v>
      </c>
      <c r="AH605" s="37"/>
      <c r="AI605" s="37"/>
      <c r="AJ605" s="181"/>
      <c r="AK605" s="40"/>
      <c r="AL605" s="40"/>
      <c r="AM605" s="40"/>
      <c r="AN605" s="37"/>
      <c r="AO605" s="34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181">
        <f>L605-AD605</f>
        <v>0</v>
      </c>
    </row>
    <row r="606" spans="1:52" ht="15.5" customHeight="1">
      <c r="A606" s="360" t="s">
        <v>372</v>
      </c>
      <c r="B606" s="340">
        <v>46267</v>
      </c>
      <c r="C606" s="181">
        <v>50392</v>
      </c>
      <c r="D606" s="30">
        <v>46267</v>
      </c>
      <c r="E606" s="30">
        <v>46265</v>
      </c>
      <c r="F606" s="30">
        <v>46275</v>
      </c>
      <c r="G606" s="37">
        <v>4420232477</v>
      </c>
      <c r="H606" s="37" t="s">
        <v>373</v>
      </c>
      <c r="I606" s="37">
        <v>9040040588</v>
      </c>
      <c r="J606" s="37" t="s">
        <v>76</v>
      </c>
      <c r="K606" s="325" t="s">
        <v>77</v>
      </c>
      <c r="L606" s="181">
        <v>36</v>
      </c>
      <c r="M606" s="181" t="s">
        <v>375</v>
      </c>
      <c r="N606" s="37" t="s">
        <v>432</v>
      </c>
      <c r="O606" s="31">
        <f>IF(F606&gt;0,F606-AB606,"")</f>
        <v>3</v>
      </c>
      <c r="P606" s="37" t="str">
        <f>IF(F606&gt;0,IF(AB606="","PLANNING SUPPLY",IF(AB606&lt;=F606,"ONTIME DELIVERY","DELAY")),"")</f>
        <v>ONTIME DELIVERY</v>
      </c>
      <c r="Q606" s="181" t="str">
        <f>IFERROR(IF(J606&gt;0,VLOOKUP(J606,#REF!,MATCH($Q$6,#REF!,0),0),""),"")</f>
        <v/>
      </c>
      <c r="R606" s="181" t="str">
        <f>IFERROR(IF(J606&gt;0,VLOOKUP(J606,#REF!,MATCH($R$6,#REF!,0),0),""),"")</f>
        <v/>
      </c>
      <c r="S606" s="181" t="e">
        <f>IF(I609&gt;0,Q606+R606,"")</f>
        <v>#VALUE!</v>
      </c>
      <c r="T606" s="181"/>
      <c r="U606" s="181"/>
      <c r="V606" s="37"/>
      <c r="W606" s="181" t="e">
        <f>IF(I609&gt;0,IF(S606&gt;L606,"READY STOCK",IF(S606=0,"OUT OF STOCK",IF(S606&lt;L606,"LOW STOCK",""))),"")</f>
        <v>#VALUE!</v>
      </c>
      <c r="X606" s="38"/>
      <c r="Y606" s="38"/>
      <c r="Z606" s="38"/>
      <c r="AA606" s="38"/>
      <c r="AB606" s="50">
        <v>46272</v>
      </c>
      <c r="AC606" s="181">
        <v>34076</v>
      </c>
      <c r="AD606" s="51">
        <v>36</v>
      </c>
      <c r="AE606" s="37" t="s">
        <v>383</v>
      </c>
      <c r="AF606" s="37" t="s">
        <v>381</v>
      </c>
      <c r="AG606" s="33" t="str">
        <f>IF(G606&gt;0,IF(AD606&gt;0,IF(AD606=0,"Waiting",IF(AD606&lt;L606,"Partial",IF(AD606=L606,"Full Supply",IF(AD606&gt;L606,"Over Shared")))),"Waiting"),"")</f>
        <v>Full Supply</v>
      </c>
      <c r="AH606" s="56">
        <v>46268</v>
      </c>
      <c r="AI606" s="37" t="s">
        <v>1294</v>
      </c>
      <c r="AJ606" s="181">
        <v>51</v>
      </c>
      <c r="AK606" s="40">
        <v>26390</v>
      </c>
      <c r="AL606" s="218">
        <v>46287</v>
      </c>
      <c r="AM606" s="40">
        <v>51</v>
      </c>
      <c r="AN606" s="37"/>
      <c r="AO606" s="41">
        <v>46293</v>
      </c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181">
        <f>L606-AD606</f>
        <v>0</v>
      </c>
    </row>
    <row r="607" spans="1:52" ht="15.5" customHeight="1">
      <c r="A607" s="360" t="s">
        <v>372</v>
      </c>
      <c r="B607" s="340">
        <v>46267</v>
      </c>
      <c r="C607" s="181">
        <v>50393</v>
      </c>
      <c r="D607" s="30">
        <v>46267</v>
      </c>
      <c r="E607" s="30">
        <v>46266</v>
      </c>
      <c r="F607" s="30">
        <v>46280</v>
      </c>
      <c r="G607" s="37">
        <v>4420232544</v>
      </c>
      <c r="H607" s="37" t="s">
        <v>373</v>
      </c>
      <c r="I607" s="37">
        <v>9040020519</v>
      </c>
      <c r="J607" s="37" t="s">
        <v>93</v>
      </c>
      <c r="K607" s="325" t="s">
        <v>94</v>
      </c>
      <c r="L607" s="181">
        <v>2</v>
      </c>
      <c r="M607" s="181" t="s">
        <v>427</v>
      </c>
      <c r="N607" s="37" t="s">
        <v>940</v>
      </c>
      <c r="O607" s="31">
        <f>IF(F607&gt;0,F607-AB607,"")</f>
        <v>-29</v>
      </c>
      <c r="P607" s="37" t="str">
        <f>IF(F607&gt;0,IF(AB607="","PLANNING SUPPLY",IF(AB607&lt;=F607,"ONTIME DELIVERY","DELAY")),"")</f>
        <v>DELAY</v>
      </c>
      <c r="Q607" s="181" t="str">
        <f>IFERROR(IF(J607&gt;0,VLOOKUP(J607,#REF!,MATCH($Q$6,#REF!,0),0),""),"")</f>
        <v/>
      </c>
      <c r="R607" s="181" t="str">
        <f>IFERROR(IF(J607&gt;0,VLOOKUP(J607,#REF!,MATCH($R$6,#REF!,0),0),""),"")</f>
        <v/>
      </c>
      <c r="S607" s="181" t="e">
        <f>IF(I610&gt;0,Q607+R607,"")</f>
        <v>#VALUE!</v>
      </c>
      <c r="T607" s="181"/>
      <c r="U607" s="181"/>
      <c r="V607" s="37"/>
      <c r="W607" s="181" t="e">
        <f>IF(I610&gt;0,IF(S607&gt;L607,"READY STOCK",IF(S607=0,"OUT OF STOCK",IF(S607&lt;L607,"LOW STOCK",""))),"")</f>
        <v>#VALUE!</v>
      </c>
      <c r="X607" s="38"/>
      <c r="Y607" s="38"/>
      <c r="Z607" s="38"/>
      <c r="AA607" s="38"/>
      <c r="AB607" s="50">
        <v>46309</v>
      </c>
      <c r="AC607" s="44">
        <v>35057</v>
      </c>
      <c r="AD607" s="51">
        <v>1</v>
      </c>
      <c r="AE607" s="37" t="s">
        <v>387</v>
      </c>
      <c r="AF607" s="37" t="s">
        <v>381</v>
      </c>
      <c r="AG607" s="33" t="str">
        <f>IF(G607&gt;0,IF(AD607&gt;0,IF(AD607=0,"Waiting",IF(AD607&lt;L607,"Partial",IF(AD607=L607,"Full Supply",IF(AD607&gt;L607,"Over Shared")))),"Waiting"),"")</f>
        <v>Partial</v>
      </c>
      <c r="AH607" s="37"/>
      <c r="AI607" s="37"/>
      <c r="AJ607" s="181"/>
      <c r="AK607" s="40"/>
      <c r="AL607" s="40"/>
      <c r="AM607" s="40"/>
      <c r="AN607" s="37"/>
      <c r="AO607" s="34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181">
        <f>L607-AD607</f>
        <v>1</v>
      </c>
    </row>
    <row r="608" spans="1:52" ht="15.5" customHeight="1">
      <c r="A608" s="360" t="s">
        <v>372</v>
      </c>
      <c r="B608" s="340">
        <v>46267</v>
      </c>
      <c r="C608" s="181">
        <v>50393</v>
      </c>
      <c r="D608" s="30">
        <v>46267</v>
      </c>
      <c r="E608" s="30">
        <v>46266</v>
      </c>
      <c r="F608" s="30">
        <v>46280</v>
      </c>
      <c r="G608" s="37">
        <v>4420232544</v>
      </c>
      <c r="H608" s="37" t="s">
        <v>373</v>
      </c>
      <c r="I608" s="37">
        <v>9040040588</v>
      </c>
      <c r="J608" s="37" t="s">
        <v>76</v>
      </c>
      <c r="K608" s="325" t="s">
        <v>77</v>
      </c>
      <c r="L608" s="181">
        <v>5</v>
      </c>
      <c r="M608" s="181" t="s">
        <v>375</v>
      </c>
      <c r="N608" s="37" t="s">
        <v>940</v>
      </c>
      <c r="O608" s="31">
        <f>IF(F608&gt;0,F608-AB608,"")</f>
        <v>8</v>
      </c>
      <c r="P608" s="37" t="str">
        <f>IF(F608&gt;0,IF(AB608="","PLANNING SUPPLY",IF(AB608&lt;=F608,"ONTIME DELIVERY","DELAY")),"")</f>
        <v>ONTIME DELIVERY</v>
      </c>
      <c r="Q608" s="181" t="str">
        <f>IFERROR(IF(J608&gt;0,VLOOKUP(J608,#REF!,MATCH($Q$6,#REF!,0),0),""),"")</f>
        <v/>
      </c>
      <c r="R608" s="181" t="str">
        <f>IFERROR(IF(J608&gt;0,VLOOKUP(J608,#REF!,MATCH($R$6,#REF!,0),0),""),"")</f>
        <v/>
      </c>
      <c r="S608" s="181" t="e">
        <f>IF(I611&gt;0,Q608+R608,"")</f>
        <v>#VALUE!</v>
      </c>
      <c r="T608" s="181"/>
      <c r="U608" s="181"/>
      <c r="V608" s="37"/>
      <c r="W608" s="181" t="e">
        <f>IF(I611&gt;0,IF(S608&gt;L608,"READY STOCK",IF(S608=0,"OUT OF STOCK",IF(S608&lt;L608,"LOW STOCK",""))),"")</f>
        <v>#VALUE!</v>
      </c>
      <c r="X608" s="38"/>
      <c r="Y608" s="38"/>
      <c r="Z608" s="38"/>
      <c r="AA608" s="38"/>
      <c r="AB608" s="50">
        <v>46272</v>
      </c>
      <c r="AC608" s="181">
        <v>34092</v>
      </c>
      <c r="AD608" s="51">
        <v>5</v>
      </c>
      <c r="AE608" s="37" t="s">
        <v>383</v>
      </c>
      <c r="AF608" s="37" t="s">
        <v>381</v>
      </c>
      <c r="AG608" s="33" t="str">
        <f>IF(G608&gt;0,IF(AD608&gt;0,IF(AD608=0,"Waiting",IF(AD608&lt;L608,"Partial",IF(AD608=L608,"Full Supply",IF(AD608&gt;L608,"Over Shared")))),"Waiting"),"")</f>
        <v>Full Supply</v>
      </c>
      <c r="AH608" s="56">
        <v>46268</v>
      </c>
      <c r="AI608" s="37" t="s">
        <v>1294</v>
      </c>
      <c r="AJ608" s="181">
        <v>51</v>
      </c>
      <c r="AK608" s="40">
        <v>26390</v>
      </c>
      <c r="AL608" s="218">
        <v>46287</v>
      </c>
      <c r="AM608" s="40">
        <v>51</v>
      </c>
      <c r="AN608" s="37"/>
      <c r="AO608" s="41">
        <v>46293</v>
      </c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181">
        <f>L608-AD608</f>
        <v>0</v>
      </c>
    </row>
    <row r="609" spans="1:52" ht="15.5" customHeight="1">
      <c r="A609" s="360" t="s">
        <v>372</v>
      </c>
      <c r="B609" s="340">
        <v>46267</v>
      </c>
      <c r="C609" s="181">
        <v>50393</v>
      </c>
      <c r="D609" s="30">
        <v>46267</v>
      </c>
      <c r="E609" s="30">
        <v>46266</v>
      </c>
      <c r="F609" s="30">
        <v>46280</v>
      </c>
      <c r="G609" s="37">
        <v>4420232544</v>
      </c>
      <c r="H609" s="37" t="s">
        <v>373</v>
      </c>
      <c r="I609" s="37">
        <v>9040044191</v>
      </c>
      <c r="J609" s="37" t="s">
        <v>187</v>
      </c>
      <c r="K609" s="325" t="s">
        <v>188</v>
      </c>
      <c r="L609" s="181">
        <v>11</v>
      </c>
      <c r="M609" s="181" t="s">
        <v>375</v>
      </c>
      <c r="N609" s="37" t="s">
        <v>940</v>
      </c>
      <c r="O609" s="31">
        <f>IF(F609&gt;0,F609-AB609,"")</f>
        <v>8</v>
      </c>
      <c r="P609" s="37" t="str">
        <f>IF(F609&gt;0,IF(AB609="","PLANNING SUPPLY",IF(AB609&lt;=F609,"ONTIME DELIVERY","DELAY")),"")</f>
        <v>ONTIME DELIVERY</v>
      </c>
      <c r="Q609" s="181" t="str">
        <f>IFERROR(IF(J609&gt;0,VLOOKUP(J609,#REF!,MATCH($Q$6,#REF!,0),0),""),"")</f>
        <v/>
      </c>
      <c r="R609" s="181" t="str">
        <f>IFERROR(IF(J609&gt;0,VLOOKUP(J609,#REF!,MATCH($R$6,#REF!,0),0),""),"")</f>
        <v/>
      </c>
      <c r="S609" s="181" t="e">
        <f>IF(I612&gt;0,Q609+R609,"")</f>
        <v>#VALUE!</v>
      </c>
      <c r="T609" s="181"/>
      <c r="U609" s="181"/>
      <c r="V609" s="37"/>
      <c r="W609" s="181" t="e">
        <f>IF(I612&gt;0,IF(S609&gt;L609,"READY STOCK",IF(S609=0,"OUT OF STOCK",IF(S609&lt;L609,"LOW STOCK",""))),"")</f>
        <v>#VALUE!</v>
      </c>
      <c r="X609" s="38"/>
      <c r="Y609" s="38"/>
      <c r="Z609" s="38"/>
      <c r="AA609" s="38"/>
      <c r="AB609" s="50">
        <v>46272</v>
      </c>
      <c r="AC609" s="181">
        <v>34092</v>
      </c>
      <c r="AD609" s="51">
        <v>11</v>
      </c>
      <c r="AE609" s="37" t="s">
        <v>383</v>
      </c>
      <c r="AF609" s="37" t="s">
        <v>381</v>
      </c>
      <c r="AG609" s="33" t="str">
        <f>IF(G609&gt;0,IF(AD609&gt;0,IF(AD609=0,"Waiting",IF(AD609&lt;L609,"Partial",IF(AD609=L609,"Full Supply",IF(AD609&gt;L609,"Over Shared")))),"Waiting"),"")</f>
        <v>Full Supply</v>
      </c>
      <c r="AH609" s="37"/>
      <c r="AI609" s="37"/>
      <c r="AJ609" s="181"/>
      <c r="AK609" s="40"/>
      <c r="AL609" s="40"/>
      <c r="AM609" s="40"/>
      <c r="AN609" s="37"/>
      <c r="AO609" s="34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181">
        <f>L609-AD609</f>
        <v>0</v>
      </c>
    </row>
    <row r="610" spans="1:52" ht="15.5" customHeight="1">
      <c r="A610" s="360" t="s">
        <v>372</v>
      </c>
      <c r="B610" s="340">
        <v>46268</v>
      </c>
      <c r="C610" s="181">
        <v>50470</v>
      </c>
      <c r="D610" s="30">
        <v>46268</v>
      </c>
      <c r="E610" s="30">
        <v>46266</v>
      </c>
      <c r="F610" s="30">
        <v>46280</v>
      </c>
      <c r="G610" s="37">
        <v>4420232564</v>
      </c>
      <c r="H610" s="37" t="s">
        <v>373</v>
      </c>
      <c r="I610" s="37">
        <v>9040017347</v>
      </c>
      <c r="J610" s="37" t="s">
        <v>72</v>
      </c>
      <c r="K610" s="325" t="s">
        <v>73</v>
      </c>
      <c r="L610" s="181">
        <v>4</v>
      </c>
      <c r="M610" s="181" t="s">
        <v>375</v>
      </c>
      <c r="N610" s="37" t="s">
        <v>434</v>
      </c>
      <c r="O610" s="31">
        <f>IF(F610&gt;0,F610-AB610,"")</f>
        <v>-2</v>
      </c>
      <c r="P610" s="37" t="str">
        <f>IF(F610&gt;0,IF(AB610="","PLANNING SUPPLY",IF(AB610&lt;=F610,"ONTIME DELIVERY","DELAY")),"")</f>
        <v>DELAY</v>
      </c>
      <c r="Q610" s="181" t="str">
        <f>IFERROR(IF(J610&gt;0,VLOOKUP(J610,#REF!,MATCH($Q$6,#REF!,0),0),""),"")</f>
        <v/>
      </c>
      <c r="R610" s="181" t="str">
        <f>IFERROR(IF(J610&gt;0,VLOOKUP(J610,#REF!,MATCH($R$6,#REF!,0),0),""),"")</f>
        <v/>
      </c>
      <c r="S610" s="181" t="e">
        <f>IF(I613&gt;0,Q610+R610,"")</f>
        <v>#VALUE!</v>
      </c>
      <c r="T610" s="181"/>
      <c r="U610" s="181"/>
      <c r="V610" s="37"/>
      <c r="W610" s="181" t="e">
        <f>IF(I613&gt;0,IF(S610&gt;L610,"READY STOCK",IF(S610=0,"OUT OF STOCK",IF(S610&lt;L610,"LOW STOCK",""))),"")</f>
        <v>#VALUE!</v>
      </c>
      <c r="X610" s="38"/>
      <c r="Y610" s="38"/>
      <c r="Z610" s="38"/>
      <c r="AA610" s="38"/>
      <c r="AB610" s="50">
        <v>46282</v>
      </c>
      <c r="AC610" s="181">
        <v>34392</v>
      </c>
      <c r="AD610" s="51">
        <v>4</v>
      </c>
      <c r="AE610" s="37" t="s">
        <v>387</v>
      </c>
      <c r="AF610" s="37" t="s">
        <v>381</v>
      </c>
      <c r="AG610" s="33" t="str">
        <f>IF(G610&gt;0,IF(AD610&gt;0,IF(AD610=0,"Waiting",IF(AD610&lt;L610,"Partial",IF(AD610=L610,"Full Supply",IF(AD610&gt;L610,"Over Shared")))),"Waiting"),"")</f>
        <v>Full Supply</v>
      </c>
      <c r="AH610" s="56">
        <v>46268</v>
      </c>
      <c r="AI610" s="37" t="s">
        <v>1294</v>
      </c>
      <c r="AJ610" s="181">
        <v>4</v>
      </c>
      <c r="AK610" s="40">
        <v>26184</v>
      </c>
      <c r="AL610" s="189">
        <v>46269</v>
      </c>
      <c r="AM610" s="40">
        <v>5</v>
      </c>
      <c r="AN610" s="37"/>
      <c r="AO610" s="220">
        <v>46273</v>
      </c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181">
        <f>L610-AD610</f>
        <v>0</v>
      </c>
    </row>
    <row r="611" spans="1:52" ht="15.5" customHeight="1">
      <c r="A611" s="360" t="s">
        <v>372</v>
      </c>
      <c r="B611" s="340">
        <v>46268</v>
      </c>
      <c r="C611" s="181">
        <v>50470</v>
      </c>
      <c r="D611" s="30">
        <v>46268</v>
      </c>
      <c r="E611" s="30">
        <v>46266</v>
      </c>
      <c r="F611" s="30">
        <v>46280</v>
      </c>
      <c r="G611" s="37">
        <v>4420232564</v>
      </c>
      <c r="H611" s="37" t="s">
        <v>373</v>
      </c>
      <c r="I611" s="37">
        <v>9040020554</v>
      </c>
      <c r="J611" s="37" t="s">
        <v>297</v>
      </c>
      <c r="K611" s="325" t="s">
        <v>298</v>
      </c>
      <c r="L611" s="181">
        <v>3</v>
      </c>
      <c r="M611" s="181" t="s">
        <v>375</v>
      </c>
      <c r="N611" s="37" t="s">
        <v>434</v>
      </c>
      <c r="O611" s="31">
        <f>IF(F611&gt;0,F611-AB611,"")</f>
        <v>46280</v>
      </c>
      <c r="P611" s="37" t="str">
        <f>IF(F611&gt;0,IF(AB611="","PLANNING SUPPLY",IF(AB611&lt;=F611,"ONTIME DELIVERY","DELAY")),"")</f>
        <v>PLANNING SUPPLY</v>
      </c>
      <c r="Q611" s="181" t="str">
        <f>IFERROR(IF(J611&gt;0,VLOOKUP(J611,#REF!,MATCH($Q$6,#REF!,0),0),""),"")</f>
        <v/>
      </c>
      <c r="R611" s="181" t="str">
        <f>IFERROR(IF(J611&gt;0,VLOOKUP(J611,#REF!,MATCH($R$6,#REF!,0),0),""),"")</f>
        <v/>
      </c>
      <c r="S611" s="181" t="e">
        <f>IF(I614&gt;0,Q611+R611,"")</f>
        <v>#VALUE!</v>
      </c>
      <c r="T611" s="181"/>
      <c r="U611" s="181"/>
      <c r="V611" s="37"/>
      <c r="W611" s="181" t="e">
        <f>IF(I614&gt;0,IF(S611&gt;L611,"READY STOCK",IF(S611=0,"OUT OF STOCK",IF(S611&lt;L611,"LOW STOCK",""))),"")</f>
        <v>#VALUE!</v>
      </c>
      <c r="X611" s="38"/>
      <c r="Y611" s="38"/>
      <c r="Z611" s="38"/>
      <c r="AA611" s="38"/>
      <c r="AB611" s="50"/>
      <c r="AC611" s="181"/>
      <c r="AD611" s="51"/>
      <c r="AE611" s="37"/>
      <c r="AF611" s="37"/>
      <c r="AG611" s="33" t="str">
        <f>IF(G611&gt;0,IF(AD611&gt;0,IF(AD611=0,"Waiting",IF(AD611&lt;L611,"Partial",IF(AD611=L611,"Full Supply",IF(AD611&gt;L611,"Over Shared")))),"Waiting"),"")</f>
        <v>Waiting</v>
      </c>
      <c r="AH611" s="56">
        <v>46247</v>
      </c>
      <c r="AI611" s="37" t="s">
        <v>646</v>
      </c>
      <c r="AJ611" s="181">
        <v>100</v>
      </c>
      <c r="AK611" s="40"/>
      <c r="AL611" s="40"/>
      <c r="AM611" s="40"/>
      <c r="AN611" s="216"/>
      <c r="AO611" s="232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181">
        <f>L611-AD611</f>
        <v>3</v>
      </c>
    </row>
    <row r="612" spans="1:52" ht="15.5" customHeight="1">
      <c r="A612" s="360" t="s">
        <v>372</v>
      </c>
      <c r="B612" s="340">
        <v>46269</v>
      </c>
      <c r="C612" s="181">
        <v>50514</v>
      </c>
      <c r="D612" s="30">
        <v>46269</v>
      </c>
      <c r="E612" s="30">
        <v>46267</v>
      </c>
      <c r="F612" s="30">
        <v>46275</v>
      </c>
      <c r="G612" s="37">
        <v>4420232655</v>
      </c>
      <c r="H612" s="37" t="s">
        <v>373</v>
      </c>
      <c r="I612" s="37">
        <v>9040028877</v>
      </c>
      <c r="J612" s="37" t="s">
        <v>199</v>
      </c>
      <c r="K612" s="325" t="s">
        <v>200</v>
      </c>
      <c r="L612" s="181">
        <v>5</v>
      </c>
      <c r="M612" s="181" t="s">
        <v>375</v>
      </c>
      <c r="N612" s="37" t="s">
        <v>680</v>
      </c>
      <c r="O612" s="31">
        <f>IF(F612&gt;0,F612-AB612,"")</f>
        <v>-7</v>
      </c>
      <c r="P612" s="37" t="str">
        <f>IF(F612&gt;0,IF(AB612="","PLANNING SUPPLY",IF(AB612&lt;=F612,"ONTIME DELIVERY","DELAY")),"")</f>
        <v>DELAY</v>
      </c>
      <c r="Q612" s="181" t="str">
        <f>IFERROR(IF(J612&gt;0,VLOOKUP(J612,#REF!,MATCH($Q$6,#REF!,0),0),""),"")</f>
        <v/>
      </c>
      <c r="R612" s="181" t="str">
        <f>IFERROR(IF(J612&gt;0,VLOOKUP(J612,#REF!,MATCH($R$6,#REF!,0),0),""),"")</f>
        <v/>
      </c>
      <c r="S612" s="181" t="e">
        <f>IF(I615&gt;0,Q612+R612,"")</f>
        <v>#VALUE!</v>
      </c>
      <c r="T612" s="181"/>
      <c r="U612" s="181"/>
      <c r="V612" s="37"/>
      <c r="W612" s="181" t="e">
        <f>IF(I615&gt;0,IF(S612&gt;L612,"READY STOCK",IF(S612=0,"OUT OF STOCK",IF(S612&lt;L612,"LOW STOCK",""))),"")</f>
        <v>#VALUE!</v>
      </c>
      <c r="X612" s="38"/>
      <c r="Y612" s="38"/>
      <c r="Z612" s="38"/>
      <c r="AA612" s="38"/>
      <c r="AB612" s="50">
        <v>46282</v>
      </c>
      <c r="AC612" s="181">
        <v>34401</v>
      </c>
      <c r="AD612" s="51">
        <v>5</v>
      </c>
      <c r="AE612" s="37" t="s">
        <v>387</v>
      </c>
      <c r="AF612" s="37" t="s">
        <v>381</v>
      </c>
      <c r="AG612" s="33" t="str">
        <f>IF(G612&gt;0,IF(AD612&gt;0,IF(AD612=0,"Waiting",IF(AD612&lt;L612,"Partial",IF(AD612=L612,"Full Supply",IF(AD612&gt;L612,"Over Shared")))),"Waiting"),"")</f>
        <v>Full Supply</v>
      </c>
      <c r="AH612" s="37"/>
      <c r="AI612" s="37"/>
      <c r="AJ612" s="181"/>
      <c r="AK612" s="40"/>
      <c r="AL612" s="40"/>
      <c r="AM612" s="40"/>
      <c r="AN612" s="37"/>
      <c r="AO612" s="34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181">
        <f>L612-AD612</f>
        <v>0</v>
      </c>
    </row>
    <row r="613" spans="1:52" ht="15.5" customHeight="1">
      <c r="A613" s="360" t="s">
        <v>372</v>
      </c>
      <c r="B613" s="340">
        <v>46269</v>
      </c>
      <c r="C613" s="181">
        <v>50514</v>
      </c>
      <c r="D613" s="30">
        <v>46269</v>
      </c>
      <c r="E613" s="30">
        <v>46267</v>
      </c>
      <c r="F613" s="30">
        <v>46275</v>
      </c>
      <c r="G613" s="37">
        <v>4420232655</v>
      </c>
      <c r="H613" s="37" t="s">
        <v>373</v>
      </c>
      <c r="I613" s="37">
        <v>9040040445</v>
      </c>
      <c r="J613" s="37" t="s">
        <v>193</v>
      </c>
      <c r="K613" s="325" t="s">
        <v>194</v>
      </c>
      <c r="L613" s="181">
        <v>2</v>
      </c>
      <c r="M613" s="181" t="s">
        <v>421</v>
      </c>
      <c r="N613" s="37" t="s">
        <v>680</v>
      </c>
      <c r="O613" s="31">
        <f>IF(F613&gt;0,F613-AB613,"")</f>
        <v>-6</v>
      </c>
      <c r="P613" s="37" t="str">
        <f>IF(F613&gt;0,IF(AB613="","PLANNING SUPPLY",IF(AB613&lt;=F613,"ONTIME DELIVERY","DELAY")),"")</f>
        <v>DELAY</v>
      </c>
      <c r="Q613" s="181" t="str">
        <f>IFERROR(IF(J613&gt;0,VLOOKUP(J613,#REF!,MATCH($Q$6,#REF!,0),0),""),"")</f>
        <v/>
      </c>
      <c r="R613" s="181" t="str">
        <f>IFERROR(IF(J613&gt;0,VLOOKUP(J613,#REF!,MATCH($R$6,#REF!,0),0),""),"")</f>
        <v/>
      </c>
      <c r="S613" s="181" t="e">
        <f>IF(I616&gt;0,Q613+R613,"")</f>
        <v>#VALUE!</v>
      </c>
      <c r="T613" s="181"/>
      <c r="U613" s="181"/>
      <c r="V613" s="37"/>
      <c r="W613" s="181" t="e">
        <f>IF(I616&gt;0,IF(S613&gt;L613,"READY STOCK",IF(S613=0,"OUT OF STOCK",IF(S613&lt;L613,"LOW STOCK",""))),"")</f>
        <v>#VALUE!</v>
      </c>
      <c r="X613" s="38"/>
      <c r="Y613" s="38"/>
      <c r="Z613" s="38"/>
      <c r="AA613" s="38"/>
      <c r="AB613" s="50">
        <v>46281</v>
      </c>
      <c r="AC613" s="181">
        <v>34296</v>
      </c>
      <c r="AD613" s="51">
        <v>2</v>
      </c>
      <c r="AE613" s="37" t="s">
        <v>383</v>
      </c>
      <c r="AF613" s="37" t="s">
        <v>381</v>
      </c>
      <c r="AG613" s="33" t="str">
        <f>IF(G613&gt;0,IF(AD613&gt;0,IF(AD613=0,"Waiting",IF(AD613&lt;L613,"Partial",IF(AD613=L613,"Full Supply",IF(AD613&gt;L613,"Over Shared")))),"Waiting"),"")</f>
        <v>Full Supply</v>
      </c>
      <c r="AH613" s="37"/>
      <c r="AI613" s="37"/>
      <c r="AJ613" s="181"/>
      <c r="AK613" s="40"/>
      <c r="AL613" s="40"/>
      <c r="AM613" s="40"/>
      <c r="AN613" s="37"/>
      <c r="AO613" s="34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181">
        <f>L613-AD613</f>
        <v>0</v>
      </c>
    </row>
    <row r="614" spans="1:52" ht="15.5" customHeight="1">
      <c r="A614" s="360" t="s">
        <v>372</v>
      </c>
      <c r="B614" s="340">
        <v>46269</v>
      </c>
      <c r="C614" s="181">
        <v>50515</v>
      </c>
      <c r="D614" s="30">
        <v>46269</v>
      </c>
      <c r="E614" s="30">
        <v>46267</v>
      </c>
      <c r="F614" s="30">
        <v>46276</v>
      </c>
      <c r="G614" s="37">
        <v>4420232606</v>
      </c>
      <c r="H614" s="37" t="s">
        <v>373</v>
      </c>
      <c r="I614" s="37">
        <v>9040012343</v>
      </c>
      <c r="J614" s="37" t="s">
        <v>303</v>
      </c>
      <c r="K614" s="325" t="s">
        <v>304</v>
      </c>
      <c r="L614" s="181">
        <v>4</v>
      </c>
      <c r="M614" s="181" t="s">
        <v>375</v>
      </c>
      <c r="N614" s="37" t="s">
        <v>399</v>
      </c>
      <c r="O614" s="31">
        <f>IF(F614&gt;0,F614-AB614,"")</f>
        <v>1</v>
      </c>
      <c r="P614" s="37" t="str">
        <f>IF(F614&gt;0,IF(AB614="","PLANNING SUPPLY",IF(AB614&lt;=F614,"ONTIME DELIVERY","DELAY")),"")</f>
        <v>ONTIME DELIVERY</v>
      </c>
      <c r="Q614" s="181" t="str">
        <f>IFERROR(IF(J614&gt;0,VLOOKUP(J614,#REF!,MATCH($Q$6,#REF!,0),0),""),"")</f>
        <v/>
      </c>
      <c r="R614" s="181" t="str">
        <f>IFERROR(IF(J614&gt;0,VLOOKUP(J614,#REF!,MATCH($R$6,#REF!,0),0),""),"")</f>
        <v/>
      </c>
      <c r="S614" s="181" t="e">
        <f>IF(I617&gt;0,Q614+R614,"")</f>
        <v>#VALUE!</v>
      </c>
      <c r="T614" s="181"/>
      <c r="U614" s="181"/>
      <c r="V614" s="37"/>
      <c r="W614" s="181" t="e">
        <f>IF(I617&gt;0,IF(S614&gt;L614,"READY STOCK",IF(S614=0,"OUT OF STOCK",IF(S614&lt;L614,"LOW STOCK",""))),"")</f>
        <v>#VALUE!</v>
      </c>
      <c r="X614" s="38"/>
      <c r="Y614" s="38"/>
      <c r="Z614" s="38"/>
      <c r="AA614" s="38"/>
      <c r="AB614" s="50">
        <v>46275</v>
      </c>
      <c r="AC614" s="181">
        <v>34168</v>
      </c>
      <c r="AD614" s="51">
        <v>4</v>
      </c>
      <c r="AE614" s="37" t="s">
        <v>383</v>
      </c>
      <c r="AF614" s="37" t="s">
        <v>381</v>
      </c>
      <c r="AG614" s="33" t="str">
        <f>IF(G614&gt;0,IF(AD614&gt;0,IF(AD614=0,"Waiting",IF(AD614&lt;L614,"Partial",IF(AD614=L614,"Full Supply",IF(AD614&gt;L614,"Over Shared")))),"Waiting"),"")</f>
        <v>Full Supply</v>
      </c>
      <c r="AH614" s="37"/>
      <c r="AI614" s="37"/>
      <c r="AJ614" s="181"/>
      <c r="AK614" s="40"/>
      <c r="AL614" s="40"/>
      <c r="AM614" s="40"/>
      <c r="AN614" s="37"/>
      <c r="AO614" s="34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181">
        <f>L614-AD614</f>
        <v>0</v>
      </c>
    </row>
    <row r="615" spans="1:52" ht="15.5" customHeight="1">
      <c r="A615" s="360" t="s">
        <v>372</v>
      </c>
      <c r="B615" s="340">
        <v>46269</v>
      </c>
      <c r="C615" s="181">
        <v>50515</v>
      </c>
      <c r="D615" s="30">
        <v>46269</v>
      </c>
      <c r="E615" s="30">
        <v>46267</v>
      </c>
      <c r="F615" s="30">
        <v>46276</v>
      </c>
      <c r="G615" s="37">
        <v>4420232606</v>
      </c>
      <c r="H615" s="37" t="s">
        <v>373</v>
      </c>
      <c r="I615" s="37">
        <v>9040012687</v>
      </c>
      <c r="J615" s="37" t="s">
        <v>178</v>
      </c>
      <c r="K615" s="325" t="s">
        <v>179</v>
      </c>
      <c r="L615" s="181">
        <v>9</v>
      </c>
      <c r="M615" s="181" t="s">
        <v>375</v>
      </c>
      <c r="N615" s="37" t="s">
        <v>399</v>
      </c>
      <c r="O615" s="31">
        <f>IF(F615&gt;0,F615-AB615,"")</f>
        <v>1</v>
      </c>
      <c r="P615" s="37" t="str">
        <f>IF(F615&gt;0,IF(AB615="","PLANNING SUPPLY",IF(AB615&lt;=F615,"ONTIME DELIVERY","DELAY")),"")</f>
        <v>ONTIME DELIVERY</v>
      </c>
      <c r="Q615" s="181" t="str">
        <f>IFERROR(IF(J615&gt;0,VLOOKUP(J615,#REF!,MATCH($Q$6,#REF!,0),0),""),"")</f>
        <v/>
      </c>
      <c r="R615" s="181" t="str">
        <f>IFERROR(IF(J615&gt;0,VLOOKUP(J615,#REF!,MATCH($R$6,#REF!,0),0),""),"")</f>
        <v/>
      </c>
      <c r="S615" s="181" t="e">
        <f>IF(I618&gt;0,Q615+R615,"")</f>
        <v>#VALUE!</v>
      </c>
      <c r="T615" s="181"/>
      <c r="U615" s="181"/>
      <c r="V615" s="37"/>
      <c r="W615" s="181" t="e">
        <f>IF(I618&gt;0,IF(S615&gt;L615,"READY STOCK",IF(S615=0,"OUT OF STOCK",IF(S615&lt;L615,"LOW STOCK",""))),"")</f>
        <v>#VALUE!</v>
      </c>
      <c r="X615" s="38"/>
      <c r="Y615" s="38"/>
      <c r="Z615" s="38"/>
      <c r="AA615" s="38"/>
      <c r="AB615" s="50">
        <v>46275</v>
      </c>
      <c r="AC615" s="181">
        <v>34168</v>
      </c>
      <c r="AD615" s="51">
        <v>9</v>
      </c>
      <c r="AE615" s="37" t="s">
        <v>383</v>
      </c>
      <c r="AF615" s="37" t="s">
        <v>381</v>
      </c>
      <c r="AG615" s="33" t="str">
        <f>IF(G615&gt;0,IF(AD615&gt;0,IF(AD615=0,"Waiting",IF(AD615&lt;L615,"Partial",IF(AD615=L615,"Full Supply",IF(AD615&gt;L615,"Over Shared")))),"Waiting"),"")</f>
        <v>Full Supply</v>
      </c>
      <c r="AH615" s="37"/>
      <c r="AI615" s="37"/>
      <c r="AJ615" s="181"/>
      <c r="AK615" s="40"/>
      <c r="AL615" s="40"/>
      <c r="AM615" s="40"/>
      <c r="AN615" s="37"/>
      <c r="AO615" s="34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181">
        <f>L615-AD615</f>
        <v>0</v>
      </c>
    </row>
    <row r="616" spans="1:52" ht="15.5" customHeight="1">
      <c r="A616" s="360" t="s">
        <v>372</v>
      </c>
      <c r="B616" s="340">
        <v>46269</v>
      </c>
      <c r="C616" s="181">
        <v>50515</v>
      </c>
      <c r="D616" s="30">
        <v>46269</v>
      </c>
      <c r="E616" s="30">
        <v>46267</v>
      </c>
      <c r="F616" s="30">
        <v>46276</v>
      </c>
      <c r="G616" s="37">
        <v>4420232606</v>
      </c>
      <c r="H616" s="37" t="s">
        <v>373</v>
      </c>
      <c r="I616" s="37">
        <v>9040020519</v>
      </c>
      <c r="J616" s="37" t="s">
        <v>93</v>
      </c>
      <c r="K616" s="325" t="s">
        <v>94</v>
      </c>
      <c r="L616" s="181">
        <v>5</v>
      </c>
      <c r="M616" s="181" t="s">
        <v>427</v>
      </c>
      <c r="N616" s="37" t="s">
        <v>399</v>
      </c>
      <c r="O616" s="31">
        <f>IF(F616&gt;0,F616-AB616,"")</f>
        <v>46276</v>
      </c>
      <c r="P616" s="37" t="str">
        <f>IF(F616&gt;0,IF(AB616="","PLANNING SUPPLY",IF(AB616&lt;=F616,"ONTIME DELIVERY","DELAY")),"")</f>
        <v>PLANNING SUPPLY</v>
      </c>
      <c r="Q616" s="181" t="str">
        <f>IFERROR(IF(J616&gt;0,VLOOKUP(J616,#REF!,MATCH($Q$6,#REF!,0),0),""),"")</f>
        <v/>
      </c>
      <c r="R616" s="181" t="str">
        <f>IFERROR(IF(J616&gt;0,VLOOKUP(J616,#REF!,MATCH($R$6,#REF!,0),0),""),"")</f>
        <v/>
      </c>
      <c r="S616" s="181" t="e">
        <f>IF(I619&gt;0,Q616+R616,"")</f>
        <v>#VALUE!</v>
      </c>
      <c r="T616" s="181"/>
      <c r="U616" s="181"/>
      <c r="V616" s="37"/>
      <c r="W616" s="181" t="e">
        <f>IF(I619&gt;0,IF(S616&gt;L616,"READY STOCK",IF(S616=0,"OUT OF STOCK",IF(S616&lt;L616,"LOW STOCK",""))),"")</f>
        <v>#VALUE!</v>
      </c>
      <c r="X616" s="38"/>
      <c r="Y616" s="38"/>
      <c r="Z616" s="38"/>
      <c r="AA616" s="38"/>
      <c r="AB616" s="50"/>
      <c r="AC616" s="181"/>
      <c r="AD616" s="51"/>
      <c r="AE616" s="37"/>
      <c r="AF616" s="37"/>
      <c r="AG616" s="33" t="str">
        <f>IF(G616&gt;0,IF(AD616&gt;0,IF(AD616=0,"Waiting",IF(AD616&lt;L616,"Partial",IF(AD616=L616,"Full Supply",IF(AD616&gt;L616,"Over Shared")))),"Waiting"),"")</f>
        <v>Waiting</v>
      </c>
      <c r="AH616" s="37"/>
      <c r="AI616" s="37"/>
      <c r="AJ616" s="181"/>
      <c r="AK616" s="40"/>
      <c r="AL616" s="40"/>
      <c r="AM616" s="40"/>
      <c r="AN616" s="37"/>
      <c r="AO616" s="34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181">
        <f>L616-AD616</f>
        <v>5</v>
      </c>
    </row>
    <row r="617" spans="1:52" ht="15.5" customHeight="1">
      <c r="A617" s="360" t="s">
        <v>372</v>
      </c>
      <c r="B617" s="340">
        <v>46269</v>
      </c>
      <c r="C617" s="181">
        <v>50515</v>
      </c>
      <c r="D617" s="30">
        <v>46269</v>
      </c>
      <c r="E617" s="30">
        <v>46267</v>
      </c>
      <c r="F617" s="30">
        <v>46276</v>
      </c>
      <c r="G617" s="37">
        <v>4420232606</v>
      </c>
      <c r="H617" s="37" t="s">
        <v>373</v>
      </c>
      <c r="I617" s="37">
        <v>9040020554</v>
      </c>
      <c r="J617" s="37" t="s">
        <v>297</v>
      </c>
      <c r="K617" s="325" t="s">
        <v>298</v>
      </c>
      <c r="L617" s="181">
        <v>6</v>
      </c>
      <c r="M617" s="181" t="s">
        <v>375</v>
      </c>
      <c r="N617" s="37" t="s">
        <v>399</v>
      </c>
      <c r="O617" s="31">
        <f>IF(F617&gt;0,F617-AB617,"")</f>
        <v>-6</v>
      </c>
      <c r="P617" s="37" t="str">
        <f>IF(F617&gt;0,IF(AB617="","PLANNING SUPPLY",IF(AB617&lt;=F617,"ONTIME DELIVERY","DELAY")),"")</f>
        <v>DELAY</v>
      </c>
      <c r="Q617" s="181" t="str">
        <f>IFERROR(IF(J617&gt;0,VLOOKUP(J617,#REF!,MATCH($Q$6,#REF!,0),0),""),"")</f>
        <v/>
      </c>
      <c r="R617" s="181" t="str">
        <f>IFERROR(IF(J617&gt;0,VLOOKUP(J617,#REF!,MATCH($R$6,#REF!,0),0),""),"")</f>
        <v/>
      </c>
      <c r="S617" s="181" t="e">
        <f>IF(I620&gt;0,Q617+R617,"")</f>
        <v>#VALUE!</v>
      </c>
      <c r="T617" s="181"/>
      <c r="U617" s="181"/>
      <c r="V617" s="37"/>
      <c r="W617" s="181" t="e">
        <f>IF(I620&gt;0,IF(S617&gt;L617,"READY STOCK",IF(S617=0,"OUT OF STOCK",IF(S617&lt;L617,"LOW STOCK",""))),"")</f>
        <v>#VALUE!</v>
      </c>
      <c r="X617" s="38"/>
      <c r="Y617" s="38"/>
      <c r="Z617" s="38"/>
      <c r="AA617" s="38"/>
      <c r="AB617" s="50">
        <v>46282</v>
      </c>
      <c r="AC617" s="181">
        <v>34278.344839999998</v>
      </c>
      <c r="AD617" s="51">
        <f>5+1</f>
        <v>6</v>
      </c>
      <c r="AE617" s="37" t="s">
        <v>383</v>
      </c>
      <c r="AF617" s="37" t="s">
        <v>381</v>
      </c>
      <c r="AG617" s="33" t="str">
        <f>IF(G617&gt;0,IF(AD617&gt;0,IF(AD617=0,"Waiting",IF(AD617&lt;L617,"Partial",IF(AD617=L617,"Full Supply",IF(AD617&gt;L617,"Over Shared")))),"Waiting"),"")</f>
        <v>Full Supply</v>
      </c>
      <c r="AH617" s="37"/>
      <c r="AI617" s="37"/>
      <c r="AJ617" s="181"/>
      <c r="AK617" s="40"/>
      <c r="AL617" s="40"/>
      <c r="AM617" s="40"/>
      <c r="AN617" s="37"/>
      <c r="AO617" s="34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181">
        <f>L617-AD617</f>
        <v>0</v>
      </c>
    </row>
    <row r="618" spans="1:52" ht="15.5" customHeight="1">
      <c r="A618" s="360" t="s">
        <v>372</v>
      </c>
      <c r="B618" s="340">
        <v>46269</v>
      </c>
      <c r="C618" s="181">
        <v>50515</v>
      </c>
      <c r="D618" s="30">
        <v>46269</v>
      </c>
      <c r="E618" s="30">
        <v>46267</v>
      </c>
      <c r="F618" s="30">
        <v>46276</v>
      </c>
      <c r="G618" s="37">
        <v>4420232606</v>
      </c>
      <c r="H618" s="37" t="s">
        <v>373</v>
      </c>
      <c r="I618" s="37">
        <v>9040029517</v>
      </c>
      <c r="J618" s="37" t="s">
        <v>197</v>
      </c>
      <c r="K618" s="325" t="s">
        <v>198</v>
      </c>
      <c r="L618" s="181">
        <v>16</v>
      </c>
      <c r="M618" s="181" t="s">
        <v>375</v>
      </c>
      <c r="N618" s="37" t="s">
        <v>399</v>
      </c>
      <c r="O618" s="31">
        <f>IF(F618&gt;0,F618-AB618,"")</f>
        <v>1</v>
      </c>
      <c r="P618" s="37" t="str">
        <f>IF(F618&gt;0,IF(AB618="","PLANNING SUPPLY",IF(AB618&lt;=F618,"ONTIME DELIVERY","DELAY")),"")</f>
        <v>ONTIME DELIVERY</v>
      </c>
      <c r="Q618" s="181" t="str">
        <f>IFERROR(IF(J618&gt;0,VLOOKUP(J618,#REF!,MATCH($Q$6,#REF!,0),0),""),"")</f>
        <v/>
      </c>
      <c r="R618" s="181" t="str">
        <f>IFERROR(IF(J618&gt;0,VLOOKUP(J618,#REF!,MATCH($R$6,#REF!,0),0),""),"")</f>
        <v/>
      </c>
      <c r="S618" s="181" t="e">
        <f>IF(I621&gt;0,Q618+R618,"")</f>
        <v>#VALUE!</v>
      </c>
      <c r="T618" s="181"/>
      <c r="U618" s="181"/>
      <c r="V618" s="37"/>
      <c r="W618" s="181" t="e">
        <f>IF(I621&gt;0,IF(S618&gt;L618,"READY STOCK",IF(S618=0,"OUT OF STOCK",IF(S618&lt;L618,"LOW STOCK",""))),"")</f>
        <v>#VALUE!</v>
      </c>
      <c r="X618" s="38"/>
      <c r="Y618" s="38"/>
      <c r="Z618" s="38"/>
      <c r="AA618" s="38"/>
      <c r="AB618" s="50">
        <v>46275</v>
      </c>
      <c r="AC618" s="181">
        <v>34168</v>
      </c>
      <c r="AD618" s="51">
        <v>16</v>
      </c>
      <c r="AE618" s="37" t="s">
        <v>383</v>
      </c>
      <c r="AF618" s="37" t="s">
        <v>381</v>
      </c>
      <c r="AG618" s="33" t="str">
        <f>IF(G618&gt;0,IF(AD618&gt;0,IF(AD618=0,"Waiting",IF(AD618&lt;L618,"Partial",IF(AD618=L618,"Full Supply",IF(AD618&gt;L618,"Over Shared")))),"Waiting"),"")</f>
        <v>Full Supply</v>
      </c>
      <c r="AH618" s="37"/>
      <c r="AI618" s="37"/>
      <c r="AJ618" s="181"/>
      <c r="AK618" s="40"/>
      <c r="AL618" s="40"/>
      <c r="AM618" s="40"/>
      <c r="AN618" s="37"/>
      <c r="AO618" s="34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181">
        <f>L618-AD618</f>
        <v>0</v>
      </c>
    </row>
    <row r="619" spans="1:52" ht="15.5" customHeight="1">
      <c r="A619" s="360" t="s">
        <v>372</v>
      </c>
      <c r="B619" s="340">
        <v>46269</v>
      </c>
      <c r="C619" s="181">
        <v>50515</v>
      </c>
      <c r="D619" s="30">
        <v>46269</v>
      </c>
      <c r="E619" s="30">
        <v>46267</v>
      </c>
      <c r="F619" s="30">
        <v>46276</v>
      </c>
      <c r="G619" s="37">
        <v>4420232606</v>
      </c>
      <c r="H619" s="37" t="s">
        <v>373</v>
      </c>
      <c r="I619" s="37">
        <v>9040040446</v>
      </c>
      <c r="J619" s="37" t="s">
        <v>189</v>
      </c>
      <c r="K619" s="325" t="s">
        <v>190</v>
      </c>
      <c r="L619" s="181">
        <v>5</v>
      </c>
      <c r="M619" s="181" t="s">
        <v>421</v>
      </c>
      <c r="N619" s="37" t="s">
        <v>399</v>
      </c>
      <c r="O619" s="31">
        <f>IF(F619&gt;0,F619-AB619,"")</f>
        <v>1</v>
      </c>
      <c r="P619" s="37" t="str">
        <f>IF(F619&gt;0,IF(AB619="","PLANNING SUPPLY",IF(AB619&lt;=F619,"ONTIME DELIVERY","DELAY")),"")</f>
        <v>ONTIME DELIVERY</v>
      </c>
      <c r="Q619" s="181" t="str">
        <f>IFERROR(IF(J619&gt;0,VLOOKUP(J619,#REF!,MATCH($Q$6,#REF!,0),0),""),"")</f>
        <v/>
      </c>
      <c r="R619" s="181" t="str">
        <f>IFERROR(IF(J619&gt;0,VLOOKUP(J619,#REF!,MATCH($R$6,#REF!,0),0),""),"")</f>
        <v/>
      </c>
      <c r="S619" s="181" t="e">
        <f>IF(I622&gt;0,Q619+R619,"")</f>
        <v>#VALUE!</v>
      </c>
      <c r="T619" s="181"/>
      <c r="U619" s="181"/>
      <c r="V619" s="37"/>
      <c r="W619" s="181" t="e">
        <f>IF(I622&gt;0,IF(S619&gt;L619,"READY STOCK",IF(S619=0,"OUT OF STOCK",IF(S619&lt;L619,"LOW STOCK",""))),"")</f>
        <v>#VALUE!</v>
      </c>
      <c r="X619" s="38"/>
      <c r="Y619" s="38"/>
      <c r="Z619" s="38"/>
      <c r="AA619" s="38"/>
      <c r="AB619" s="50">
        <v>46275</v>
      </c>
      <c r="AC619" s="181">
        <v>34168</v>
      </c>
      <c r="AD619" s="51">
        <v>5</v>
      </c>
      <c r="AE619" s="37" t="s">
        <v>383</v>
      </c>
      <c r="AF619" s="37" t="s">
        <v>381</v>
      </c>
      <c r="AG619" s="33" t="str">
        <f>IF(G619&gt;0,IF(AD619&gt;0,IF(AD619=0,"Waiting",IF(AD619&lt;L619,"Partial",IF(AD619=L619,"Full Supply",IF(AD619&gt;L619,"Over Shared")))),"Waiting"),"")</f>
        <v>Full Supply</v>
      </c>
      <c r="AH619" s="37"/>
      <c r="AI619" s="37"/>
      <c r="AJ619" s="181"/>
      <c r="AK619" s="40"/>
      <c r="AL619" s="40"/>
      <c r="AM619" s="40"/>
      <c r="AN619" s="37"/>
      <c r="AO619" s="34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181">
        <f>L619-AD619</f>
        <v>0</v>
      </c>
    </row>
    <row r="620" spans="1:52" ht="15.5" customHeight="1">
      <c r="A620" s="360" t="s">
        <v>372</v>
      </c>
      <c r="B620" s="340">
        <v>46269</v>
      </c>
      <c r="C620" s="181">
        <v>50515</v>
      </c>
      <c r="D620" s="30">
        <v>46269</v>
      </c>
      <c r="E620" s="30">
        <v>46267</v>
      </c>
      <c r="F620" s="30">
        <v>46276</v>
      </c>
      <c r="G620" s="37">
        <v>4420232606</v>
      </c>
      <c r="H620" s="37" t="s">
        <v>373</v>
      </c>
      <c r="I620" s="37">
        <v>9040040450</v>
      </c>
      <c r="J620" s="37" t="s">
        <v>176</v>
      </c>
      <c r="K620" s="325" t="s">
        <v>177</v>
      </c>
      <c r="L620" s="181">
        <v>14</v>
      </c>
      <c r="M620" s="181" t="s">
        <v>421</v>
      </c>
      <c r="N620" s="37" t="s">
        <v>399</v>
      </c>
      <c r="O620" s="31">
        <f>IF(F620&gt;0,F620-AB620,"")</f>
        <v>-38</v>
      </c>
      <c r="P620" s="37" t="str">
        <f>IF(F620&gt;0,IF(AB620="","PLANNING SUPPLY",IF(AB620&lt;=F620,"ONTIME DELIVERY","DELAY")),"")</f>
        <v>DELAY</v>
      </c>
      <c r="Q620" s="181" t="str">
        <f>IFERROR(IF(J620&gt;0,VLOOKUP(J620,#REF!,MATCH($Q$6,#REF!,0),0),""),"")</f>
        <v/>
      </c>
      <c r="R620" s="181" t="str">
        <f>IFERROR(IF(J620&gt;0,VLOOKUP(J620,#REF!,MATCH($R$6,#REF!,0),0),""),"")</f>
        <v/>
      </c>
      <c r="S620" s="181" t="e">
        <f>IF(I623&gt;0,Q620+R620,"")</f>
        <v>#VALUE!</v>
      </c>
      <c r="T620" s="181"/>
      <c r="U620" s="181"/>
      <c r="V620" s="37"/>
      <c r="W620" s="181" t="e">
        <f>IF(I623&gt;0,IF(S620&gt;L620,"READY STOCK",IF(S620=0,"OUT OF STOCK",IF(S620&lt;L620,"LOW STOCK",""))),"")</f>
        <v>#VALUE!</v>
      </c>
      <c r="X620" s="38"/>
      <c r="Y620" s="38"/>
      <c r="Z620" s="38"/>
      <c r="AA620" s="38"/>
      <c r="AB620" s="50">
        <v>46314</v>
      </c>
      <c r="AC620" s="44" t="s">
        <v>1326</v>
      </c>
      <c r="AD620" s="51">
        <v>14</v>
      </c>
      <c r="AE620" s="37" t="s">
        <v>387</v>
      </c>
      <c r="AF620" s="37" t="s">
        <v>381</v>
      </c>
      <c r="AG620" s="33" t="str">
        <f>IF(G620&gt;0,IF(AD620&gt;0,IF(AD620=0,"Waiting",IF(AD620&lt;L620,"Partial",IF(AD620=L620,"Full Supply",IF(AD620&gt;L620,"Over Shared")))),"Waiting"),"")</f>
        <v>Full Supply</v>
      </c>
      <c r="AH620" s="233">
        <v>46274</v>
      </c>
      <c r="AI620" s="37" t="s">
        <v>1327</v>
      </c>
      <c r="AJ620" s="181">
        <v>26</v>
      </c>
      <c r="AK620" s="40">
        <v>26349</v>
      </c>
      <c r="AL620" s="45">
        <v>46286</v>
      </c>
      <c r="AM620" s="40">
        <v>26</v>
      </c>
      <c r="AN620" s="37"/>
      <c r="AO620" s="241">
        <v>46295</v>
      </c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181">
        <f>L620-AD620</f>
        <v>0</v>
      </c>
    </row>
    <row r="621" spans="1:52" ht="15.5" customHeight="1">
      <c r="A621" s="360" t="s">
        <v>372</v>
      </c>
      <c r="B621" s="340">
        <v>46269</v>
      </c>
      <c r="C621" s="181">
        <v>50515</v>
      </c>
      <c r="D621" s="30">
        <v>46269</v>
      </c>
      <c r="E621" s="30">
        <v>46267</v>
      </c>
      <c r="F621" s="30">
        <v>46276</v>
      </c>
      <c r="G621" s="37">
        <v>4420232606</v>
      </c>
      <c r="H621" s="37" t="s">
        <v>373</v>
      </c>
      <c r="I621" s="37">
        <v>9040040609</v>
      </c>
      <c r="J621" s="37" t="s">
        <v>266</v>
      </c>
      <c r="K621" s="325" t="s">
        <v>267</v>
      </c>
      <c r="L621" s="181">
        <v>5</v>
      </c>
      <c r="M621" s="181" t="s">
        <v>375</v>
      </c>
      <c r="N621" s="37" t="s">
        <v>399</v>
      </c>
      <c r="O621" s="31">
        <f>IF(F621&gt;0,F621-AB621,"")</f>
        <v>-6</v>
      </c>
      <c r="P621" s="37" t="str">
        <f>IF(F621&gt;0,IF(AB621="","PLANNING SUPPLY",IF(AB621&lt;=F621,"ONTIME DELIVERY","DELAY")),"")</f>
        <v>DELAY</v>
      </c>
      <c r="Q621" s="181" t="str">
        <f>IFERROR(IF(J621&gt;0,VLOOKUP(J621,#REF!,MATCH($Q$6,#REF!,0),0),""),"")</f>
        <v/>
      </c>
      <c r="R621" s="181" t="str">
        <f>IFERROR(IF(J621&gt;0,VLOOKUP(J621,#REF!,MATCH($R$6,#REF!,0),0),""),"")</f>
        <v/>
      </c>
      <c r="S621" s="181" t="e">
        <f>IF(I624&gt;0,Q621+R621,"")</f>
        <v>#VALUE!</v>
      </c>
      <c r="T621" s="181"/>
      <c r="U621" s="181"/>
      <c r="V621" s="37"/>
      <c r="W621" s="181" t="e">
        <f>IF(I624&gt;0,IF(S621&gt;L621,"READY STOCK",IF(S621=0,"OUT OF STOCK",IF(S621&lt;L621,"LOW STOCK",""))),"")</f>
        <v>#VALUE!</v>
      </c>
      <c r="X621" s="38"/>
      <c r="Y621" s="38"/>
      <c r="Z621" s="38"/>
      <c r="AA621" s="38"/>
      <c r="AB621" s="50">
        <v>46282</v>
      </c>
      <c r="AC621" s="181">
        <v>34278</v>
      </c>
      <c r="AD621" s="51">
        <v>5</v>
      </c>
      <c r="AE621" s="37" t="s">
        <v>383</v>
      </c>
      <c r="AF621" s="37" t="s">
        <v>381</v>
      </c>
      <c r="AG621" s="33" t="str">
        <f>IF(G621&gt;0,IF(AD621&gt;0,IF(AD621=0,"Waiting",IF(AD621&lt;L621,"Partial",IF(AD621=L621,"Full Supply",IF(AD621&gt;L621,"Over Shared")))),"Waiting"),"")</f>
        <v>Full Supply</v>
      </c>
      <c r="AH621" s="37"/>
      <c r="AI621" s="37"/>
      <c r="AJ621" s="181"/>
      <c r="AK621" s="40"/>
      <c r="AL621" s="40"/>
      <c r="AM621" s="40"/>
      <c r="AN621" s="37"/>
      <c r="AO621" s="34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181">
        <f>L621-AD621</f>
        <v>0</v>
      </c>
    </row>
    <row r="622" spans="1:52" ht="15.5" customHeight="1">
      <c r="A622" s="360" t="s">
        <v>372</v>
      </c>
      <c r="B622" s="340">
        <v>46269</v>
      </c>
      <c r="C622" s="181">
        <v>50515</v>
      </c>
      <c r="D622" s="30">
        <v>46269</v>
      </c>
      <c r="E622" s="30">
        <v>46267</v>
      </c>
      <c r="F622" s="30">
        <v>46276</v>
      </c>
      <c r="G622" s="37">
        <v>4420232606</v>
      </c>
      <c r="H622" s="37" t="s">
        <v>373</v>
      </c>
      <c r="I622" s="37">
        <v>9040041385</v>
      </c>
      <c r="J622" s="37" t="s">
        <v>6</v>
      </c>
      <c r="K622" s="325" t="s">
        <v>7</v>
      </c>
      <c r="L622" s="181">
        <v>5</v>
      </c>
      <c r="M622" s="181" t="s">
        <v>375</v>
      </c>
      <c r="N622" s="37" t="s">
        <v>399</v>
      </c>
      <c r="O622" s="31">
        <f>IF(F622&gt;0,F622-AB622,"")</f>
        <v>-38</v>
      </c>
      <c r="P622" s="37" t="str">
        <f>IF(F622&gt;0,IF(AB622="","PLANNING SUPPLY",IF(AB622&lt;=F622,"ONTIME DELIVERY","DELAY")),"")</f>
        <v>DELAY</v>
      </c>
      <c r="Q622" s="181" t="str">
        <f>IFERROR(IF(J622&gt;0,VLOOKUP(J622,#REF!,MATCH($Q$6,#REF!,0),0),""),"")</f>
        <v/>
      </c>
      <c r="R622" s="181" t="str">
        <f>IFERROR(IF(J622&gt;0,VLOOKUP(J622,#REF!,MATCH($R$6,#REF!,0),0),""),"")</f>
        <v/>
      </c>
      <c r="S622" s="181" t="e">
        <f>IF(I625&gt;0,Q622+R622,"")</f>
        <v>#VALUE!</v>
      </c>
      <c r="T622" s="181"/>
      <c r="U622" s="181"/>
      <c r="V622" s="37"/>
      <c r="W622" s="181" t="e">
        <f>IF(I625&gt;0,IF(S622&gt;L622,"READY STOCK",IF(S622=0,"OUT OF STOCK",IF(S622&lt;L622,"LOW STOCK",""))),"")</f>
        <v>#VALUE!</v>
      </c>
      <c r="X622" s="38"/>
      <c r="Y622" s="38"/>
      <c r="Z622" s="38"/>
      <c r="AA622" s="38"/>
      <c r="AB622" s="50">
        <v>46314</v>
      </c>
      <c r="AC622" s="44" t="s">
        <v>1326</v>
      </c>
      <c r="AD622" s="51">
        <v>2</v>
      </c>
      <c r="AE622" s="37" t="s">
        <v>387</v>
      </c>
      <c r="AF622" s="37" t="s">
        <v>381</v>
      </c>
      <c r="AG622" s="33" t="str">
        <f>IF(G622&gt;0,IF(AD622&gt;0,IF(AD622=0,"Waiting",IF(AD622&lt;L622,"Partial",IF(AD622=L622,"Full Supply",IF(AD622&gt;L622,"Over Shared")))),"Waiting"),"")</f>
        <v>Partial</v>
      </c>
      <c r="AH622" s="56">
        <v>46295</v>
      </c>
      <c r="AI622" s="37" t="s">
        <v>1314</v>
      </c>
      <c r="AJ622" s="181">
        <v>25</v>
      </c>
      <c r="AK622" s="40">
        <v>26475</v>
      </c>
      <c r="AL622" s="42">
        <v>46296</v>
      </c>
      <c r="AM622" s="181">
        <v>25</v>
      </c>
      <c r="AN622" s="37"/>
      <c r="AO622" s="41">
        <v>46296</v>
      </c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181">
        <f>L622-AD622</f>
        <v>3</v>
      </c>
    </row>
    <row r="623" spans="1:52" ht="15.5" customHeight="1">
      <c r="A623" s="360" t="s">
        <v>372</v>
      </c>
      <c r="B623" s="340">
        <v>46269</v>
      </c>
      <c r="C623" s="181">
        <v>50515</v>
      </c>
      <c r="D623" s="30">
        <v>46269</v>
      </c>
      <c r="E623" s="30">
        <v>46267</v>
      </c>
      <c r="F623" s="30">
        <v>46276</v>
      </c>
      <c r="G623" s="37">
        <v>4420232606</v>
      </c>
      <c r="H623" s="37" t="s">
        <v>373</v>
      </c>
      <c r="I623" s="37">
        <v>9040044191</v>
      </c>
      <c r="J623" s="37" t="s">
        <v>187</v>
      </c>
      <c r="K623" s="325" t="s">
        <v>188</v>
      </c>
      <c r="L623" s="181">
        <v>9</v>
      </c>
      <c r="M623" s="181" t="s">
        <v>375</v>
      </c>
      <c r="N623" s="37" t="s">
        <v>399</v>
      </c>
      <c r="O623" s="31">
        <f>IF(F623&gt;0,F623-AB623,"")</f>
        <v>4</v>
      </c>
      <c r="P623" s="37" t="str">
        <f>IF(F623&gt;0,IF(AB623="","PLANNING SUPPLY",IF(AB623&lt;=F623,"ONTIME DELIVERY","DELAY")),"")</f>
        <v>ONTIME DELIVERY</v>
      </c>
      <c r="Q623" s="181" t="str">
        <f>IFERROR(IF(J623&gt;0,VLOOKUP(J623,#REF!,MATCH($Q$6,#REF!,0),0),""),"")</f>
        <v/>
      </c>
      <c r="R623" s="181" t="str">
        <f>IFERROR(IF(J623&gt;0,VLOOKUP(J623,#REF!,MATCH($R$6,#REF!,0),0),""),"")</f>
        <v/>
      </c>
      <c r="S623" s="181" t="e">
        <f>IF(I626&gt;0,Q623+R623,"")</f>
        <v>#VALUE!</v>
      </c>
      <c r="T623" s="181"/>
      <c r="U623" s="181"/>
      <c r="V623" s="37"/>
      <c r="W623" s="181" t="e">
        <f>IF(I626&gt;0,IF(S623&gt;L623,"READY STOCK",IF(S623=0,"OUT OF STOCK",IF(S623&lt;L623,"LOW STOCK",""))),"")</f>
        <v>#VALUE!</v>
      </c>
      <c r="X623" s="38"/>
      <c r="Y623" s="38"/>
      <c r="Z623" s="38"/>
      <c r="AA623" s="38"/>
      <c r="AB623" s="50">
        <v>46272</v>
      </c>
      <c r="AC623" s="181">
        <v>34094</v>
      </c>
      <c r="AD623" s="51">
        <v>9</v>
      </c>
      <c r="AE623" s="37" t="s">
        <v>383</v>
      </c>
      <c r="AF623" s="37" t="s">
        <v>381</v>
      </c>
      <c r="AG623" s="33" t="str">
        <f>IF(G623&gt;0,IF(AD623&gt;0,IF(AD623=0,"Waiting",IF(AD623&lt;L623,"Partial",IF(AD623=L623,"Full Supply",IF(AD623&gt;L623,"Over Shared")))),"Waiting"),"")</f>
        <v>Full Supply</v>
      </c>
      <c r="AH623" s="37"/>
      <c r="AI623" s="37"/>
      <c r="AJ623" s="181"/>
      <c r="AK623" s="40"/>
      <c r="AL623" s="40"/>
      <c r="AM623" s="40"/>
      <c r="AN623" s="37"/>
      <c r="AO623" s="34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181">
        <f>L623-AD623</f>
        <v>0</v>
      </c>
    </row>
    <row r="624" spans="1:52" ht="15.5" customHeight="1">
      <c r="A624" s="360" t="s">
        <v>372</v>
      </c>
      <c r="B624" s="340">
        <v>46269</v>
      </c>
      <c r="C624" s="181">
        <v>50569</v>
      </c>
      <c r="D624" s="30">
        <v>46269</v>
      </c>
      <c r="E624" s="30">
        <v>46266</v>
      </c>
      <c r="F624" s="30">
        <v>46276</v>
      </c>
      <c r="G624" s="37">
        <v>4420232552</v>
      </c>
      <c r="H624" s="37" t="s">
        <v>373</v>
      </c>
      <c r="I624" s="37">
        <v>9040012687</v>
      </c>
      <c r="J624" s="37" t="s">
        <v>178</v>
      </c>
      <c r="K624" s="325" t="s">
        <v>179</v>
      </c>
      <c r="L624" s="181">
        <v>2</v>
      </c>
      <c r="M624" s="181" t="s">
        <v>375</v>
      </c>
      <c r="N624" s="37" t="s">
        <v>428</v>
      </c>
      <c r="O624" s="31">
        <f>IF(F624&gt;0,F624-AB624,"")</f>
        <v>1</v>
      </c>
      <c r="P624" s="37" t="str">
        <f>IF(F624&gt;0,IF(AB624="","PLANNING SUPPLY",IF(AB624&lt;=F624,"ONTIME DELIVERY","DELAY")),"")</f>
        <v>ONTIME DELIVERY</v>
      </c>
      <c r="Q624" s="181" t="str">
        <f>IFERROR(IF(J624&gt;0,VLOOKUP(J624,#REF!,MATCH($Q$6,#REF!,0),0),""),"")</f>
        <v/>
      </c>
      <c r="R624" s="181" t="str">
        <f>IFERROR(IF(J624&gt;0,VLOOKUP(J624,#REF!,MATCH($R$6,#REF!,0),0),""),"")</f>
        <v/>
      </c>
      <c r="S624" s="181" t="e">
        <f>IF(I627&gt;0,Q624+R624,"")</f>
        <v>#VALUE!</v>
      </c>
      <c r="T624" s="181"/>
      <c r="U624" s="181"/>
      <c r="V624" s="37"/>
      <c r="W624" s="181" t="e">
        <f>IF(I627&gt;0,IF(S624&gt;L624,"READY STOCK",IF(S624=0,"OUT OF STOCK",IF(S624&lt;L624,"LOW STOCK",""))),"")</f>
        <v>#VALUE!</v>
      </c>
      <c r="X624" s="38"/>
      <c r="Y624" s="38"/>
      <c r="Z624" s="38"/>
      <c r="AA624" s="38"/>
      <c r="AB624" s="50">
        <v>46275</v>
      </c>
      <c r="AC624" s="181">
        <v>34173</v>
      </c>
      <c r="AD624" s="51">
        <v>2</v>
      </c>
      <c r="AE624" s="37" t="s">
        <v>383</v>
      </c>
      <c r="AF624" s="37" t="s">
        <v>381</v>
      </c>
      <c r="AG624" s="33" t="str">
        <f>IF(G624&gt;0,IF(AD624&gt;0,IF(AD624=0,"Waiting",IF(AD624&lt;L624,"Partial",IF(AD624=L624,"Full Supply",IF(AD624&gt;L624,"Over Shared")))),"Waiting"),"")</f>
        <v>Full Supply</v>
      </c>
      <c r="AH624" s="37"/>
      <c r="AI624" s="37"/>
      <c r="AJ624" s="181"/>
      <c r="AK624" s="40"/>
      <c r="AL624" s="40"/>
      <c r="AM624" s="40"/>
      <c r="AN624" s="37"/>
      <c r="AO624" s="34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181">
        <f>L624-AD624</f>
        <v>0</v>
      </c>
    </row>
    <row r="625" spans="1:52" ht="15.5" customHeight="1">
      <c r="A625" s="360" t="s">
        <v>372</v>
      </c>
      <c r="B625" s="340">
        <v>46269</v>
      </c>
      <c r="C625" s="181">
        <v>50569</v>
      </c>
      <c r="D625" s="30">
        <v>46269</v>
      </c>
      <c r="E625" s="30">
        <v>46266</v>
      </c>
      <c r="F625" s="30">
        <v>46276</v>
      </c>
      <c r="G625" s="37">
        <v>4420232552</v>
      </c>
      <c r="H625" s="37" t="s">
        <v>373</v>
      </c>
      <c r="I625" s="37">
        <v>9040012929</v>
      </c>
      <c r="J625" s="37" t="s">
        <v>203</v>
      </c>
      <c r="K625" s="325" t="s">
        <v>204</v>
      </c>
      <c r="L625" s="181">
        <v>7</v>
      </c>
      <c r="M625" s="181" t="s">
        <v>389</v>
      </c>
      <c r="N625" s="37" t="s">
        <v>428</v>
      </c>
      <c r="O625" s="31">
        <f>IF(F625&gt;0,F625-AB625,"")</f>
        <v>-32</v>
      </c>
      <c r="P625" s="37" t="str">
        <f>IF(F625&gt;0,IF(AB625="","PLANNING SUPPLY",IF(AB625&lt;=F625,"ONTIME DELIVERY","DELAY")),"")</f>
        <v>DELAY</v>
      </c>
      <c r="Q625" s="181" t="str">
        <f>IFERROR(IF(J625&gt;0,VLOOKUP(J625,#REF!,MATCH($Q$6,#REF!,0),0),""),"")</f>
        <v/>
      </c>
      <c r="R625" s="181" t="str">
        <f>IFERROR(IF(J625&gt;0,VLOOKUP(J625,#REF!,MATCH($R$6,#REF!,0),0),""),"")</f>
        <v/>
      </c>
      <c r="S625" s="181" t="e">
        <f>IF(I628&gt;0,Q625+R625,"")</f>
        <v>#VALUE!</v>
      </c>
      <c r="T625" s="181"/>
      <c r="U625" s="181"/>
      <c r="V625" s="37"/>
      <c r="W625" s="181" t="e">
        <f>IF(I628&gt;0,IF(S625&gt;L625,"READY STOCK",IF(S625=0,"OUT OF STOCK",IF(S625&lt;L625,"LOW STOCK",""))),"")</f>
        <v>#VALUE!</v>
      </c>
      <c r="X625" s="38"/>
      <c r="Y625" s="38"/>
      <c r="Z625" s="38"/>
      <c r="AA625" s="38"/>
      <c r="AB625" s="57">
        <v>46308</v>
      </c>
      <c r="AC625" s="246">
        <v>34967</v>
      </c>
      <c r="AD625" s="53">
        <v>7</v>
      </c>
      <c r="AE625" s="58" t="s">
        <v>387</v>
      </c>
      <c r="AF625" s="58" t="s">
        <v>381</v>
      </c>
      <c r="AG625" s="33" t="str">
        <f>IF(G625&gt;0,IF(AD625&gt;0,IF(AD625=0,"Waiting",IF(AD625&lt;L625,"Partial",IF(AD625=L625,"Full Supply",IF(AD625&gt;L625,"Over Shared")))),"Waiting"),"")</f>
        <v>Full Supply</v>
      </c>
      <c r="AH625" s="37"/>
      <c r="AI625" s="37"/>
      <c r="AJ625" s="181"/>
      <c r="AK625" s="40"/>
      <c r="AL625" s="40"/>
      <c r="AM625" s="40"/>
      <c r="AN625" s="37"/>
      <c r="AO625" s="34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181">
        <f>L625-AD625</f>
        <v>0</v>
      </c>
    </row>
    <row r="626" spans="1:52" ht="15.5" customHeight="1">
      <c r="A626" s="360" t="s">
        <v>372</v>
      </c>
      <c r="B626" s="340">
        <v>46269</v>
      </c>
      <c r="C626" s="181">
        <v>50569</v>
      </c>
      <c r="D626" s="30">
        <v>46269</v>
      </c>
      <c r="E626" s="30">
        <v>46266</v>
      </c>
      <c r="F626" s="30">
        <v>46276</v>
      </c>
      <c r="G626" s="37">
        <v>4420232552</v>
      </c>
      <c r="H626" s="37" t="s">
        <v>373</v>
      </c>
      <c r="I626" s="37">
        <v>9040016581</v>
      </c>
      <c r="J626" s="37" t="s">
        <v>185</v>
      </c>
      <c r="K626" s="325" t="s">
        <v>186</v>
      </c>
      <c r="L626" s="181">
        <v>4</v>
      </c>
      <c r="M626" s="181" t="s">
        <v>375</v>
      </c>
      <c r="N626" s="37" t="s">
        <v>428</v>
      </c>
      <c r="O626" s="31">
        <f>IF(F626&gt;0,F626-AB626,"")</f>
        <v>1</v>
      </c>
      <c r="P626" s="37" t="str">
        <f>IF(F626&gt;0,IF(AB626="","PLANNING SUPPLY",IF(AB626&lt;=F626,"ONTIME DELIVERY","DELAY")),"")</f>
        <v>ONTIME DELIVERY</v>
      </c>
      <c r="Q626" s="181" t="str">
        <f>IFERROR(IF(J626&gt;0,VLOOKUP(J626,#REF!,MATCH($Q$6,#REF!,0),0),""),"")</f>
        <v/>
      </c>
      <c r="R626" s="181" t="str">
        <f>IFERROR(IF(J626&gt;0,VLOOKUP(J626,#REF!,MATCH($R$6,#REF!,0),0),""),"")</f>
        <v/>
      </c>
      <c r="S626" s="181" t="e">
        <f>IF(I629&gt;0,Q626+R626,"")</f>
        <v>#VALUE!</v>
      </c>
      <c r="T626" s="181"/>
      <c r="U626" s="181"/>
      <c r="V626" s="37"/>
      <c r="W626" s="181" t="e">
        <f>IF(I629&gt;0,IF(S626&gt;L626,"READY STOCK",IF(S626=0,"OUT OF STOCK",IF(S626&lt;L626,"LOW STOCK",""))),"")</f>
        <v>#VALUE!</v>
      </c>
      <c r="X626" s="38"/>
      <c r="Y626" s="38"/>
      <c r="Z626" s="38"/>
      <c r="AA626" s="38"/>
      <c r="AB626" s="50">
        <v>46275</v>
      </c>
      <c r="AC626" s="181">
        <v>34173</v>
      </c>
      <c r="AD626" s="51">
        <v>4</v>
      </c>
      <c r="AE626" s="37" t="s">
        <v>383</v>
      </c>
      <c r="AF626" s="37" t="s">
        <v>381</v>
      </c>
      <c r="AG626" s="33" t="str">
        <f>IF(G626&gt;0,IF(AD626&gt;0,IF(AD626=0,"Waiting",IF(AD626&lt;L626,"Partial",IF(AD626=L626,"Full Supply",IF(AD626&gt;L626,"Over Shared")))),"Waiting"),"")</f>
        <v>Full Supply</v>
      </c>
      <c r="AH626" s="37"/>
      <c r="AI626" s="37"/>
      <c r="AJ626" s="181"/>
      <c r="AK626" s="40"/>
      <c r="AL626" s="40"/>
      <c r="AM626" s="40"/>
      <c r="AN626" s="37"/>
      <c r="AO626" s="34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181">
        <f>L626-AD626</f>
        <v>0</v>
      </c>
    </row>
    <row r="627" spans="1:52" ht="15.5" customHeight="1">
      <c r="A627" s="360" t="s">
        <v>372</v>
      </c>
      <c r="B627" s="340">
        <v>46269</v>
      </c>
      <c r="C627" s="181">
        <v>50569</v>
      </c>
      <c r="D627" s="30">
        <v>46269</v>
      </c>
      <c r="E627" s="30">
        <v>46266</v>
      </c>
      <c r="F627" s="30">
        <v>46276</v>
      </c>
      <c r="G627" s="37">
        <v>4420232552</v>
      </c>
      <c r="H627" s="37" t="s">
        <v>373</v>
      </c>
      <c r="I627" s="37">
        <v>9040016582</v>
      </c>
      <c r="J627" s="37" t="s">
        <v>183</v>
      </c>
      <c r="K627" s="325" t="s">
        <v>184</v>
      </c>
      <c r="L627" s="181">
        <v>3</v>
      </c>
      <c r="M627" s="181" t="s">
        <v>375</v>
      </c>
      <c r="N627" s="37" t="s">
        <v>428</v>
      </c>
      <c r="O627" s="31">
        <f>IF(F627&gt;0,F627-AB627,"")</f>
        <v>1</v>
      </c>
      <c r="P627" s="37" t="str">
        <f>IF(F627&gt;0,IF(AB627="","PLANNING SUPPLY",IF(AB627&lt;=F627,"ONTIME DELIVERY","DELAY")),"")</f>
        <v>ONTIME DELIVERY</v>
      </c>
      <c r="Q627" s="181" t="str">
        <f>IFERROR(IF(J627&gt;0,VLOOKUP(J627,#REF!,MATCH($Q$6,#REF!,0),0),""),"")</f>
        <v/>
      </c>
      <c r="R627" s="181" t="str">
        <f>IFERROR(IF(J627&gt;0,VLOOKUP(J627,#REF!,MATCH($R$6,#REF!,0),0),""),"")</f>
        <v/>
      </c>
      <c r="S627" s="181" t="e">
        <f>IF(I630&gt;0,Q627+R627,"")</f>
        <v>#VALUE!</v>
      </c>
      <c r="T627" s="181"/>
      <c r="U627" s="181"/>
      <c r="V627" s="37"/>
      <c r="W627" s="181" t="e">
        <f>IF(I630&gt;0,IF(S627&gt;L627,"READY STOCK",IF(S627=0,"OUT OF STOCK",IF(S627&lt;L627,"LOW STOCK",""))),"")</f>
        <v>#VALUE!</v>
      </c>
      <c r="X627" s="38"/>
      <c r="Y627" s="38"/>
      <c r="Z627" s="38"/>
      <c r="AA627" s="38"/>
      <c r="AB627" s="50">
        <v>46275</v>
      </c>
      <c r="AC627" s="181">
        <v>34173</v>
      </c>
      <c r="AD627" s="51">
        <v>3</v>
      </c>
      <c r="AE627" s="37" t="s">
        <v>383</v>
      </c>
      <c r="AF627" s="37" t="s">
        <v>381</v>
      </c>
      <c r="AG627" s="33" t="str">
        <f>IF(G627&gt;0,IF(AD627&gt;0,IF(AD627=0,"Waiting",IF(AD627&lt;L627,"Partial",IF(AD627=L627,"Full Supply",IF(AD627&gt;L627,"Over Shared")))),"Waiting"),"")</f>
        <v>Full Supply</v>
      </c>
      <c r="AH627" s="37"/>
      <c r="AI627" s="37"/>
      <c r="AJ627" s="181"/>
      <c r="AK627" s="40"/>
      <c r="AL627" s="40"/>
      <c r="AM627" s="40"/>
      <c r="AN627" s="37"/>
      <c r="AO627" s="34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181">
        <f>L627-AD627</f>
        <v>0</v>
      </c>
    </row>
    <row r="628" spans="1:52" ht="15.5" customHeight="1">
      <c r="A628" s="360" t="s">
        <v>372</v>
      </c>
      <c r="B628" s="340">
        <v>46269</v>
      </c>
      <c r="C628" s="181">
        <v>50569</v>
      </c>
      <c r="D628" s="30">
        <v>46269</v>
      </c>
      <c r="E628" s="30">
        <v>46266</v>
      </c>
      <c r="F628" s="30">
        <v>46276</v>
      </c>
      <c r="G628" s="37">
        <v>4420232552</v>
      </c>
      <c r="H628" s="37" t="s">
        <v>373</v>
      </c>
      <c r="I628" s="37">
        <v>9040017824</v>
      </c>
      <c r="J628" s="37" t="s">
        <v>150</v>
      </c>
      <c r="K628" s="325" t="s">
        <v>151</v>
      </c>
      <c r="L628" s="181">
        <v>3</v>
      </c>
      <c r="M628" s="181" t="s">
        <v>375</v>
      </c>
      <c r="N628" s="37" t="s">
        <v>428</v>
      </c>
      <c r="O628" s="31">
        <f>IF(F628&gt;0,F628-AB628,"")</f>
        <v>-31</v>
      </c>
      <c r="P628" s="37" t="str">
        <f>IF(F628&gt;0,IF(AB628="","PLANNING SUPPLY",IF(AB628&lt;=F628,"ONTIME DELIVERY","DELAY")),"")</f>
        <v>DELAY</v>
      </c>
      <c r="Q628" s="181" t="str">
        <f>IFERROR(IF(J628&gt;0,VLOOKUP(J628,#REF!,MATCH($Q$6,#REF!,0),0),""),"")</f>
        <v/>
      </c>
      <c r="R628" s="181" t="str">
        <f>IFERROR(IF(J628&gt;0,VLOOKUP(J628,#REF!,MATCH($R$6,#REF!,0),0),""),"")</f>
        <v/>
      </c>
      <c r="S628" s="181" t="e">
        <f>IF(I631&gt;0,Q628+R628,"")</f>
        <v>#VALUE!</v>
      </c>
      <c r="T628" s="181"/>
      <c r="U628" s="181"/>
      <c r="V628" s="37"/>
      <c r="W628" s="181" t="e">
        <f>IF(I631&gt;0,IF(S628&gt;L628,"READY STOCK",IF(S628=0,"OUT OF STOCK",IF(S628&lt;L628,"LOW STOCK",""))),"")</f>
        <v>#VALUE!</v>
      </c>
      <c r="X628" s="38"/>
      <c r="Y628" s="38"/>
      <c r="Z628" s="38"/>
      <c r="AA628" s="38"/>
      <c r="AB628" s="50">
        <v>46307</v>
      </c>
      <c r="AC628" s="181">
        <v>34929</v>
      </c>
      <c r="AD628" s="51">
        <v>3</v>
      </c>
      <c r="AE628" s="37" t="s">
        <v>387</v>
      </c>
      <c r="AF628" s="37" t="s">
        <v>381</v>
      </c>
      <c r="AG628" s="33" t="str">
        <f>IF(G628&gt;0,IF(AD628&gt;0,IF(AD628=0,"Waiting",IF(AD628&lt;L628,"Partial",IF(AD628=L628,"Full Supply",IF(AD628&gt;L628,"Over Shared")))),"Waiting"),"")</f>
        <v>Full Supply</v>
      </c>
      <c r="AH628" s="56">
        <v>46296</v>
      </c>
      <c r="AI628" s="37" t="s">
        <v>1325</v>
      </c>
      <c r="AJ628" s="181">
        <v>9</v>
      </c>
      <c r="AK628" s="40"/>
      <c r="AL628" s="40"/>
      <c r="AM628" s="40"/>
      <c r="AN628" s="216"/>
      <c r="AO628" s="232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181">
        <f>L628-AD628</f>
        <v>0</v>
      </c>
    </row>
    <row r="629" spans="1:52" ht="15.5" customHeight="1">
      <c r="A629" s="360" t="s">
        <v>372</v>
      </c>
      <c r="B629" s="340">
        <v>46269</v>
      </c>
      <c r="C629" s="181">
        <v>50569</v>
      </c>
      <c r="D629" s="30">
        <v>46269</v>
      </c>
      <c r="E629" s="30">
        <v>46266</v>
      </c>
      <c r="F629" s="30">
        <v>46276</v>
      </c>
      <c r="G629" s="37">
        <v>4420232552</v>
      </c>
      <c r="H629" s="37" t="s">
        <v>373</v>
      </c>
      <c r="I629" s="37">
        <v>9040040699</v>
      </c>
      <c r="J629" s="37" t="s">
        <v>27</v>
      </c>
      <c r="K629" s="325" t="s">
        <v>28</v>
      </c>
      <c r="L629" s="181">
        <v>10</v>
      </c>
      <c r="M629" s="181" t="s">
        <v>375</v>
      </c>
      <c r="N629" s="37" t="s">
        <v>428</v>
      </c>
      <c r="O629" s="31">
        <f>IF(F629&gt;0,F629-AB629,"")</f>
        <v>-33</v>
      </c>
      <c r="P629" s="37" t="str">
        <f>IF(F629&gt;0,IF(AB629="","PLANNING SUPPLY",IF(AB629&lt;=F629,"ONTIME DELIVERY","DELAY")),"")</f>
        <v>DELAY</v>
      </c>
      <c r="Q629" s="181" t="str">
        <f>IFERROR(IF(J629&gt;0,VLOOKUP(J629,#REF!,MATCH($Q$6,#REF!,0),0),""),"")</f>
        <v/>
      </c>
      <c r="R629" s="181" t="str">
        <f>IFERROR(IF(J629&gt;0,VLOOKUP(J629,#REF!,MATCH($R$6,#REF!,0),0),""),"")</f>
        <v/>
      </c>
      <c r="S629" s="181" t="e">
        <f>IF(I632&gt;0,Q629+R629,"")</f>
        <v>#VALUE!</v>
      </c>
      <c r="T629" s="181"/>
      <c r="U629" s="181"/>
      <c r="V629" s="37"/>
      <c r="W629" s="181" t="e">
        <f>IF(I632&gt;0,IF(S629&gt;L629,"READY STOCK",IF(S629=0,"OUT OF STOCK",IF(S629&lt;L629,"LOW STOCK",""))),"")</f>
        <v>#VALUE!</v>
      </c>
      <c r="X629" s="38"/>
      <c r="Y629" s="38"/>
      <c r="Z629" s="38"/>
      <c r="AA629" s="38"/>
      <c r="AB629" s="50">
        <v>46309</v>
      </c>
      <c r="AC629" s="44">
        <v>35040</v>
      </c>
      <c r="AD629" s="51">
        <v>2</v>
      </c>
      <c r="AE629" s="37" t="s">
        <v>387</v>
      </c>
      <c r="AF629" s="37" t="s">
        <v>381</v>
      </c>
      <c r="AG629" s="33" t="str">
        <f>IF(G629&gt;0,IF(AD629&gt;0,IF(AD629=0,"Waiting",IF(AD629&lt;L629,"Partial",IF(AD629=L629,"Full Supply",IF(AD629&gt;L629,"Over Shared")))),"Waiting"),"")</f>
        <v>Partial</v>
      </c>
      <c r="AH629" s="37"/>
      <c r="AI629" s="37"/>
      <c r="AJ629" s="181"/>
      <c r="AK629" s="40"/>
      <c r="AL629" s="40"/>
      <c r="AM629" s="40"/>
      <c r="AN629" s="37"/>
      <c r="AO629" s="34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181">
        <f>L629-AD629</f>
        <v>8</v>
      </c>
    </row>
    <row r="630" spans="1:52" ht="15.5" customHeight="1">
      <c r="A630" s="360" t="s">
        <v>372</v>
      </c>
      <c r="B630" s="340">
        <v>46269</v>
      </c>
      <c r="C630" s="181">
        <v>50569</v>
      </c>
      <c r="D630" s="30">
        <v>46269</v>
      </c>
      <c r="E630" s="30">
        <v>46266</v>
      </c>
      <c r="F630" s="30">
        <v>46276</v>
      </c>
      <c r="G630" s="37">
        <v>4420232552</v>
      </c>
      <c r="H630" s="37" t="s">
        <v>373</v>
      </c>
      <c r="I630" s="37">
        <v>9040040923</v>
      </c>
      <c r="J630" s="37" t="s">
        <v>150</v>
      </c>
      <c r="K630" s="325" t="s">
        <v>151</v>
      </c>
      <c r="L630" s="181">
        <v>1</v>
      </c>
      <c r="M630" s="181" t="s">
        <v>375</v>
      </c>
      <c r="N630" s="37" t="s">
        <v>428</v>
      </c>
      <c r="O630" s="31">
        <f>IF(F630&gt;0,F630-AB630,"")</f>
        <v>-31</v>
      </c>
      <c r="P630" s="37" t="str">
        <f>IF(F630&gt;0,IF(AB630="","PLANNING SUPPLY",IF(AB630&lt;=F630,"ONTIME DELIVERY","DELAY")),"")</f>
        <v>DELAY</v>
      </c>
      <c r="Q630" s="181" t="str">
        <f>IFERROR(IF(J630&gt;0,VLOOKUP(J630,#REF!,MATCH($Q$6,#REF!,0),0),""),"")</f>
        <v/>
      </c>
      <c r="R630" s="181" t="str">
        <f>IFERROR(IF(J630&gt;0,VLOOKUP(J630,#REF!,MATCH($R$6,#REF!,0),0),""),"")</f>
        <v/>
      </c>
      <c r="S630" s="181" t="e">
        <f>IF(I633&gt;0,Q630+R630,"")</f>
        <v>#VALUE!</v>
      </c>
      <c r="T630" s="181"/>
      <c r="U630" s="181"/>
      <c r="V630" s="37"/>
      <c r="W630" s="181" t="e">
        <f>IF(I633&gt;0,IF(S630&gt;L630,"READY STOCK",IF(S630=0,"OUT OF STOCK",IF(S630&lt;L630,"LOW STOCK",""))),"")</f>
        <v>#VALUE!</v>
      </c>
      <c r="X630" s="38"/>
      <c r="Y630" s="38"/>
      <c r="Z630" s="38"/>
      <c r="AA630" s="38"/>
      <c r="AB630" s="50">
        <v>46307</v>
      </c>
      <c r="AC630" s="181">
        <v>34929</v>
      </c>
      <c r="AD630" s="51">
        <v>1</v>
      </c>
      <c r="AE630" s="37" t="s">
        <v>387</v>
      </c>
      <c r="AF630" s="37" t="s">
        <v>381</v>
      </c>
      <c r="AG630" s="33" t="str">
        <f>IF(G630&gt;0,IF(AD630&gt;0,IF(AD630=0,"Waiting",IF(AD630&lt;L630,"Partial",IF(AD630=L630,"Full Supply",IF(AD630&gt;L630,"Over Shared")))),"Waiting"),"")</f>
        <v>Full Supply</v>
      </c>
      <c r="AH630" s="56">
        <v>46296</v>
      </c>
      <c r="AI630" s="37" t="s">
        <v>1325</v>
      </c>
      <c r="AJ630" s="181">
        <v>9</v>
      </c>
      <c r="AK630" s="40"/>
      <c r="AL630" s="40"/>
      <c r="AM630" s="40"/>
      <c r="AN630" s="216"/>
      <c r="AO630" s="232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181">
        <f>L630-AD630</f>
        <v>0</v>
      </c>
    </row>
    <row r="631" spans="1:52" ht="15.5" customHeight="1">
      <c r="A631" s="360" t="s">
        <v>372</v>
      </c>
      <c r="B631" s="340">
        <v>46269</v>
      </c>
      <c r="C631" s="181">
        <v>50569</v>
      </c>
      <c r="D631" s="30">
        <v>46269</v>
      </c>
      <c r="E631" s="30">
        <v>46266</v>
      </c>
      <c r="F631" s="30">
        <v>46276</v>
      </c>
      <c r="G631" s="37">
        <v>4420232552</v>
      </c>
      <c r="H631" s="37" t="s">
        <v>373</v>
      </c>
      <c r="I631" s="37">
        <v>9040044218</v>
      </c>
      <c r="J631" s="37" t="s">
        <v>264</v>
      </c>
      <c r="K631" s="325" t="s">
        <v>265</v>
      </c>
      <c r="L631" s="181">
        <v>15</v>
      </c>
      <c r="M631" s="181" t="s">
        <v>375</v>
      </c>
      <c r="N631" s="37" t="s">
        <v>428</v>
      </c>
      <c r="O631" s="31">
        <f>IF(F631&gt;0,F631-AB631,"")</f>
        <v>-33</v>
      </c>
      <c r="P631" s="37" t="str">
        <f>IF(F631&gt;0,IF(AB631="","PLANNING SUPPLY",IF(AB631&lt;=F631,"ONTIME DELIVERY","DELAY")),"")</f>
        <v>DELAY</v>
      </c>
      <c r="Q631" s="181" t="str">
        <f>IFERROR(IF(J631&gt;0,VLOOKUP(J631,#REF!,MATCH($Q$6,#REF!,0),0),""),"")</f>
        <v/>
      </c>
      <c r="R631" s="181" t="str">
        <f>IFERROR(IF(J631&gt;0,VLOOKUP(J631,#REF!,MATCH($R$6,#REF!,0),0),""),"")</f>
        <v/>
      </c>
      <c r="S631" s="181" t="e">
        <f>IF(I634&gt;0,Q631+R631,"")</f>
        <v>#VALUE!</v>
      </c>
      <c r="T631" s="181"/>
      <c r="U631" s="181"/>
      <c r="V631" s="37"/>
      <c r="W631" s="181" t="e">
        <f>IF(I634&gt;0,IF(S631&gt;L631,"READY STOCK",IF(S631=0,"OUT OF STOCK",IF(S631&lt;L631,"LOW STOCK",""))),"")</f>
        <v>#VALUE!</v>
      </c>
      <c r="X631" s="38"/>
      <c r="Y631" s="38"/>
      <c r="Z631" s="38"/>
      <c r="AA631" s="38"/>
      <c r="AB631" s="50">
        <v>46309</v>
      </c>
      <c r="AC631" s="44">
        <v>35040</v>
      </c>
      <c r="AD631" s="51">
        <v>15</v>
      </c>
      <c r="AE631" s="37" t="s">
        <v>387</v>
      </c>
      <c r="AF631" s="37" t="s">
        <v>381</v>
      </c>
      <c r="AG631" s="33" t="str">
        <f>IF(G631&gt;0,IF(AD631&gt;0,IF(AD631=0,"Waiting",IF(AD631&lt;L631,"Partial",IF(AD631=L631,"Full Supply",IF(AD631&gt;L631,"Over Shared")))),"Waiting"),"")</f>
        <v>Full Supply</v>
      </c>
      <c r="AH631" s="37"/>
      <c r="AI631" s="37"/>
      <c r="AJ631" s="181"/>
      <c r="AK631" s="40"/>
      <c r="AL631" s="40"/>
      <c r="AM631" s="40"/>
      <c r="AN631" s="37"/>
      <c r="AO631" s="34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181">
        <f>L631-AD631</f>
        <v>0</v>
      </c>
    </row>
    <row r="632" spans="1:52" ht="15.5" customHeight="1">
      <c r="A632" s="360" t="s">
        <v>372</v>
      </c>
      <c r="B632" s="340">
        <v>46269</v>
      </c>
      <c r="C632" s="181">
        <v>50569</v>
      </c>
      <c r="D632" s="30">
        <v>46269</v>
      </c>
      <c r="E632" s="30">
        <v>46266</v>
      </c>
      <c r="F632" s="30">
        <v>46276</v>
      </c>
      <c r="G632" s="37">
        <v>4420232552</v>
      </c>
      <c r="H632" s="37" t="s">
        <v>373</v>
      </c>
      <c r="I632" s="37">
        <v>9040054918</v>
      </c>
      <c r="J632" s="37" t="s">
        <v>308</v>
      </c>
      <c r="K632" s="325" t="s">
        <v>309</v>
      </c>
      <c r="L632" s="181">
        <v>2</v>
      </c>
      <c r="M632" s="181" t="s">
        <v>429</v>
      </c>
      <c r="N632" s="37" t="s">
        <v>428</v>
      </c>
      <c r="O632" s="31">
        <f>IF(F632&gt;0,F632-AB632,"")</f>
        <v>-13</v>
      </c>
      <c r="P632" s="37" t="str">
        <f>IF(F632&gt;0,IF(AB632="","PLANNING SUPPLY",IF(AB632&lt;=F632,"ONTIME DELIVERY","DELAY")),"")</f>
        <v>DELAY</v>
      </c>
      <c r="Q632" s="181" t="str">
        <f>IFERROR(IF(J632&gt;0,VLOOKUP(J632,#REF!,MATCH($Q$6,#REF!,0),0),""),"")</f>
        <v/>
      </c>
      <c r="R632" s="181" t="str">
        <f>IFERROR(IF(J632&gt;0,VLOOKUP(J632,#REF!,MATCH($R$6,#REF!,0),0),""),"")</f>
        <v/>
      </c>
      <c r="S632" s="181" t="e">
        <f>IF(I635&gt;0,Q632+R632,"")</f>
        <v>#VALUE!</v>
      </c>
      <c r="T632" s="181"/>
      <c r="U632" s="181"/>
      <c r="V632" s="37"/>
      <c r="W632" s="181" t="e">
        <f>IF(I635&gt;0,IF(S632&gt;L632,"READY STOCK",IF(S632=0,"OUT OF STOCK",IF(S632&lt;L632,"LOW STOCK",""))),"")</f>
        <v>#VALUE!</v>
      </c>
      <c r="X632" s="38"/>
      <c r="Y632" s="38"/>
      <c r="Z632" s="38"/>
      <c r="AA632" s="38"/>
      <c r="AB632" s="50">
        <v>46289</v>
      </c>
      <c r="AC632" s="181">
        <v>34550</v>
      </c>
      <c r="AD632" s="51">
        <v>2</v>
      </c>
      <c r="AE632" s="37" t="s">
        <v>383</v>
      </c>
      <c r="AF632" s="37" t="s">
        <v>381</v>
      </c>
      <c r="AG632" s="33" t="str">
        <f>IF(G632&gt;0,IF(AD632&gt;0,IF(AD632=0,"Waiting",IF(AD632&lt;L632,"Partial",IF(AD632=L632,"Full Supply",IF(AD632&gt;L632,"Over Shared")))),"Waiting"),"")</f>
        <v>Full Supply</v>
      </c>
      <c r="AH632" s="37"/>
      <c r="AI632" s="37"/>
      <c r="AJ632" s="181"/>
      <c r="AK632" s="40"/>
      <c r="AL632" s="40"/>
      <c r="AM632" s="40"/>
      <c r="AN632" s="37"/>
      <c r="AO632" s="34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181">
        <f>L632-AD632</f>
        <v>0</v>
      </c>
    </row>
    <row r="633" spans="1:52" ht="15.5" customHeight="1">
      <c r="A633" s="360" t="s">
        <v>372</v>
      </c>
      <c r="B633" s="340">
        <v>46269</v>
      </c>
      <c r="C633" s="181">
        <v>50569</v>
      </c>
      <c r="D633" s="30">
        <v>46269</v>
      </c>
      <c r="E633" s="30">
        <v>46266</v>
      </c>
      <c r="F633" s="30">
        <v>46276</v>
      </c>
      <c r="G633" s="37">
        <v>4420232552</v>
      </c>
      <c r="H633" s="37" t="s">
        <v>373</v>
      </c>
      <c r="I633" s="37">
        <v>9040054919</v>
      </c>
      <c r="J633" s="37" t="s">
        <v>311</v>
      </c>
      <c r="K633" s="325" t="s">
        <v>312</v>
      </c>
      <c r="L633" s="181">
        <v>2</v>
      </c>
      <c r="M633" s="181" t="s">
        <v>429</v>
      </c>
      <c r="N633" s="37" t="s">
        <v>428</v>
      </c>
      <c r="O633" s="31">
        <f>IF(F633&gt;0,F633-AB633,"")</f>
        <v>-3</v>
      </c>
      <c r="P633" s="37" t="str">
        <f>IF(F633&gt;0,IF(AB633="","PLANNING SUPPLY",IF(AB633&lt;=F633,"ONTIME DELIVERY","DELAY")),"")</f>
        <v>DELAY</v>
      </c>
      <c r="Q633" s="181" t="str">
        <f>IFERROR(IF(J633&gt;0,VLOOKUP(J633,#REF!,MATCH($Q$6,#REF!,0),0),""),"")</f>
        <v/>
      </c>
      <c r="R633" s="181" t="str">
        <f>IFERROR(IF(J633&gt;0,VLOOKUP(J633,#REF!,MATCH($R$6,#REF!,0),0),""),"")</f>
        <v/>
      </c>
      <c r="S633" s="181" t="e">
        <f>IF(I636&gt;0,Q633+R633,"")</f>
        <v>#VALUE!</v>
      </c>
      <c r="T633" s="181"/>
      <c r="U633" s="181"/>
      <c r="V633" s="37"/>
      <c r="W633" s="181" t="e">
        <f>IF(I636&gt;0,IF(S633&gt;L633,"READY STOCK",IF(S633=0,"OUT OF STOCK",IF(S633&lt;L633,"LOW STOCK",""))),"")</f>
        <v>#VALUE!</v>
      </c>
      <c r="X633" s="38"/>
      <c r="Y633" s="38"/>
      <c r="Z633" s="38"/>
      <c r="AA633" s="38"/>
      <c r="AB633" s="50">
        <v>46279</v>
      </c>
      <c r="AC633" s="181">
        <v>34250</v>
      </c>
      <c r="AD633" s="51">
        <v>2</v>
      </c>
      <c r="AE633" s="37" t="s">
        <v>387</v>
      </c>
      <c r="AF633" s="37" t="s">
        <v>381</v>
      </c>
      <c r="AG633" s="33" t="str">
        <f>IF(G633&gt;0,IF(AD633&gt;0,IF(AD633=0,"Waiting",IF(AD633&lt;L633,"Partial",IF(AD633=L633,"Full Supply",IF(AD633&gt;L633,"Over Shared")))),"Waiting"),"")</f>
        <v>Full Supply</v>
      </c>
      <c r="AH633" s="37"/>
      <c r="AI633" s="37"/>
      <c r="AJ633" s="181"/>
      <c r="AK633" s="40"/>
      <c r="AL633" s="40"/>
      <c r="AM633" s="40"/>
      <c r="AN633" s="37"/>
      <c r="AO633" s="34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181">
        <f>L633-AD633</f>
        <v>0</v>
      </c>
    </row>
    <row r="634" spans="1:52" ht="15.5" customHeight="1">
      <c r="A634" s="360" t="s">
        <v>372</v>
      </c>
      <c r="B634" s="340">
        <v>46269</v>
      </c>
      <c r="C634" s="181">
        <v>50569</v>
      </c>
      <c r="D634" s="30">
        <v>46269</v>
      </c>
      <c r="E634" s="30">
        <v>46266</v>
      </c>
      <c r="F634" s="30">
        <v>46276</v>
      </c>
      <c r="G634" s="37">
        <v>4420232552</v>
      </c>
      <c r="H634" s="37" t="s">
        <v>373</v>
      </c>
      <c r="I634" s="37">
        <v>9040054960</v>
      </c>
      <c r="J634" s="37" t="s">
        <v>306</v>
      </c>
      <c r="K634" s="325" t="s">
        <v>307</v>
      </c>
      <c r="L634" s="181">
        <v>2</v>
      </c>
      <c r="M634" s="181" t="s">
        <v>421</v>
      </c>
      <c r="N634" s="37" t="s">
        <v>428</v>
      </c>
      <c r="O634" s="31">
        <f>IF(F634&gt;0,F634-AB634,"")</f>
        <v>-25</v>
      </c>
      <c r="P634" s="37" t="str">
        <f>IF(F634&gt;0,IF(AB634="","PLANNING SUPPLY",IF(AB634&lt;=F634,"ONTIME DELIVERY","DELAY")),"")</f>
        <v>DELAY</v>
      </c>
      <c r="Q634" s="181" t="str">
        <f>IFERROR(IF(J634&gt;0,VLOOKUP(J634,#REF!,MATCH($Q$6,#REF!,0),0),""),"")</f>
        <v/>
      </c>
      <c r="R634" s="181" t="str">
        <f>IFERROR(IF(J634&gt;0,VLOOKUP(J634,#REF!,MATCH($R$6,#REF!,0),0),""),"")</f>
        <v/>
      </c>
      <c r="S634" s="181" t="e">
        <f>IF(I637&gt;0,Q634+R634,"")</f>
        <v>#VALUE!</v>
      </c>
      <c r="T634" s="181"/>
      <c r="U634" s="181"/>
      <c r="V634" s="37"/>
      <c r="W634" s="181" t="e">
        <f>IF(I637&gt;0,IF(S634&gt;L634,"READY STOCK",IF(S634=0,"OUT OF STOCK",IF(S634&lt;L634,"LOW STOCK",""))),"")</f>
        <v>#VALUE!</v>
      </c>
      <c r="X634" s="38"/>
      <c r="Y634" s="38"/>
      <c r="Z634" s="38"/>
      <c r="AA634" s="38"/>
      <c r="AB634" s="57">
        <v>46301</v>
      </c>
      <c r="AC634" s="181">
        <v>34784</v>
      </c>
      <c r="AD634" s="53">
        <v>2</v>
      </c>
      <c r="AE634" s="58" t="s">
        <v>387</v>
      </c>
      <c r="AF634" s="58" t="s">
        <v>381</v>
      </c>
      <c r="AG634" s="33" t="str">
        <f>IF(G634&gt;0,IF(AD634&gt;0,IF(AD634=0,"Waiting",IF(AD634&lt;L634,"Partial",IF(AD634=L634,"Full Supply",IF(AD634&gt;L634,"Over Shared")))),"Waiting"),"")</f>
        <v>Full Supply</v>
      </c>
      <c r="AH634" s="37"/>
      <c r="AI634" s="37"/>
      <c r="AJ634" s="181"/>
      <c r="AK634" s="40">
        <v>26523</v>
      </c>
      <c r="AL634" s="40"/>
      <c r="AM634" s="40"/>
      <c r="AN634" s="37" t="s">
        <v>1321</v>
      </c>
      <c r="AO634" s="41">
        <v>46299</v>
      </c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181">
        <f>L634-AD634</f>
        <v>0</v>
      </c>
    </row>
    <row r="635" spans="1:52" ht="15.5" customHeight="1">
      <c r="A635" s="360" t="s">
        <v>372</v>
      </c>
      <c r="B635" s="340">
        <v>46269</v>
      </c>
      <c r="C635" s="181">
        <v>50569</v>
      </c>
      <c r="D635" s="30">
        <v>46269</v>
      </c>
      <c r="E635" s="30">
        <v>46266</v>
      </c>
      <c r="F635" s="30">
        <v>46276</v>
      </c>
      <c r="G635" s="37">
        <v>4420232552</v>
      </c>
      <c r="H635" s="37" t="s">
        <v>373</v>
      </c>
      <c r="I635" s="37">
        <v>9040058616</v>
      </c>
      <c r="J635" s="37" t="s">
        <v>213</v>
      </c>
      <c r="K635" s="325" t="s">
        <v>214</v>
      </c>
      <c r="L635" s="181">
        <v>6</v>
      </c>
      <c r="M635" s="181" t="s">
        <v>375</v>
      </c>
      <c r="N635" s="37" t="s">
        <v>428</v>
      </c>
      <c r="O635" s="31">
        <f>IF(F635&gt;0,F635-AB635,"")</f>
        <v>-3</v>
      </c>
      <c r="P635" s="37" t="str">
        <f>IF(F635&gt;0,IF(AB635="","PLANNING SUPPLY",IF(AB635&lt;=F635,"ONTIME DELIVERY","DELAY")),"")</f>
        <v>DELAY</v>
      </c>
      <c r="Q635" s="181" t="str">
        <f>IFERROR(IF(J635&gt;0,VLOOKUP(J635,#REF!,MATCH($Q$6,#REF!,0),0),""),"")</f>
        <v/>
      </c>
      <c r="R635" s="181" t="str">
        <f>IFERROR(IF(J635&gt;0,VLOOKUP(J635,#REF!,MATCH($R$6,#REF!,0),0),""),"")</f>
        <v/>
      </c>
      <c r="S635" s="181" t="e">
        <f>IF(I638&gt;0,Q635+R635,"")</f>
        <v>#VALUE!</v>
      </c>
      <c r="T635" s="181"/>
      <c r="U635" s="181"/>
      <c r="V635" s="37"/>
      <c r="W635" s="181" t="e">
        <f>IF(I638&gt;0,IF(S635&gt;L635,"READY STOCK",IF(S635=0,"OUT OF STOCK",IF(S635&lt;L635,"LOW STOCK",""))),"")</f>
        <v>#VALUE!</v>
      </c>
      <c r="X635" s="38"/>
      <c r="Y635" s="38"/>
      <c r="Z635" s="38"/>
      <c r="AA635" s="38"/>
      <c r="AB635" s="50">
        <v>46279</v>
      </c>
      <c r="AC635" s="181">
        <v>34243</v>
      </c>
      <c r="AD635" s="51">
        <v>6</v>
      </c>
      <c r="AE635" s="37" t="s">
        <v>387</v>
      </c>
      <c r="AF635" s="37" t="s">
        <v>381</v>
      </c>
      <c r="AG635" s="33" t="str">
        <f>IF(G635&gt;0,IF(AD635&gt;0,IF(AD635=0,"Waiting",IF(AD635&lt;L635,"Partial",IF(AD635=L635,"Full Supply",IF(AD635&gt;L635,"Over Shared")))),"Waiting"),"")</f>
        <v>Full Supply</v>
      </c>
      <c r="AH635" s="233"/>
      <c r="AI635" s="37"/>
      <c r="AJ635" s="181"/>
      <c r="AK635" s="40"/>
      <c r="AL635" s="40"/>
      <c r="AM635" s="40"/>
      <c r="AN635" s="37"/>
      <c r="AO635" s="34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181">
        <f>L635-AD635</f>
        <v>0</v>
      </c>
    </row>
    <row r="636" spans="1:52" ht="15.5" customHeight="1">
      <c r="A636" s="360" t="s">
        <v>372</v>
      </c>
      <c r="B636" s="340">
        <v>46269</v>
      </c>
      <c r="C636" s="181">
        <v>50569</v>
      </c>
      <c r="D636" s="30">
        <v>46269</v>
      </c>
      <c r="E636" s="30">
        <v>46266</v>
      </c>
      <c r="F636" s="30">
        <v>46276</v>
      </c>
      <c r="G636" s="37">
        <v>4420232552</v>
      </c>
      <c r="H636" s="37" t="s">
        <v>373</v>
      </c>
      <c r="I636" s="37">
        <v>9040024657</v>
      </c>
      <c r="J636" s="37" t="s">
        <v>252</v>
      </c>
      <c r="K636" s="325" t="s">
        <v>253</v>
      </c>
      <c r="L636" s="181">
        <v>10</v>
      </c>
      <c r="M636" s="181" t="s">
        <v>375</v>
      </c>
      <c r="N636" s="37" t="s">
        <v>428</v>
      </c>
      <c r="O636" s="31">
        <f>IF(F636&gt;0,F636-AB636,"")</f>
        <v>-24</v>
      </c>
      <c r="P636" s="37" t="str">
        <f>IF(F636&gt;0,IF(AB636="","PLANNING SUPPLY",IF(AB636&lt;=F636,"ONTIME DELIVERY","DELAY")),"")</f>
        <v>DELAY</v>
      </c>
      <c r="Q636" s="181" t="str">
        <f>IFERROR(IF(J636&gt;0,VLOOKUP(J636,#REF!,MATCH($Q$6,#REF!,0),0),""),"")</f>
        <v/>
      </c>
      <c r="R636" s="181" t="str">
        <f>IFERROR(IF(J636&gt;0,VLOOKUP(J636,#REF!,MATCH($R$6,#REF!,0),0),""),"")</f>
        <v/>
      </c>
      <c r="S636" s="181" t="e">
        <f>IF(I639&gt;0,Q636+R636,"")</f>
        <v>#VALUE!</v>
      </c>
      <c r="T636" s="181"/>
      <c r="U636" s="181"/>
      <c r="V636" s="37"/>
      <c r="W636" s="181" t="e">
        <f>IF(I639&gt;0,IF(S636&gt;L636,"READY STOCK",IF(S636=0,"OUT OF STOCK",IF(S636&lt;L636,"LOW STOCK",""))),"")</f>
        <v>#VALUE!</v>
      </c>
      <c r="X636" s="38"/>
      <c r="Y636" s="38"/>
      <c r="Z636" s="38"/>
      <c r="AA636" s="38"/>
      <c r="AB636" s="50">
        <v>46300</v>
      </c>
      <c r="AC636" s="44">
        <v>34730</v>
      </c>
      <c r="AD636" s="51">
        <v>10</v>
      </c>
      <c r="AE636" s="37" t="s">
        <v>387</v>
      </c>
      <c r="AF636" s="37" t="s">
        <v>381</v>
      </c>
      <c r="AG636" s="33" t="str">
        <f>IF(G636&gt;0,IF(AD636&gt;0,IF(AD636=0,"Waiting",IF(AD636&lt;L636,"Partial",IF(AD636=L636,"Full Supply",IF(AD636&gt;L636,"Over Shared")))),"Waiting"),"")</f>
        <v>Full Supply</v>
      </c>
      <c r="AH636" s="37"/>
      <c r="AI636" s="37"/>
      <c r="AJ636" s="181"/>
      <c r="AK636" s="40"/>
      <c r="AL636" s="40"/>
      <c r="AM636" s="40"/>
      <c r="AN636" s="37"/>
      <c r="AO636" s="34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181">
        <f>L636-AD636</f>
        <v>0</v>
      </c>
    </row>
    <row r="637" spans="1:52" ht="15.5" customHeight="1">
      <c r="A637" s="360" t="s">
        <v>372</v>
      </c>
      <c r="B637" s="340">
        <v>46269</v>
      </c>
      <c r="C637" s="181">
        <v>50569</v>
      </c>
      <c r="D637" s="30">
        <v>46269</v>
      </c>
      <c r="E637" s="30">
        <v>46266</v>
      </c>
      <c r="F637" s="30">
        <v>46276</v>
      </c>
      <c r="G637" s="37">
        <v>4420232552</v>
      </c>
      <c r="H637" s="37" t="s">
        <v>373</v>
      </c>
      <c r="I637" s="37">
        <v>9040029517</v>
      </c>
      <c r="J637" s="37" t="s">
        <v>197</v>
      </c>
      <c r="K637" s="325" t="s">
        <v>198</v>
      </c>
      <c r="L637" s="181">
        <v>10</v>
      </c>
      <c r="M637" s="181" t="s">
        <v>375</v>
      </c>
      <c r="N637" s="37" t="s">
        <v>428</v>
      </c>
      <c r="O637" s="31">
        <f>IF(F637&gt;0,F637-AB637,"")</f>
        <v>1</v>
      </c>
      <c r="P637" s="37" t="str">
        <f>IF(F637&gt;0,IF(AB637="","PLANNING SUPPLY",IF(AB637&lt;=F637,"ONTIME DELIVERY","DELAY")),"")</f>
        <v>ONTIME DELIVERY</v>
      </c>
      <c r="Q637" s="181" t="str">
        <f>IFERROR(IF(J637&gt;0,VLOOKUP(J637,#REF!,MATCH($Q$6,#REF!,0),0),""),"")</f>
        <v/>
      </c>
      <c r="R637" s="181" t="str">
        <f>IFERROR(IF(J637&gt;0,VLOOKUP(J637,#REF!,MATCH($R$6,#REF!,0),0),""),"")</f>
        <v/>
      </c>
      <c r="S637" s="181" t="e">
        <f>IF(I640&gt;0,Q637+R637,"")</f>
        <v>#VALUE!</v>
      </c>
      <c r="T637" s="181"/>
      <c r="U637" s="181"/>
      <c r="V637" s="37"/>
      <c r="W637" s="181" t="e">
        <f>IF(I640&gt;0,IF(S637&gt;L637,"READY STOCK",IF(S637=0,"OUT OF STOCK",IF(S637&lt;L637,"LOW STOCK",""))),"")</f>
        <v>#VALUE!</v>
      </c>
      <c r="X637" s="38"/>
      <c r="Y637" s="38"/>
      <c r="Z637" s="38"/>
      <c r="AA637" s="38"/>
      <c r="AB637" s="50">
        <v>46275</v>
      </c>
      <c r="AC637" s="181">
        <v>34173</v>
      </c>
      <c r="AD637" s="51">
        <v>10</v>
      </c>
      <c r="AE637" s="37" t="s">
        <v>383</v>
      </c>
      <c r="AF637" s="37" t="s">
        <v>381</v>
      </c>
      <c r="AG637" s="33" t="str">
        <f>IF(G637&gt;0,IF(AD637&gt;0,IF(AD637=0,"Waiting",IF(AD637&lt;L637,"Partial",IF(AD637=L637,"Full Supply",IF(AD637&gt;L637,"Over Shared")))),"Waiting"),"")</f>
        <v>Full Supply</v>
      </c>
      <c r="AH637" s="37"/>
      <c r="AI637" s="37"/>
      <c r="AJ637" s="181"/>
      <c r="AK637" s="40"/>
      <c r="AL637" s="40"/>
      <c r="AM637" s="40"/>
      <c r="AN637" s="37"/>
      <c r="AO637" s="34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181">
        <f>L637-AD637</f>
        <v>0</v>
      </c>
    </row>
    <row r="638" spans="1:52" ht="15.5" customHeight="1">
      <c r="A638" s="360" t="s">
        <v>372</v>
      </c>
      <c r="B638" s="340">
        <v>46269</v>
      </c>
      <c r="C638" s="181">
        <v>50569</v>
      </c>
      <c r="D638" s="30">
        <v>46269</v>
      </c>
      <c r="E638" s="30">
        <v>46266</v>
      </c>
      <c r="F638" s="30">
        <v>46276</v>
      </c>
      <c r="G638" s="37">
        <v>4420232552</v>
      </c>
      <c r="H638" s="37" t="s">
        <v>373</v>
      </c>
      <c r="I638" s="37">
        <v>9040040933</v>
      </c>
      <c r="J638" s="37" t="s">
        <v>295</v>
      </c>
      <c r="K638" s="325" t="s">
        <v>296</v>
      </c>
      <c r="L638" s="181">
        <v>1</v>
      </c>
      <c r="M638" s="181" t="s">
        <v>375</v>
      </c>
      <c r="N638" s="37" t="s">
        <v>428</v>
      </c>
      <c r="O638" s="31">
        <f>IF(F638&gt;0,F638-AB638,"")</f>
        <v>1</v>
      </c>
      <c r="P638" s="37" t="str">
        <f>IF(F638&gt;0,IF(AB638="","PLANNING SUPPLY",IF(AB638&lt;=F638,"ONTIME DELIVERY","DELAY")),"")</f>
        <v>ONTIME DELIVERY</v>
      </c>
      <c r="Q638" s="181" t="str">
        <f>IFERROR(IF(J638&gt;0,VLOOKUP(J638,#REF!,MATCH($Q$6,#REF!,0),0),""),"")</f>
        <v/>
      </c>
      <c r="R638" s="181" t="str">
        <f>IFERROR(IF(J638&gt;0,VLOOKUP(J638,#REF!,MATCH($R$6,#REF!,0),0),""),"")</f>
        <v/>
      </c>
      <c r="S638" s="181" t="e">
        <f>IF(I641&gt;0,Q638+R638,"")</f>
        <v>#VALUE!</v>
      </c>
      <c r="T638" s="181"/>
      <c r="U638" s="181"/>
      <c r="V638" s="37"/>
      <c r="W638" s="181" t="e">
        <f>IF(I641&gt;0,IF(S638&gt;L638,"READY STOCK",IF(S638=0,"OUT OF STOCK",IF(S638&lt;L638,"LOW STOCK",""))),"")</f>
        <v>#VALUE!</v>
      </c>
      <c r="X638" s="38"/>
      <c r="Y638" s="38"/>
      <c r="Z638" s="38"/>
      <c r="AA638" s="38"/>
      <c r="AB638" s="50">
        <v>46275</v>
      </c>
      <c r="AC638" s="181">
        <v>34173</v>
      </c>
      <c r="AD638" s="51">
        <v>1</v>
      </c>
      <c r="AE638" s="37" t="s">
        <v>383</v>
      </c>
      <c r="AF638" s="37" t="s">
        <v>381</v>
      </c>
      <c r="AG638" s="33" t="str">
        <f>IF(G638&gt;0,IF(AD638&gt;0,IF(AD638=0,"Waiting",IF(AD638&lt;L638,"Partial",IF(AD638=L638,"Full Supply",IF(AD638&gt;L638,"Over Shared")))),"Waiting"),"")</f>
        <v>Full Supply</v>
      </c>
      <c r="AH638" s="37"/>
      <c r="AI638" s="37"/>
      <c r="AJ638" s="181"/>
      <c r="AK638" s="40"/>
      <c r="AL638" s="40"/>
      <c r="AM638" s="40"/>
      <c r="AN638" s="37"/>
      <c r="AO638" s="34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181">
        <f>L638-AD638</f>
        <v>0</v>
      </c>
    </row>
    <row r="639" spans="1:52" ht="15.5" customHeight="1">
      <c r="A639" s="360" t="s">
        <v>372</v>
      </c>
      <c r="B639" s="340">
        <v>46269</v>
      </c>
      <c r="C639" s="181">
        <v>50569</v>
      </c>
      <c r="D639" s="30">
        <v>46269</v>
      </c>
      <c r="E639" s="30">
        <v>46266</v>
      </c>
      <c r="F639" s="30">
        <v>46276</v>
      </c>
      <c r="G639" s="37">
        <v>4420232552</v>
      </c>
      <c r="H639" s="37" t="s">
        <v>373</v>
      </c>
      <c r="I639" s="37">
        <v>9040017347</v>
      </c>
      <c r="J639" s="37" t="s">
        <v>72</v>
      </c>
      <c r="K639" s="325" t="s">
        <v>73</v>
      </c>
      <c r="L639" s="181">
        <v>4</v>
      </c>
      <c r="M639" s="181" t="s">
        <v>375</v>
      </c>
      <c r="N639" s="37" t="s">
        <v>428</v>
      </c>
      <c r="O639" s="31">
        <f>IF(F639&gt;0,F639-AB639,"")</f>
        <v>-6</v>
      </c>
      <c r="P639" s="37" t="str">
        <f>IF(F639&gt;0,IF(AB639="","PLANNING SUPPLY",IF(AB639&lt;=F639,"ONTIME DELIVERY","DELAY")),"")</f>
        <v>DELAY</v>
      </c>
      <c r="Q639" s="181" t="str">
        <f>IFERROR(IF(J639&gt;0,VLOOKUP(J639,#REF!,MATCH($Q$6,#REF!,0),0),""),"")</f>
        <v/>
      </c>
      <c r="R639" s="181" t="str">
        <f>IFERROR(IF(J639&gt;0,VLOOKUP(J639,#REF!,MATCH($R$6,#REF!,0),0),""),"")</f>
        <v/>
      </c>
      <c r="S639" s="181" t="e">
        <f>IF(I642&gt;0,Q639+R639,"")</f>
        <v>#VALUE!</v>
      </c>
      <c r="T639" s="181"/>
      <c r="U639" s="181"/>
      <c r="V639" s="37"/>
      <c r="W639" s="181" t="e">
        <f>IF(I642&gt;0,IF(S639&gt;L639,"READY STOCK",IF(S639=0,"OUT OF STOCK",IF(S639&lt;L639,"LOW STOCK",""))),"")</f>
        <v>#VALUE!</v>
      </c>
      <c r="X639" s="38"/>
      <c r="Y639" s="38"/>
      <c r="Z639" s="38"/>
      <c r="AA639" s="38"/>
      <c r="AB639" s="50">
        <v>46282</v>
      </c>
      <c r="AC639" s="181">
        <v>34393</v>
      </c>
      <c r="AD639" s="51">
        <v>4</v>
      </c>
      <c r="AE639" s="37" t="s">
        <v>387</v>
      </c>
      <c r="AF639" s="37" t="s">
        <v>381</v>
      </c>
      <c r="AG639" s="33" t="str">
        <f>IF(G639&gt;0,IF(AD639&gt;0,IF(AD639=0,"Waiting",IF(AD639&lt;L639,"Partial",IF(AD639=L639,"Full Supply",IF(AD639&gt;L639,"Over Shared")))),"Waiting"),"")</f>
        <v>Full Supply</v>
      </c>
      <c r="AH639" s="233">
        <v>46274</v>
      </c>
      <c r="AI639" s="37" t="s">
        <v>1327</v>
      </c>
      <c r="AJ639" s="181">
        <v>4</v>
      </c>
      <c r="AK639" s="40">
        <v>26394</v>
      </c>
      <c r="AL639" s="42">
        <v>46287</v>
      </c>
      <c r="AM639" s="40">
        <v>4</v>
      </c>
      <c r="AN639" s="37"/>
      <c r="AO639" s="239">
        <v>46298</v>
      </c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181">
        <f>L639-AD639</f>
        <v>0</v>
      </c>
    </row>
    <row r="640" spans="1:52" ht="15.5" customHeight="1">
      <c r="A640" s="360" t="s">
        <v>372</v>
      </c>
      <c r="B640" s="340">
        <v>46272</v>
      </c>
      <c r="C640" s="181">
        <v>50598</v>
      </c>
      <c r="D640" s="30">
        <v>46272</v>
      </c>
      <c r="E640" s="30">
        <v>46261</v>
      </c>
      <c r="F640" s="30">
        <v>46276</v>
      </c>
      <c r="G640" s="37">
        <v>4420232235</v>
      </c>
      <c r="H640" s="37" t="s">
        <v>373</v>
      </c>
      <c r="I640" s="37">
        <v>9040053265</v>
      </c>
      <c r="J640" s="37" t="s">
        <v>6</v>
      </c>
      <c r="K640" s="325" t="s">
        <v>7</v>
      </c>
      <c r="L640" s="181">
        <v>4</v>
      </c>
      <c r="M640" s="181" t="s">
        <v>375</v>
      </c>
      <c r="N640" s="37" t="s">
        <v>482</v>
      </c>
      <c r="O640" s="31">
        <f>IF(F640&gt;0,F640-AB640,"")</f>
        <v>46276</v>
      </c>
      <c r="P640" s="37" t="str">
        <f>IF(F640&gt;0,IF(AB640="","PLANNING SUPPLY",IF(AB640&lt;=F640,"ONTIME DELIVERY","DELAY")),"")</f>
        <v>PLANNING SUPPLY</v>
      </c>
      <c r="Q640" s="181" t="str">
        <f>IFERROR(IF(J640&gt;0,VLOOKUP(J640,#REF!,MATCH($Q$6,#REF!,0),0),""),"")</f>
        <v/>
      </c>
      <c r="R640" s="181" t="str">
        <f>IFERROR(IF(J640&gt;0,VLOOKUP(J640,#REF!,MATCH($R$6,#REF!,0),0),""),"")</f>
        <v/>
      </c>
      <c r="S640" s="181" t="e">
        <f>IF(I643&gt;0,Q640+R640,"")</f>
        <v>#VALUE!</v>
      </c>
      <c r="T640" s="181"/>
      <c r="U640" s="181"/>
      <c r="V640" s="37"/>
      <c r="W640" s="181" t="e">
        <f>IF(I643&gt;0,IF(S640&gt;L640,"READY STOCK",IF(S640=0,"OUT OF STOCK",IF(S640&lt;L640,"LOW STOCK",""))),"")</f>
        <v>#VALUE!</v>
      </c>
      <c r="X640" s="38"/>
      <c r="Y640" s="38"/>
      <c r="Z640" s="38"/>
      <c r="AA640" s="38"/>
      <c r="AB640" s="50"/>
      <c r="AC640" s="181"/>
      <c r="AD640" s="51"/>
      <c r="AE640" s="37"/>
      <c r="AF640" s="37"/>
      <c r="AG640" s="33" t="str">
        <f>IF(G640&gt;0,IF(AD640&gt;0,IF(AD640=0,"Waiting",IF(AD640&lt;L640,"Partial",IF(AD640=L640,"Full Supply",IF(AD640&gt;L640,"Over Shared")))),"Waiting"),"")</f>
        <v>Waiting</v>
      </c>
      <c r="AH640" s="56">
        <v>46295</v>
      </c>
      <c r="AI640" s="37" t="s">
        <v>1314</v>
      </c>
      <c r="AJ640" s="181">
        <v>25</v>
      </c>
      <c r="AK640" s="40">
        <v>26475</v>
      </c>
      <c r="AL640" s="42">
        <v>46296</v>
      </c>
      <c r="AM640" s="181">
        <v>25</v>
      </c>
      <c r="AN640" s="37"/>
      <c r="AO640" s="41">
        <v>46296</v>
      </c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181">
        <f>L640-AD640</f>
        <v>4</v>
      </c>
    </row>
    <row r="641" spans="1:52" ht="15.5" customHeight="1">
      <c r="A641" s="360" t="s">
        <v>372</v>
      </c>
      <c r="B641" s="340">
        <v>46272</v>
      </c>
      <c r="C641" s="181">
        <v>50598</v>
      </c>
      <c r="D641" s="30">
        <v>46272</v>
      </c>
      <c r="E641" s="30">
        <v>46261</v>
      </c>
      <c r="F641" s="30">
        <v>46276</v>
      </c>
      <c r="G641" s="37">
        <v>4420232235</v>
      </c>
      <c r="H641" s="37" t="s">
        <v>373</v>
      </c>
      <c r="I641" s="37">
        <v>9040045071</v>
      </c>
      <c r="J641" s="37" t="s">
        <v>229</v>
      </c>
      <c r="K641" s="325" t="s">
        <v>230</v>
      </c>
      <c r="L641" s="181">
        <v>2</v>
      </c>
      <c r="M641" s="181" t="s">
        <v>389</v>
      </c>
      <c r="N641" s="37" t="s">
        <v>482</v>
      </c>
      <c r="O641" s="31">
        <f>IF(F641&gt;0,F641-AB641,"")</f>
        <v>-13</v>
      </c>
      <c r="P641" s="37" t="str">
        <f>IF(F641&gt;0,IF(AB641="","PLANNING SUPPLY",IF(AB641&lt;=F641,"ONTIME DELIVERY","DELAY")),"")</f>
        <v>DELAY</v>
      </c>
      <c r="Q641" s="181" t="str">
        <f>IFERROR(IF(J641&gt;0,VLOOKUP(J641,#REF!,MATCH($Q$6,#REF!,0),0),""),"")</f>
        <v/>
      </c>
      <c r="R641" s="181" t="str">
        <f>IFERROR(IF(J641&gt;0,VLOOKUP(J641,#REF!,MATCH($R$6,#REF!,0),0),""),"")</f>
        <v/>
      </c>
      <c r="S641" s="181" t="e">
        <f>IF(I644&gt;0,Q641+R641,"")</f>
        <v>#VALUE!</v>
      </c>
      <c r="T641" s="181"/>
      <c r="U641" s="181"/>
      <c r="V641" s="37"/>
      <c r="W641" s="181" t="e">
        <f>IF(I644&gt;0,IF(S641&gt;L641,"READY STOCK",IF(S641=0,"OUT OF STOCK",IF(S641&lt;L641,"LOW STOCK",""))),"")</f>
        <v>#VALUE!</v>
      </c>
      <c r="X641" s="38"/>
      <c r="Y641" s="38"/>
      <c r="Z641" s="38"/>
      <c r="AA641" s="38"/>
      <c r="AB641" s="50">
        <v>46289</v>
      </c>
      <c r="AC641" s="181">
        <v>34536</v>
      </c>
      <c r="AD641" s="51">
        <v>2</v>
      </c>
      <c r="AE641" s="37" t="s">
        <v>383</v>
      </c>
      <c r="AF641" s="37" t="s">
        <v>381</v>
      </c>
      <c r="AG641" s="33" t="str">
        <f>IF(G641&gt;0,IF(AD641&gt;0,IF(AD641=0,"Waiting",IF(AD641&lt;L641,"Partial",IF(AD641=L641,"Full Supply",IF(AD641&gt;L641,"Over Shared")))),"Waiting"),"")</f>
        <v>Full Supply</v>
      </c>
      <c r="AH641" s="37"/>
      <c r="AI641" s="37"/>
      <c r="AJ641" s="181"/>
      <c r="AK641" s="40"/>
      <c r="AL641" s="40"/>
      <c r="AM641" s="40"/>
      <c r="AN641" s="37"/>
      <c r="AO641" s="34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181">
        <f>L641-AD641</f>
        <v>0</v>
      </c>
    </row>
    <row r="642" spans="1:52" ht="15.5" customHeight="1">
      <c r="A642" s="360" t="s">
        <v>372</v>
      </c>
      <c r="B642" s="340">
        <v>46272</v>
      </c>
      <c r="C642" s="181">
        <v>50599</v>
      </c>
      <c r="D642" s="30">
        <v>46272</v>
      </c>
      <c r="E642" s="30">
        <v>46269</v>
      </c>
      <c r="F642" s="30">
        <v>46274</v>
      </c>
      <c r="G642" s="37">
        <v>4420232865</v>
      </c>
      <c r="H642" s="37" t="s">
        <v>373</v>
      </c>
      <c r="I642" s="37">
        <v>9040012687</v>
      </c>
      <c r="J642" s="37" t="s">
        <v>178</v>
      </c>
      <c r="K642" s="325" t="s">
        <v>179</v>
      </c>
      <c r="L642" s="181">
        <v>5</v>
      </c>
      <c r="M642" s="181" t="s">
        <v>375</v>
      </c>
      <c r="N642" s="37" t="s">
        <v>384</v>
      </c>
      <c r="O642" s="31">
        <f>IF(F642&gt;0,F642-AB642,"")</f>
        <v>-1</v>
      </c>
      <c r="P642" s="37" t="str">
        <f>IF(F642&gt;0,IF(AB642="","PLANNING SUPPLY",IF(AB642&lt;=F642,"ONTIME DELIVERY","DELAY")),"")</f>
        <v>DELAY</v>
      </c>
      <c r="Q642" s="181" t="str">
        <f>IFERROR(IF(J642&gt;0,VLOOKUP(J642,#REF!,MATCH($Q$6,#REF!,0),0),""),"")</f>
        <v/>
      </c>
      <c r="R642" s="181" t="str">
        <f>IFERROR(IF(J642&gt;0,VLOOKUP(J642,#REF!,MATCH($R$6,#REF!,0),0),""),"")</f>
        <v/>
      </c>
      <c r="S642" s="181" t="e">
        <f>IF(I645&gt;0,Q642+R642,"")</f>
        <v>#VALUE!</v>
      </c>
      <c r="T642" s="181"/>
      <c r="U642" s="181"/>
      <c r="V642" s="37"/>
      <c r="W642" s="181" t="e">
        <f>IF(I645&gt;0,IF(S642&gt;L642,"READY STOCK",IF(S642=0,"OUT OF STOCK",IF(S642&lt;L642,"LOW STOCK",""))),"")</f>
        <v>#VALUE!</v>
      </c>
      <c r="X642" s="38"/>
      <c r="Y642" s="38"/>
      <c r="Z642" s="38"/>
      <c r="AA642" s="38"/>
      <c r="AB642" s="50">
        <v>46275</v>
      </c>
      <c r="AC642" s="181">
        <v>34164</v>
      </c>
      <c r="AD642" s="51">
        <v>5</v>
      </c>
      <c r="AE642" s="37" t="s">
        <v>383</v>
      </c>
      <c r="AF642" s="37" t="s">
        <v>381</v>
      </c>
      <c r="AG642" s="33" t="str">
        <f>IF(G642&gt;0,IF(AD642&gt;0,IF(AD642=0,"Waiting",IF(AD642&lt;L642,"Partial",IF(AD642=L642,"Full Supply",IF(AD642&gt;L642,"Over Shared")))),"Waiting"),"")</f>
        <v>Full Supply</v>
      </c>
      <c r="AH642" s="37"/>
      <c r="AI642" s="37"/>
      <c r="AJ642" s="181"/>
      <c r="AK642" s="40"/>
      <c r="AL642" s="40"/>
      <c r="AM642" s="40"/>
      <c r="AN642" s="37"/>
      <c r="AO642" s="34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181">
        <f>L642-AD642</f>
        <v>0</v>
      </c>
    </row>
    <row r="643" spans="1:52" ht="15.5" customHeight="1">
      <c r="A643" s="360" t="s">
        <v>372</v>
      </c>
      <c r="B643" s="340">
        <v>46272</v>
      </c>
      <c r="C643" s="181">
        <v>50599</v>
      </c>
      <c r="D643" s="30">
        <v>46272</v>
      </c>
      <c r="E643" s="30">
        <v>46269</v>
      </c>
      <c r="F643" s="30">
        <v>46274</v>
      </c>
      <c r="G643" s="37">
        <v>4420232865</v>
      </c>
      <c r="H643" s="37" t="s">
        <v>373</v>
      </c>
      <c r="I643" s="37">
        <v>9040040588</v>
      </c>
      <c r="J643" s="37" t="s">
        <v>76</v>
      </c>
      <c r="K643" s="325" t="s">
        <v>77</v>
      </c>
      <c r="L643" s="181">
        <v>53</v>
      </c>
      <c r="M643" s="181" t="s">
        <v>375</v>
      </c>
      <c r="N643" s="37" t="s">
        <v>384</v>
      </c>
      <c r="O643" s="31">
        <f>IF(F643&gt;0,F643-AB643,"")</f>
        <v>-1</v>
      </c>
      <c r="P643" s="37" t="str">
        <f>IF(F643&gt;0,IF(AB643="","PLANNING SUPPLY",IF(AB643&lt;=F643,"ONTIME DELIVERY","DELAY")),"")</f>
        <v>DELAY</v>
      </c>
      <c r="Q643" s="181" t="str">
        <f>IFERROR(IF(J643&gt;0,VLOOKUP(J643,#REF!,MATCH($Q$6,#REF!,0),0),""),"")</f>
        <v/>
      </c>
      <c r="R643" s="181" t="str">
        <f>IFERROR(IF(J643&gt;0,VLOOKUP(J643,#REF!,MATCH($R$6,#REF!,0),0),""),"")</f>
        <v/>
      </c>
      <c r="S643" s="181" t="e">
        <f>IF(I646&gt;0,Q643+R643,"")</f>
        <v>#VALUE!</v>
      </c>
      <c r="T643" s="181"/>
      <c r="U643" s="181"/>
      <c r="V643" s="37"/>
      <c r="W643" s="181" t="e">
        <f>IF(I646&gt;0,IF(S643&gt;L643,"READY STOCK",IF(S643=0,"OUT OF STOCK",IF(S643&lt;L643,"LOW STOCK",""))),"")</f>
        <v>#VALUE!</v>
      </c>
      <c r="X643" s="38"/>
      <c r="Y643" s="38"/>
      <c r="Z643" s="38"/>
      <c r="AA643" s="38"/>
      <c r="AB643" s="50">
        <v>46275</v>
      </c>
      <c r="AC643" s="181">
        <v>34164</v>
      </c>
      <c r="AD643" s="51">
        <v>53</v>
      </c>
      <c r="AE643" s="37" t="s">
        <v>383</v>
      </c>
      <c r="AF643" s="37" t="s">
        <v>381</v>
      </c>
      <c r="AG643" s="33" t="str">
        <f>IF(G643&gt;0,IF(AD643&gt;0,IF(AD643=0,"Waiting",IF(AD643&lt;L643,"Partial",IF(AD643=L643,"Full Supply",IF(AD643&gt;L643,"Over Shared")))),"Waiting"),"")</f>
        <v>Full Supply</v>
      </c>
      <c r="AH643" s="233">
        <v>46274</v>
      </c>
      <c r="AI643" s="37" t="s">
        <v>1327</v>
      </c>
      <c r="AJ643" s="181">
        <v>66</v>
      </c>
      <c r="AK643" s="40">
        <v>26352</v>
      </c>
      <c r="AL643" s="45">
        <v>46286</v>
      </c>
      <c r="AM643" s="40">
        <v>66</v>
      </c>
      <c r="AN643" s="37"/>
      <c r="AO643" s="241">
        <v>46295</v>
      </c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181">
        <f>L643-AD643</f>
        <v>0</v>
      </c>
    </row>
    <row r="644" spans="1:52" ht="15.5" customHeight="1">
      <c r="A644" s="360" t="s">
        <v>372</v>
      </c>
      <c r="B644" s="340">
        <v>46272</v>
      </c>
      <c r="C644" s="181">
        <v>50599</v>
      </c>
      <c r="D644" s="30">
        <v>46272</v>
      </c>
      <c r="E644" s="30">
        <v>46269</v>
      </c>
      <c r="F644" s="30">
        <v>46274</v>
      </c>
      <c r="G644" s="37">
        <v>4420232865</v>
      </c>
      <c r="H644" s="37" t="s">
        <v>373</v>
      </c>
      <c r="I644" s="37">
        <v>9040040699</v>
      </c>
      <c r="J644" s="37" t="s">
        <v>27</v>
      </c>
      <c r="K644" s="325" t="s">
        <v>28</v>
      </c>
      <c r="L644" s="181">
        <v>10</v>
      </c>
      <c r="M644" s="181" t="s">
        <v>375</v>
      </c>
      <c r="N644" s="37" t="s">
        <v>384</v>
      </c>
      <c r="O644" s="31">
        <f>IF(F644&gt;0,F644-AB644,"")</f>
        <v>-1</v>
      </c>
      <c r="P644" s="37" t="str">
        <f>IF(F644&gt;0,IF(AB644="","PLANNING SUPPLY",IF(AB644&lt;=F644,"ONTIME DELIVERY","DELAY")),"")</f>
        <v>DELAY</v>
      </c>
      <c r="Q644" s="181" t="str">
        <f>IFERROR(IF(J644&gt;0,VLOOKUP(J644,#REF!,MATCH($Q$6,#REF!,0),0),""),"")</f>
        <v/>
      </c>
      <c r="R644" s="181" t="str">
        <f>IFERROR(IF(J644&gt;0,VLOOKUP(J644,#REF!,MATCH($R$6,#REF!,0),0),""),"")</f>
        <v/>
      </c>
      <c r="S644" s="181" t="e">
        <f>IF(I647&gt;0,Q644+R644,"")</f>
        <v>#VALUE!</v>
      </c>
      <c r="T644" s="181"/>
      <c r="U644" s="181"/>
      <c r="V644" s="37"/>
      <c r="W644" s="181" t="e">
        <f>IF(I647&gt;0,IF(S644&gt;L644,"READY STOCK",IF(S644=0,"OUT OF STOCK",IF(S644&lt;L644,"LOW STOCK",""))),"")</f>
        <v>#VALUE!</v>
      </c>
      <c r="X644" s="38"/>
      <c r="Y644" s="38"/>
      <c r="Z644" s="38"/>
      <c r="AA644" s="38"/>
      <c r="AB644" s="50">
        <v>46275</v>
      </c>
      <c r="AC644" s="181">
        <v>34164</v>
      </c>
      <c r="AD644" s="51">
        <v>10</v>
      </c>
      <c r="AE644" s="37" t="s">
        <v>383</v>
      </c>
      <c r="AF644" s="37" t="s">
        <v>381</v>
      </c>
      <c r="AG644" s="33" t="str">
        <f>IF(G644&gt;0,IF(AD644&gt;0,IF(AD644=0,"Waiting",IF(AD644&lt;L644,"Partial",IF(AD644=L644,"Full Supply",IF(AD644&gt;L644,"Over Shared")))),"Waiting"),"")</f>
        <v>Full Supply</v>
      </c>
      <c r="AH644" s="37"/>
      <c r="AI644" s="37"/>
      <c r="AJ644" s="181"/>
      <c r="AK644" s="40"/>
      <c r="AL644" s="40"/>
      <c r="AM644" s="40"/>
      <c r="AN644" s="37"/>
      <c r="AO644" s="34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181">
        <f>L644-AD644</f>
        <v>0</v>
      </c>
    </row>
    <row r="645" spans="1:52" ht="15.5" customHeight="1">
      <c r="A645" s="360" t="s">
        <v>372</v>
      </c>
      <c r="B645" s="340">
        <v>46272</v>
      </c>
      <c r="C645" s="181">
        <v>50599</v>
      </c>
      <c r="D645" s="30">
        <v>46272</v>
      </c>
      <c r="E645" s="30">
        <v>46269</v>
      </c>
      <c r="F645" s="30">
        <v>46274</v>
      </c>
      <c r="G645" s="37">
        <v>4420232865</v>
      </c>
      <c r="H645" s="37" t="s">
        <v>373</v>
      </c>
      <c r="I645" s="37">
        <v>9040042224</v>
      </c>
      <c r="J645" s="37" t="s">
        <v>195</v>
      </c>
      <c r="K645" s="325" t="s">
        <v>196</v>
      </c>
      <c r="L645" s="181">
        <v>67</v>
      </c>
      <c r="M645" s="181" t="s">
        <v>421</v>
      </c>
      <c r="N645" s="37" t="s">
        <v>384</v>
      </c>
      <c r="O645" s="31">
        <f>IF(F645&gt;0,F645-AB645,"")</f>
        <v>-30</v>
      </c>
      <c r="P645" s="37" t="str">
        <f>IF(F645&gt;0,IF(AB645="","PLANNING SUPPLY",IF(AB645&lt;=F645,"ONTIME DELIVERY","DELAY")),"")</f>
        <v>DELAY</v>
      </c>
      <c r="Q645" s="181" t="str">
        <f>IFERROR(IF(J645&gt;0,VLOOKUP(J645,#REF!,MATCH($Q$6,#REF!,0),0),""),"")</f>
        <v/>
      </c>
      <c r="R645" s="181" t="str">
        <f>IFERROR(IF(J645&gt;0,VLOOKUP(J645,#REF!,MATCH($R$6,#REF!,0),0),""),"")</f>
        <v/>
      </c>
      <c r="S645" s="181" t="e">
        <f>IF(I648&gt;0,Q645+R645,"")</f>
        <v>#VALUE!</v>
      </c>
      <c r="T645" s="181"/>
      <c r="U645" s="181"/>
      <c r="V645" s="37"/>
      <c r="W645" s="181" t="e">
        <f>IF(I648&gt;0,IF(S645&gt;L645,"READY STOCK",IF(S645=0,"OUT OF STOCK",IF(S645&lt;L645,"LOW STOCK",""))),"")</f>
        <v>#VALUE!</v>
      </c>
      <c r="X645" s="38"/>
      <c r="Y645" s="38"/>
      <c r="Z645" s="38"/>
      <c r="AA645" s="38"/>
      <c r="AB645" s="57">
        <v>46304</v>
      </c>
      <c r="AC645" s="181">
        <v>34882</v>
      </c>
      <c r="AD645" s="234">
        <v>67</v>
      </c>
      <c r="AE645" s="58" t="s">
        <v>387</v>
      </c>
      <c r="AF645" s="58" t="s">
        <v>381</v>
      </c>
      <c r="AG645" s="33" t="str">
        <f>IF(G645&gt;0,IF(AD645&gt;0,IF(AD645=0,"Waiting",IF(AD645&lt;L645,"Partial",IF(AD645=L645,"Full Supply",IF(AD645&gt;L645,"Over Shared")))),"Waiting"),"")</f>
        <v>Full Supply</v>
      </c>
      <c r="AH645" s="233">
        <v>46274</v>
      </c>
      <c r="AI645" s="37" t="s">
        <v>1327</v>
      </c>
      <c r="AJ645" s="181">
        <v>67</v>
      </c>
      <c r="AK645" s="40">
        <v>26350</v>
      </c>
      <c r="AL645" s="45">
        <v>46286</v>
      </c>
      <c r="AM645" s="40">
        <v>67</v>
      </c>
      <c r="AN645" s="37"/>
      <c r="AO645" s="190">
        <v>46296</v>
      </c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181">
        <f>L645-AD645</f>
        <v>0</v>
      </c>
    </row>
    <row r="646" spans="1:52" ht="15.5" customHeight="1">
      <c r="A646" s="360" t="s">
        <v>372</v>
      </c>
      <c r="B646" s="340">
        <v>46272</v>
      </c>
      <c r="C646" s="181">
        <v>50599</v>
      </c>
      <c r="D646" s="30">
        <v>46272</v>
      </c>
      <c r="E646" s="30">
        <v>46269</v>
      </c>
      <c r="F646" s="30">
        <v>46274</v>
      </c>
      <c r="G646" s="37">
        <v>4420232865</v>
      </c>
      <c r="H646" s="37" t="s">
        <v>373</v>
      </c>
      <c r="I646" s="37">
        <v>9040042450</v>
      </c>
      <c r="J646" s="37" t="s">
        <v>301</v>
      </c>
      <c r="K646" s="325" t="s">
        <v>302</v>
      </c>
      <c r="L646" s="181">
        <v>2</v>
      </c>
      <c r="M646" s="181" t="s">
        <v>375</v>
      </c>
      <c r="N646" s="37" t="s">
        <v>384</v>
      </c>
      <c r="O646" s="31">
        <f>IF(F646&gt;0,F646-AB646,"")</f>
        <v>-35</v>
      </c>
      <c r="P646" s="37" t="str">
        <f>IF(F646&gt;0,IF(AB646="","PLANNING SUPPLY",IF(AB646&lt;=F646,"ONTIME DELIVERY","DELAY")),"")</f>
        <v>DELAY</v>
      </c>
      <c r="Q646" s="181" t="str">
        <f>IFERROR(IF(J646&gt;0,VLOOKUP(J646,#REF!,MATCH($Q$6,#REF!,0),0),""),"")</f>
        <v/>
      </c>
      <c r="R646" s="181" t="str">
        <f>IFERROR(IF(J646&gt;0,VLOOKUP(J646,#REF!,MATCH($R$6,#REF!,0),0),""),"")</f>
        <v/>
      </c>
      <c r="S646" s="181" t="e">
        <f>IF(I649&gt;0,Q646+R646,"")</f>
        <v>#VALUE!</v>
      </c>
      <c r="T646" s="181"/>
      <c r="U646" s="181"/>
      <c r="V646" s="37"/>
      <c r="W646" s="181" t="e">
        <f>IF(I649&gt;0,IF(S646&gt;L646,"READY STOCK",IF(S646=0,"OUT OF STOCK",IF(S646&lt;L646,"LOW STOCK",""))),"")</f>
        <v>#VALUE!</v>
      </c>
      <c r="X646" s="38"/>
      <c r="Y646" s="38"/>
      <c r="Z646" s="38"/>
      <c r="AA646" s="38"/>
      <c r="AB646" s="50">
        <v>46309</v>
      </c>
      <c r="AC646" s="44">
        <v>35061</v>
      </c>
      <c r="AD646" s="51">
        <v>2</v>
      </c>
      <c r="AE646" s="37" t="s">
        <v>387</v>
      </c>
      <c r="AF646" s="37" t="s">
        <v>381</v>
      </c>
      <c r="AG646" s="33" t="str">
        <f>IF(G646&gt;0,IF(AD646&gt;0,IF(AD646=0,"Waiting",IF(AD646&lt;L646,"Partial",IF(AD646=L646,"Full Supply",IF(AD646&gt;L646,"Over Shared")))),"Waiting"),"")</f>
        <v>Full Supply</v>
      </c>
      <c r="AH646" s="56">
        <v>46282</v>
      </c>
      <c r="AI646" s="37" t="s">
        <v>1303</v>
      </c>
      <c r="AJ646" s="181">
        <v>30</v>
      </c>
      <c r="AK646" s="40">
        <v>26382</v>
      </c>
      <c r="AL646" s="218">
        <v>46287</v>
      </c>
      <c r="AM646" s="40">
        <v>30</v>
      </c>
      <c r="AN646" s="37"/>
      <c r="AO646" s="55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181">
        <f>L646-AD646</f>
        <v>0</v>
      </c>
    </row>
    <row r="647" spans="1:52" ht="15.5" customHeight="1">
      <c r="A647" s="360" t="s">
        <v>372</v>
      </c>
      <c r="B647" s="340">
        <v>46272</v>
      </c>
      <c r="C647" s="181">
        <v>50599</v>
      </c>
      <c r="D647" s="30">
        <v>46272</v>
      </c>
      <c r="E647" s="30">
        <v>46269</v>
      </c>
      <c r="F647" s="30">
        <v>46274</v>
      </c>
      <c r="G647" s="37">
        <v>4420232865</v>
      </c>
      <c r="H647" s="37" t="s">
        <v>373</v>
      </c>
      <c r="I647" s="37">
        <v>9040076744</v>
      </c>
      <c r="J647" s="37" t="s">
        <v>3</v>
      </c>
      <c r="K647" s="325" t="s">
        <v>4</v>
      </c>
      <c r="L647" s="181">
        <v>1</v>
      </c>
      <c r="M647" s="181" t="s">
        <v>375</v>
      </c>
      <c r="N647" s="37" t="s">
        <v>384</v>
      </c>
      <c r="O647" s="31">
        <f>IF(F647&gt;0,F647-AB647,"")</f>
        <v>-1</v>
      </c>
      <c r="P647" s="37" t="str">
        <f>IF(F647&gt;0,IF(AB647="","PLANNING SUPPLY",IF(AB647&lt;=F647,"ONTIME DELIVERY","DELAY")),"")</f>
        <v>DELAY</v>
      </c>
      <c r="Q647" s="181" t="str">
        <f>IFERROR(IF(J647&gt;0,VLOOKUP(J647,#REF!,MATCH($Q$6,#REF!,0),0),""),"")</f>
        <v/>
      </c>
      <c r="R647" s="181" t="str">
        <f>IFERROR(IF(J647&gt;0,VLOOKUP(J647,#REF!,MATCH($R$6,#REF!,0),0),""),"")</f>
        <v/>
      </c>
      <c r="S647" s="181" t="e">
        <f>IF(I650&gt;0,Q647+R647,"")</f>
        <v>#VALUE!</v>
      </c>
      <c r="T647" s="181"/>
      <c r="U647" s="181"/>
      <c r="V647" s="37"/>
      <c r="W647" s="181" t="e">
        <f>IF(I650&gt;0,IF(S647&gt;L647,"READY STOCK",IF(S647=0,"OUT OF STOCK",IF(S647&lt;L647,"LOW STOCK",""))),"")</f>
        <v>#VALUE!</v>
      </c>
      <c r="X647" s="38"/>
      <c r="Y647" s="38"/>
      <c r="Z647" s="38"/>
      <c r="AA647" s="38"/>
      <c r="AB647" s="50">
        <v>46275</v>
      </c>
      <c r="AC647" s="181">
        <v>34164</v>
      </c>
      <c r="AD647" s="51">
        <v>1</v>
      </c>
      <c r="AE647" s="37" t="s">
        <v>383</v>
      </c>
      <c r="AF647" s="37" t="s">
        <v>381</v>
      </c>
      <c r="AG647" s="33" t="str">
        <f>IF(G647&gt;0,IF(AD647&gt;0,IF(AD647=0,"Waiting",IF(AD647&lt;L647,"Partial",IF(AD647=L647,"Full Supply",IF(AD647&gt;L647,"Over Shared")))),"Waiting"),"")</f>
        <v>Full Supply</v>
      </c>
      <c r="AH647" s="37"/>
      <c r="AI647" s="37"/>
      <c r="AJ647" s="181"/>
      <c r="AK647" s="40"/>
      <c r="AL647" s="40"/>
      <c r="AM647" s="40"/>
      <c r="AN647" s="37"/>
      <c r="AO647" s="34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181">
        <f>L647-AD647</f>
        <v>0</v>
      </c>
    </row>
    <row r="648" spans="1:52" ht="15.5" customHeight="1">
      <c r="A648" s="360" t="s">
        <v>372</v>
      </c>
      <c r="B648" s="340">
        <v>46272</v>
      </c>
      <c r="C648" s="181">
        <v>50599</v>
      </c>
      <c r="D648" s="30">
        <v>46272</v>
      </c>
      <c r="E648" s="30">
        <v>46269</v>
      </c>
      <c r="F648" s="30">
        <v>46274</v>
      </c>
      <c r="G648" s="37">
        <v>4420232865</v>
      </c>
      <c r="H648" s="37" t="s">
        <v>373</v>
      </c>
      <c r="I648" s="37">
        <v>9040001301</v>
      </c>
      <c r="J648" s="37" t="s">
        <v>33</v>
      </c>
      <c r="K648" s="325" t="s">
        <v>34</v>
      </c>
      <c r="L648" s="181">
        <v>3</v>
      </c>
      <c r="M648" s="181" t="s">
        <v>375</v>
      </c>
      <c r="N648" s="37" t="s">
        <v>384</v>
      </c>
      <c r="O648" s="31">
        <f>IF(F648&gt;0,F648-AB648,"")</f>
        <v>-43</v>
      </c>
      <c r="P648" s="37" t="str">
        <f>IF(F648&gt;0,IF(AB648="","PLANNING SUPPLY",IF(AB648&lt;=F648,"ONTIME DELIVERY","DELAY")),"")</f>
        <v>DELAY</v>
      </c>
      <c r="Q648" s="181" t="str">
        <f>IFERROR(IF(J648&gt;0,VLOOKUP(J648,#REF!,MATCH($Q$6,#REF!,0),0),""),"")</f>
        <v/>
      </c>
      <c r="R648" s="181" t="str">
        <f>IFERROR(IF(J648&gt;0,VLOOKUP(J648,#REF!,MATCH($R$6,#REF!,0),0),""),"")</f>
        <v/>
      </c>
      <c r="S648" s="181" t="e">
        <f>IF(I651&gt;0,Q648+R648,"")</f>
        <v>#VALUE!</v>
      </c>
      <c r="T648" s="181"/>
      <c r="U648" s="181"/>
      <c r="V648" s="37"/>
      <c r="W648" s="181" t="e">
        <f>IF(I651&gt;0,IF(S648&gt;L648,"READY STOCK",IF(S648=0,"OUT OF STOCK",IF(S648&lt;L648,"LOW STOCK",""))),"")</f>
        <v>#VALUE!</v>
      </c>
      <c r="X648" s="38"/>
      <c r="Y648" s="38"/>
      <c r="Z648" s="38"/>
      <c r="AA648" s="38"/>
      <c r="AB648" s="50">
        <v>46317</v>
      </c>
      <c r="AC648" s="231" t="s">
        <v>1328</v>
      </c>
      <c r="AD648" s="51">
        <v>3</v>
      </c>
      <c r="AE648" s="37" t="s">
        <v>387</v>
      </c>
      <c r="AF648" s="37" t="s">
        <v>381</v>
      </c>
      <c r="AG648" s="33" t="str">
        <f>IF(G648&gt;0,IF(AD648&gt;0,IF(AD648=0,"Waiting",IF(AD648&lt;L648,"Partial",IF(AD648=L648,"Full Supply",IF(AD648&gt;L648,"Over Shared")))),"Waiting"),"")</f>
        <v>Full Supply</v>
      </c>
      <c r="AH648" s="37"/>
      <c r="AI648" s="37"/>
      <c r="AJ648" s="181"/>
      <c r="AK648" s="40"/>
      <c r="AL648" s="40"/>
      <c r="AM648" s="40"/>
      <c r="AN648" s="37"/>
      <c r="AO648" s="34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181">
        <f>L648-AD648</f>
        <v>0</v>
      </c>
    </row>
    <row r="649" spans="1:52" ht="15.5" customHeight="1">
      <c r="A649" s="360" t="s">
        <v>372</v>
      </c>
      <c r="B649" s="340">
        <v>46272</v>
      </c>
      <c r="C649" s="181">
        <v>50600</v>
      </c>
      <c r="D649" s="30">
        <v>46272</v>
      </c>
      <c r="E649" s="30">
        <v>46269</v>
      </c>
      <c r="F649" s="30">
        <v>46285</v>
      </c>
      <c r="G649" s="37">
        <v>4420232797</v>
      </c>
      <c r="H649" s="37" t="s">
        <v>373</v>
      </c>
      <c r="I649" s="37">
        <v>9040040588</v>
      </c>
      <c r="J649" s="37" t="s">
        <v>76</v>
      </c>
      <c r="K649" s="325" t="s">
        <v>77</v>
      </c>
      <c r="L649" s="181">
        <v>13</v>
      </c>
      <c r="M649" s="181" t="s">
        <v>375</v>
      </c>
      <c r="N649" s="37" t="s">
        <v>434</v>
      </c>
      <c r="O649" s="31">
        <f>IF(F649&gt;0,F649-AB649,"")</f>
        <v>10</v>
      </c>
      <c r="P649" s="37" t="str">
        <f>IF(F649&gt;0,IF(AB649="","PLANNING SUPPLY",IF(AB649&lt;=F649,"ONTIME DELIVERY","DELAY")),"")</f>
        <v>ONTIME DELIVERY</v>
      </c>
      <c r="Q649" s="181" t="str">
        <f>IFERROR(IF(J649&gt;0,VLOOKUP(J649,#REF!,MATCH($Q$6,#REF!,0),0),""),"")</f>
        <v/>
      </c>
      <c r="R649" s="181" t="str">
        <f>IFERROR(IF(J649&gt;0,VLOOKUP(J649,#REF!,MATCH($R$6,#REF!,0),0),""),"")</f>
        <v/>
      </c>
      <c r="S649" s="181" t="e">
        <f>IF(I652&gt;0,Q649+R649,"")</f>
        <v>#VALUE!</v>
      </c>
      <c r="T649" s="181"/>
      <c r="U649" s="181"/>
      <c r="V649" s="37"/>
      <c r="W649" s="181" t="e">
        <f>IF(I652&gt;0,IF(S649&gt;L649,"READY STOCK",IF(S649=0,"OUT OF STOCK",IF(S649&lt;L649,"LOW STOCK",""))),"")</f>
        <v>#VALUE!</v>
      </c>
      <c r="X649" s="38"/>
      <c r="Y649" s="38"/>
      <c r="Z649" s="38"/>
      <c r="AA649" s="38"/>
      <c r="AB649" s="50">
        <v>46275</v>
      </c>
      <c r="AC649" s="181">
        <v>34161</v>
      </c>
      <c r="AD649" s="51">
        <v>13</v>
      </c>
      <c r="AE649" s="37" t="s">
        <v>383</v>
      </c>
      <c r="AF649" s="37" t="s">
        <v>381</v>
      </c>
      <c r="AG649" s="33" t="str">
        <f>IF(G649&gt;0,IF(AD649&gt;0,IF(AD649=0,"Waiting",IF(AD649&lt;L649,"Partial",IF(AD649=L649,"Full Supply",IF(AD649&gt;L649,"Over Shared")))),"Waiting"),"")</f>
        <v>Full Supply</v>
      </c>
      <c r="AH649" s="233">
        <v>46274</v>
      </c>
      <c r="AI649" s="37" t="s">
        <v>1327</v>
      </c>
      <c r="AJ649" s="181">
        <v>66</v>
      </c>
      <c r="AK649" s="40">
        <v>26352</v>
      </c>
      <c r="AL649" s="45">
        <v>46286</v>
      </c>
      <c r="AM649" s="40">
        <v>66</v>
      </c>
      <c r="AN649" s="37"/>
      <c r="AO649" s="241">
        <v>46295</v>
      </c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  <c r="AZ649" s="181">
        <f>L649-AD649</f>
        <v>0</v>
      </c>
    </row>
    <row r="650" spans="1:52" ht="15.5" customHeight="1">
      <c r="A650" s="360" t="s">
        <v>372</v>
      </c>
      <c r="B650" s="340">
        <v>46272</v>
      </c>
      <c r="C650" s="181">
        <v>50600</v>
      </c>
      <c r="D650" s="30">
        <v>46272</v>
      </c>
      <c r="E650" s="30">
        <v>46269</v>
      </c>
      <c r="F650" s="30">
        <v>46285</v>
      </c>
      <c r="G650" s="37">
        <v>4420232797</v>
      </c>
      <c r="H650" s="37" t="s">
        <v>373</v>
      </c>
      <c r="I650" s="37">
        <v>9040040390</v>
      </c>
      <c r="J650" s="37" t="s">
        <v>209</v>
      </c>
      <c r="K650" s="325" t="s">
        <v>210</v>
      </c>
      <c r="L650" s="181">
        <v>4</v>
      </c>
      <c r="M650" s="181" t="s">
        <v>421</v>
      </c>
      <c r="N650" s="37" t="s">
        <v>434</v>
      </c>
      <c r="O650" s="31">
        <f>IF(F650&gt;0,F650-AB650,"")</f>
        <v>-8</v>
      </c>
      <c r="P650" s="37" t="str">
        <f>IF(F650&gt;0,IF(AB650="","PLANNING SUPPLY",IF(AB650&lt;=F650,"ONTIME DELIVERY","DELAY")),"")</f>
        <v>DELAY</v>
      </c>
      <c r="Q650" s="181" t="str">
        <f>IFERROR(IF(J650&gt;0,VLOOKUP(J650,#REF!,MATCH($Q$6,#REF!,0),0),""),"")</f>
        <v/>
      </c>
      <c r="R650" s="181" t="str">
        <f>IFERROR(IF(J650&gt;0,VLOOKUP(J650,#REF!,MATCH($R$6,#REF!,0),0),""),"")</f>
        <v/>
      </c>
      <c r="S650" s="181" t="e">
        <f>IF(I653&gt;0,Q650+R650,"")</f>
        <v>#VALUE!</v>
      </c>
      <c r="T650" s="181"/>
      <c r="U650" s="181"/>
      <c r="V650" s="37"/>
      <c r="W650" s="181" t="e">
        <f>IF(I653&gt;0,IF(S650&gt;L650,"READY STOCK",IF(S650=0,"OUT OF STOCK",IF(S650&lt;L650,"LOW STOCK",""))),"")</f>
        <v>#VALUE!</v>
      </c>
      <c r="X650" s="38"/>
      <c r="Y650" s="38"/>
      <c r="Z650" s="38"/>
      <c r="AA650" s="38"/>
      <c r="AB650" s="50">
        <v>46293</v>
      </c>
      <c r="AC650" s="181">
        <v>34591</v>
      </c>
      <c r="AD650" s="51">
        <v>4</v>
      </c>
      <c r="AE650" s="37" t="s">
        <v>383</v>
      </c>
      <c r="AF650" s="37" t="s">
        <v>381</v>
      </c>
      <c r="AG650" s="33" t="str">
        <f>IF(G650&gt;0,IF(AD650&gt;0,IF(AD650=0,"Waiting",IF(AD650&lt;L650,"Partial",IF(AD650=L650,"Full Supply",IF(AD650&gt;L650,"Over Shared")))),"Waiting"),"")</f>
        <v>Full Supply</v>
      </c>
      <c r="AH650" s="37"/>
      <c r="AI650" s="37"/>
      <c r="AJ650" s="181"/>
      <c r="AK650" s="40"/>
      <c r="AL650" s="40"/>
      <c r="AM650" s="40"/>
      <c r="AN650" s="37"/>
      <c r="AO650" s="34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  <c r="AZ650" s="181">
        <f>L650-AD650</f>
        <v>0</v>
      </c>
    </row>
    <row r="651" spans="1:52" ht="15.5" customHeight="1">
      <c r="A651" s="360" t="s">
        <v>372</v>
      </c>
      <c r="B651" s="340">
        <v>46272</v>
      </c>
      <c r="C651" s="181">
        <v>50600</v>
      </c>
      <c r="D651" s="30">
        <v>46272</v>
      </c>
      <c r="E651" s="30">
        <v>46269</v>
      </c>
      <c r="F651" s="30">
        <v>46285</v>
      </c>
      <c r="G651" s="37">
        <v>4420232797</v>
      </c>
      <c r="H651" s="37" t="s">
        <v>373</v>
      </c>
      <c r="I651" s="37">
        <v>9040044209</v>
      </c>
      <c r="J651" s="37" t="s">
        <v>270</v>
      </c>
      <c r="K651" s="325" t="s">
        <v>271</v>
      </c>
      <c r="L651" s="181">
        <v>30</v>
      </c>
      <c r="M651" s="181" t="s">
        <v>375</v>
      </c>
      <c r="N651" s="37" t="s">
        <v>434</v>
      </c>
      <c r="O651" s="31">
        <f>IF(F651&gt;0,F651-AB651,"")</f>
        <v>-8</v>
      </c>
      <c r="P651" s="37" t="str">
        <f>IF(F651&gt;0,IF(AB651="","PLANNING SUPPLY",IF(AB651&lt;=F651,"ONTIME DELIVERY","DELAY")),"")</f>
        <v>DELAY</v>
      </c>
      <c r="Q651" s="181" t="str">
        <f>IFERROR(IF(J651&gt;0,VLOOKUP(J651,#REF!,MATCH($Q$6,#REF!,0),0),""),"")</f>
        <v/>
      </c>
      <c r="R651" s="181" t="str">
        <f>IFERROR(IF(J651&gt;0,VLOOKUP(J651,#REF!,MATCH($R$6,#REF!,0),0),""),"")</f>
        <v/>
      </c>
      <c r="S651" s="181" t="e">
        <f>IF(I654&gt;0,Q651+R651,"")</f>
        <v>#VALUE!</v>
      </c>
      <c r="T651" s="181"/>
      <c r="U651" s="181"/>
      <c r="V651" s="37"/>
      <c r="W651" s="181" t="e">
        <f>IF(I654&gt;0,IF(S651&gt;L651,"READY STOCK",IF(S651=0,"OUT OF STOCK",IF(S651&lt;L651,"LOW STOCK",""))),"")</f>
        <v>#VALUE!</v>
      </c>
      <c r="X651" s="38"/>
      <c r="Y651" s="38"/>
      <c r="Z651" s="38"/>
      <c r="AA651" s="38"/>
      <c r="AB651" s="50">
        <v>46293</v>
      </c>
      <c r="AC651" s="181">
        <v>34591</v>
      </c>
      <c r="AD651" s="51">
        <v>30</v>
      </c>
      <c r="AE651" s="37" t="s">
        <v>383</v>
      </c>
      <c r="AF651" s="37" t="s">
        <v>381</v>
      </c>
      <c r="AG651" s="33" t="str">
        <f>IF(G651&gt;0,IF(AD651&gt;0,IF(AD651=0,"Waiting",IF(AD651&lt;L651,"Partial",IF(AD651=L651,"Full Supply",IF(AD651&gt;L651,"Over Shared")))),"Waiting"),"")</f>
        <v>Full Supply</v>
      </c>
      <c r="AH651" s="37"/>
      <c r="AI651" s="37"/>
      <c r="AJ651" s="181"/>
      <c r="AK651" s="40"/>
      <c r="AL651" s="40"/>
      <c r="AM651" s="40"/>
      <c r="AN651" s="37"/>
      <c r="AO651" s="34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181">
        <f>L651-AD651</f>
        <v>0</v>
      </c>
    </row>
    <row r="652" spans="1:52" ht="15.5" customHeight="1">
      <c r="A652" s="360" t="s">
        <v>372</v>
      </c>
      <c r="B652" s="340">
        <v>46272</v>
      </c>
      <c r="C652" s="181">
        <v>50600</v>
      </c>
      <c r="D652" s="30">
        <v>46272</v>
      </c>
      <c r="E652" s="30">
        <v>46269</v>
      </c>
      <c r="F652" s="30">
        <v>46285</v>
      </c>
      <c r="G652" s="37">
        <v>4420232797</v>
      </c>
      <c r="H652" s="37" t="s">
        <v>373</v>
      </c>
      <c r="I652" s="37">
        <v>9040016581</v>
      </c>
      <c r="J652" s="37" t="s">
        <v>185</v>
      </c>
      <c r="K652" s="325" t="s">
        <v>186</v>
      </c>
      <c r="L652" s="181">
        <v>2</v>
      </c>
      <c r="M652" s="181" t="s">
        <v>375</v>
      </c>
      <c r="N652" s="37" t="s">
        <v>434</v>
      </c>
      <c r="O652" s="31">
        <f>IF(F652&gt;0,F652-AB652,"")</f>
        <v>10</v>
      </c>
      <c r="P652" s="37" t="str">
        <f>IF(F652&gt;0,IF(AB652="","PLANNING SUPPLY",IF(AB652&lt;=F652,"ONTIME DELIVERY","DELAY")),"")</f>
        <v>ONTIME DELIVERY</v>
      </c>
      <c r="Q652" s="181" t="str">
        <f>IFERROR(IF(J652&gt;0,VLOOKUP(J652,#REF!,MATCH($Q$6,#REF!,0),0),""),"")</f>
        <v/>
      </c>
      <c r="R652" s="181" t="str">
        <f>IFERROR(IF(J652&gt;0,VLOOKUP(J652,#REF!,MATCH($R$6,#REF!,0),0),""),"")</f>
        <v/>
      </c>
      <c r="S652" s="181" t="e">
        <f>IF(I655&gt;0,Q652+R652,"")</f>
        <v>#VALUE!</v>
      </c>
      <c r="T652" s="181"/>
      <c r="U652" s="181"/>
      <c r="V652" s="37"/>
      <c r="W652" s="181" t="e">
        <f>IF(I655&gt;0,IF(S652&gt;L652,"READY STOCK",IF(S652=0,"OUT OF STOCK",IF(S652&lt;L652,"LOW STOCK",""))),"")</f>
        <v>#VALUE!</v>
      </c>
      <c r="X652" s="38"/>
      <c r="Y652" s="38"/>
      <c r="Z652" s="38"/>
      <c r="AA652" s="38"/>
      <c r="AB652" s="50">
        <v>46275</v>
      </c>
      <c r="AC652" s="181">
        <v>34187</v>
      </c>
      <c r="AD652" s="51">
        <v>2</v>
      </c>
      <c r="AE652" s="37" t="s">
        <v>383</v>
      </c>
      <c r="AF652" s="37" t="s">
        <v>381</v>
      </c>
      <c r="AG652" s="33" t="str">
        <f>IF(G652&gt;0,IF(AD652&gt;0,IF(AD652=0,"Waiting",IF(AD652&lt;L652,"Partial",IF(AD652=L652,"Full Supply",IF(AD652&gt;L652,"Over Shared")))),"Waiting"),"")</f>
        <v>Full Supply</v>
      </c>
      <c r="AH652" s="37"/>
      <c r="AI652" s="37"/>
      <c r="AJ652" s="181"/>
      <c r="AK652" s="40"/>
      <c r="AL652" s="40"/>
      <c r="AM652" s="40"/>
      <c r="AN652" s="37"/>
      <c r="AO652" s="34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181">
        <f>L652-AD652</f>
        <v>0</v>
      </c>
    </row>
    <row r="653" spans="1:52" ht="15.5" customHeight="1">
      <c r="A653" s="360" t="s">
        <v>372</v>
      </c>
      <c r="B653" s="340">
        <v>46272</v>
      </c>
      <c r="C653" s="181">
        <v>50600</v>
      </c>
      <c r="D653" s="30">
        <v>46272</v>
      </c>
      <c r="E653" s="30">
        <v>46269</v>
      </c>
      <c r="F653" s="30">
        <v>46285</v>
      </c>
      <c r="G653" s="37">
        <v>4420232797</v>
      </c>
      <c r="H653" s="37" t="s">
        <v>373</v>
      </c>
      <c r="I653" s="37">
        <v>9040016582</v>
      </c>
      <c r="J653" s="37" t="s">
        <v>183</v>
      </c>
      <c r="K653" s="325" t="s">
        <v>184</v>
      </c>
      <c r="L653" s="181">
        <v>10</v>
      </c>
      <c r="M653" s="181" t="s">
        <v>375</v>
      </c>
      <c r="N653" s="37" t="s">
        <v>434</v>
      </c>
      <c r="O653" s="31">
        <f>IF(F653&gt;0,F653-AB653,"")</f>
        <v>6</v>
      </c>
      <c r="P653" s="37" t="str">
        <f>IF(F653&gt;0,IF(AB653="","PLANNING SUPPLY",IF(AB653&lt;=F653,"ONTIME DELIVERY","DELAY")),"")</f>
        <v>ONTIME DELIVERY</v>
      </c>
      <c r="Q653" s="181" t="str">
        <f>IFERROR(IF(J653&gt;0,VLOOKUP(J653,#REF!,MATCH($Q$6,#REF!,0),0),""),"")</f>
        <v/>
      </c>
      <c r="R653" s="181" t="str">
        <f>IFERROR(IF(J653&gt;0,VLOOKUP(J653,#REF!,MATCH($R$6,#REF!,0),0),""),"")</f>
        <v/>
      </c>
      <c r="S653" s="181" t="e">
        <f>IF(I656&gt;0,Q653+R653,"")</f>
        <v>#VALUE!</v>
      </c>
      <c r="T653" s="181"/>
      <c r="U653" s="181"/>
      <c r="V653" s="37"/>
      <c r="W653" s="181" t="e">
        <f>IF(I656&gt;0,IF(S653&gt;L653,"READY STOCK",IF(S653=0,"OUT OF STOCK",IF(S653&lt;L653,"LOW STOCK",""))),"")</f>
        <v>#VALUE!</v>
      </c>
      <c r="X653" s="38"/>
      <c r="Y653" s="38"/>
      <c r="Z653" s="38"/>
      <c r="AA653" s="38"/>
      <c r="AB653" s="50">
        <v>46279</v>
      </c>
      <c r="AC653" s="181">
        <v>34241</v>
      </c>
      <c r="AD653" s="51">
        <v>10</v>
      </c>
      <c r="AE653" s="37" t="s">
        <v>387</v>
      </c>
      <c r="AF653" s="37" t="s">
        <v>381</v>
      </c>
      <c r="AG653" s="33" t="str">
        <f>IF(G653&gt;0,IF(AD653&gt;0,IF(AD653=0,"Waiting",IF(AD653&lt;L653,"Partial",IF(AD653=L653,"Full Supply",IF(AD653&gt;L653,"Over Shared")))),"Waiting"),"")</f>
        <v>Full Supply</v>
      </c>
      <c r="AH653" s="37"/>
      <c r="AI653" s="37"/>
      <c r="AJ653" s="181"/>
      <c r="AK653" s="40"/>
      <c r="AL653" s="40"/>
      <c r="AM653" s="40"/>
      <c r="AN653" s="37"/>
      <c r="AO653" s="34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181">
        <f>L653-AD653</f>
        <v>0</v>
      </c>
    </row>
    <row r="654" spans="1:52" ht="15.5" customHeight="1">
      <c r="A654" s="360" t="s">
        <v>372</v>
      </c>
      <c r="B654" s="340">
        <v>46272</v>
      </c>
      <c r="C654" s="181">
        <v>50600</v>
      </c>
      <c r="D654" s="30">
        <v>46272</v>
      </c>
      <c r="E654" s="30">
        <v>46269</v>
      </c>
      <c r="F654" s="30">
        <v>46285</v>
      </c>
      <c r="G654" s="37">
        <v>4420232797</v>
      </c>
      <c r="H654" s="37" t="s">
        <v>373</v>
      </c>
      <c r="I654" s="37">
        <v>9040040486</v>
      </c>
      <c r="J654" s="37" t="s">
        <v>165</v>
      </c>
      <c r="K654" s="325" t="s">
        <v>166</v>
      </c>
      <c r="L654" s="181">
        <v>8</v>
      </c>
      <c r="M654" s="181" t="s">
        <v>375</v>
      </c>
      <c r="N654" s="37" t="s">
        <v>434</v>
      </c>
      <c r="O654" s="31">
        <f>IF(F654&gt;0,F654-AB654,"")</f>
        <v>10</v>
      </c>
      <c r="P654" s="37" t="str">
        <f>IF(F654&gt;0,IF(AB654="","PLANNING SUPPLY",IF(AB654&lt;=F654,"ONTIME DELIVERY","DELAY")),"")</f>
        <v>ONTIME DELIVERY</v>
      </c>
      <c r="Q654" s="181" t="str">
        <f>IFERROR(IF(J654&gt;0,VLOOKUP(J654,#REF!,MATCH($Q$6,#REF!,0),0),""),"")</f>
        <v/>
      </c>
      <c r="R654" s="181" t="str">
        <f>IFERROR(IF(J654&gt;0,VLOOKUP(J654,#REF!,MATCH($R$6,#REF!,0),0),""),"")</f>
        <v/>
      </c>
      <c r="S654" s="181" t="e">
        <f>IF(I657&gt;0,Q654+R654,"")</f>
        <v>#VALUE!</v>
      </c>
      <c r="T654" s="181"/>
      <c r="U654" s="181"/>
      <c r="V654" s="37"/>
      <c r="W654" s="181" t="e">
        <f>IF(I657&gt;0,IF(S654&gt;L654,"READY STOCK",IF(S654=0,"OUT OF STOCK",IF(S654&lt;L654,"LOW STOCK",""))),"")</f>
        <v>#VALUE!</v>
      </c>
      <c r="X654" s="38"/>
      <c r="Y654" s="38"/>
      <c r="Z654" s="38"/>
      <c r="AA654" s="38"/>
      <c r="AB654" s="50">
        <v>46275</v>
      </c>
      <c r="AC654" s="181">
        <v>34161</v>
      </c>
      <c r="AD654" s="51">
        <v>8</v>
      </c>
      <c r="AE654" s="37" t="s">
        <v>383</v>
      </c>
      <c r="AF654" s="37" t="s">
        <v>381</v>
      </c>
      <c r="AG654" s="33" t="str">
        <f>IF(G654&gt;0,IF(AD654&gt;0,IF(AD654=0,"Waiting",IF(AD654&lt;L654,"Partial",IF(AD654=L654,"Full Supply",IF(AD654&gt;L654,"Over Shared")))),"Waiting"),"")</f>
        <v>Full Supply</v>
      </c>
      <c r="AH654" s="37"/>
      <c r="AI654" s="37"/>
      <c r="AJ654" s="181"/>
      <c r="AK654" s="40"/>
      <c r="AL654" s="40"/>
      <c r="AM654" s="40"/>
      <c r="AN654" s="37"/>
      <c r="AO654" s="34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181">
        <f>L654-AD654</f>
        <v>0</v>
      </c>
    </row>
    <row r="655" spans="1:52" ht="15.5" customHeight="1">
      <c r="A655" s="360" t="s">
        <v>372</v>
      </c>
      <c r="B655" s="340">
        <v>46272</v>
      </c>
      <c r="C655" s="181">
        <v>50600</v>
      </c>
      <c r="D655" s="30">
        <v>46272</v>
      </c>
      <c r="E655" s="30">
        <v>46269</v>
      </c>
      <c r="F655" s="30">
        <v>46285</v>
      </c>
      <c r="G655" s="37">
        <v>4420232797</v>
      </c>
      <c r="H655" s="37" t="s">
        <v>373</v>
      </c>
      <c r="I655" s="37">
        <v>9040019100</v>
      </c>
      <c r="J655" s="37" t="s">
        <v>317</v>
      </c>
      <c r="K655" s="325" t="s">
        <v>318</v>
      </c>
      <c r="L655" s="181">
        <v>1</v>
      </c>
      <c r="M655" s="181" t="s">
        <v>375</v>
      </c>
      <c r="N655" s="37" t="s">
        <v>434</v>
      </c>
      <c r="O655" s="31">
        <f>IF(F655&gt;0,F655-AB655,"")</f>
        <v>-8</v>
      </c>
      <c r="P655" s="37" t="str">
        <f>IF(F655&gt;0,IF(AB655="","PLANNING SUPPLY",IF(AB655&lt;=F655,"ONTIME DELIVERY","DELAY")),"")</f>
        <v>DELAY</v>
      </c>
      <c r="Q655" s="181" t="str">
        <f>IFERROR(IF(J655&gt;0,VLOOKUP(J655,#REF!,MATCH($Q$6,#REF!,0),0),""),"")</f>
        <v/>
      </c>
      <c r="R655" s="181" t="str">
        <f>IFERROR(IF(J655&gt;0,VLOOKUP(J655,#REF!,MATCH($R$6,#REF!,0),0),""),"")</f>
        <v/>
      </c>
      <c r="S655" s="181" t="e">
        <f>IF(I658&gt;0,Q655+R655,"")</f>
        <v>#VALUE!</v>
      </c>
      <c r="T655" s="181"/>
      <c r="U655" s="181"/>
      <c r="V655" s="37"/>
      <c r="W655" s="181" t="e">
        <f>IF(I658&gt;0,IF(S655&gt;L655,"READY STOCK",IF(S655=0,"OUT OF STOCK",IF(S655&lt;L655,"LOW STOCK",""))),"")</f>
        <v>#VALUE!</v>
      </c>
      <c r="X655" s="38"/>
      <c r="Y655" s="38"/>
      <c r="Z655" s="38"/>
      <c r="AA655" s="38"/>
      <c r="AB655" s="50">
        <v>46293</v>
      </c>
      <c r="AC655" s="181">
        <v>34591</v>
      </c>
      <c r="AD655" s="51">
        <v>1</v>
      </c>
      <c r="AE655" s="37" t="s">
        <v>383</v>
      </c>
      <c r="AF655" s="37" t="s">
        <v>381</v>
      </c>
      <c r="AG655" s="33" t="str">
        <f>IF(G655&gt;0,IF(AD655&gt;0,IF(AD655=0,"Waiting",IF(AD655&lt;L655,"Partial",IF(AD655=L655,"Full Supply",IF(AD655&gt;L655,"Over Shared")))),"Waiting"),"")</f>
        <v>Full Supply</v>
      </c>
      <c r="AH655" s="37"/>
      <c r="AI655" s="37"/>
      <c r="AJ655" s="181"/>
      <c r="AK655" s="40"/>
      <c r="AL655" s="40"/>
      <c r="AM655" s="40"/>
      <c r="AN655" s="37"/>
      <c r="AO655" s="34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181">
        <f>L655-AD655</f>
        <v>0</v>
      </c>
    </row>
    <row r="656" spans="1:52" ht="15.5" customHeight="1">
      <c r="A656" s="360" t="s">
        <v>372</v>
      </c>
      <c r="B656" s="340">
        <v>46272</v>
      </c>
      <c r="C656" s="181">
        <v>50600</v>
      </c>
      <c r="D656" s="30">
        <v>46272</v>
      </c>
      <c r="E656" s="30">
        <v>46269</v>
      </c>
      <c r="F656" s="30">
        <v>46285</v>
      </c>
      <c r="G656" s="37">
        <v>4420232797</v>
      </c>
      <c r="H656" s="37" t="s">
        <v>373</v>
      </c>
      <c r="I656" s="37">
        <v>9040024384</v>
      </c>
      <c r="J656" s="37" t="s">
        <v>54</v>
      </c>
      <c r="K656" s="325" t="s">
        <v>55</v>
      </c>
      <c r="L656" s="181">
        <v>1</v>
      </c>
      <c r="M656" s="181" t="s">
        <v>427</v>
      </c>
      <c r="N656" s="37" t="s">
        <v>434</v>
      </c>
      <c r="O656" s="31">
        <f>IF(F656&gt;0,F656-AB656,"")</f>
        <v>-15</v>
      </c>
      <c r="P656" s="37" t="str">
        <f>IF(F656&gt;0,IF(AB656="","PLANNING SUPPLY",IF(AB656&lt;=F656,"ONTIME DELIVERY","DELAY")),"")</f>
        <v>DELAY</v>
      </c>
      <c r="Q656" s="181" t="str">
        <f>IFERROR(IF(J656&gt;0,VLOOKUP(J656,#REF!,MATCH($Q$6,#REF!,0),0),""),"")</f>
        <v/>
      </c>
      <c r="R656" s="181" t="str">
        <f>IFERROR(IF(J656&gt;0,VLOOKUP(J656,#REF!,MATCH($R$6,#REF!,0),0),""),"")</f>
        <v/>
      </c>
      <c r="S656" s="181" t="e">
        <f>IF(I659&gt;0,Q656+R656,"")</f>
        <v>#VALUE!</v>
      </c>
      <c r="T656" s="181"/>
      <c r="U656" s="181"/>
      <c r="V656" s="37"/>
      <c r="W656" s="181" t="e">
        <f>IF(I659&gt;0,IF(S656&gt;L656,"READY STOCK",IF(S656=0,"OUT OF STOCK",IF(S656&lt;L656,"LOW STOCK",""))),"")</f>
        <v>#VALUE!</v>
      </c>
      <c r="X656" s="38"/>
      <c r="Y656" s="38"/>
      <c r="Z656" s="38"/>
      <c r="AA656" s="38"/>
      <c r="AB656" s="50">
        <v>46300</v>
      </c>
      <c r="AC656" s="44">
        <v>34731</v>
      </c>
      <c r="AD656" s="51">
        <v>1</v>
      </c>
      <c r="AE656" s="37" t="s">
        <v>387</v>
      </c>
      <c r="AF656" s="37" t="s">
        <v>381</v>
      </c>
      <c r="AG656" s="33" t="str">
        <f>IF(G656&gt;0,IF(AD656&gt;0,IF(AD656=0,"Waiting",IF(AD656&lt;L656,"Partial",IF(AD656=L656,"Full Supply",IF(AD656&gt;L656,"Over Shared")))),"Waiting"),"")</f>
        <v>Full Supply</v>
      </c>
      <c r="AH656" s="37"/>
      <c r="AI656" s="37"/>
      <c r="AJ656" s="181"/>
      <c r="AK656" s="40"/>
      <c r="AL656" s="40"/>
      <c r="AM656" s="40"/>
      <c r="AN656" s="37"/>
      <c r="AO656" s="34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181">
        <f>L656-AD656</f>
        <v>0</v>
      </c>
    </row>
    <row r="657" spans="1:52" ht="15.5" customHeight="1">
      <c r="A657" s="360" t="s">
        <v>372</v>
      </c>
      <c r="B657" s="340">
        <v>46272</v>
      </c>
      <c r="C657" s="181">
        <v>50600</v>
      </c>
      <c r="D657" s="30">
        <v>46272</v>
      </c>
      <c r="E657" s="30">
        <v>46269</v>
      </c>
      <c r="F657" s="30">
        <v>46285</v>
      </c>
      <c r="G657" s="37">
        <v>4420232797</v>
      </c>
      <c r="H657" s="37" t="s">
        <v>373</v>
      </c>
      <c r="I657" s="37">
        <v>9040002662</v>
      </c>
      <c r="J657" s="37" t="s">
        <v>174</v>
      </c>
      <c r="K657" s="325" t="s">
        <v>175</v>
      </c>
      <c r="L657" s="181">
        <v>1</v>
      </c>
      <c r="M657" s="181" t="s">
        <v>421</v>
      </c>
      <c r="N657" s="37" t="s">
        <v>434</v>
      </c>
      <c r="O657" s="31">
        <f>IF(F657&gt;0,F657-AB657,"")</f>
        <v>-8</v>
      </c>
      <c r="P657" s="37" t="str">
        <f>IF(F657&gt;0,IF(AB657="","PLANNING SUPPLY",IF(AB657&lt;=F657,"ONTIME DELIVERY","DELAY")),"")</f>
        <v>DELAY</v>
      </c>
      <c r="Q657" s="181" t="str">
        <f>IFERROR(IF(J657&gt;0,VLOOKUP(J657,#REF!,MATCH($Q$6,#REF!,0),0),""),"")</f>
        <v/>
      </c>
      <c r="R657" s="181" t="str">
        <f>IFERROR(IF(J657&gt;0,VLOOKUP(J657,#REF!,MATCH($R$6,#REF!,0),0),""),"")</f>
        <v/>
      </c>
      <c r="S657" s="181" t="e">
        <f>IF(I660&gt;0,Q657+R657,"")</f>
        <v>#VALUE!</v>
      </c>
      <c r="T657" s="181"/>
      <c r="U657" s="181"/>
      <c r="V657" s="37"/>
      <c r="W657" s="181" t="e">
        <f>IF(I660&gt;0,IF(S657&gt;L657,"READY STOCK",IF(S657=0,"OUT OF STOCK",IF(S657&lt;L657,"LOW STOCK",""))),"")</f>
        <v>#VALUE!</v>
      </c>
      <c r="X657" s="38"/>
      <c r="Y657" s="38"/>
      <c r="Z657" s="38"/>
      <c r="AA657" s="38"/>
      <c r="AB657" s="50">
        <v>46293</v>
      </c>
      <c r="AC657" s="181">
        <v>34591</v>
      </c>
      <c r="AD657" s="51">
        <v>1</v>
      </c>
      <c r="AE657" s="37" t="s">
        <v>383</v>
      </c>
      <c r="AF657" s="37" t="s">
        <v>381</v>
      </c>
      <c r="AG657" s="33" t="str">
        <f>IF(G657&gt;0,IF(AD657&gt;0,IF(AD657=0,"Waiting",IF(AD657&lt;L657,"Partial",IF(AD657=L657,"Full Supply",IF(AD657&gt;L657,"Over Shared")))),"Waiting"),"")</f>
        <v>Full Supply</v>
      </c>
      <c r="AH657" s="37"/>
      <c r="AI657" s="37"/>
      <c r="AJ657" s="181"/>
      <c r="AK657" s="40"/>
      <c r="AL657" s="40"/>
      <c r="AM657" s="40"/>
      <c r="AN657" s="37"/>
      <c r="AO657" s="34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181">
        <f>L657-AD657</f>
        <v>0</v>
      </c>
    </row>
    <row r="658" spans="1:52" ht="15.5" customHeight="1">
      <c r="A658" s="360" t="s">
        <v>372</v>
      </c>
      <c r="B658" s="340">
        <v>46272</v>
      </c>
      <c r="C658" s="181">
        <v>50600</v>
      </c>
      <c r="D658" s="30">
        <v>46272</v>
      </c>
      <c r="E658" s="30">
        <v>46269</v>
      </c>
      <c r="F658" s="30">
        <v>46285</v>
      </c>
      <c r="G658" s="37">
        <v>4420232797</v>
      </c>
      <c r="H658" s="37" t="s">
        <v>373</v>
      </c>
      <c r="I658" s="37">
        <v>9040014955</v>
      </c>
      <c r="J658" s="37" t="s">
        <v>27</v>
      </c>
      <c r="K658" s="325" t="s">
        <v>28</v>
      </c>
      <c r="L658" s="181">
        <v>1</v>
      </c>
      <c r="M658" s="181" t="s">
        <v>375</v>
      </c>
      <c r="N658" s="37" t="s">
        <v>434</v>
      </c>
      <c r="O658" s="31">
        <f>IF(F658&gt;0,F658-AB658,"")</f>
        <v>-16</v>
      </c>
      <c r="P658" s="37" t="str">
        <f>IF(F658&gt;0,IF(AB658="","PLANNING SUPPLY",IF(AB658&lt;=F658,"ONTIME DELIVERY","DELAY")),"")</f>
        <v>DELAY</v>
      </c>
      <c r="Q658" s="181" t="str">
        <f>IFERROR(IF(J658&gt;0,VLOOKUP(J658,#REF!,MATCH($Q$6,#REF!,0),0),""),"")</f>
        <v/>
      </c>
      <c r="R658" s="181" t="str">
        <f>IFERROR(IF(J658&gt;0,VLOOKUP(J658,#REF!,MATCH($R$6,#REF!,0),0),""),"")</f>
        <v/>
      </c>
      <c r="S658" s="181" t="e">
        <f>IF(I661&gt;0,Q658+R658,"")</f>
        <v>#VALUE!</v>
      </c>
      <c r="T658" s="181"/>
      <c r="U658" s="181"/>
      <c r="V658" s="37"/>
      <c r="W658" s="181" t="e">
        <f>IF(I661&gt;0,IF(S658&gt;L658,"READY STOCK",IF(S658=0,"OUT OF STOCK",IF(S658&lt;L658,"LOW STOCK",""))),"")</f>
        <v>#VALUE!</v>
      </c>
      <c r="X658" s="38"/>
      <c r="Y658" s="38"/>
      <c r="Z658" s="38"/>
      <c r="AA658" s="38"/>
      <c r="AB658" s="50">
        <v>46301</v>
      </c>
      <c r="AC658" s="44">
        <v>34731</v>
      </c>
      <c r="AD658" s="51">
        <v>1</v>
      </c>
      <c r="AE658" s="37" t="s">
        <v>387</v>
      </c>
      <c r="AF658" s="37" t="s">
        <v>381</v>
      </c>
      <c r="AG658" s="33" t="str">
        <f>IF(G658&gt;0,IF(AD658&gt;0,IF(AD658=0,"Waiting",IF(AD658&lt;L658,"Partial",IF(AD658=L658,"Full Supply",IF(AD658&gt;L658,"Over Shared")))),"Waiting"),"")</f>
        <v>Full Supply</v>
      </c>
      <c r="AH658" s="37"/>
      <c r="AI658" s="37"/>
      <c r="AJ658" s="181"/>
      <c r="AK658" s="40"/>
      <c r="AL658" s="40"/>
      <c r="AM658" s="40"/>
      <c r="AN658" s="37"/>
      <c r="AO658" s="34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181">
        <f>L658-AD658</f>
        <v>0</v>
      </c>
    </row>
    <row r="659" spans="1:52" ht="15.5" customHeight="1">
      <c r="A659" s="360" t="s">
        <v>372</v>
      </c>
      <c r="B659" s="340">
        <v>46272</v>
      </c>
      <c r="C659" s="181">
        <v>50600</v>
      </c>
      <c r="D659" s="30">
        <v>46272</v>
      </c>
      <c r="E659" s="30">
        <v>46269</v>
      </c>
      <c r="F659" s="30">
        <v>46285</v>
      </c>
      <c r="G659" s="37">
        <v>4420232797</v>
      </c>
      <c r="H659" s="37" t="s">
        <v>373</v>
      </c>
      <c r="I659" s="37">
        <v>9040059642</v>
      </c>
      <c r="J659" s="37" t="s">
        <v>122</v>
      </c>
      <c r="K659" s="325" t="s">
        <v>319</v>
      </c>
      <c r="L659" s="181">
        <v>3</v>
      </c>
      <c r="M659" s="181" t="s">
        <v>375</v>
      </c>
      <c r="N659" s="37" t="s">
        <v>434</v>
      </c>
      <c r="O659" s="31">
        <f>IF(F659&gt;0,F659-AB659,"")</f>
        <v>3</v>
      </c>
      <c r="P659" s="37" t="str">
        <f>IF(F659&gt;0,IF(AB659="","PLANNING SUPPLY",IF(AB659&lt;=F659,"ONTIME DELIVERY","DELAY")),"")</f>
        <v>ONTIME DELIVERY</v>
      </c>
      <c r="Q659" s="181" t="str">
        <f>IFERROR(IF(J659&gt;0,VLOOKUP(J659,#REF!,MATCH($Q$6,#REF!,0),0),""),"")</f>
        <v/>
      </c>
      <c r="R659" s="181" t="str">
        <f>IFERROR(IF(J659&gt;0,VLOOKUP(J659,#REF!,MATCH($R$6,#REF!,0),0),""),"")</f>
        <v/>
      </c>
      <c r="S659" s="181" t="e">
        <f>IF(I662&gt;0,Q659+R659,"")</f>
        <v>#VALUE!</v>
      </c>
      <c r="T659" s="181"/>
      <c r="U659" s="181"/>
      <c r="V659" s="37"/>
      <c r="W659" s="181" t="e">
        <f>IF(I662&gt;0,IF(S659&gt;L659,"READY STOCK",IF(S659=0,"OUT OF STOCK",IF(S659&lt;L659,"LOW STOCK",""))),"")</f>
        <v>#VALUE!</v>
      </c>
      <c r="X659" s="38"/>
      <c r="Y659" s="38"/>
      <c r="Z659" s="38"/>
      <c r="AA659" s="38"/>
      <c r="AB659" s="50">
        <v>46282</v>
      </c>
      <c r="AC659" s="181">
        <v>34379</v>
      </c>
      <c r="AD659" s="51">
        <v>3</v>
      </c>
      <c r="AE659" s="37" t="s">
        <v>387</v>
      </c>
      <c r="AF659" s="37" t="s">
        <v>381</v>
      </c>
      <c r="AG659" s="33" t="str">
        <f>IF(G659&gt;0,IF(AD659&gt;0,IF(AD659=0,"Waiting",IF(AD659&lt;L659,"Partial",IF(AD659=L659,"Full Supply",IF(AD659&gt;L659,"Over Shared")))),"Waiting"),"")</f>
        <v>Full Supply</v>
      </c>
      <c r="AH659" s="37"/>
      <c r="AI659" s="37"/>
      <c r="AJ659" s="181"/>
      <c r="AK659" s="40"/>
      <c r="AL659" s="40"/>
      <c r="AM659" s="40"/>
      <c r="AN659" s="37"/>
      <c r="AO659" s="34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181">
        <f>L659-AD659</f>
        <v>0</v>
      </c>
    </row>
    <row r="660" spans="1:52" ht="15.5" customHeight="1">
      <c r="A660" s="360" t="s">
        <v>372</v>
      </c>
      <c r="B660" s="340">
        <v>46272</v>
      </c>
      <c r="C660" s="181">
        <v>50600</v>
      </c>
      <c r="D660" s="30">
        <v>46272</v>
      </c>
      <c r="E660" s="30">
        <v>46269</v>
      </c>
      <c r="F660" s="30">
        <v>46285</v>
      </c>
      <c r="G660" s="37">
        <v>4420232797</v>
      </c>
      <c r="H660" s="37" t="s">
        <v>373</v>
      </c>
      <c r="I660" s="37">
        <v>9040040765</v>
      </c>
      <c r="J660" s="37" t="s">
        <v>3</v>
      </c>
      <c r="K660" s="325" t="s">
        <v>4</v>
      </c>
      <c r="L660" s="181">
        <v>3</v>
      </c>
      <c r="M660" s="181" t="s">
        <v>375</v>
      </c>
      <c r="N660" s="37" t="s">
        <v>434</v>
      </c>
      <c r="O660" s="31">
        <f>IF(F660&gt;0,F660-AB660,"")</f>
        <v>10</v>
      </c>
      <c r="P660" s="37" t="str">
        <f>IF(F660&gt;0,IF(AB660="","PLANNING SUPPLY",IF(AB660&lt;=F660,"ONTIME DELIVERY","DELAY")),"")</f>
        <v>ONTIME DELIVERY</v>
      </c>
      <c r="Q660" s="181" t="str">
        <f>IFERROR(IF(J660&gt;0,VLOOKUP(J660,#REF!,MATCH($Q$6,#REF!,0),0),""),"")</f>
        <v/>
      </c>
      <c r="R660" s="181" t="str">
        <f>IFERROR(IF(J660&gt;0,VLOOKUP(J660,#REF!,MATCH($R$6,#REF!,0),0),""),"")</f>
        <v/>
      </c>
      <c r="S660" s="181" t="e">
        <f>IF(I663&gt;0,Q660+R660,"")</f>
        <v>#VALUE!</v>
      </c>
      <c r="T660" s="181"/>
      <c r="U660" s="181"/>
      <c r="V660" s="37"/>
      <c r="W660" s="181" t="e">
        <f>IF(I663&gt;0,IF(S660&gt;L660,"READY STOCK",IF(S660=0,"OUT OF STOCK",IF(S660&lt;L660,"LOW STOCK",""))),"")</f>
        <v>#VALUE!</v>
      </c>
      <c r="X660" s="38"/>
      <c r="Y660" s="38"/>
      <c r="Z660" s="38"/>
      <c r="AA660" s="38"/>
      <c r="AB660" s="50">
        <v>46275</v>
      </c>
      <c r="AC660" s="181">
        <v>34161</v>
      </c>
      <c r="AD660" s="51">
        <v>3</v>
      </c>
      <c r="AE660" s="37" t="s">
        <v>383</v>
      </c>
      <c r="AF660" s="37" t="s">
        <v>381</v>
      </c>
      <c r="AG660" s="33" t="str">
        <f>IF(G660&gt;0,IF(AD660&gt;0,IF(AD660=0,"Waiting",IF(AD660&lt;L660,"Partial",IF(AD660=L660,"Full Supply",IF(AD660&gt;L660,"Over Shared")))),"Waiting"),"")</f>
        <v>Full Supply</v>
      </c>
      <c r="AH660" s="37"/>
      <c r="AI660" s="37"/>
      <c r="AJ660" s="181"/>
      <c r="AK660" s="40"/>
      <c r="AL660" s="40"/>
      <c r="AM660" s="40"/>
      <c r="AN660" s="37"/>
      <c r="AO660" s="34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  <c r="AZ660" s="181">
        <f>L660-AD660</f>
        <v>0</v>
      </c>
    </row>
    <row r="661" spans="1:52" ht="15.5" customHeight="1">
      <c r="A661" s="360" t="s">
        <v>372</v>
      </c>
      <c r="B661" s="340">
        <v>46272</v>
      </c>
      <c r="C661" s="181">
        <v>50600</v>
      </c>
      <c r="D661" s="30">
        <v>46272</v>
      </c>
      <c r="E661" s="30">
        <v>46269</v>
      </c>
      <c r="F661" s="30">
        <v>46285</v>
      </c>
      <c r="G661" s="37">
        <v>4420232797</v>
      </c>
      <c r="H661" s="37" t="s">
        <v>373</v>
      </c>
      <c r="I661" s="37">
        <v>9040021297</v>
      </c>
      <c r="J661" s="37" t="s">
        <v>108</v>
      </c>
      <c r="K661" s="325" t="s">
        <v>109</v>
      </c>
      <c r="L661" s="181">
        <v>1</v>
      </c>
      <c r="M661" s="181" t="s">
        <v>375</v>
      </c>
      <c r="N661" s="37" t="s">
        <v>434</v>
      </c>
      <c r="O661" s="31">
        <f>IF(F661&gt;0,F661-AB661,"")</f>
        <v>-15</v>
      </c>
      <c r="P661" s="37" t="str">
        <f>IF(F661&gt;0,IF(AB661="","PLANNING SUPPLY",IF(AB661&lt;=F661,"ONTIME DELIVERY","DELAY")),"")</f>
        <v>DELAY</v>
      </c>
      <c r="Q661" s="181" t="str">
        <f>IFERROR(IF(J661&gt;0,VLOOKUP(J661,#REF!,MATCH($Q$6,#REF!,0),0),""),"")</f>
        <v/>
      </c>
      <c r="R661" s="181" t="str">
        <f>IFERROR(IF(J661&gt;0,VLOOKUP(J661,#REF!,MATCH($R$6,#REF!,0),0),""),"")</f>
        <v/>
      </c>
      <c r="S661" s="181" t="e">
        <f>IF(I664&gt;0,Q661+R661,"")</f>
        <v>#VALUE!</v>
      </c>
      <c r="T661" s="181"/>
      <c r="U661" s="181"/>
      <c r="V661" s="37"/>
      <c r="W661" s="181" t="e">
        <f>IF(I664&gt;0,IF(S661&gt;L661,"READY STOCK",IF(S661=0,"OUT OF STOCK",IF(S661&lt;L661,"LOW STOCK",""))),"")</f>
        <v>#VALUE!</v>
      </c>
      <c r="X661" s="38"/>
      <c r="Y661" s="38"/>
      <c r="Z661" s="38"/>
      <c r="AA661" s="38"/>
      <c r="AB661" s="50">
        <v>46300</v>
      </c>
      <c r="AC661" s="44">
        <v>34731</v>
      </c>
      <c r="AD661" s="51">
        <v>1</v>
      </c>
      <c r="AE661" s="37" t="s">
        <v>387</v>
      </c>
      <c r="AF661" s="37" t="s">
        <v>381</v>
      </c>
      <c r="AG661" s="33" t="str">
        <f>IF(G661&gt;0,IF(AD661&gt;0,IF(AD661=0,"Waiting",IF(AD661&lt;L661,"Partial",IF(AD661=L661,"Full Supply",IF(AD661&gt;L661,"Over Shared")))),"Waiting"),"")</f>
        <v>Full Supply</v>
      </c>
      <c r="AH661" s="233">
        <v>46274</v>
      </c>
      <c r="AI661" s="37" t="s">
        <v>1327</v>
      </c>
      <c r="AJ661" s="181">
        <v>6</v>
      </c>
      <c r="AK661" s="40">
        <v>26344</v>
      </c>
      <c r="AL661" s="45">
        <v>46286</v>
      </c>
      <c r="AM661" s="40">
        <v>6</v>
      </c>
      <c r="AN661" s="37"/>
      <c r="AO661" s="241">
        <v>46294</v>
      </c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  <c r="AZ661" s="181">
        <f>L661-AD661</f>
        <v>0</v>
      </c>
    </row>
    <row r="662" spans="1:52" ht="15.5" customHeight="1">
      <c r="A662" s="360" t="s">
        <v>372</v>
      </c>
      <c r="B662" s="340">
        <v>46272</v>
      </c>
      <c r="C662" s="181">
        <v>50600</v>
      </c>
      <c r="D662" s="30">
        <v>46272</v>
      </c>
      <c r="E662" s="30">
        <v>46269</v>
      </c>
      <c r="F662" s="30">
        <v>46285</v>
      </c>
      <c r="G662" s="37">
        <v>4420232797</v>
      </c>
      <c r="H662" s="37" t="s">
        <v>373</v>
      </c>
      <c r="I662" s="37">
        <v>9040021297</v>
      </c>
      <c r="J662" s="37" t="s">
        <v>108</v>
      </c>
      <c r="K662" s="325" t="s">
        <v>109</v>
      </c>
      <c r="L662" s="181">
        <v>1</v>
      </c>
      <c r="M662" s="181" t="s">
        <v>375</v>
      </c>
      <c r="N662" s="37" t="s">
        <v>434</v>
      </c>
      <c r="O662" s="31">
        <f>IF(F662&gt;0,F662-AB662,"")</f>
        <v>-15</v>
      </c>
      <c r="P662" s="37" t="str">
        <f>IF(F662&gt;0,IF(AB662="","PLANNING SUPPLY",IF(AB662&lt;=F662,"ONTIME DELIVERY","DELAY")),"")</f>
        <v>DELAY</v>
      </c>
      <c r="Q662" s="181" t="str">
        <f>IFERROR(IF(J662&gt;0,VLOOKUP(J662,#REF!,MATCH($Q$6,#REF!,0),0),""),"")</f>
        <v/>
      </c>
      <c r="R662" s="181" t="str">
        <f>IFERROR(IF(J662&gt;0,VLOOKUP(J662,#REF!,MATCH($R$6,#REF!,0),0),""),"")</f>
        <v/>
      </c>
      <c r="S662" s="181" t="e">
        <f>IF(I665&gt;0,Q662+R662,"")</f>
        <v>#VALUE!</v>
      </c>
      <c r="T662" s="181"/>
      <c r="U662" s="181"/>
      <c r="V662" s="37"/>
      <c r="W662" s="181" t="e">
        <f>IF(I665&gt;0,IF(S662&gt;L662,"READY STOCK",IF(S662=0,"OUT OF STOCK",IF(S662&lt;L662,"LOW STOCK",""))),"")</f>
        <v>#VALUE!</v>
      </c>
      <c r="X662" s="38"/>
      <c r="Y662" s="38"/>
      <c r="Z662" s="38"/>
      <c r="AA662" s="38"/>
      <c r="AB662" s="50">
        <v>46300</v>
      </c>
      <c r="AC662" s="44">
        <v>34731</v>
      </c>
      <c r="AD662" s="51">
        <v>1</v>
      </c>
      <c r="AE662" s="37" t="s">
        <v>387</v>
      </c>
      <c r="AF662" s="37" t="s">
        <v>381</v>
      </c>
      <c r="AG662" s="33" t="str">
        <f>IF(G662&gt;0,IF(AD662&gt;0,IF(AD662=0,"Waiting",IF(AD662&lt;L662,"Partial",IF(AD662=L662,"Full Supply",IF(AD662&gt;L662,"Over Shared")))),"Waiting"),"")</f>
        <v>Full Supply</v>
      </c>
      <c r="AH662" s="233">
        <v>46274</v>
      </c>
      <c r="AI662" s="37" t="s">
        <v>1327</v>
      </c>
      <c r="AJ662" s="181">
        <v>6</v>
      </c>
      <c r="AK662" s="40">
        <v>26344</v>
      </c>
      <c r="AL662" s="45">
        <v>46286</v>
      </c>
      <c r="AM662" s="40">
        <v>6</v>
      </c>
      <c r="AN662" s="37"/>
      <c r="AO662" s="241">
        <v>46294</v>
      </c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  <c r="AZ662" s="181">
        <f>L662-AD662</f>
        <v>0</v>
      </c>
    </row>
    <row r="663" spans="1:52" ht="15.5" customHeight="1">
      <c r="A663" s="360" t="s">
        <v>372</v>
      </c>
      <c r="B663" s="340">
        <v>46272</v>
      </c>
      <c r="C663" s="181">
        <v>50600</v>
      </c>
      <c r="D663" s="30">
        <v>46272</v>
      </c>
      <c r="E663" s="30">
        <v>46269</v>
      </c>
      <c r="F663" s="30">
        <v>46285</v>
      </c>
      <c r="G663" s="37">
        <v>4420232797</v>
      </c>
      <c r="H663" s="37" t="s">
        <v>373</v>
      </c>
      <c r="I663" s="37">
        <v>9040021297</v>
      </c>
      <c r="J663" s="37" t="s">
        <v>108</v>
      </c>
      <c r="K663" s="325" t="s">
        <v>109</v>
      </c>
      <c r="L663" s="181">
        <v>1</v>
      </c>
      <c r="M663" s="181" t="s">
        <v>375</v>
      </c>
      <c r="N663" s="37" t="s">
        <v>434</v>
      </c>
      <c r="O663" s="31">
        <f>IF(F663&gt;0,F663-AB663,"")</f>
        <v>-15</v>
      </c>
      <c r="P663" s="37" t="str">
        <f>IF(F663&gt;0,IF(AB663="","PLANNING SUPPLY",IF(AB663&lt;=F663,"ONTIME DELIVERY","DELAY")),"")</f>
        <v>DELAY</v>
      </c>
      <c r="Q663" s="181" t="str">
        <f>IFERROR(IF(J663&gt;0,VLOOKUP(J663,#REF!,MATCH($Q$6,#REF!,0),0),""),"")</f>
        <v/>
      </c>
      <c r="R663" s="181" t="str">
        <f>IFERROR(IF(J663&gt;0,VLOOKUP(J663,#REF!,MATCH($R$6,#REF!,0),0),""),"")</f>
        <v/>
      </c>
      <c r="S663" s="181" t="e">
        <f>IF(I666&gt;0,Q663+R663,"")</f>
        <v>#VALUE!</v>
      </c>
      <c r="T663" s="181"/>
      <c r="U663" s="181"/>
      <c r="V663" s="37"/>
      <c r="W663" s="181" t="e">
        <f>IF(I666&gt;0,IF(S663&gt;L663,"READY STOCK",IF(S663=0,"OUT OF STOCK",IF(S663&lt;L663,"LOW STOCK",""))),"")</f>
        <v>#VALUE!</v>
      </c>
      <c r="X663" s="38"/>
      <c r="Y663" s="38"/>
      <c r="Z663" s="38"/>
      <c r="AA663" s="38"/>
      <c r="AB663" s="50">
        <v>46300</v>
      </c>
      <c r="AC663" s="44">
        <v>34731</v>
      </c>
      <c r="AD663" s="51">
        <v>1</v>
      </c>
      <c r="AE663" s="37" t="s">
        <v>387</v>
      </c>
      <c r="AF663" s="37" t="s">
        <v>381</v>
      </c>
      <c r="AG663" s="33" t="str">
        <f>IF(G663&gt;0,IF(AD663&gt;0,IF(AD663=0,"Waiting",IF(AD663&lt;L663,"Partial",IF(AD663=L663,"Full Supply",IF(AD663&gt;L663,"Over Shared")))),"Waiting"),"")</f>
        <v>Full Supply</v>
      </c>
      <c r="AH663" s="233">
        <v>46274</v>
      </c>
      <c r="AI663" s="37" t="s">
        <v>1327</v>
      </c>
      <c r="AJ663" s="181">
        <v>6</v>
      </c>
      <c r="AK663" s="40">
        <v>26344</v>
      </c>
      <c r="AL663" s="45">
        <v>46286</v>
      </c>
      <c r="AM663" s="40">
        <v>6</v>
      </c>
      <c r="AN663" s="37"/>
      <c r="AO663" s="241">
        <v>46294</v>
      </c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181">
        <f>L663-AD663</f>
        <v>0</v>
      </c>
    </row>
    <row r="664" spans="1:52" ht="15.5" customHeight="1">
      <c r="A664" s="360" t="s">
        <v>372</v>
      </c>
      <c r="B664" s="340">
        <v>46272</v>
      </c>
      <c r="C664" s="181">
        <v>50600</v>
      </c>
      <c r="D664" s="30">
        <v>46272</v>
      </c>
      <c r="E664" s="30">
        <v>46269</v>
      </c>
      <c r="F664" s="30">
        <v>46285</v>
      </c>
      <c r="G664" s="37">
        <v>4420232797</v>
      </c>
      <c r="H664" s="37" t="s">
        <v>373</v>
      </c>
      <c r="I664" s="37">
        <v>9040021297</v>
      </c>
      <c r="J664" s="37" t="s">
        <v>108</v>
      </c>
      <c r="K664" s="325" t="s">
        <v>109</v>
      </c>
      <c r="L664" s="181">
        <v>1</v>
      </c>
      <c r="M664" s="181" t="s">
        <v>375</v>
      </c>
      <c r="N664" s="37" t="s">
        <v>434</v>
      </c>
      <c r="O664" s="31">
        <f>IF(F664&gt;0,F664-AB664,"")</f>
        <v>-15</v>
      </c>
      <c r="P664" s="37" t="str">
        <f>IF(F664&gt;0,IF(AB664="","PLANNING SUPPLY",IF(AB664&lt;=F664,"ONTIME DELIVERY","DELAY")),"")</f>
        <v>DELAY</v>
      </c>
      <c r="Q664" s="181" t="str">
        <f>IFERROR(IF(J664&gt;0,VLOOKUP(J664,#REF!,MATCH($Q$6,#REF!,0),0),""),"")</f>
        <v/>
      </c>
      <c r="R664" s="181" t="str">
        <f>IFERROR(IF(J664&gt;0,VLOOKUP(J664,#REF!,MATCH($R$6,#REF!,0),0),""),"")</f>
        <v/>
      </c>
      <c r="S664" s="181" t="e">
        <f>IF(I667&gt;0,Q664+R664,"")</f>
        <v>#VALUE!</v>
      </c>
      <c r="T664" s="181"/>
      <c r="U664" s="181"/>
      <c r="V664" s="37"/>
      <c r="W664" s="181" t="e">
        <f>IF(I667&gt;0,IF(S664&gt;L664,"READY STOCK",IF(S664=0,"OUT OF STOCK",IF(S664&lt;L664,"LOW STOCK",""))),"")</f>
        <v>#VALUE!</v>
      </c>
      <c r="X664" s="38"/>
      <c r="Y664" s="38"/>
      <c r="Z664" s="38"/>
      <c r="AA664" s="38"/>
      <c r="AB664" s="50">
        <v>46300</v>
      </c>
      <c r="AC664" s="44">
        <v>34731</v>
      </c>
      <c r="AD664" s="51">
        <v>1</v>
      </c>
      <c r="AE664" s="37" t="s">
        <v>387</v>
      </c>
      <c r="AF664" s="37" t="s">
        <v>381</v>
      </c>
      <c r="AG664" s="33" t="str">
        <f>IF(G664&gt;0,IF(AD664&gt;0,IF(AD664=0,"Waiting",IF(AD664&lt;L664,"Partial",IF(AD664=L664,"Full Supply",IF(AD664&gt;L664,"Over Shared")))),"Waiting"),"")</f>
        <v>Full Supply</v>
      </c>
      <c r="AH664" s="233">
        <v>46274</v>
      </c>
      <c r="AI664" s="37" t="s">
        <v>1327</v>
      </c>
      <c r="AJ664" s="181">
        <v>6</v>
      </c>
      <c r="AK664" s="40">
        <v>26344</v>
      </c>
      <c r="AL664" s="45">
        <v>46286</v>
      </c>
      <c r="AM664" s="40">
        <v>6</v>
      </c>
      <c r="AN664" s="37"/>
      <c r="AO664" s="241">
        <v>46294</v>
      </c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181">
        <f>L664-AD664</f>
        <v>0</v>
      </c>
    </row>
    <row r="665" spans="1:52" ht="15.5" customHeight="1">
      <c r="A665" s="360" t="s">
        <v>372</v>
      </c>
      <c r="B665" s="340">
        <v>46272</v>
      </c>
      <c r="C665" s="181">
        <v>50600</v>
      </c>
      <c r="D665" s="30">
        <v>46272</v>
      </c>
      <c r="E665" s="30">
        <v>46269</v>
      </c>
      <c r="F665" s="30">
        <v>46285</v>
      </c>
      <c r="G665" s="37">
        <v>4420232797</v>
      </c>
      <c r="H665" s="37" t="s">
        <v>373</v>
      </c>
      <c r="I665" s="37">
        <v>9040021297</v>
      </c>
      <c r="J665" s="37" t="s">
        <v>108</v>
      </c>
      <c r="K665" s="325" t="s">
        <v>109</v>
      </c>
      <c r="L665" s="181">
        <v>1</v>
      </c>
      <c r="M665" s="181" t="s">
        <v>375</v>
      </c>
      <c r="N665" s="37" t="s">
        <v>434</v>
      </c>
      <c r="O665" s="31">
        <f>IF(F665&gt;0,F665-AB665,"")</f>
        <v>-15</v>
      </c>
      <c r="P665" s="37" t="str">
        <f>IF(F665&gt;0,IF(AB665="","PLANNING SUPPLY",IF(AB665&lt;=F665,"ONTIME DELIVERY","DELAY")),"")</f>
        <v>DELAY</v>
      </c>
      <c r="Q665" s="181" t="str">
        <f>IFERROR(IF(J665&gt;0,VLOOKUP(J665,#REF!,MATCH($Q$6,#REF!,0),0),""),"")</f>
        <v/>
      </c>
      <c r="R665" s="181" t="str">
        <f>IFERROR(IF(J665&gt;0,VLOOKUP(J665,#REF!,MATCH($R$6,#REF!,0),0),""),"")</f>
        <v/>
      </c>
      <c r="S665" s="181" t="e">
        <f>IF(I668&gt;0,Q665+R665,"")</f>
        <v>#VALUE!</v>
      </c>
      <c r="T665" s="181"/>
      <c r="U665" s="181"/>
      <c r="V665" s="37"/>
      <c r="W665" s="181" t="e">
        <f>IF(I668&gt;0,IF(S665&gt;L665,"READY STOCK",IF(S665=0,"OUT OF STOCK",IF(S665&lt;L665,"LOW STOCK",""))),"")</f>
        <v>#VALUE!</v>
      </c>
      <c r="X665" s="38"/>
      <c r="Y665" s="38"/>
      <c r="Z665" s="38"/>
      <c r="AA665" s="38"/>
      <c r="AB665" s="50">
        <v>46300</v>
      </c>
      <c r="AC665" s="44">
        <v>34731</v>
      </c>
      <c r="AD665" s="51">
        <v>1</v>
      </c>
      <c r="AE665" s="37" t="s">
        <v>387</v>
      </c>
      <c r="AF665" s="37" t="s">
        <v>381</v>
      </c>
      <c r="AG665" s="33" t="str">
        <f>IF(G665&gt;0,IF(AD665&gt;0,IF(AD665=0,"Waiting",IF(AD665&lt;L665,"Partial",IF(AD665=L665,"Full Supply",IF(AD665&gt;L665,"Over Shared")))),"Waiting"),"")</f>
        <v>Full Supply</v>
      </c>
      <c r="AH665" s="233">
        <v>46274</v>
      </c>
      <c r="AI665" s="37" t="s">
        <v>1327</v>
      </c>
      <c r="AJ665" s="181">
        <v>6</v>
      </c>
      <c r="AK665" s="40">
        <v>26344</v>
      </c>
      <c r="AL665" s="45">
        <v>46286</v>
      </c>
      <c r="AM665" s="40">
        <v>6</v>
      </c>
      <c r="AN665" s="37"/>
      <c r="AO665" s="241">
        <v>46294</v>
      </c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181">
        <f>L665-AD665</f>
        <v>0</v>
      </c>
    </row>
    <row r="666" spans="1:52" ht="15.5" customHeight="1">
      <c r="A666" s="360" t="s">
        <v>372</v>
      </c>
      <c r="B666" s="340">
        <v>46273</v>
      </c>
      <c r="C666" s="181">
        <v>50646</v>
      </c>
      <c r="D666" s="30">
        <v>46273</v>
      </c>
      <c r="E666" s="30">
        <v>46269</v>
      </c>
      <c r="F666" s="30">
        <v>46299</v>
      </c>
      <c r="G666" s="37">
        <v>4420232827</v>
      </c>
      <c r="H666" s="37" t="s">
        <v>373</v>
      </c>
      <c r="I666" s="37">
        <v>9040015386</v>
      </c>
      <c r="J666" s="37" t="s">
        <v>122</v>
      </c>
      <c r="K666" s="325" t="s">
        <v>319</v>
      </c>
      <c r="L666" s="181">
        <v>3</v>
      </c>
      <c r="M666" s="181" t="s">
        <v>375</v>
      </c>
      <c r="N666" s="37" t="s">
        <v>408</v>
      </c>
      <c r="O666" s="31">
        <f>IF(F666&gt;0,F666-AB666,"")</f>
        <v>17</v>
      </c>
      <c r="P666" s="37" t="str">
        <f>IF(F666&gt;0,IF(AB666="","PLANNING SUPPLY",IF(AB666&lt;=F666,"ONTIME DELIVERY","DELAY")),"")</f>
        <v>ONTIME DELIVERY</v>
      </c>
      <c r="Q666" s="181" t="str">
        <f>IFERROR(IF(J666&gt;0,VLOOKUP(J666,#REF!,MATCH($Q$6,#REF!,0),0),""),"")</f>
        <v/>
      </c>
      <c r="R666" s="181" t="str">
        <f>IFERROR(IF(J666&gt;0,VLOOKUP(J666,#REF!,MATCH($R$6,#REF!,0),0),""),"")</f>
        <v/>
      </c>
      <c r="S666" s="181" t="e">
        <f>IF(I669&gt;0,Q666+R666,"")</f>
        <v>#VALUE!</v>
      </c>
      <c r="T666" s="181"/>
      <c r="U666" s="181"/>
      <c r="V666" s="37"/>
      <c r="W666" s="181" t="e">
        <f>IF(I669&gt;0,IF(S666&gt;L666,"READY STOCK",IF(S666=0,"OUT OF STOCK",IF(S666&lt;L666,"LOW STOCK",""))),"")</f>
        <v>#VALUE!</v>
      </c>
      <c r="X666" s="38"/>
      <c r="Y666" s="38"/>
      <c r="Z666" s="38"/>
      <c r="AA666" s="38"/>
      <c r="AB666" s="50">
        <v>46282</v>
      </c>
      <c r="AC666" s="181">
        <v>34380</v>
      </c>
      <c r="AD666" s="51">
        <v>3</v>
      </c>
      <c r="AE666" s="37" t="s">
        <v>387</v>
      </c>
      <c r="AF666" s="37" t="s">
        <v>381</v>
      </c>
      <c r="AG666" s="33" t="str">
        <f>IF(G666&gt;0,IF(AD666&gt;0,IF(AD666=0,"Waiting",IF(AD666&lt;L666,"Partial",IF(AD666=L666,"Full Supply",IF(AD666&gt;L666,"Over Shared")))),"Waiting"),"")</f>
        <v>Full Supply</v>
      </c>
      <c r="AH666" s="37"/>
      <c r="AI666" s="37"/>
      <c r="AJ666" s="181"/>
      <c r="AK666" s="40"/>
      <c r="AL666" s="40"/>
      <c r="AM666" s="40"/>
      <c r="AN666" s="37"/>
      <c r="AO666" s="34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  <c r="AZ666" s="181">
        <f>L666-AD666</f>
        <v>0</v>
      </c>
    </row>
    <row r="667" spans="1:52" ht="15.5" customHeight="1">
      <c r="A667" s="360" t="s">
        <v>372</v>
      </c>
      <c r="B667" s="340">
        <v>46273</v>
      </c>
      <c r="C667" s="181">
        <v>50646</v>
      </c>
      <c r="D667" s="30">
        <v>46273</v>
      </c>
      <c r="E667" s="30">
        <v>46269</v>
      </c>
      <c r="F667" s="30">
        <v>46299</v>
      </c>
      <c r="G667" s="37">
        <v>4420232827</v>
      </c>
      <c r="H667" s="37" t="s">
        <v>373</v>
      </c>
      <c r="I667" s="37">
        <v>9040040446</v>
      </c>
      <c r="J667" s="37" t="s">
        <v>189</v>
      </c>
      <c r="K667" s="325" t="s">
        <v>190</v>
      </c>
      <c r="L667" s="181">
        <v>9</v>
      </c>
      <c r="M667" s="181" t="s">
        <v>421</v>
      </c>
      <c r="N667" s="37" t="s">
        <v>408</v>
      </c>
      <c r="O667" s="31">
        <f>IF(F667&gt;0,F667-AB667,"")</f>
        <v>-18</v>
      </c>
      <c r="P667" s="37" t="str">
        <f>IF(F667&gt;0,IF(AB667="","PLANNING SUPPLY",IF(AB667&lt;=F667,"ONTIME DELIVERY","DELAY")),"")</f>
        <v>DELAY</v>
      </c>
      <c r="Q667" s="181" t="str">
        <f>IFERROR(IF(J667&gt;0,VLOOKUP(J667,#REF!,MATCH($Q$6,#REF!,0),0),""),"")</f>
        <v/>
      </c>
      <c r="R667" s="181" t="str">
        <f>IFERROR(IF(J667&gt;0,VLOOKUP(J667,#REF!,MATCH($R$6,#REF!,0),0),""),"")</f>
        <v/>
      </c>
      <c r="S667" s="181" t="e">
        <f>IF(I670&gt;0,Q667+R667,"")</f>
        <v>#VALUE!</v>
      </c>
      <c r="T667" s="181"/>
      <c r="U667" s="181"/>
      <c r="V667" s="37"/>
      <c r="W667" s="181" t="e">
        <f>IF(I670&gt;0,IF(S667&gt;L667,"READY STOCK",IF(S667=0,"OUT OF STOCK",IF(S667&lt;L667,"LOW STOCK",""))),"")</f>
        <v>#VALUE!</v>
      </c>
      <c r="X667" s="38"/>
      <c r="Y667" s="38"/>
      <c r="Z667" s="38"/>
      <c r="AA667" s="38"/>
      <c r="AB667" s="50">
        <v>46317</v>
      </c>
      <c r="AC667" s="231" t="s">
        <v>1329</v>
      </c>
      <c r="AD667" s="51">
        <v>9</v>
      </c>
      <c r="AE667" s="37" t="s">
        <v>387</v>
      </c>
      <c r="AF667" s="37" t="s">
        <v>381</v>
      </c>
      <c r="AG667" s="33" t="str">
        <f>IF(G667&gt;0,IF(AD667&gt;0,IF(AD667=0,"Waiting",IF(AD667&lt;L667,"Partial",IF(AD667=L667,"Full Supply",IF(AD667&gt;L667,"Over Shared")))),"Waiting"),"")</f>
        <v>Full Supply</v>
      </c>
      <c r="AH667" s="37"/>
      <c r="AI667" s="37"/>
      <c r="AJ667" s="181"/>
      <c r="AK667" s="40"/>
      <c r="AL667" s="40"/>
      <c r="AM667" s="40"/>
      <c r="AN667" s="37"/>
      <c r="AO667" s="34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181">
        <f>L667-AD667</f>
        <v>0</v>
      </c>
    </row>
    <row r="668" spans="1:52" ht="15.5" customHeight="1">
      <c r="A668" s="360" t="s">
        <v>372</v>
      </c>
      <c r="B668" s="340">
        <v>46273</v>
      </c>
      <c r="C668" s="181">
        <v>50646</v>
      </c>
      <c r="D668" s="30">
        <v>46273</v>
      </c>
      <c r="E668" s="30">
        <v>46269</v>
      </c>
      <c r="F668" s="30">
        <v>46299</v>
      </c>
      <c r="G668" s="37">
        <v>4420232827</v>
      </c>
      <c r="H668" s="37" t="s">
        <v>373</v>
      </c>
      <c r="I668" s="37">
        <v>9040040450</v>
      </c>
      <c r="J668" s="37" t="s">
        <v>176</v>
      </c>
      <c r="K668" s="325" t="s">
        <v>177</v>
      </c>
      <c r="L668" s="181">
        <v>12</v>
      </c>
      <c r="M668" s="181" t="s">
        <v>421</v>
      </c>
      <c r="N668" s="37" t="s">
        <v>408</v>
      </c>
      <c r="O668" s="31">
        <f>IF(F668&gt;0,F668-AB668,"")</f>
        <v>-10</v>
      </c>
      <c r="P668" s="37" t="str">
        <f>IF(F668&gt;0,IF(AB668="","PLANNING SUPPLY",IF(AB668&lt;=F668,"ONTIME DELIVERY","DELAY")),"")</f>
        <v>DELAY</v>
      </c>
      <c r="Q668" s="181" t="str">
        <f>IFERROR(IF(J668&gt;0,VLOOKUP(J668,#REF!,MATCH($Q$6,#REF!,0),0),""),"")</f>
        <v/>
      </c>
      <c r="R668" s="181" t="str">
        <f>IFERROR(IF(J668&gt;0,VLOOKUP(J668,#REF!,MATCH($R$6,#REF!,0),0),""),"")</f>
        <v/>
      </c>
      <c r="S668" s="181" t="e">
        <f>IF(I671&gt;0,Q668+R668,"")</f>
        <v>#VALUE!</v>
      </c>
      <c r="T668" s="181"/>
      <c r="U668" s="181"/>
      <c r="V668" s="37"/>
      <c r="W668" s="181" t="e">
        <f>IF(I671&gt;0,IF(S668&gt;L668,"READY STOCK",IF(S668=0,"OUT OF STOCK",IF(S668&lt;L668,"LOW STOCK",""))),"")</f>
        <v>#VALUE!</v>
      </c>
      <c r="X668" s="38"/>
      <c r="Y668" s="38"/>
      <c r="Z668" s="38"/>
      <c r="AA668" s="38"/>
      <c r="AB668" s="50">
        <v>46309</v>
      </c>
      <c r="AC668" s="44">
        <v>35050</v>
      </c>
      <c r="AD668" s="51">
        <v>12</v>
      </c>
      <c r="AE668" s="37" t="s">
        <v>387</v>
      </c>
      <c r="AF668" s="37" t="s">
        <v>381</v>
      </c>
      <c r="AG668" s="33" t="str">
        <f>IF(G668&gt;0,IF(AD668&gt;0,IF(AD668=0,"Waiting",IF(AD668&lt;L668,"Partial",IF(AD668=L668,"Full Supply",IF(AD668&gt;L668,"Over Shared")))),"Waiting"),"")</f>
        <v>Full Supply</v>
      </c>
      <c r="AH668" s="233">
        <v>46274</v>
      </c>
      <c r="AI668" s="37" t="s">
        <v>1327</v>
      </c>
      <c r="AJ668" s="181">
        <v>26</v>
      </c>
      <c r="AK668" s="40">
        <v>26349</v>
      </c>
      <c r="AL668" s="45">
        <v>46286</v>
      </c>
      <c r="AM668" s="40">
        <v>26</v>
      </c>
      <c r="AN668" s="37"/>
      <c r="AO668" s="241">
        <v>46295</v>
      </c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181">
        <f>L668-AD668</f>
        <v>0</v>
      </c>
    </row>
    <row r="669" spans="1:52" ht="15.5" customHeight="1">
      <c r="A669" s="360" t="s">
        <v>372</v>
      </c>
      <c r="B669" s="340">
        <v>46273</v>
      </c>
      <c r="C669" s="181">
        <v>50646</v>
      </c>
      <c r="D669" s="30">
        <v>46273</v>
      </c>
      <c r="E669" s="30">
        <v>46269</v>
      </c>
      <c r="F669" s="30">
        <v>46299</v>
      </c>
      <c r="G669" s="37">
        <v>4420232827</v>
      </c>
      <c r="H669" s="37" t="s">
        <v>373</v>
      </c>
      <c r="I669" s="37">
        <v>9040044075</v>
      </c>
      <c r="J669" s="37" t="s">
        <v>223</v>
      </c>
      <c r="K669" s="325" t="s">
        <v>224</v>
      </c>
      <c r="L669" s="181">
        <v>2</v>
      </c>
      <c r="M669" s="181" t="s">
        <v>389</v>
      </c>
      <c r="N669" s="37" t="s">
        <v>408</v>
      </c>
      <c r="O669" s="31">
        <f>IF(F669&gt;0,F669-AB669,"")</f>
        <v>10</v>
      </c>
      <c r="P669" s="37" t="str">
        <f>IF(F669&gt;0,IF(AB669="","PLANNING SUPPLY",IF(AB669&lt;=F669,"ONTIME DELIVERY","DELAY")),"")</f>
        <v>ONTIME DELIVERY</v>
      </c>
      <c r="Q669" s="181" t="str">
        <f>IFERROR(IF(J669&gt;0,VLOOKUP(J669,#REF!,MATCH($Q$6,#REF!,0),0),""),"")</f>
        <v/>
      </c>
      <c r="R669" s="181" t="str">
        <f>IFERROR(IF(J669&gt;0,VLOOKUP(J669,#REF!,MATCH($R$6,#REF!,0),0),""),"")</f>
        <v/>
      </c>
      <c r="S669" s="181" t="e">
        <f>IF(I672&gt;0,Q669+R669,"")</f>
        <v>#VALUE!</v>
      </c>
      <c r="T669" s="181"/>
      <c r="U669" s="181"/>
      <c r="V669" s="37"/>
      <c r="W669" s="181" t="e">
        <f>IF(I672&gt;0,IF(S669&gt;L669,"READY STOCK",IF(S669=0,"OUT OF STOCK",IF(S669&lt;L669,"LOW STOCK",""))),"")</f>
        <v>#VALUE!</v>
      </c>
      <c r="X669" s="38"/>
      <c r="Y669" s="38"/>
      <c r="Z669" s="38"/>
      <c r="AA669" s="38"/>
      <c r="AB669" s="50">
        <v>46289</v>
      </c>
      <c r="AC669" s="181">
        <v>34537</v>
      </c>
      <c r="AD669" s="51">
        <v>2</v>
      </c>
      <c r="AE669" s="37" t="s">
        <v>383</v>
      </c>
      <c r="AF669" s="37" t="s">
        <v>381</v>
      </c>
      <c r="AG669" s="33" t="str">
        <f>IF(G669&gt;0,IF(AD669&gt;0,IF(AD669=0,"Waiting",IF(AD669&lt;L669,"Partial",IF(AD669=L669,"Full Supply",IF(AD669&gt;L669,"Over Shared")))),"Waiting"),"")</f>
        <v>Full Supply</v>
      </c>
      <c r="AH669" s="37"/>
      <c r="AI669" s="37"/>
      <c r="AJ669" s="181"/>
      <c r="AK669" s="40"/>
      <c r="AL669" s="40"/>
      <c r="AM669" s="40"/>
      <c r="AN669" s="37"/>
      <c r="AO669" s="34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  <c r="AZ669" s="181">
        <f>L669-AD669</f>
        <v>0</v>
      </c>
    </row>
    <row r="670" spans="1:52" ht="15.5" customHeight="1">
      <c r="A670" s="360" t="s">
        <v>372</v>
      </c>
      <c r="B670" s="340">
        <v>46273</v>
      </c>
      <c r="C670" s="181">
        <v>50646</v>
      </c>
      <c r="D670" s="30">
        <v>46273</v>
      </c>
      <c r="E670" s="30">
        <v>46269</v>
      </c>
      <c r="F670" s="30">
        <v>46299</v>
      </c>
      <c r="G670" s="37">
        <v>4420232827</v>
      </c>
      <c r="H670" s="37" t="s">
        <v>373</v>
      </c>
      <c r="I670" s="37">
        <v>9040028877</v>
      </c>
      <c r="J670" s="37" t="s">
        <v>199</v>
      </c>
      <c r="K670" s="325" t="s">
        <v>200</v>
      </c>
      <c r="L670" s="181">
        <v>24</v>
      </c>
      <c r="M670" s="181" t="s">
        <v>375</v>
      </c>
      <c r="N670" s="37" t="s">
        <v>408</v>
      </c>
      <c r="O670" s="31">
        <f>IF(F670&gt;0,F670-AB670,"")</f>
        <v>10</v>
      </c>
      <c r="P670" s="37" t="str">
        <f>IF(F670&gt;0,IF(AB670="","PLANNING SUPPLY",IF(AB670&lt;=F670,"ONTIME DELIVERY","DELAY")),"")</f>
        <v>ONTIME DELIVERY</v>
      </c>
      <c r="Q670" s="181" t="str">
        <f>IFERROR(IF(J670&gt;0,VLOOKUP(J670,#REF!,MATCH($Q$6,#REF!,0),0),""),"")</f>
        <v/>
      </c>
      <c r="R670" s="181" t="str">
        <f>IFERROR(IF(J670&gt;0,VLOOKUP(J670,#REF!,MATCH($R$6,#REF!,0),0),""),"")</f>
        <v/>
      </c>
      <c r="S670" s="181" t="e">
        <f>IF(I673&gt;0,Q670+R670,"")</f>
        <v>#VALUE!</v>
      </c>
      <c r="T670" s="181"/>
      <c r="U670" s="181"/>
      <c r="V670" s="37"/>
      <c r="W670" s="181" t="e">
        <f>IF(I673&gt;0,IF(S670&gt;L670,"READY STOCK",IF(S670=0,"OUT OF STOCK",IF(S670&lt;L670,"LOW STOCK",""))),"")</f>
        <v>#VALUE!</v>
      </c>
      <c r="X670" s="38"/>
      <c r="Y670" s="38"/>
      <c r="Z670" s="38"/>
      <c r="AA670" s="38"/>
      <c r="AB670" s="50">
        <v>46289</v>
      </c>
      <c r="AC670" s="181">
        <v>34580</v>
      </c>
      <c r="AD670" s="51">
        <v>24</v>
      </c>
      <c r="AE670" s="37" t="s">
        <v>2</v>
      </c>
      <c r="AF670" s="37" t="s">
        <v>1295</v>
      </c>
      <c r="AG670" s="33" t="str">
        <f>IF(G670&gt;0,IF(AD670&gt;0,IF(AD670=0,"Waiting",IF(AD670&lt;L670,"Partial",IF(AD670=L670,"Full Supply",IF(AD670&gt;L670,"Over Shared")))),"Waiting"),"")</f>
        <v>Full Supply</v>
      </c>
      <c r="AH670" s="37"/>
      <c r="AI670" s="37"/>
      <c r="AJ670" s="181"/>
      <c r="AK670" s="40"/>
      <c r="AL670" s="40"/>
      <c r="AM670" s="40"/>
      <c r="AN670" s="37"/>
      <c r="AO670" s="34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181">
        <f>L670-AD670</f>
        <v>0</v>
      </c>
    </row>
    <row r="671" spans="1:52" ht="15.5" customHeight="1">
      <c r="A671" s="360" t="s">
        <v>372</v>
      </c>
      <c r="B671" s="340">
        <v>46273</v>
      </c>
      <c r="C671" s="181">
        <v>50647</v>
      </c>
      <c r="D671" s="30">
        <v>46273</v>
      </c>
      <c r="E671" s="30">
        <v>46268</v>
      </c>
      <c r="F671" s="30">
        <v>46295</v>
      </c>
      <c r="G671" s="37">
        <v>4420232722</v>
      </c>
      <c r="H671" s="37" t="s">
        <v>373</v>
      </c>
      <c r="I671" s="37">
        <v>9040037431</v>
      </c>
      <c r="J671" s="37" t="s">
        <v>102</v>
      </c>
      <c r="K671" s="325" t="s">
        <v>103</v>
      </c>
      <c r="L671" s="181">
        <v>1</v>
      </c>
      <c r="M671" s="181" t="s">
        <v>375</v>
      </c>
      <c r="N671" s="37" t="s">
        <v>382</v>
      </c>
      <c r="O671" s="31">
        <f>IF(F671&gt;0,F671-AB671,"")</f>
        <v>-13</v>
      </c>
      <c r="P671" s="37" t="str">
        <f>IF(F671&gt;0,IF(AB671="","PLANNING SUPPLY",IF(AB671&lt;=F671,"ONTIME DELIVERY","DELAY")),"")</f>
        <v>DELAY</v>
      </c>
      <c r="Q671" s="181" t="str">
        <f>IFERROR(IF(J671&gt;0,VLOOKUP(J671,#REF!,MATCH($Q$6,#REF!,0),0),""),"")</f>
        <v/>
      </c>
      <c r="R671" s="181" t="str">
        <f>IFERROR(IF(J671&gt;0,VLOOKUP(J671,#REF!,MATCH($R$6,#REF!,0),0),""),"")</f>
        <v/>
      </c>
      <c r="S671" s="181" t="e">
        <f>IF(I674&gt;0,Q671+R671,"")</f>
        <v>#VALUE!</v>
      </c>
      <c r="T671" s="181"/>
      <c r="U671" s="181"/>
      <c r="V671" s="37"/>
      <c r="W671" s="181" t="e">
        <f>IF(I674&gt;0,IF(S671&gt;L671,"READY STOCK",IF(S671=0,"OUT OF STOCK",IF(S671&lt;L671,"LOW STOCK",""))),"")</f>
        <v>#VALUE!</v>
      </c>
      <c r="X671" s="38"/>
      <c r="Y671" s="38"/>
      <c r="Z671" s="38"/>
      <c r="AA671" s="38"/>
      <c r="AB671" s="50">
        <v>46308</v>
      </c>
      <c r="AC671" s="246">
        <v>34984</v>
      </c>
      <c r="AD671" s="51">
        <v>1</v>
      </c>
      <c r="AE671" s="37" t="s">
        <v>387</v>
      </c>
      <c r="AF671" s="37" t="s">
        <v>381</v>
      </c>
      <c r="AG671" s="33" t="str">
        <f>IF(G671&gt;0,IF(AD671&gt;0,IF(AD671=0,"Waiting",IF(AD671&lt;L671,"Partial",IF(AD671=L671,"Full Supply",IF(AD671&gt;L671,"Over Shared")))),"Waiting"),"")</f>
        <v>Full Supply</v>
      </c>
      <c r="AH671" s="233">
        <v>46274</v>
      </c>
      <c r="AI671" s="37" t="s">
        <v>1327</v>
      </c>
      <c r="AJ671" s="181">
        <v>1</v>
      </c>
      <c r="AK671" s="40"/>
      <c r="AL671" s="40"/>
      <c r="AM671" s="40"/>
      <c r="AN671" s="216" t="s">
        <v>1330</v>
      </c>
      <c r="AO671" s="46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181">
        <f>L671-AD671</f>
        <v>0</v>
      </c>
    </row>
    <row r="672" spans="1:52" ht="15.5" customHeight="1">
      <c r="A672" s="360" t="s">
        <v>372</v>
      </c>
      <c r="B672" s="340">
        <v>46275</v>
      </c>
      <c r="C672" s="181">
        <v>50735</v>
      </c>
      <c r="D672" s="30">
        <v>46275</v>
      </c>
      <c r="E672" s="30">
        <v>46247</v>
      </c>
      <c r="F672" s="30">
        <v>46283</v>
      </c>
      <c r="G672" s="37">
        <v>4420231463</v>
      </c>
      <c r="H672" s="37" t="s">
        <v>373</v>
      </c>
      <c r="I672" s="37">
        <v>9040016343</v>
      </c>
      <c r="J672" s="37" t="s">
        <v>211</v>
      </c>
      <c r="K672" s="325" t="s">
        <v>212</v>
      </c>
      <c r="L672" s="181">
        <v>20</v>
      </c>
      <c r="M672" s="181" t="s">
        <v>421</v>
      </c>
      <c r="N672" s="37" t="s">
        <v>428</v>
      </c>
      <c r="O672" s="31">
        <f>IF(F672&gt;0,F672-AB672,"")</f>
        <v>-26</v>
      </c>
      <c r="P672" s="37" t="str">
        <f>IF(F672&gt;0,IF(AB672="","PLANNING SUPPLY",IF(AB672&lt;=F672,"ONTIME DELIVERY","DELAY")),"")</f>
        <v>DELAY</v>
      </c>
      <c r="Q672" s="181" t="str">
        <f>IFERROR(IF(J672&gt;0,VLOOKUP(J672,#REF!,MATCH($Q$6,#REF!,0),0),""),"")</f>
        <v/>
      </c>
      <c r="R672" s="181" t="str">
        <f>IFERROR(IF(J672&gt;0,VLOOKUP(J672,#REF!,MATCH($R$6,#REF!,0),0),""),"")</f>
        <v/>
      </c>
      <c r="S672" s="181" t="e">
        <f>IF(I675&gt;0,Q672+R672,"")</f>
        <v>#VALUE!</v>
      </c>
      <c r="T672" s="181"/>
      <c r="U672" s="181"/>
      <c r="V672" s="37"/>
      <c r="W672" s="181" t="e">
        <f>IF(I675&gt;0,IF(S672&gt;L672,"READY STOCK",IF(S672=0,"OUT OF STOCK",IF(S672&lt;L672,"LOW STOCK",""))),"")</f>
        <v>#VALUE!</v>
      </c>
      <c r="X672" s="38"/>
      <c r="Y672" s="38"/>
      <c r="Z672" s="38"/>
      <c r="AA672" s="38"/>
      <c r="AB672" s="50">
        <v>46309</v>
      </c>
      <c r="AC672" s="44">
        <v>35041</v>
      </c>
      <c r="AD672" s="51">
        <v>20</v>
      </c>
      <c r="AE672" s="37" t="s">
        <v>387</v>
      </c>
      <c r="AF672" s="37" t="s">
        <v>381</v>
      </c>
      <c r="AG672" s="33" t="str">
        <f>IF(G672&gt;0,IF(AD672&gt;0,IF(AD672=0,"Waiting",IF(AD672&lt;L672,"Partial",IF(AD672=L672,"Full Supply",IF(AD672&gt;L672,"Over Shared")))),"Waiting"),"")</f>
        <v>Full Supply</v>
      </c>
      <c r="AH672" s="56"/>
      <c r="AI672" s="235" t="s">
        <v>646</v>
      </c>
      <c r="AJ672" s="181">
        <v>20</v>
      </c>
      <c r="AK672" s="40">
        <v>26493</v>
      </c>
      <c r="AL672" s="45">
        <v>46295</v>
      </c>
      <c r="AM672" s="40">
        <v>20</v>
      </c>
      <c r="AN672" s="37"/>
      <c r="AO672" s="46">
        <v>46296</v>
      </c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181">
        <f>L672-AD672</f>
        <v>0</v>
      </c>
    </row>
    <row r="673" spans="1:52" ht="15.5" customHeight="1">
      <c r="A673" s="360" t="s">
        <v>372</v>
      </c>
      <c r="B673" s="340">
        <v>46275</v>
      </c>
      <c r="C673" s="181">
        <v>50735</v>
      </c>
      <c r="D673" s="30">
        <v>46275</v>
      </c>
      <c r="E673" s="30">
        <v>46247</v>
      </c>
      <c r="F673" s="30">
        <v>46283</v>
      </c>
      <c r="G673" s="37">
        <v>4420231463</v>
      </c>
      <c r="H673" s="37" t="s">
        <v>373</v>
      </c>
      <c r="I673" s="37">
        <v>9040040390</v>
      </c>
      <c r="J673" s="37" t="s">
        <v>209</v>
      </c>
      <c r="K673" s="325" t="s">
        <v>210</v>
      </c>
      <c r="L673" s="181">
        <v>15</v>
      </c>
      <c r="M673" s="181" t="s">
        <v>421</v>
      </c>
      <c r="N673" s="37" t="s">
        <v>428</v>
      </c>
      <c r="O673" s="31">
        <f>IF(F673&gt;0,F673-AB673,"")</f>
        <v>-11</v>
      </c>
      <c r="P673" s="37" t="str">
        <f>IF(F673&gt;0,IF(AB673="","PLANNING SUPPLY",IF(AB673&lt;=F673,"ONTIME DELIVERY","DELAY")),"")</f>
        <v>DELAY</v>
      </c>
      <c r="Q673" s="181" t="str">
        <f>IFERROR(IF(J673&gt;0,VLOOKUP(J673,#REF!,MATCH($Q$6,#REF!,0),0),""),"")</f>
        <v/>
      </c>
      <c r="R673" s="181" t="str">
        <f>IFERROR(IF(J673&gt;0,VLOOKUP(J673,#REF!,MATCH($R$6,#REF!,0),0),""),"")</f>
        <v/>
      </c>
      <c r="S673" s="181" t="e">
        <f>IF(I676&gt;0,Q673+R673,"")</f>
        <v>#VALUE!</v>
      </c>
      <c r="T673" s="181"/>
      <c r="U673" s="181"/>
      <c r="V673" s="37"/>
      <c r="W673" s="181" t="e">
        <f>IF(I676&gt;0,IF(S673&gt;L673,"READY STOCK",IF(S673=0,"OUT OF STOCK",IF(S673&lt;L673,"LOW STOCK",""))),"")</f>
        <v>#VALUE!</v>
      </c>
      <c r="X673" s="38"/>
      <c r="Y673" s="38"/>
      <c r="Z673" s="38"/>
      <c r="AA673" s="38"/>
      <c r="AB673" s="50">
        <v>46294</v>
      </c>
      <c r="AC673" s="181">
        <v>34620</v>
      </c>
      <c r="AD673" s="51">
        <v>15</v>
      </c>
      <c r="AE673" s="37" t="s">
        <v>387</v>
      </c>
      <c r="AF673" s="37"/>
      <c r="AG673" s="33" t="str">
        <f>IF(G673&gt;0,IF(AD673&gt;0,IF(AD673=0,"Waiting",IF(AD673&lt;L673,"Partial",IF(AD673=L673,"Full Supply",IF(AD673&gt;L673,"Over Shared")))),"Waiting"),"")</f>
        <v>Full Supply</v>
      </c>
      <c r="AH673" s="37"/>
      <c r="AI673" s="37"/>
      <c r="AJ673" s="181"/>
      <c r="AK673" s="40"/>
      <c r="AL673" s="40"/>
      <c r="AM673" s="40"/>
      <c r="AN673" s="37"/>
      <c r="AO673" s="34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  <c r="AZ673" s="181">
        <f>L673-AD673</f>
        <v>0</v>
      </c>
    </row>
    <row r="674" spans="1:52" ht="15.5" customHeight="1">
      <c r="A674" s="360" t="s">
        <v>372</v>
      </c>
      <c r="B674" s="340">
        <v>46275</v>
      </c>
      <c r="C674" s="181">
        <v>50735</v>
      </c>
      <c r="D674" s="30">
        <v>46275</v>
      </c>
      <c r="E674" s="30">
        <v>46247</v>
      </c>
      <c r="F674" s="30">
        <v>46283</v>
      </c>
      <c r="G674" s="37">
        <v>4420231463</v>
      </c>
      <c r="H674" s="37" t="s">
        <v>373</v>
      </c>
      <c r="I674" s="37">
        <v>9040040445</v>
      </c>
      <c r="J674" s="37" t="s">
        <v>193</v>
      </c>
      <c r="K674" s="325" t="s">
        <v>194</v>
      </c>
      <c r="L674" s="181">
        <v>15</v>
      </c>
      <c r="M674" s="181" t="s">
        <v>421</v>
      </c>
      <c r="N674" s="37" t="s">
        <v>428</v>
      </c>
      <c r="O674" s="31">
        <f>IF(F674&gt;0,F674-AB674,"")</f>
        <v>-21</v>
      </c>
      <c r="P674" s="37" t="str">
        <f>IF(F674&gt;0,IF(AB674="","PLANNING SUPPLY",IF(AB674&lt;=F674,"ONTIME DELIVERY","DELAY")),"")</f>
        <v>DELAY</v>
      </c>
      <c r="Q674" s="181" t="str">
        <f>IFERROR(IF(J674&gt;0,VLOOKUP(J674,#REF!,MATCH($Q$6,#REF!,0),0),""),"")</f>
        <v/>
      </c>
      <c r="R674" s="181" t="str">
        <f>IFERROR(IF(J674&gt;0,VLOOKUP(J674,#REF!,MATCH($R$6,#REF!,0),0),""),"")</f>
        <v/>
      </c>
      <c r="S674" s="181" t="e">
        <f>IF(I677&gt;0,Q674+R674,"")</f>
        <v>#VALUE!</v>
      </c>
      <c r="T674" s="181"/>
      <c r="U674" s="181"/>
      <c r="V674" s="37"/>
      <c r="W674" s="181" t="e">
        <f>IF(I677&gt;0,IF(S674&gt;L674,"READY STOCK",IF(S674=0,"OUT OF STOCK",IF(S674&lt;L674,"LOW STOCK",""))),"")</f>
        <v>#VALUE!</v>
      </c>
      <c r="X674" s="38"/>
      <c r="Y674" s="38"/>
      <c r="Z674" s="38"/>
      <c r="AA674" s="38"/>
      <c r="AB674" s="57">
        <v>46304</v>
      </c>
      <c r="AC674" s="181">
        <v>34745</v>
      </c>
      <c r="AD674" s="53">
        <v>15</v>
      </c>
      <c r="AE674" s="58" t="s">
        <v>387</v>
      </c>
      <c r="AF674" s="58" t="s">
        <v>381</v>
      </c>
      <c r="AG674" s="33" t="str">
        <f>IF(G674&gt;0,IF(AD674&gt;0,IF(AD674=0,"Waiting",IF(AD674&lt;L674,"Partial",IF(AD674=L674,"Full Supply",IF(AD674&gt;L674,"Over Shared")))),"Waiting"),"")</f>
        <v>Full Supply</v>
      </c>
      <c r="AH674" s="37"/>
      <c r="AI674" s="37"/>
      <c r="AJ674" s="181"/>
      <c r="AK674" s="40"/>
      <c r="AL674" s="40"/>
      <c r="AM674" s="40"/>
      <c r="AN674" s="37"/>
      <c r="AO674" s="34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  <c r="AZ674" s="181">
        <f>L674-AD674</f>
        <v>0</v>
      </c>
    </row>
    <row r="675" spans="1:52" ht="15.5" customHeight="1">
      <c r="A675" s="360" t="s">
        <v>372</v>
      </c>
      <c r="B675" s="340">
        <v>46275</v>
      </c>
      <c r="C675" s="181">
        <v>50735</v>
      </c>
      <c r="D675" s="30">
        <v>46275</v>
      </c>
      <c r="E675" s="30">
        <v>46247</v>
      </c>
      <c r="F675" s="30">
        <v>46283</v>
      </c>
      <c r="G675" s="37">
        <v>4420231463</v>
      </c>
      <c r="H675" s="37" t="s">
        <v>373</v>
      </c>
      <c r="I675" s="37">
        <v>9040040446</v>
      </c>
      <c r="J675" s="37" t="s">
        <v>189</v>
      </c>
      <c r="K675" s="325" t="s">
        <v>190</v>
      </c>
      <c r="L675" s="181">
        <v>15</v>
      </c>
      <c r="M675" s="181" t="s">
        <v>421</v>
      </c>
      <c r="N675" s="37" t="s">
        <v>428</v>
      </c>
      <c r="O675" s="31">
        <f>IF(F675&gt;0,F675-AB675,"")</f>
        <v>-34</v>
      </c>
      <c r="P675" s="37" t="str">
        <f>IF(F675&gt;0,IF(AB675="","PLANNING SUPPLY",IF(AB675&lt;=F675,"ONTIME DELIVERY","DELAY")),"")</f>
        <v>DELAY</v>
      </c>
      <c r="Q675" s="181" t="str">
        <f>IFERROR(IF(J675&gt;0,VLOOKUP(J675,#REF!,MATCH($Q$6,#REF!,0),0),""),"")</f>
        <v/>
      </c>
      <c r="R675" s="181" t="str">
        <f>IFERROR(IF(J675&gt;0,VLOOKUP(J675,#REF!,MATCH($R$6,#REF!,0),0),""),"")</f>
        <v/>
      </c>
      <c r="S675" s="181" t="e">
        <f>IF(I678&gt;0,Q675+R675,"")</f>
        <v>#VALUE!</v>
      </c>
      <c r="T675" s="181"/>
      <c r="U675" s="181"/>
      <c r="V675" s="37"/>
      <c r="W675" s="181" t="e">
        <f>IF(I678&gt;0,IF(S675&gt;L675,"READY STOCK",IF(S675=0,"OUT OF STOCK",IF(S675&lt;L675,"LOW STOCK",""))),"")</f>
        <v>#VALUE!</v>
      </c>
      <c r="X675" s="38"/>
      <c r="Y675" s="38"/>
      <c r="Z675" s="38"/>
      <c r="AA675" s="38"/>
      <c r="AB675" s="50">
        <v>46317</v>
      </c>
      <c r="AC675" s="236" t="s">
        <v>1331</v>
      </c>
      <c r="AD675" s="51">
        <v>15</v>
      </c>
      <c r="AE675" s="37" t="s">
        <v>387</v>
      </c>
      <c r="AF675" s="37" t="s">
        <v>381</v>
      </c>
      <c r="AG675" s="33" t="str">
        <f>IF(G675&gt;0,IF(AD675&gt;0,IF(AD675=0,"Waiting",IF(AD675&lt;L675,"Partial",IF(AD675=L675,"Full Supply",IF(AD675&gt;L675,"Over Shared")))),"Waiting"),"")</f>
        <v>Full Supply</v>
      </c>
      <c r="AH675" s="37"/>
      <c r="AI675" s="37"/>
      <c r="AJ675" s="181"/>
      <c r="AK675" s="40"/>
      <c r="AL675" s="40"/>
      <c r="AM675" s="40"/>
      <c r="AN675" s="37"/>
      <c r="AO675" s="34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181">
        <f>L675-AD675</f>
        <v>0</v>
      </c>
    </row>
    <row r="676" spans="1:52" ht="15.5" customHeight="1">
      <c r="A676" s="360" t="s">
        <v>372</v>
      </c>
      <c r="B676" s="340">
        <v>46275</v>
      </c>
      <c r="C676" s="181">
        <v>50735</v>
      </c>
      <c r="D676" s="30">
        <v>46275</v>
      </c>
      <c r="E676" s="30">
        <v>46247</v>
      </c>
      <c r="F676" s="30">
        <v>46283</v>
      </c>
      <c r="G676" s="37">
        <v>4420231463</v>
      </c>
      <c r="H676" s="37" t="s">
        <v>373</v>
      </c>
      <c r="I676" s="37">
        <v>9040042224</v>
      </c>
      <c r="J676" s="37" t="s">
        <v>195</v>
      </c>
      <c r="K676" s="325" t="s">
        <v>196</v>
      </c>
      <c r="L676" s="181">
        <v>30</v>
      </c>
      <c r="M676" s="181" t="s">
        <v>421</v>
      </c>
      <c r="N676" s="37" t="s">
        <v>428</v>
      </c>
      <c r="O676" s="31">
        <f>IF(F676&gt;0,F676-AB676,"")</f>
        <v>-26</v>
      </c>
      <c r="P676" s="37" t="str">
        <f>IF(F676&gt;0,IF(AB676="","PLANNING SUPPLY",IF(AB676&lt;=F676,"ONTIME DELIVERY","DELAY")),"")</f>
        <v>DELAY</v>
      </c>
      <c r="Q676" s="181" t="str">
        <f>IFERROR(IF(J676&gt;0,VLOOKUP(J676,#REF!,MATCH($Q$6,#REF!,0),0),""),"")</f>
        <v/>
      </c>
      <c r="R676" s="181" t="str">
        <f>IFERROR(IF(J676&gt;0,VLOOKUP(J676,#REF!,MATCH($R$6,#REF!,0),0),""),"")</f>
        <v/>
      </c>
      <c r="S676" s="181" t="e">
        <f>IF(I679&gt;0,Q676+R676,"")</f>
        <v>#VALUE!</v>
      </c>
      <c r="T676" s="181"/>
      <c r="U676" s="181"/>
      <c r="V676" s="37"/>
      <c r="W676" s="181" t="e">
        <f>IF(I679&gt;0,IF(S676&gt;L676,"READY STOCK",IF(S676=0,"OUT OF STOCK",IF(S676&lt;L676,"LOW STOCK",""))),"")</f>
        <v>#VALUE!</v>
      </c>
      <c r="X676" s="38"/>
      <c r="Y676" s="38"/>
      <c r="Z676" s="38"/>
      <c r="AA676" s="38"/>
      <c r="AB676" s="50">
        <v>46309</v>
      </c>
      <c r="AC676" s="44">
        <v>35041</v>
      </c>
      <c r="AD676" s="51">
        <v>30</v>
      </c>
      <c r="AE676" s="37" t="s">
        <v>387</v>
      </c>
      <c r="AF676" s="37" t="s">
        <v>381</v>
      </c>
      <c r="AG676" s="33" t="str">
        <f>IF(G676&gt;0,IF(AD676&gt;0,IF(AD676=0,"Waiting",IF(AD676&lt;L676,"Partial",IF(AD676=L676,"Full Supply",IF(AD676&gt;L676,"Over Shared")))),"Waiting"),"")</f>
        <v>Full Supply</v>
      </c>
      <c r="AH676" s="56">
        <v>46287</v>
      </c>
      <c r="AI676" s="37" t="s">
        <v>1322</v>
      </c>
      <c r="AJ676" s="181">
        <v>56</v>
      </c>
      <c r="AK676" s="40">
        <v>26381</v>
      </c>
      <c r="AL676" s="218">
        <v>46287</v>
      </c>
      <c r="AM676" s="40">
        <v>56</v>
      </c>
      <c r="AN676" s="37"/>
      <c r="AO676" s="41">
        <v>46290</v>
      </c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181">
        <f>L676-AD676</f>
        <v>0</v>
      </c>
    </row>
    <row r="677" spans="1:52" ht="15.5" customHeight="1">
      <c r="A677" s="360" t="s">
        <v>372</v>
      </c>
      <c r="B677" s="340">
        <v>46275</v>
      </c>
      <c r="C677" s="181">
        <v>50736</v>
      </c>
      <c r="D677" s="30">
        <v>46275</v>
      </c>
      <c r="E677" s="30">
        <v>46267</v>
      </c>
      <c r="F677" s="30">
        <v>46297</v>
      </c>
      <c r="G677" s="37">
        <v>4420232648</v>
      </c>
      <c r="H677" s="37" t="s">
        <v>373</v>
      </c>
      <c r="I677" s="37">
        <v>9040009391</v>
      </c>
      <c r="J677" s="37" t="s">
        <v>293</v>
      </c>
      <c r="K677" s="325" t="s">
        <v>294</v>
      </c>
      <c r="L677" s="181">
        <v>7</v>
      </c>
      <c r="M677" s="181" t="s">
        <v>375</v>
      </c>
      <c r="N677" s="37" t="s">
        <v>408</v>
      </c>
      <c r="O677" s="31">
        <f>IF(F677&gt;0,F677-AB677,"")</f>
        <v>7</v>
      </c>
      <c r="P677" s="37" t="str">
        <f>IF(F677&gt;0,IF(AB677="","PLANNING SUPPLY",IF(AB677&lt;=F677,"ONTIME DELIVERY","DELAY")),"")</f>
        <v>ONTIME DELIVERY</v>
      </c>
      <c r="Q677" s="181" t="str">
        <f>IFERROR(IF(J677&gt;0,VLOOKUP(J677,#REF!,MATCH($Q$6,#REF!,0),0),""),"")</f>
        <v/>
      </c>
      <c r="R677" s="181" t="str">
        <f>IFERROR(IF(J677&gt;0,VLOOKUP(J677,#REF!,MATCH($R$6,#REF!,0),0),""),"")</f>
        <v/>
      </c>
      <c r="S677" s="181" t="e">
        <f>IF(I680&gt;0,Q677+R677,"")</f>
        <v>#VALUE!</v>
      </c>
      <c r="T677" s="181"/>
      <c r="U677" s="181"/>
      <c r="V677" s="37"/>
      <c r="W677" s="181" t="e">
        <f>IF(I680&gt;0,IF(S677&gt;L677,"READY STOCK",IF(S677=0,"OUT OF STOCK",IF(S677&lt;L677,"LOW STOCK",""))),"")</f>
        <v>#VALUE!</v>
      </c>
      <c r="X677" s="38"/>
      <c r="Y677" s="38"/>
      <c r="Z677" s="38"/>
      <c r="AA677" s="38"/>
      <c r="AB677" s="50">
        <v>46290</v>
      </c>
      <c r="AC677" s="181">
        <v>34574</v>
      </c>
      <c r="AD677" s="51">
        <v>7</v>
      </c>
      <c r="AE677" s="37" t="s">
        <v>383</v>
      </c>
      <c r="AF677" s="37" t="s">
        <v>381</v>
      </c>
      <c r="AG677" s="33" t="str">
        <f>IF(G677&gt;0,IF(AD677&gt;0,IF(AD677=0,"Waiting",IF(AD677&lt;L677,"Partial",IF(AD677=L677,"Full Supply",IF(AD677&gt;L677,"Over Shared")))),"Waiting"),"")</f>
        <v>Full Supply</v>
      </c>
      <c r="AH677" s="37"/>
      <c r="AI677" s="37"/>
      <c r="AJ677" s="181"/>
      <c r="AK677" s="40"/>
      <c r="AL677" s="40"/>
      <c r="AM677" s="40"/>
      <c r="AN677" s="37"/>
      <c r="AO677" s="34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181">
        <f>L677-AD677</f>
        <v>0</v>
      </c>
    </row>
    <row r="678" spans="1:52" ht="15.5" customHeight="1">
      <c r="A678" s="360" t="s">
        <v>372</v>
      </c>
      <c r="B678" s="340">
        <v>46275</v>
      </c>
      <c r="C678" s="181">
        <v>50736</v>
      </c>
      <c r="D678" s="30">
        <v>46275</v>
      </c>
      <c r="E678" s="30">
        <v>46267</v>
      </c>
      <c r="F678" s="30">
        <v>46297</v>
      </c>
      <c r="G678" s="37">
        <v>4420232648</v>
      </c>
      <c r="H678" s="37" t="s">
        <v>373</v>
      </c>
      <c r="I678" s="37">
        <v>9040042224</v>
      </c>
      <c r="J678" s="37" t="s">
        <v>195</v>
      </c>
      <c r="K678" s="325" t="s">
        <v>196</v>
      </c>
      <c r="L678" s="181">
        <v>10</v>
      </c>
      <c r="M678" s="181" t="s">
        <v>421</v>
      </c>
      <c r="N678" s="37" t="s">
        <v>408</v>
      </c>
      <c r="O678" s="31">
        <f>IF(F678&gt;0,F678-AB678,"")</f>
        <v>46297</v>
      </c>
      <c r="P678" s="37" t="str">
        <f>IF(F678&gt;0,IF(AB678="","PLANNING SUPPLY",IF(AB678&lt;=F678,"ONTIME DELIVERY","DELAY")),"")</f>
        <v>PLANNING SUPPLY</v>
      </c>
      <c r="Q678" s="181" t="str">
        <f>IFERROR(IF(J678&gt;0,VLOOKUP(J678,#REF!,MATCH($Q$6,#REF!,0),0),""),"")</f>
        <v/>
      </c>
      <c r="R678" s="181" t="str">
        <f>IFERROR(IF(J678&gt;0,VLOOKUP(J678,#REF!,MATCH($R$6,#REF!,0),0),""),"")</f>
        <v/>
      </c>
      <c r="S678" s="181" t="e">
        <f>IF(I681&gt;0,Q678+R678,"")</f>
        <v>#VALUE!</v>
      </c>
      <c r="T678" s="181"/>
      <c r="U678" s="181"/>
      <c r="V678" s="37"/>
      <c r="W678" s="181" t="e">
        <f>IF(I681&gt;0,IF(S678&gt;L678,"READY STOCK",IF(S678=0,"OUT OF STOCK",IF(S678&lt;L678,"LOW STOCK",""))),"")</f>
        <v>#VALUE!</v>
      </c>
      <c r="X678" s="38"/>
      <c r="Y678" s="38"/>
      <c r="Z678" s="38"/>
      <c r="AA678" s="38"/>
      <c r="AB678" s="50"/>
      <c r="AC678" s="181"/>
      <c r="AD678" s="51">
        <v>10</v>
      </c>
      <c r="AE678" s="37"/>
      <c r="AF678" s="58" t="s">
        <v>1295</v>
      </c>
      <c r="AG678" s="33" t="str">
        <f>IF(G678&gt;0,IF(AD678&gt;0,IF(AD678=0,"Waiting",IF(AD678&lt;L678,"Partial",IF(AD678=L678,"Full Supply",IF(AD678&gt;L678,"Over Shared")))),"Waiting"),"")</f>
        <v>Full Supply</v>
      </c>
      <c r="AH678" s="56">
        <v>46287</v>
      </c>
      <c r="AI678" s="37" t="s">
        <v>1322</v>
      </c>
      <c r="AJ678" s="181">
        <v>56</v>
      </c>
      <c r="AK678" s="40">
        <v>26381</v>
      </c>
      <c r="AL678" s="218">
        <v>46287</v>
      </c>
      <c r="AM678" s="40">
        <v>56</v>
      </c>
      <c r="AN678" s="37"/>
      <c r="AO678" s="41">
        <v>46290</v>
      </c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  <c r="AZ678" s="181">
        <f>L678-AD678</f>
        <v>0</v>
      </c>
    </row>
    <row r="679" spans="1:52" ht="15.5" customHeight="1">
      <c r="A679" s="360" t="s">
        <v>372</v>
      </c>
      <c r="B679" s="340">
        <v>46275</v>
      </c>
      <c r="C679" s="181">
        <v>50736</v>
      </c>
      <c r="D679" s="30">
        <v>46275</v>
      </c>
      <c r="E679" s="30">
        <v>46267</v>
      </c>
      <c r="F679" s="30">
        <v>46297</v>
      </c>
      <c r="G679" s="37">
        <v>4420232648</v>
      </c>
      <c r="H679" s="37" t="s">
        <v>373</v>
      </c>
      <c r="I679" s="37">
        <v>9040044154</v>
      </c>
      <c r="J679" s="37" t="s">
        <v>301</v>
      </c>
      <c r="K679" s="325" t="s">
        <v>302</v>
      </c>
      <c r="L679" s="181">
        <v>3</v>
      </c>
      <c r="M679" s="181" t="s">
        <v>375</v>
      </c>
      <c r="N679" s="37" t="s">
        <v>408</v>
      </c>
      <c r="O679" s="31">
        <f>IF(F679&gt;0,F679-AB679,"")</f>
        <v>-12</v>
      </c>
      <c r="P679" s="37" t="str">
        <f>IF(F679&gt;0,IF(AB679="","PLANNING SUPPLY",IF(AB679&lt;=F679,"ONTIME DELIVERY","DELAY")),"")</f>
        <v>DELAY</v>
      </c>
      <c r="Q679" s="181" t="str">
        <f>IFERROR(IF(J679&gt;0,VLOOKUP(J679,#REF!,MATCH($Q$6,#REF!,0),0),""),"")</f>
        <v/>
      </c>
      <c r="R679" s="181" t="str">
        <f>IFERROR(IF(J679&gt;0,VLOOKUP(J679,#REF!,MATCH($R$6,#REF!,0),0),""),"")</f>
        <v/>
      </c>
      <c r="S679" s="181" t="e">
        <f>IF(I682&gt;0,Q679+R679,"")</f>
        <v>#VALUE!</v>
      </c>
      <c r="T679" s="181"/>
      <c r="U679" s="181"/>
      <c r="V679" s="37"/>
      <c r="W679" s="181" t="e">
        <f>IF(I682&gt;0,IF(S679&gt;L679,"READY STOCK",IF(S679=0,"OUT OF STOCK",IF(S679&lt;L679,"LOW STOCK",""))),"")</f>
        <v>#VALUE!</v>
      </c>
      <c r="X679" s="38"/>
      <c r="Y679" s="38"/>
      <c r="Z679" s="38"/>
      <c r="AA679" s="38"/>
      <c r="AB679" s="50">
        <v>46309</v>
      </c>
      <c r="AC679" s="44">
        <v>35052</v>
      </c>
      <c r="AD679" s="51">
        <v>3</v>
      </c>
      <c r="AE679" s="37" t="s">
        <v>387</v>
      </c>
      <c r="AF679" s="37" t="s">
        <v>381</v>
      </c>
      <c r="AG679" s="33" t="str">
        <f>IF(G679&gt;0,IF(AD679&gt;0,IF(AD679=0,"Waiting",IF(AD679&lt;L679,"Partial",IF(AD679=L679,"Full Supply",IF(AD679&gt;L679,"Over Shared")))),"Waiting"),"")</f>
        <v>Full Supply</v>
      </c>
      <c r="AH679" s="56">
        <v>46282</v>
      </c>
      <c r="AI679" s="37" t="s">
        <v>1303</v>
      </c>
      <c r="AJ679" s="181">
        <v>30</v>
      </c>
      <c r="AK679" s="40">
        <v>26382</v>
      </c>
      <c r="AL679" s="218">
        <v>46287</v>
      </c>
      <c r="AM679" s="40">
        <v>30</v>
      </c>
      <c r="AN679" s="37"/>
      <c r="AO679" s="46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181">
        <f>L679-AD679</f>
        <v>0</v>
      </c>
    </row>
    <row r="680" spans="1:52" ht="15.5" customHeight="1">
      <c r="A680" s="360" t="s">
        <v>372</v>
      </c>
      <c r="B680" s="340">
        <v>46275</v>
      </c>
      <c r="C680" s="181">
        <v>50737</v>
      </c>
      <c r="D680" s="30">
        <v>46275</v>
      </c>
      <c r="E680" s="30">
        <v>46273</v>
      </c>
      <c r="F680" s="30">
        <v>46290</v>
      </c>
      <c r="G680" s="37">
        <v>4420233048</v>
      </c>
      <c r="H680" s="37" t="s">
        <v>373</v>
      </c>
      <c r="I680" s="37">
        <v>9040009482</v>
      </c>
      <c r="J680" s="37" t="s">
        <v>233</v>
      </c>
      <c r="K680" s="325" t="s">
        <v>234</v>
      </c>
      <c r="L680" s="181">
        <v>2</v>
      </c>
      <c r="M680" s="181" t="s">
        <v>389</v>
      </c>
      <c r="N680" s="37" t="s">
        <v>408</v>
      </c>
      <c r="O680" s="31">
        <f>IF(F680&gt;0,F680-AB680,"")</f>
        <v>2</v>
      </c>
      <c r="P680" s="37" t="str">
        <f>IF(F680&gt;0,IF(AB680="","PLANNING SUPPLY",IF(AB680&lt;=F680,"ONTIME DELIVERY","DELAY")),"")</f>
        <v>ONTIME DELIVERY</v>
      </c>
      <c r="Q680" s="181" t="str">
        <f>IFERROR(IF(J680&gt;0,VLOOKUP(J680,#REF!,MATCH($Q$6,#REF!,0),0),""),"")</f>
        <v/>
      </c>
      <c r="R680" s="181" t="str">
        <f>IFERROR(IF(J680&gt;0,VLOOKUP(J680,#REF!,MATCH($R$6,#REF!,0),0),""),"")</f>
        <v/>
      </c>
      <c r="S680" s="181" t="e">
        <f>IF(I683&gt;0,Q680+R680,"")</f>
        <v>#VALUE!</v>
      </c>
      <c r="T680" s="181"/>
      <c r="U680" s="181"/>
      <c r="V680" s="37"/>
      <c r="W680" s="181" t="e">
        <f>IF(I683&gt;0,IF(S680&gt;L680,"READY STOCK",IF(S680=0,"OUT OF STOCK",IF(S680&lt;L680,"LOW STOCK",""))),"")</f>
        <v>#VALUE!</v>
      </c>
      <c r="X680" s="38"/>
      <c r="Y680" s="38"/>
      <c r="Z680" s="38"/>
      <c r="AA680" s="38"/>
      <c r="AB680" s="50">
        <v>46288</v>
      </c>
      <c r="AC680" s="181">
        <v>34501</v>
      </c>
      <c r="AD680" s="51">
        <v>2</v>
      </c>
      <c r="AE680" s="37" t="s">
        <v>383</v>
      </c>
      <c r="AF680" s="37" t="s">
        <v>381</v>
      </c>
      <c r="AG680" s="33" t="str">
        <f>IF(G680&gt;0,IF(AD680&gt;0,IF(AD680=0,"Waiting",IF(AD680&lt;L680,"Partial",IF(AD680=L680,"Full Supply",IF(AD680&gt;L680,"Over Shared")))),"Waiting"),"")</f>
        <v>Full Supply</v>
      </c>
      <c r="AH680" s="37"/>
      <c r="AI680" s="37"/>
      <c r="AJ680" s="181"/>
      <c r="AK680" s="40"/>
      <c r="AL680" s="40"/>
      <c r="AM680" s="40"/>
      <c r="AN680" s="37"/>
      <c r="AO680" s="34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181">
        <f>L680-AD680</f>
        <v>0</v>
      </c>
    </row>
    <row r="681" spans="1:52" ht="15.5" customHeight="1">
      <c r="A681" s="360" t="s">
        <v>372</v>
      </c>
      <c r="B681" s="340">
        <v>46275</v>
      </c>
      <c r="C681" s="181">
        <v>50737</v>
      </c>
      <c r="D681" s="30">
        <v>46275</v>
      </c>
      <c r="E681" s="30">
        <v>46273</v>
      </c>
      <c r="F681" s="30">
        <v>46290</v>
      </c>
      <c r="G681" s="37">
        <v>4420233048</v>
      </c>
      <c r="H681" s="37" t="s">
        <v>373</v>
      </c>
      <c r="I681" s="37">
        <v>9040014955</v>
      </c>
      <c r="J681" s="37" t="s">
        <v>27</v>
      </c>
      <c r="K681" s="325" t="s">
        <v>28</v>
      </c>
      <c r="L681" s="181">
        <v>4</v>
      </c>
      <c r="M681" s="181" t="s">
        <v>375</v>
      </c>
      <c r="N681" s="37" t="s">
        <v>408</v>
      </c>
      <c r="O681" s="31">
        <f>IF(F681&gt;0,F681-AB681,"")</f>
        <v>1</v>
      </c>
      <c r="P681" s="37" t="str">
        <f>IF(F681&gt;0,IF(AB681="","PLANNING SUPPLY",IF(AB681&lt;=F681,"ONTIME DELIVERY","DELAY")),"")</f>
        <v>ONTIME DELIVERY</v>
      </c>
      <c r="Q681" s="181" t="str">
        <f>IFERROR(IF(J681&gt;0,VLOOKUP(J681,#REF!,MATCH($Q$6,#REF!,0),0),""),"")</f>
        <v/>
      </c>
      <c r="R681" s="181" t="str">
        <f>IFERROR(IF(J681&gt;0,VLOOKUP(J681,#REF!,MATCH($R$6,#REF!,0),0),""),"")</f>
        <v/>
      </c>
      <c r="S681" s="181" t="e">
        <f>IF(I684&gt;0,Q681+R681,"")</f>
        <v>#VALUE!</v>
      </c>
      <c r="T681" s="181"/>
      <c r="U681" s="181"/>
      <c r="V681" s="37"/>
      <c r="W681" s="181" t="e">
        <f>IF(I684&gt;0,IF(S681&gt;L681,"READY STOCK",IF(S681=0,"OUT OF STOCK",IF(S681&lt;L681,"LOW STOCK",""))),"")</f>
        <v>#VALUE!</v>
      </c>
      <c r="X681" s="38"/>
      <c r="Y681" s="38"/>
      <c r="Z681" s="38"/>
      <c r="AA681" s="38"/>
      <c r="AB681" s="50">
        <v>46289</v>
      </c>
      <c r="AC681" s="181">
        <v>34581</v>
      </c>
      <c r="AD681" s="51">
        <v>4</v>
      </c>
      <c r="AE681" s="37" t="s">
        <v>2</v>
      </c>
      <c r="AF681" s="37" t="s">
        <v>1295</v>
      </c>
      <c r="AG681" s="33" t="str">
        <f>IF(G681&gt;0,IF(AD681&gt;0,IF(AD681=0,"Waiting",IF(AD681&lt;L681,"Partial",IF(AD681=L681,"Full Supply",IF(AD681&gt;L681,"Over Shared")))),"Waiting"),"")</f>
        <v>Full Supply</v>
      </c>
      <c r="AH681" s="37"/>
      <c r="AI681" s="37"/>
      <c r="AJ681" s="181"/>
      <c r="AK681" s="40"/>
      <c r="AL681" s="40"/>
      <c r="AM681" s="40"/>
      <c r="AN681" s="37"/>
      <c r="AO681" s="34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181">
        <f>L681-AD681</f>
        <v>0</v>
      </c>
    </row>
    <row r="682" spans="1:52" ht="15.5" customHeight="1">
      <c r="A682" s="360" t="s">
        <v>372</v>
      </c>
      <c r="B682" s="340">
        <v>46275</v>
      </c>
      <c r="C682" s="181">
        <v>50737</v>
      </c>
      <c r="D682" s="30">
        <v>46275</v>
      </c>
      <c r="E682" s="30">
        <v>46273</v>
      </c>
      <c r="F682" s="30">
        <v>46290</v>
      </c>
      <c r="G682" s="37">
        <v>4420233048</v>
      </c>
      <c r="H682" s="37" t="s">
        <v>373</v>
      </c>
      <c r="I682" s="37">
        <v>9040016343</v>
      </c>
      <c r="J682" s="37" t="s">
        <v>211</v>
      </c>
      <c r="K682" s="325" t="s">
        <v>212</v>
      </c>
      <c r="L682" s="181">
        <v>3</v>
      </c>
      <c r="M682" s="181" t="s">
        <v>421</v>
      </c>
      <c r="N682" s="37" t="s">
        <v>408</v>
      </c>
      <c r="O682" s="31">
        <f>IF(F682&gt;0,F682-AB682,"")</f>
        <v>46290</v>
      </c>
      <c r="P682" s="37" t="str">
        <f>IF(F682&gt;0,IF(AB682="","PLANNING SUPPLY",IF(AB682&lt;=F682,"ONTIME DELIVERY","DELAY")),"")</f>
        <v>PLANNING SUPPLY</v>
      </c>
      <c r="Q682" s="181" t="str">
        <f>IFERROR(IF(J682&gt;0,VLOOKUP(J682,#REF!,MATCH($Q$6,#REF!,0),0),""),"")</f>
        <v/>
      </c>
      <c r="R682" s="181" t="str">
        <f>IFERROR(IF(J682&gt;0,VLOOKUP(J682,#REF!,MATCH($R$6,#REF!,0),0),""),"")</f>
        <v/>
      </c>
      <c r="S682" s="181" t="e">
        <f>IF(I685&gt;0,Q682+R682,"")</f>
        <v>#VALUE!</v>
      </c>
      <c r="T682" s="181"/>
      <c r="U682" s="181"/>
      <c r="V682" s="37"/>
      <c r="W682" s="181" t="e">
        <f>IF(I685&gt;0,IF(S682&gt;L682,"READY STOCK",IF(S682=0,"OUT OF STOCK",IF(S682&lt;L682,"LOW STOCK",""))),"")</f>
        <v>#VALUE!</v>
      </c>
      <c r="X682" s="38"/>
      <c r="Y682" s="38"/>
      <c r="Z682" s="38"/>
      <c r="AA682" s="38"/>
      <c r="AB682" s="50"/>
      <c r="AC682" s="181"/>
      <c r="AD682" s="51">
        <v>3</v>
      </c>
      <c r="AE682" s="37"/>
      <c r="AF682" s="58" t="s">
        <v>1295</v>
      </c>
      <c r="AG682" s="33" t="str">
        <f>IF(G682&gt;0,IF(AD682&gt;0,IF(AD682=0,"Waiting",IF(AD682&lt;L682,"Partial",IF(AD682=L682,"Full Supply",IF(AD682&gt;L682,"Over Shared")))),"Waiting"),"")</f>
        <v>Full Supply</v>
      </c>
      <c r="AH682" s="56"/>
      <c r="AI682" s="37" t="s">
        <v>1130</v>
      </c>
      <c r="AJ682" s="181">
        <v>30</v>
      </c>
      <c r="AK682" s="40">
        <v>26347</v>
      </c>
      <c r="AL682" s="45">
        <v>46286</v>
      </c>
      <c r="AM682" s="40">
        <v>32</v>
      </c>
      <c r="AN682" s="37"/>
      <c r="AO682" s="46">
        <v>46296</v>
      </c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181">
        <f>L682-AD682</f>
        <v>0</v>
      </c>
    </row>
    <row r="683" spans="1:52" ht="15.5" customHeight="1">
      <c r="A683" s="360" t="s">
        <v>372</v>
      </c>
      <c r="B683" s="340">
        <v>46275</v>
      </c>
      <c r="C683" s="181">
        <v>50737</v>
      </c>
      <c r="D683" s="30">
        <v>46275</v>
      </c>
      <c r="E683" s="30">
        <v>46273</v>
      </c>
      <c r="F683" s="30">
        <v>46290</v>
      </c>
      <c r="G683" s="37">
        <v>4420233048</v>
      </c>
      <c r="H683" s="37" t="s">
        <v>373</v>
      </c>
      <c r="I683" s="37">
        <v>9040019465</v>
      </c>
      <c r="J683" s="37" t="s">
        <v>27</v>
      </c>
      <c r="K683" s="325" t="s">
        <v>28</v>
      </c>
      <c r="L683" s="181">
        <v>3</v>
      </c>
      <c r="M683" s="181" t="s">
        <v>375</v>
      </c>
      <c r="N683" s="37" t="s">
        <v>408</v>
      </c>
      <c r="O683" s="31">
        <f>IF(F683&gt;0,F683-AB683,"")</f>
        <v>1</v>
      </c>
      <c r="P683" s="37" t="str">
        <f>IF(F683&gt;0,IF(AB683="","PLANNING SUPPLY",IF(AB683&lt;=F683,"ONTIME DELIVERY","DELAY")),"")</f>
        <v>ONTIME DELIVERY</v>
      </c>
      <c r="Q683" s="181" t="str">
        <f>IFERROR(IF(J683&gt;0,VLOOKUP(J683,#REF!,MATCH($Q$6,#REF!,0),0),""),"")</f>
        <v/>
      </c>
      <c r="R683" s="181" t="str">
        <f>IFERROR(IF(J683&gt;0,VLOOKUP(J683,#REF!,MATCH($R$6,#REF!,0),0),""),"")</f>
        <v/>
      </c>
      <c r="S683" s="181" t="e">
        <f>IF(I686&gt;0,Q683+R683,"")</f>
        <v>#VALUE!</v>
      </c>
      <c r="T683" s="181"/>
      <c r="U683" s="181"/>
      <c r="V683" s="37"/>
      <c r="W683" s="181" t="e">
        <f>IF(I686&gt;0,IF(S683&gt;L683,"READY STOCK",IF(S683=0,"OUT OF STOCK",IF(S683&lt;L683,"LOW STOCK",""))),"")</f>
        <v>#VALUE!</v>
      </c>
      <c r="X683" s="38"/>
      <c r="Y683" s="38"/>
      <c r="Z683" s="38"/>
      <c r="AA683" s="38"/>
      <c r="AB683" s="50">
        <v>46289</v>
      </c>
      <c r="AC683" s="181">
        <v>34581</v>
      </c>
      <c r="AD683" s="51">
        <v>3</v>
      </c>
      <c r="AE683" s="37" t="s">
        <v>2</v>
      </c>
      <c r="AF683" s="37" t="s">
        <v>1295</v>
      </c>
      <c r="AG683" s="33" t="str">
        <f>IF(G683&gt;0,IF(AD683&gt;0,IF(AD683=0,"Waiting",IF(AD683&lt;L683,"Partial",IF(AD683=L683,"Full Supply",IF(AD683&gt;L683,"Over Shared")))),"Waiting"),"")</f>
        <v>Full Supply</v>
      </c>
      <c r="AH683" s="37"/>
      <c r="AI683" s="37"/>
      <c r="AJ683" s="181"/>
      <c r="AK683" s="40"/>
      <c r="AL683" s="40"/>
      <c r="AM683" s="40"/>
      <c r="AN683" s="37"/>
      <c r="AO683" s="34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181">
        <f>L683-AD683</f>
        <v>0</v>
      </c>
    </row>
    <row r="684" spans="1:52" ht="15.5" customHeight="1">
      <c r="A684" s="360" t="s">
        <v>372</v>
      </c>
      <c r="B684" s="340">
        <v>46275</v>
      </c>
      <c r="C684" s="181">
        <v>50737</v>
      </c>
      <c r="D684" s="30">
        <v>46275</v>
      </c>
      <c r="E684" s="30">
        <v>46273</v>
      </c>
      <c r="F684" s="30">
        <v>46290</v>
      </c>
      <c r="G684" s="37">
        <v>4420233048</v>
      </c>
      <c r="H684" s="37" t="s">
        <v>373</v>
      </c>
      <c r="I684" s="37">
        <v>9040021297</v>
      </c>
      <c r="J684" s="37" t="s">
        <v>108</v>
      </c>
      <c r="K684" s="325" t="s">
        <v>109</v>
      </c>
      <c r="L684" s="181">
        <v>1</v>
      </c>
      <c r="M684" s="181" t="s">
        <v>375</v>
      </c>
      <c r="N684" s="37" t="s">
        <v>408</v>
      </c>
      <c r="O684" s="31">
        <f>IF(F684&gt;0,F684-AB684,"")</f>
        <v>-19</v>
      </c>
      <c r="P684" s="37" t="str">
        <f>IF(F684&gt;0,IF(AB684="","PLANNING SUPPLY",IF(AB684&lt;=F684,"ONTIME DELIVERY","DELAY")),"")</f>
        <v>DELAY</v>
      </c>
      <c r="Q684" s="181" t="str">
        <f>IFERROR(IF(J684&gt;0,VLOOKUP(J684,#REF!,MATCH($Q$6,#REF!,0),0),""),"")</f>
        <v/>
      </c>
      <c r="R684" s="181" t="str">
        <f>IFERROR(IF(J684&gt;0,VLOOKUP(J684,#REF!,MATCH($R$6,#REF!,0),0),""),"")</f>
        <v/>
      </c>
      <c r="S684" s="181" t="e">
        <f>IF(I687&gt;0,Q684+R684,"")</f>
        <v>#VALUE!</v>
      </c>
      <c r="T684" s="181"/>
      <c r="U684" s="181"/>
      <c r="V684" s="37"/>
      <c r="W684" s="181" t="e">
        <f>IF(I687&gt;0,IF(S684&gt;L684,"READY STOCK",IF(S684=0,"OUT OF STOCK",IF(S684&lt;L684,"LOW STOCK",""))),"")</f>
        <v>#VALUE!</v>
      </c>
      <c r="X684" s="38"/>
      <c r="Y684" s="38"/>
      <c r="Z684" s="38"/>
      <c r="AA684" s="38"/>
      <c r="AB684" s="50">
        <v>46309</v>
      </c>
      <c r="AC684" s="44">
        <v>35051</v>
      </c>
      <c r="AD684" s="51">
        <v>1</v>
      </c>
      <c r="AE684" s="37" t="s">
        <v>387</v>
      </c>
      <c r="AF684" s="37" t="s">
        <v>381</v>
      </c>
      <c r="AG684" s="33" t="str">
        <f>IF(G684&gt;0,IF(AD684&gt;0,IF(AD684=0,"Waiting",IF(AD684&lt;L684,"Partial",IF(AD684=L684,"Full Supply",IF(AD684&gt;L684,"Over Shared")))),"Waiting"),"")</f>
        <v>Full Supply</v>
      </c>
      <c r="AH684" s="56"/>
      <c r="AI684" s="37"/>
      <c r="AJ684" s="181"/>
      <c r="AK684" s="40"/>
      <c r="AL684" s="40"/>
      <c r="AM684" s="40"/>
      <c r="AN684" s="37"/>
      <c r="AO684" s="34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181">
        <f>L684-AD684</f>
        <v>0</v>
      </c>
    </row>
    <row r="685" spans="1:52" ht="15.5" customHeight="1">
      <c r="A685" s="360" t="s">
        <v>372</v>
      </c>
      <c r="B685" s="340">
        <v>46275</v>
      </c>
      <c r="C685" s="181">
        <v>50737</v>
      </c>
      <c r="D685" s="30">
        <v>46275</v>
      </c>
      <c r="E685" s="30">
        <v>46273</v>
      </c>
      <c r="F685" s="30">
        <v>46290</v>
      </c>
      <c r="G685" s="37">
        <v>4420233048</v>
      </c>
      <c r="H685" s="37" t="s">
        <v>373</v>
      </c>
      <c r="I685" s="37">
        <v>9040024384</v>
      </c>
      <c r="J685" s="37" t="s">
        <v>54</v>
      </c>
      <c r="K685" s="325" t="s">
        <v>55</v>
      </c>
      <c r="L685" s="181">
        <v>3</v>
      </c>
      <c r="M685" s="181" t="s">
        <v>478</v>
      </c>
      <c r="N685" s="37" t="s">
        <v>408</v>
      </c>
      <c r="O685" s="31">
        <f>IF(F685&gt;0,F685-AB685,"")</f>
        <v>1</v>
      </c>
      <c r="P685" s="37" t="str">
        <f>IF(F685&gt;0,IF(AB685="","PLANNING SUPPLY",IF(AB685&lt;=F685,"ONTIME DELIVERY","DELAY")),"")</f>
        <v>ONTIME DELIVERY</v>
      </c>
      <c r="Q685" s="181" t="str">
        <f>IFERROR(IF(J685&gt;0,VLOOKUP(J685,#REF!,MATCH($Q$6,#REF!,0),0),""),"")</f>
        <v/>
      </c>
      <c r="R685" s="181" t="str">
        <f>IFERROR(IF(J685&gt;0,VLOOKUP(J685,#REF!,MATCH($R$6,#REF!,0),0),""),"")</f>
        <v/>
      </c>
      <c r="S685" s="181" t="e">
        <f>IF(I688&gt;0,Q685+R685,"")</f>
        <v>#VALUE!</v>
      </c>
      <c r="T685" s="181"/>
      <c r="U685" s="181"/>
      <c r="V685" s="37"/>
      <c r="W685" s="181" t="e">
        <f>IF(I688&gt;0,IF(S685&gt;L685,"READY STOCK",IF(S685=0,"OUT OF STOCK",IF(S685&lt;L685,"LOW STOCK",""))),"")</f>
        <v>#VALUE!</v>
      </c>
      <c r="X685" s="38"/>
      <c r="Y685" s="38"/>
      <c r="Z685" s="38"/>
      <c r="AA685" s="38"/>
      <c r="AB685" s="50">
        <v>46289</v>
      </c>
      <c r="AC685" s="181">
        <v>34581</v>
      </c>
      <c r="AD685" s="51">
        <v>3</v>
      </c>
      <c r="AE685" s="37" t="s">
        <v>2</v>
      </c>
      <c r="AF685" s="37" t="s">
        <v>1295</v>
      </c>
      <c r="AG685" s="33" t="str">
        <f>IF(G685&gt;0,IF(AD685&gt;0,IF(AD685=0,"Waiting",IF(AD685&lt;L685,"Partial",IF(AD685=L685,"Full Supply",IF(AD685&gt;L685,"Over Shared")))),"Waiting"),"")</f>
        <v>Full Supply</v>
      </c>
      <c r="AH685" s="37"/>
      <c r="AI685" s="37"/>
      <c r="AJ685" s="181"/>
      <c r="AK685" s="40"/>
      <c r="AL685" s="40"/>
      <c r="AM685" s="40"/>
      <c r="AN685" s="37"/>
      <c r="AO685" s="34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181">
        <f>L685-AD685</f>
        <v>0</v>
      </c>
    </row>
    <row r="686" spans="1:52" ht="15.5" customHeight="1">
      <c r="A686" s="360" t="s">
        <v>372</v>
      </c>
      <c r="B686" s="340">
        <v>46275</v>
      </c>
      <c r="C686" s="181">
        <v>50737</v>
      </c>
      <c r="D686" s="30">
        <v>46275</v>
      </c>
      <c r="E686" s="30">
        <v>46273</v>
      </c>
      <c r="F686" s="30">
        <v>46290</v>
      </c>
      <c r="G686" s="37">
        <v>4420233048</v>
      </c>
      <c r="H686" s="37" t="s">
        <v>373</v>
      </c>
      <c r="I686" s="37">
        <v>9040012343</v>
      </c>
      <c r="J686" s="37" t="s">
        <v>303</v>
      </c>
      <c r="K686" s="325" t="s">
        <v>304</v>
      </c>
      <c r="L686" s="181">
        <v>5</v>
      </c>
      <c r="M686" s="181" t="s">
        <v>375</v>
      </c>
      <c r="N686" s="37" t="s">
        <v>408</v>
      </c>
      <c r="O686" s="31">
        <f>IF(F686&gt;0,F686-AB686,"")</f>
        <v>11</v>
      </c>
      <c r="P686" s="37" t="str">
        <f>IF(F686&gt;0,IF(AB686="","PLANNING SUPPLY",IF(AB686&lt;=F686,"ONTIME DELIVERY","DELAY")),"")</f>
        <v>ONTIME DELIVERY</v>
      </c>
      <c r="Q686" s="181" t="str">
        <f>IFERROR(IF(J686&gt;0,VLOOKUP(J686,#REF!,MATCH($Q$6,#REF!,0),0),""),"")</f>
        <v/>
      </c>
      <c r="R686" s="181" t="str">
        <f>IFERROR(IF(J686&gt;0,VLOOKUP(J686,#REF!,MATCH($R$6,#REF!,0),0),""),"")</f>
        <v/>
      </c>
      <c r="S686" s="181" t="e">
        <f>IF(I689&gt;0,Q686+R686,"")</f>
        <v>#VALUE!</v>
      </c>
      <c r="T686" s="181"/>
      <c r="U686" s="181"/>
      <c r="V686" s="37"/>
      <c r="W686" s="181" t="e">
        <f>IF(I689&gt;0,IF(S686&gt;L686,"READY STOCK",IF(S686=0,"OUT OF STOCK",IF(S686&lt;L686,"LOW STOCK",""))),"")</f>
        <v>#VALUE!</v>
      </c>
      <c r="X686" s="38"/>
      <c r="Y686" s="38"/>
      <c r="Z686" s="38"/>
      <c r="AA686" s="38"/>
      <c r="AB686" s="50">
        <v>46279</v>
      </c>
      <c r="AC686" s="181">
        <v>34249</v>
      </c>
      <c r="AD686" s="51">
        <v>5</v>
      </c>
      <c r="AE686" s="37" t="s">
        <v>387</v>
      </c>
      <c r="AF686" s="37" t="s">
        <v>381</v>
      </c>
      <c r="AG686" s="33" t="str">
        <f>IF(G686&gt;0,IF(AD686&gt;0,IF(AD686=0,"Waiting",IF(AD686&lt;L686,"Partial",IF(AD686=L686,"Full Supply",IF(AD686&gt;L686,"Over Shared")))),"Waiting"),"")</f>
        <v>Full Supply</v>
      </c>
      <c r="AH686" s="37"/>
      <c r="AI686" s="37"/>
      <c r="AJ686" s="181"/>
      <c r="AK686" s="40"/>
      <c r="AL686" s="40"/>
      <c r="AM686" s="40"/>
      <c r="AN686" s="37"/>
      <c r="AO686" s="34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181">
        <f>L686-AD686</f>
        <v>0</v>
      </c>
    </row>
    <row r="687" spans="1:52" ht="15.5" customHeight="1">
      <c r="A687" s="360" t="s">
        <v>372</v>
      </c>
      <c r="B687" s="340">
        <v>46275</v>
      </c>
      <c r="C687" s="181">
        <v>50737</v>
      </c>
      <c r="D687" s="30">
        <v>46275</v>
      </c>
      <c r="E687" s="30">
        <v>46273</v>
      </c>
      <c r="F687" s="30">
        <v>46290</v>
      </c>
      <c r="G687" s="37">
        <v>4420233048</v>
      </c>
      <c r="H687" s="37" t="s">
        <v>373</v>
      </c>
      <c r="I687" s="37">
        <v>9040040403</v>
      </c>
      <c r="J687" s="37" t="s">
        <v>299</v>
      </c>
      <c r="K687" s="325" t="s">
        <v>300</v>
      </c>
      <c r="L687" s="181">
        <v>3</v>
      </c>
      <c r="M687" s="181" t="s">
        <v>375</v>
      </c>
      <c r="N687" s="37" t="s">
        <v>408</v>
      </c>
      <c r="O687" s="31">
        <f>IF(F687&gt;0,F687-AB687,"")</f>
        <v>46290</v>
      </c>
      <c r="P687" s="37" t="str">
        <f>IF(F687&gt;0,IF(AB687="","PLANNING SUPPLY",IF(AB687&lt;=F687,"ONTIME DELIVERY","DELAY")),"")</f>
        <v>PLANNING SUPPLY</v>
      </c>
      <c r="Q687" s="181" t="str">
        <f>IFERROR(IF(J687&gt;0,VLOOKUP(J687,#REF!,MATCH($Q$6,#REF!,0),0),""),"")</f>
        <v/>
      </c>
      <c r="R687" s="181" t="str">
        <f>IFERROR(IF(J687&gt;0,VLOOKUP(J687,#REF!,MATCH($R$6,#REF!,0),0),""),"")</f>
        <v/>
      </c>
      <c r="S687" s="181" t="e">
        <f>IF(I690&gt;0,Q687+R687,"")</f>
        <v>#VALUE!</v>
      </c>
      <c r="T687" s="181"/>
      <c r="U687" s="181"/>
      <c r="V687" s="37"/>
      <c r="W687" s="181" t="e">
        <f>IF(I690&gt;0,IF(S687&gt;L687,"READY STOCK",IF(S687=0,"OUT OF STOCK",IF(S687&lt;L687,"LOW STOCK",""))),"")</f>
        <v>#VALUE!</v>
      </c>
      <c r="X687" s="38"/>
      <c r="Y687" s="38"/>
      <c r="Z687" s="38"/>
      <c r="AA687" s="38"/>
      <c r="AB687" s="50"/>
      <c r="AC687" s="44"/>
      <c r="AD687" s="51">
        <v>3</v>
      </c>
      <c r="AE687" s="37" t="s">
        <v>387</v>
      </c>
      <c r="AF687" s="58" t="s">
        <v>1295</v>
      </c>
      <c r="AG687" s="33" t="str">
        <f>IF(G687&gt;0,IF(AD687&gt;0,IF(AD687=0,"Waiting",IF(AD687&lt;L687,"Partial",IF(AD687=L687,"Full Supply",IF(AD687&gt;L687,"Over Shared")))),"Waiting"),"")</f>
        <v>Full Supply</v>
      </c>
      <c r="AH687" s="37"/>
      <c r="AI687" s="37"/>
      <c r="AJ687" s="181"/>
      <c r="AK687" s="40"/>
      <c r="AL687" s="40"/>
      <c r="AM687" s="40"/>
      <c r="AN687" s="37"/>
      <c r="AO687" s="34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181">
        <f>L687-AD687</f>
        <v>0</v>
      </c>
    </row>
    <row r="688" spans="1:52" ht="15.5" customHeight="1">
      <c r="A688" s="360" t="s">
        <v>372</v>
      </c>
      <c r="B688" s="340">
        <v>46275</v>
      </c>
      <c r="C688" s="181">
        <v>50738</v>
      </c>
      <c r="D688" s="30">
        <v>46275</v>
      </c>
      <c r="E688" s="30">
        <v>46273</v>
      </c>
      <c r="F688" s="30">
        <v>46287</v>
      </c>
      <c r="G688" s="37">
        <v>4420232976</v>
      </c>
      <c r="H688" s="37" t="s">
        <v>373</v>
      </c>
      <c r="I688" s="37">
        <v>9040017347</v>
      </c>
      <c r="J688" s="37" t="s">
        <v>72</v>
      </c>
      <c r="K688" s="325" t="s">
        <v>73</v>
      </c>
      <c r="L688" s="181">
        <v>1</v>
      </c>
      <c r="M688" s="181" t="s">
        <v>375</v>
      </c>
      <c r="N688" s="37" t="s">
        <v>410</v>
      </c>
      <c r="O688" s="31">
        <f>IF(F688&gt;0,F688-AB688,"")</f>
        <v>5</v>
      </c>
      <c r="P688" s="37" t="str">
        <f>IF(F688&gt;0,IF(AB688="","PLANNING SUPPLY",IF(AB688&lt;=F688,"ONTIME DELIVERY","DELAY")),"")</f>
        <v>ONTIME DELIVERY</v>
      </c>
      <c r="Q688" s="181" t="str">
        <f>IFERROR(IF(J688&gt;0,VLOOKUP(J688,#REF!,MATCH($Q$6,#REF!,0),0),""),"")</f>
        <v/>
      </c>
      <c r="R688" s="181" t="str">
        <f>IFERROR(IF(J688&gt;0,VLOOKUP(J688,#REF!,MATCH($R$6,#REF!,0),0),""),"")</f>
        <v/>
      </c>
      <c r="S688" s="181" t="e">
        <f>IF(I691&gt;0,Q688+R688,"")</f>
        <v>#VALUE!</v>
      </c>
      <c r="T688" s="181"/>
      <c r="U688" s="181"/>
      <c r="V688" s="37"/>
      <c r="W688" s="181" t="e">
        <f>IF(I691&gt;0,IF(S688&gt;L688,"READY STOCK",IF(S688=0,"OUT OF STOCK",IF(S688&lt;L688,"LOW STOCK",""))),"")</f>
        <v>#VALUE!</v>
      </c>
      <c r="X688" s="38"/>
      <c r="Y688" s="38"/>
      <c r="Z688" s="38"/>
      <c r="AA688" s="38"/>
      <c r="AB688" s="50">
        <v>46282</v>
      </c>
      <c r="AC688" s="181">
        <v>34394</v>
      </c>
      <c r="AD688" s="51">
        <v>1</v>
      </c>
      <c r="AE688" s="37" t="s">
        <v>387</v>
      </c>
      <c r="AF688" s="37" t="s">
        <v>381</v>
      </c>
      <c r="AG688" s="33" t="str">
        <f>IF(G688&gt;0,IF(AD688&gt;0,IF(AD688=0,"Waiting",IF(AD688&lt;L688,"Partial",IF(AD688=L688,"Full Supply",IF(AD688&gt;L688,"Over Shared")))),"Waiting"),"")</f>
        <v>Full Supply</v>
      </c>
      <c r="AH688" s="56">
        <v>46282</v>
      </c>
      <c r="AI688" s="37" t="s">
        <v>1303</v>
      </c>
      <c r="AJ688" s="181">
        <v>10</v>
      </c>
      <c r="AK688" s="40">
        <v>26393</v>
      </c>
      <c r="AL688" s="218">
        <v>46287</v>
      </c>
      <c r="AM688" s="40">
        <v>10</v>
      </c>
      <c r="AN688" s="37"/>
      <c r="AO688" s="46">
        <v>46298</v>
      </c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181">
        <f>L688-AD688</f>
        <v>0</v>
      </c>
    </row>
    <row r="689" spans="1:52" ht="15.5" customHeight="1">
      <c r="A689" s="360" t="s">
        <v>372</v>
      </c>
      <c r="B689" s="340">
        <v>46275</v>
      </c>
      <c r="C689" s="181">
        <v>50739</v>
      </c>
      <c r="D689" s="30">
        <v>46275</v>
      </c>
      <c r="E689" s="30">
        <v>46273</v>
      </c>
      <c r="F689" s="30">
        <v>46287</v>
      </c>
      <c r="G689" s="37">
        <v>4420233028</v>
      </c>
      <c r="H689" s="37" t="s">
        <v>373</v>
      </c>
      <c r="I689" s="37">
        <v>9040019249</v>
      </c>
      <c r="J689" s="37" t="s">
        <v>285</v>
      </c>
      <c r="K689" s="325" t="s">
        <v>286</v>
      </c>
      <c r="L689" s="181">
        <v>3</v>
      </c>
      <c r="M689" s="181" t="s">
        <v>421</v>
      </c>
      <c r="N689" s="37" t="s">
        <v>432</v>
      </c>
      <c r="O689" s="31">
        <f>IF(F689&gt;0,F689-AB689,"")</f>
        <v>-2</v>
      </c>
      <c r="P689" s="37" t="str">
        <f>IF(F689&gt;0,IF(AB689="","PLANNING SUPPLY",IF(AB689&lt;=F689,"ONTIME DELIVERY","DELAY")),"")</f>
        <v>DELAY</v>
      </c>
      <c r="Q689" s="181" t="str">
        <f>IFERROR(IF(J689&gt;0,VLOOKUP(J689,#REF!,MATCH($Q$6,#REF!,0),0),""),"")</f>
        <v/>
      </c>
      <c r="R689" s="181" t="str">
        <f>IFERROR(IF(J689&gt;0,VLOOKUP(J689,#REF!,MATCH($R$6,#REF!,0),0),""),"")</f>
        <v/>
      </c>
      <c r="S689" s="181" t="e">
        <f>IF(I692&gt;0,Q689+R689,"")</f>
        <v>#VALUE!</v>
      </c>
      <c r="T689" s="181"/>
      <c r="U689" s="181"/>
      <c r="V689" s="37"/>
      <c r="W689" s="181" t="e">
        <f>IF(I692&gt;0,IF(S689&gt;L689,"READY STOCK",IF(S689=0,"OUT OF STOCK",IF(S689&lt;L689,"LOW STOCK",""))),"")</f>
        <v>#VALUE!</v>
      </c>
      <c r="X689" s="38"/>
      <c r="Y689" s="38"/>
      <c r="Z689" s="38"/>
      <c r="AA689" s="38"/>
      <c r="AB689" s="50">
        <v>46289</v>
      </c>
      <c r="AC689" s="181">
        <v>34546</v>
      </c>
      <c r="AD689" s="51">
        <v>3</v>
      </c>
      <c r="AE689" s="37" t="s">
        <v>383</v>
      </c>
      <c r="AF689" s="37" t="s">
        <v>381</v>
      </c>
      <c r="AG689" s="33" t="str">
        <f>IF(G689&gt;0,IF(AD689&gt;0,IF(AD689=0,"Waiting",IF(AD689&lt;L689,"Partial",IF(AD689=L689,"Full Supply",IF(AD689&gt;L689,"Over Shared")))),"Waiting"),"")</f>
        <v>Full Supply</v>
      </c>
      <c r="AH689" s="37"/>
      <c r="AI689" s="37"/>
      <c r="AJ689" s="181"/>
      <c r="AK689" s="40"/>
      <c r="AL689" s="40"/>
      <c r="AM689" s="40"/>
      <c r="AN689" s="37"/>
      <c r="AO689" s="34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181">
        <f>L689-AD689</f>
        <v>0</v>
      </c>
    </row>
    <row r="690" spans="1:52" ht="15.5" customHeight="1">
      <c r="A690" s="360" t="s">
        <v>372</v>
      </c>
      <c r="B690" s="340">
        <v>46275</v>
      </c>
      <c r="C690" s="181">
        <v>50739</v>
      </c>
      <c r="D690" s="30">
        <v>46275</v>
      </c>
      <c r="E690" s="30">
        <v>46273</v>
      </c>
      <c r="F690" s="30">
        <v>46287</v>
      </c>
      <c r="G690" s="37">
        <v>4420233028</v>
      </c>
      <c r="H690" s="37" t="s">
        <v>373</v>
      </c>
      <c r="I690" s="37">
        <v>9040020554</v>
      </c>
      <c r="J690" s="37" t="s">
        <v>297</v>
      </c>
      <c r="K690" s="325" t="s">
        <v>298</v>
      </c>
      <c r="L690" s="181">
        <v>15</v>
      </c>
      <c r="M690" s="181" t="s">
        <v>375</v>
      </c>
      <c r="N690" s="37" t="s">
        <v>432</v>
      </c>
      <c r="O690" s="31">
        <f>IF(F690&gt;0,F690-AB690,"")</f>
        <v>46287</v>
      </c>
      <c r="P690" s="37" t="str">
        <f>IF(F690&gt;0,IF(AB690="","PLANNING SUPPLY",IF(AB690&lt;=F690,"ONTIME DELIVERY","DELAY")),"")</f>
        <v>PLANNING SUPPLY</v>
      </c>
      <c r="Q690" s="181" t="str">
        <f>IFERROR(IF(J690&gt;0,VLOOKUP(J690,#REF!,MATCH($Q$6,#REF!,0),0),""),"")</f>
        <v/>
      </c>
      <c r="R690" s="181" t="str">
        <f>IFERROR(IF(J690&gt;0,VLOOKUP(J690,#REF!,MATCH($R$6,#REF!,0),0),""),"")</f>
        <v/>
      </c>
      <c r="S690" s="181" t="e">
        <f>IF(I693&gt;0,Q690+R690,"")</f>
        <v>#VALUE!</v>
      </c>
      <c r="T690" s="181"/>
      <c r="U690" s="181"/>
      <c r="V690" s="37"/>
      <c r="W690" s="181" t="e">
        <f>IF(I693&gt;0,IF(S690&gt;L690,"READY STOCK",IF(S690=0,"OUT OF STOCK",IF(S690&lt;L690,"LOW STOCK",""))),"")</f>
        <v>#VALUE!</v>
      </c>
      <c r="X690" s="38"/>
      <c r="Y690" s="38"/>
      <c r="Z690" s="38"/>
      <c r="AA690" s="38"/>
      <c r="AB690" s="50"/>
      <c r="AC690" s="181"/>
      <c r="AD690" s="51"/>
      <c r="AE690" s="37"/>
      <c r="AF690" s="37"/>
      <c r="AG690" s="33" t="str">
        <f>IF(G690&gt;0,IF(AD690&gt;0,IF(AD690=0,"Waiting",IF(AD690&lt;L690,"Partial",IF(AD690=L690,"Full Supply",IF(AD690&gt;L690,"Over Shared")))),"Waiting"),"")</f>
        <v>Waiting</v>
      </c>
      <c r="AH690" s="56">
        <v>46247</v>
      </c>
      <c r="AI690" s="37" t="s">
        <v>646</v>
      </c>
      <c r="AJ690" s="181">
        <v>100</v>
      </c>
      <c r="AK690" s="40"/>
      <c r="AL690" s="40"/>
      <c r="AM690" s="40"/>
      <c r="AN690" s="216"/>
      <c r="AO690" s="232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  <c r="AZ690" s="181">
        <f>L690-AD690</f>
        <v>15</v>
      </c>
    </row>
    <row r="691" spans="1:52" ht="15.5" customHeight="1">
      <c r="A691" s="360" t="s">
        <v>372</v>
      </c>
      <c r="B691" s="340">
        <v>46275</v>
      </c>
      <c r="C691" s="181">
        <v>50739</v>
      </c>
      <c r="D691" s="30">
        <v>46275</v>
      </c>
      <c r="E691" s="30">
        <v>46273</v>
      </c>
      <c r="F691" s="30">
        <v>46287</v>
      </c>
      <c r="G691" s="37">
        <v>4420233028</v>
      </c>
      <c r="H691" s="37" t="s">
        <v>373</v>
      </c>
      <c r="I691" s="37">
        <v>9040024657</v>
      </c>
      <c r="J691" s="37" t="s">
        <v>252</v>
      </c>
      <c r="K691" s="325" t="s">
        <v>253</v>
      </c>
      <c r="L691" s="181">
        <v>16</v>
      </c>
      <c r="M691" s="181" t="s">
        <v>375</v>
      </c>
      <c r="N691" s="37" t="s">
        <v>432</v>
      </c>
      <c r="O691" s="31">
        <f>IF(F691&gt;0,F691-AB691,"")</f>
        <v>-13</v>
      </c>
      <c r="P691" s="37" t="str">
        <f>IF(F691&gt;0,IF(AB691="","PLANNING SUPPLY",IF(AB691&lt;=F691,"ONTIME DELIVERY","DELAY")),"")</f>
        <v>DELAY</v>
      </c>
      <c r="Q691" s="181" t="str">
        <f>IFERROR(IF(J691&gt;0,VLOOKUP(J691,#REF!,MATCH($Q$6,#REF!,0),0),""),"")</f>
        <v/>
      </c>
      <c r="R691" s="181" t="str">
        <f>IFERROR(IF(J691&gt;0,VLOOKUP(J691,#REF!,MATCH($R$6,#REF!,0),0),""),"")</f>
        <v/>
      </c>
      <c r="S691" s="181" t="e">
        <f>IF(I694&gt;0,Q691+R691,"")</f>
        <v>#VALUE!</v>
      </c>
      <c r="T691" s="181"/>
      <c r="U691" s="181"/>
      <c r="V691" s="37"/>
      <c r="W691" s="181" t="e">
        <f>IF(I694&gt;0,IF(S691&gt;L691,"READY STOCK",IF(S691=0,"OUT OF STOCK",IF(S691&lt;L691,"LOW STOCK",""))),"")</f>
        <v>#VALUE!</v>
      </c>
      <c r="X691" s="38"/>
      <c r="Y691" s="38"/>
      <c r="Z691" s="38"/>
      <c r="AA691" s="38"/>
      <c r="AB691" s="50">
        <v>46300</v>
      </c>
      <c r="AC691" s="44">
        <v>34733</v>
      </c>
      <c r="AD691" s="51">
        <v>16</v>
      </c>
      <c r="AE691" s="37" t="s">
        <v>387</v>
      </c>
      <c r="AF691" s="37" t="s">
        <v>381</v>
      </c>
      <c r="AG691" s="33" t="str">
        <f>IF(G691&gt;0,IF(AD691&gt;0,IF(AD691=0,"Waiting",IF(AD691&lt;L691,"Partial",IF(AD691=L691,"Full Supply",IF(AD691&gt;L691,"Over Shared")))),"Waiting"),"")</f>
        <v>Full Supply</v>
      </c>
      <c r="AH691" s="37"/>
      <c r="AI691" s="37"/>
      <c r="AJ691" s="181"/>
      <c r="AK691" s="40"/>
      <c r="AL691" s="40"/>
      <c r="AM691" s="40"/>
      <c r="AN691" s="37"/>
      <c r="AO691" s="34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181">
        <f>L691-AD691</f>
        <v>0</v>
      </c>
    </row>
    <row r="692" spans="1:52" ht="15.5" customHeight="1">
      <c r="A692" s="360" t="s">
        <v>372</v>
      </c>
      <c r="B692" s="340">
        <v>46275</v>
      </c>
      <c r="C692" s="181">
        <v>50739</v>
      </c>
      <c r="D692" s="30">
        <v>46275</v>
      </c>
      <c r="E692" s="30">
        <v>46273</v>
      </c>
      <c r="F692" s="30">
        <v>46287</v>
      </c>
      <c r="G692" s="37">
        <v>4420233028</v>
      </c>
      <c r="H692" s="37" t="s">
        <v>373</v>
      </c>
      <c r="I692" s="37">
        <v>9040040699</v>
      </c>
      <c r="J692" s="37" t="s">
        <v>27</v>
      </c>
      <c r="K692" s="325" t="s">
        <v>28</v>
      </c>
      <c r="L692" s="181">
        <v>8</v>
      </c>
      <c r="M692" s="181" t="s">
        <v>375</v>
      </c>
      <c r="N692" s="37" t="s">
        <v>432</v>
      </c>
      <c r="O692" s="31">
        <f>IF(F692&gt;0,F692-AB692,"")</f>
        <v>-22</v>
      </c>
      <c r="P692" s="37" t="str">
        <f>IF(F692&gt;0,IF(AB692="","PLANNING SUPPLY",IF(AB692&lt;=F692,"ONTIME DELIVERY","DELAY")),"")</f>
        <v>DELAY</v>
      </c>
      <c r="Q692" s="181" t="str">
        <f>IFERROR(IF(J692&gt;0,VLOOKUP(J692,#REF!,MATCH($Q$6,#REF!,0),0),""),"")</f>
        <v/>
      </c>
      <c r="R692" s="181" t="str">
        <f>IFERROR(IF(J692&gt;0,VLOOKUP(J692,#REF!,MATCH($R$6,#REF!,0),0),""),"")</f>
        <v/>
      </c>
      <c r="S692" s="181" t="e">
        <f>IF(I695&gt;0,Q692+R692,"")</f>
        <v>#VALUE!</v>
      </c>
      <c r="T692" s="181"/>
      <c r="U692" s="181"/>
      <c r="V692" s="37"/>
      <c r="W692" s="181" t="e">
        <f>IF(I695&gt;0,IF(S692&gt;L692,"READY STOCK",IF(S692=0,"OUT OF STOCK",IF(S692&lt;L692,"LOW STOCK",""))),"")</f>
        <v>#VALUE!</v>
      </c>
      <c r="X692" s="38"/>
      <c r="Y692" s="38"/>
      <c r="Z692" s="38"/>
      <c r="AA692" s="38"/>
      <c r="AB692" s="50">
        <v>46309</v>
      </c>
      <c r="AC692" s="44">
        <v>35063</v>
      </c>
      <c r="AD692" s="51">
        <v>8</v>
      </c>
      <c r="AE692" s="37" t="s">
        <v>387</v>
      </c>
      <c r="AF692" s="37" t="s">
        <v>381</v>
      </c>
      <c r="AG692" s="33" t="str">
        <f>IF(G692&gt;0,IF(AD692&gt;0,IF(AD692=0,"Waiting",IF(AD692&lt;L692,"Partial",IF(AD692=L692,"Full Supply",IF(AD692&gt;L692,"Over Shared")))),"Waiting"),"")</f>
        <v>Full Supply</v>
      </c>
      <c r="AH692" s="37"/>
      <c r="AI692" s="37"/>
      <c r="AJ692" s="181"/>
      <c r="AK692" s="40"/>
      <c r="AL692" s="40"/>
      <c r="AM692" s="40"/>
      <c r="AN692" s="37"/>
      <c r="AO692" s="34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181">
        <f>L692-AD692</f>
        <v>0</v>
      </c>
    </row>
    <row r="693" spans="1:52" ht="15.5" customHeight="1">
      <c r="A693" s="360" t="s">
        <v>372</v>
      </c>
      <c r="B693" s="340">
        <v>46275</v>
      </c>
      <c r="C693" s="181">
        <v>50739</v>
      </c>
      <c r="D693" s="30">
        <v>46275</v>
      </c>
      <c r="E693" s="30">
        <v>46273</v>
      </c>
      <c r="F693" s="30">
        <v>46287</v>
      </c>
      <c r="G693" s="37">
        <v>4420233028</v>
      </c>
      <c r="H693" s="37" t="s">
        <v>373</v>
      </c>
      <c r="I693" s="37">
        <v>9040040445</v>
      </c>
      <c r="J693" s="37" t="s">
        <v>193</v>
      </c>
      <c r="K693" s="325" t="s">
        <v>194</v>
      </c>
      <c r="L693" s="181">
        <v>9</v>
      </c>
      <c r="M693" s="181" t="s">
        <v>421</v>
      </c>
      <c r="N693" s="37" t="s">
        <v>432</v>
      </c>
      <c r="O693" s="31">
        <f>IF(F693&gt;0,F693-AB693,"")</f>
        <v>-27</v>
      </c>
      <c r="P693" s="37" t="str">
        <f>IF(F693&gt;0,IF(AB693="","PLANNING SUPPLY",IF(AB693&lt;=F693,"ONTIME DELIVERY","DELAY")),"")</f>
        <v>DELAY</v>
      </c>
      <c r="Q693" s="181" t="str">
        <f>IFERROR(IF(J693&gt;0,VLOOKUP(J693,#REF!,MATCH($Q$6,#REF!,0),0),""),"")</f>
        <v/>
      </c>
      <c r="R693" s="181" t="str">
        <f>IFERROR(IF(J693&gt;0,VLOOKUP(J693,#REF!,MATCH($R$6,#REF!,0),0),""),"")</f>
        <v/>
      </c>
      <c r="S693" s="181" t="e">
        <f>IF(I696&gt;0,Q693+R693,"")</f>
        <v>#VALUE!</v>
      </c>
      <c r="T693" s="181"/>
      <c r="U693" s="181"/>
      <c r="V693" s="37"/>
      <c r="W693" s="181" t="e">
        <f>IF(I696&gt;0,IF(S693&gt;L693,"READY STOCK",IF(S693=0,"OUT OF STOCK",IF(S693&lt;L693,"LOW STOCK",""))),"")</f>
        <v>#VALUE!</v>
      </c>
      <c r="X693" s="38"/>
      <c r="Y693" s="38"/>
      <c r="Z693" s="38"/>
      <c r="AA693" s="38"/>
      <c r="AB693" s="50">
        <v>46314</v>
      </c>
      <c r="AC693" s="44" t="s">
        <v>1332</v>
      </c>
      <c r="AD693" s="51">
        <v>9</v>
      </c>
      <c r="AE693" s="37" t="s">
        <v>387</v>
      </c>
      <c r="AF693" s="37" t="s">
        <v>381</v>
      </c>
      <c r="AG693" s="33" t="str">
        <f>IF(G693&gt;0,IF(AD693&gt;0,IF(AD693=0,"Waiting",IF(AD693&lt;L693,"Partial",IF(AD693=L693,"Full Supply",IF(AD693&gt;L693,"Over Shared")))),"Waiting"),"")</f>
        <v>Full Supply</v>
      </c>
      <c r="AH693" s="37"/>
      <c r="AI693" s="37"/>
      <c r="AJ693" s="181"/>
      <c r="AK693" s="40"/>
      <c r="AL693" s="40"/>
      <c r="AM693" s="40"/>
      <c r="AN693" s="37"/>
      <c r="AO693" s="34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181">
        <f>L693-AD693</f>
        <v>0</v>
      </c>
    </row>
    <row r="694" spans="1:52" ht="15.5" customHeight="1">
      <c r="A694" s="360" t="s">
        <v>372</v>
      </c>
      <c r="B694" s="340">
        <v>46276</v>
      </c>
      <c r="C694" s="181">
        <v>50760</v>
      </c>
      <c r="D694" s="30">
        <v>46276</v>
      </c>
      <c r="E694" s="30">
        <v>46276</v>
      </c>
      <c r="F694" s="30">
        <v>46290</v>
      </c>
      <c r="G694" s="230">
        <v>4420233120</v>
      </c>
      <c r="H694" s="37" t="s">
        <v>373</v>
      </c>
      <c r="I694" s="37">
        <v>9040042224</v>
      </c>
      <c r="J694" s="37" t="s">
        <v>195</v>
      </c>
      <c r="K694" s="325" t="s">
        <v>196</v>
      </c>
      <c r="L694" s="181">
        <v>8</v>
      </c>
      <c r="M694" s="181" t="s">
        <v>421</v>
      </c>
      <c r="N694" s="37" t="s">
        <v>408</v>
      </c>
      <c r="O694" s="31">
        <f>IF(F694&gt;0,F694-AB694,"")</f>
        <v>46290</v>
      </c>
      <c r="P694" s="37" t="str">
        <f>IF(F694&gt;0,IF(AB694="","PLANNING SUPPLY",IF(AB694&lt;=F694,"ONTIME DELIVERY","DELAY")),"")</f>
        <v>PLANNING SUPPLY</v>
      </c>
      <c r="Q694" s="181" t="str">
        <f>IFERROR(IF(J694&gt;0,VLOOKUP(J694,#REF!,MATCH($Q$6,#REF!,0),0),""),"")</f>
        <v/>
      </c>
      <c r="R694" s="181" t="str">
        <f>IFERROR(IF(J694&gt;0,VLOOKUP(J694,#REF!,MATCH($R$6,#REF!,0),0),""),"")</f>
        <v/>
      </c>
      <c r="S694" s="181" t="e">
        <f>IF(I697&gt;0,Q694+R694,"")</f>
        <v>#VALUE!</v>
      </c>
      <c r="T694" s="181"/>
      <c r="U694" s="181"/>
      <c r="V694" s="37"/>
      <c r="W694" s="181" t="e">
        <f>IF(I697&gt;0,IF(S694&gt;L694,"READY STOCK",IF(S694=0,"OUT OF STOCK",IF(S694&lt;L694,"LOW STOCK",""))),"")</f>
        <v>#VALUE!</v>
      </c>
      <c r="X694" s="38"/>
      <c r="Y694" s="38"/>
      <c r="Z694" s="38"/>
      <c r="AA694" s="38"/>
      <c r="AB694" s="50"/>
      <c r="AC694" s="181"/>
      <c r="AD694" s="51">
        <v>8</v>
      </c>
      <c r="AE694" s="37"/>
      <c r="AF694" s="58" t="s">
        <v>1295</v>
      </c>
      <c r="AG694" s="33" t="str">
        <f>IF(G694&gt;0,IF(AD694&gt;0,IF(AD694=0,"Waiting",IF(AD694&lt;L694,"Partial",IF(AD694=L694,"Full Supply",IF(AD694&gt;L694,"Over Shared")))),"Waiting"),"")</f>
        <v>Full Supply</v>
      </c>
      <c r="AH694" s="56">
        <v>46287</v>
      </c>
      <c r="AI694" s="37" t="s">
        <v>1322</v>
      </c>
      <c r="AJ694" s="181">
        <v>56</v>
      </c>
      <c r="AK694" s="40">
        <v>26381</v>
      </c>
      <c r="AL694" s="218">
        <v>46287</v>
      </c>
      <c r="AM694" s="40">
        <v>56</v>
      </c>
      <c r="AN694" s="37"/>
      <c r="AO694" s="41">
        <v>46290</v>
      </c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181">
        <f>L694-AD694</f>
        <v>0</v>
      </c>
    </row>
    <row r="695" spans="1:52" ht="15.5" customHeight="1">
      <c r="A695" s="360" t="s">
        <v>372</v>
      </c>
      <c r="B695" s="340">
        <v>46276</v>
      </c>
      <c r="C695" s="181">
        <v>50760</v>
      </c>
      <c r="D695" s="30">
        <v>46276</v>
      </c>
      <c r="E695" s="30">
        <v>46276</v>
      </c>
      <c r="F695" s="30">
        <v>46290</v>
      </c>
      <c r="G695" s="230">
        <v>4420233120</v>
      </c>
      <c r="H695" s="37" t="s">
        <v>373</v>
      </c>
      <c r="I695" s="37">
        <v>9040044285</v>
      </c>
      <c r="J695" s="37" t="s">
        <v>100</v>
      </c>
      <c r="K695" s="325" t="s">
        <v>101</v>
      </c>
      <c r="L695" s="181">
        <v>2</v>
      </c>
      <c r="M695" s="181" t="s">
        <v>478</v>
      </c>
      <c r="N695" s="37" t="s">
        <v>408</v>
      </c>
      <c r="O695" s="31">
        <f>IF(F695&gt;0,F695-AB695,"")</f>
        <v>1</v>
      </c>
      <c r="P695" s="37" t="str">
        <f>IF(F695&gt;0,IF(AB695="","PLANNING SUPPLY",IF(AB695&lt;=F695,"ONTIME DELIVERY","DELAY")),"")</f>
        <v>ONTIME DELIVERY</v>
      </c>
      <c r="Q695" s="181" t="str">
        <f>IFERROR(IF(J695&gt;0,VLOOKUP(J695,#REF!,MATCH($Q$6,#REF!,0),0),""),"")</f>
        <v/>
      </c>
      <c r="R695" s="181" t="str">
        <f>IFERROR(IF(J695&gt;0,VLOOKUP(J695,#REF!,MATCH($R$6,#REF!,0),0),""),"")</f>
        <v/>
      </c>
      <c r="S695" s="181" t="e">
        <f>IF(I698&gt;0,Q695+R695,"")</f>
        <v>#VALUE!</v>
      </c>
      <c r="T695" s="181"/>
      <c r="U695" s="181"/>
      <c r="V695" s="37"/>
      <c r="W695" s="181" t="e">
        <f>IF(I698&gt;0,IF(S695&gt;L695,"READY STOCK",IF(S695=0,"OUT OF STOCK",IF(S695&lt;L695,"LOW STOCK",""))),"")</f>
        <v>#VALUE!</v>
      </c>
      <c r="X695" s="38"/>
      <c r="Y695" s="38"/>
      <c r="Z695" s="38"/>
      <c r="AA695" s="38"/>
      <c r="AB695" s="50">
        <v>46289</v>
      </c>
      <c r="AC695" s="181">
        <v>34543</v>
      </c>
      <c r="AD695" s="51">
        <v>2</v>
      </c>
      <c r="AE695" s="37" t="s">
        <v>387</v>
      </c>
      <c r="AF695" s="37" t="s">
        <v>381</v>
      </c>
      <c r="AG695" s="33" t="str">
        <f>IF(G695&gt;0,IF(AD695&gt;0,IF(AD695=0,"Waiting",IF(AD695&lt;L695,"Partial",IF(AD695=L695,"Full Supply",IF(AD695&gt;L695,"Over Shared")))),"Waiting"),"")</f>
        <v>Full Supply</v>
      </c>
      <c r="AH695" s="37"/>
      <c r="AI695" s="37"/>
      <c r="AJ695" s="181"/>
      <c r="AK695" s="40"/>
      <c r="AL695" s="40"/>
      <c r="AM695" s="40"/>
      <c r="AN695" s="37"/>
      <c r="AO695" s="34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181">
        <f>L695-AD695</f>
        <v>0</v>
      </c>
    </row>
    <row r="696" spans="1:52" ht="15.5" customHeight="1">
      <c r="A696" s="360" t="s">
        <v>372</v>
      </c>
      <c r="B696" s="340">
        <v>46276</v>
      </c>
      <c r="C696" s="181">
        <v>50760</v>
      </c>
      <c r="D696" s="30">
        <v>46276</v>
      </c>
      <c r="E696" s="30">
        <v>46276</v>
      </c>
      <c r="F696" s="30">
        <v>46290</v>
      </c>
      <c r="G696" s="230">
        <v>4420233120</v>
      </c>
      <c r="H696" s="37" t="s">
        <v>373</v>
      </c>
      <c r="I696" s="37">
        <v>9040055051</v>
      </c>
      <c r="J696" s="37" t="s">
        <v>10</v>
      </c>
      <c r="K696" s="325" t="s">
        <v>149</v>
      </c>
      <c r="L696" s="181">
        <v>3</v>
      </c>
      <c r="M696" s="181" t="s">
        <v>375</v>
      </c>
      <c r="N696" s="37" t="s">
        <v>408</v>
      </c>
      <c r="O696" s="31">
        <f>IF(F696&gt;0,F696-AB696,"")</f>
        <v>11</v>
      </c>
      <c r="P696" s="37" t="str">
        <f>IF(F696&gt;0,IF(AB696="","PLANNING SUPPLY",IF(AB696&lt;=F696,"ONTIME DELIVERY","DELAY")),"")</f>
        <v>ONTIME DELIVERY</v>
      </c>
      <c r="Q696" s="181" t="str">
        <f>IFERROR(IF(J696&gt;0,VLOOKUP(J696,#REF!,MATCH($Q$6,#REF!,0),0),""),"")</f>
        <v/>
      </c>
      <c r="R696" s="181" t="str">
        <f>IFERROR(IF(J696&gt;0,VLOOKUP(J696,#REF!,MATCH($R$6,#REF!,0),0),""),"")</f>
        <v/>
      </c>
      <c r="S696" s="181" t="e">
        <f>IF(I699&gt;0,Q696+R696,"")</f>
        <v>#VALUE!</v>
      </c>
      <c r="T696" s="181"/>
      <c r="U696" s="181"/>
      <c r="V696" s="37"/>
      <c r="W696" s="181" t="e">
        <f>IF(I699&gt;0,IF(S696&gt;L696,"READY STOCK",IF(S696=0,"OUT OF STOCK",IF(S696&lt;L696,"LOW STOCK",""))),"")</f>
        <v>#VALUE!</v>
      </c>
      <c r="X696" s="38"/>
      <c r="Y696" s="38"/>
      <c r="Z696" s="38"/>
      <c r="AA696" s="38"/>
      <c r="AB696" s="50">
        <v>46279</v>
      </c>
      <c r="AC696" s="181">
        <v>34239</v>
      </c>
      <c r="AD696" s="51">
        <v>3</v>
      </c>
      <c r="AE696" s="37" t="s">
        <v>387</v>
      </c>
      <c r="AF696" s="37" t="s">
        <v>381</v>
      </c>
      <c r="AG696" s="33" t="str">
        <f>IF(G696&gt;0,IF(AD696&gt;0,IF(AD696=0,"Waiting",IF(AD696&lt;L696,"Partial",IF(AD696=L696,"Full Supply",IF(AD696&gt;L696,"Over Shared")))),"Waiting"),"")</f>
        <v>Full Supply</v>
      </c>
      <c r="AH696" s="37"/>
      <c r="AI696" s="37"/>
      <c r="AJ696" s="181"/>
      <c r="AK696" s="40"/>
      <c r="AL696" s="40"/>
      <c r="AM696" s="40"/>
      <c r="AN696" s="37"/>
      <c r="AO696" s="34"/>
      <c r="AP696" s="37"/>
      <c r="AQ696" s="37"/>
      <c r="AR696" s="37"/>
      <c r="AS696" s="37"/>
      <c r="AT696" s="37"/>
      <c r="AU696" s="36" t="str">
        <f>IF(AR696=0,"Waiting",IF(AR696&lt;AH696,"Kurang",IF(AR696=AH696,"Sesuai",IF(AR696&gt;AH696,"Over Shared"))))</f>
        <v>Waiting</v>
      </c>
      <c r="AV696" s="37"/>
      <c r="AW696" s="37"/>
      <c r="AX696" s="37"/>
      <c r="AY696" s="37"/>
      <c r="AZ696" s="181">
        <f>L696-AD696</f>
        <v>0</v>
      </c>
    </row>
    <row r="697" spans="1:52" ht="15.5" customHeight="1">
      <c r="A697" s="360" t="s">
        <v>372</v>
      </c>
      <c r="B697" s="340">
        <v>46276</v>
      </c>
      <c r="C697" s="181">
        <v>50760</v>
      </c>
      <c r="D697" s="30">
        <v>46276</v>
      </c>
      <c r="E697" s="30">
        <v>46276</v>
      </c>
      <c r="F697" s="30">
        <v>46290</v>
      </c>
      <c r="G697" s="37">
        <v>4420232016</v>
      </c>
      <c r="H697" s="37" t="s">
        <v>373</v>
      </c>
      <c r="I697" s="37">
        <v>9040003053</v>
      </c>
      <c r="J697" s="37" t="s">
        <v>98</v>
      </c>
      <c r="K697" s="325" t="s">
        <v>99</v>
      </c>
      <c r="L697" s="181">
        <v>2</v>
      </c>
      <c r="M697" s="181" t="s">
        <v>375</v>
      </c>
      <c r="N697" s="37" t="s">
        <v>680</v>
      </c>
      <c r="O697" s="31">
        <f>IF(F697&gt;0,F697-AB697,"")</f>
        <v>11</v>
      </c>
      <c r="P697" s="37" t="str">
        <f>IF(F697&gt;0,IF(AB697="","PLANNING SUPPLY",IF(AB697&lt;=F697,"ONTIME DELIVERY","DELAY")),"")</f>
        <v>ONTIME DELIVERY</v>
      </c>
      <c r="Q697" s="181" t="str">
        <f>IFERROR(IF(J697&gt;0,VLOOKUP(J697,#REF!,MATCH($Q$6,#REF!,0),0),""),"")</f>
        <v/>
      </c>
      <c r="R697" s="181" t="str">
        <f>IFERROR(IF(J697&gt;0,VLOOKUP(J697,#REF!,MATCH($R$6,#REF!,0),0),""),"")</f>
        <v/>
      </c>
      <c r="S697" s="181" t="e">
        <f>IF(I700&gt;0,Q697+R697,"")</f>
        <v>#VALUE!</v>
      </c>
      <c r="T697" s="181"/>
      <c r="U697" s="181"/>
      <c r="V697" s="37"/>
      <c r="W697" s="181" t="e">
        <f>IF(I700&gt;0,IF(S697&gt;L697,"READY STOCK",IF(S697=0,"OUT OF STOCK",IF(S697&lt;L697,"LOW STOCK",""))),"")</f>
        <v>#VALUE!</v>
      </c>
      <c r="X697" s="38"/>
      <c r="Y697" s="38"/>
      <c r="Z697" s="38"/>
      <c r="AA697" s="38"/>
      <c r="AB697" s="50">
        <v>46279</v>
      </c>
      <c r="AC697" s="181">
        <v>34238</v>
      </c>
      <c r="AD697" s="51">
        <v>2</v>
      </c>
      <c r="AE697" s="37" t="s">
        <v>387</v>
      </c>
      <c r="AF697" s="37" t="s">
        <v>381</v>
      </c>
      <c r="AG697" s="33" t="str">
        <f>IF(G697&gt;0,IF(AD697&gt;0,IF(AD697=0,"Waiting",IF(AD697&lt;L697,"Partial",IF(AD697=L697,"Full Supply",IF(AD697&gt;L697,"Over Shared")))),"Waiting"),"")</f>
        <v>Full Supply</v>
      </c>
      <c r="AH697" s="37"/>
      <c r="AI697" s="37"/>
      <c r="AJ697" s="181"/>
      <c r="AK697" s="40"/>
      <c r="AL697" s="40"/>
      <c r="AM697" s="40"/>
      <c r="AN697" s="37"/>
      <c r="AO697" s="34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181">
        <f>L697-AD697</f>
        <v>0</v>
      </c>
    </row>
    <row r="698" spans="1:52" ht="15.5" customHeight="1">
      <c r="A698" s="360" t="s">
        <v>372</v>
      </c>
      <c r="B698" s="340">
        <v>46276</v>
      </c>
      <c r="C698" s="181">
        <v>50760</v>
      </c>
      <c r="D698" s="30">
        <v>46276</v>
      </c>
      <c r="E698" s="30">
        <v>46276</v>
      </c>
      <c r="F698" s="30">
        <v>46290</v>
      </c>
      <c r="G698" s="37">
        <v>4420232016</v>
      </c>
      <c r="H698" s="37" t="s">
        <v>373</v>
      </c>
      <c r="I698" s="37">
        <v>9040040445</v>
      </c>
      <c r="J698" s="37" t="s">
        <v>193</v>
      </c>
      <c r="K698" s="325" t="s">
        <v>194</v>
      </c>
      <c r="L698" s="181">
        <v>2</v>
      </c>
      <c r="M698" s="181" t="s">
        <v>421</v>
      </c>
      <c r="N698" s="37" t="s">
        <v>680</v>
      </c>
      <c r="O698" s="31">
        <f>IF(F698&gt;0,F698-AB698,"")</f>
        <v>8</v>
      </c>
      <c r="P698" s="37" t="str">
        <f>IF(F698&gt;0,IF(AB698="","PLANNING SUPPLY",IF(AB698&lt;=F698,"ONTIME DELIVERY","DELAY")),"")</f>
        <v>ONTIME DELIVERY</v>
      </c>
      <c r="Q698" s="181" t="str">
        <f>IFERROR(IF(J698&gt;0,VLOOKUP(J698,#REF!,MATCH($Q$6,#REF!,0),0),""),"")</f>
        <v/>
      </c>
      <c r="R698" s="181" t="str">
        <f>IFERROR(IF(J698&gt;0,VLOOKUP(J698,#REF!,MATCH($R$6,#REF!,0),0),""),"")</f>
        <v/>
      </c>
      <c r="S698" s="181" t="e">
        <f>IF(I701&gt;0,Q698+R698,"")</f>
        <v>#VALUE!</v>
      </c>
      <c r="T698" s="181"/>
      <c r="U698" s="181"/>
      <c r="V698" s="37"/>
      <c r="W698" s="181" t="e">
        <f>IF(I701&gt;0,IF(S698&gt;L698,"READY STOCK",IF(S698=0,"OUT OF STOCK",IF(S698&lt;L698,"LOW STOCK",""))),"")</f>
        <v>#VALUE!</v>
      </c>
      <c r="X698" s="38"/>
      <c r="Y698" s="38"/>
      <c r="Z698" s="38"/>
      <c r="AA698" s="38"/>
      <c r="AB698" s="50">
        <v>46282</v>
      </c>
      <c r="AC698" s="181">
        <v>34402</v>
      </c>
      <c r="AD698" s="51">
        <v>2</v>
      </c>
      <c r="AE698" s="37" t="s">
        <v>387</v>
      </c>
      <c r="AF698" s="37" t="s">
        <v>381</v>
      </c>
      <c r="AG698" s="33" t="str">
        <f>IF(G698&gt;0,IF(AD698&gt;0,IF(AD698=0,"Waiting",IF(AD698&lt;L698,"Partial",IF(AD698=L698,"Full Supply",IF(AD698&gt;L698,"Over Shared")))),"Waiting"),"")</f>
        <v>Full Supply</v>
      </c>
      <c r="AH698" s="37"/>
      <c r="AI698" s="37"/>
      <c r="AJ698" s="181"/>
      <c r="AK698" s="40"/>
      <c r="AL698" s="40"/>
      <c r="AM698" s="40"/>
      <c r="AN698" s="37"/>
      <c r="AO698" s="34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181">
        <f>L698-AD698</f>
        <v>0</v>
      </c>
    </row>
    <row r="699" spans="1:52" ht="15.5" customHeight="1">
      <c r="A699" s="360" t="s">
        <v>372</v>
      </c>
      <c r="B699" s="340">
        <v>46279</v>
      </c>
      <c r="C699" s="181">
        <v>50821</v>
      </c>
      <c r="D699" s="30">
        <v>46279</v>
      </c>
      <c r="E699" s="30">
        <v>46274</v>
      </c>
      <c r="F699" s="30">
        <v>46288</v>
      </c>
      <c r="G699" s="37">
        <v>4420233105</v>
      </c>
      <c r="H699" s="37" t="s">
        <v>373</v>
      </c>
      <c r="I699" s="37">
        <v>9040009397</v>
      </c>
      <c r="J699" s="37" t="s">
        <v>287</v>
      </c>
      <c r="K699" s="325" t="s">
        <v>288</v>
      </c>
      <c r="L699" s="181">
        <v>3</v>
      </c>
      <c r="M699" s="181" t="s">
        <v>421</v>
      </c>
      <c r="N699" s="37" t="s">
        <v>410</v>
      </c>
      <c r="O699" s="31">
        <f>IF(F699&gt;0,F699-AB699,"")</f>
        <v>6</v>
      </c>
      <c r="P699" s="37" t="str">
        <f>IF(F699&gt;0,IF(AB699="","PLANNING SUPPLY",IF(AB699&lt;=F699,"ONTIME DELIVERY","DELAY")),"")</f>
        <v>ONTIME DELIVERY</v>
      </c>
      <c r="Q699" s="181" t="str">
        <f>IFERROR(IF(J699&gt;0,VLOOKUP(J699,#REF!,MATCH($Q$6,#REF!,0),0),""),"")</f>
        <v/>
      </c>
      <c r="R699" s="181" t="str">
        <f>IFERROR(IF(J699&gt;0,VLOOKUP(J699,#REF!,MATCH($R$6,#REF!,0),0),""),"")</f>
        <v/>
      </c>
      <c r="S699" s="181" t="e">
        <f>IF(I702&gt;0,Q699+R699,"")</f>
        <v>#VALUE!</v>
      </c>
      <c r="T699" s="181"/>
      <c r="U699" s="181"/>
      <c r="V699" s="37"/>
      <c r="W699" s="181" t="e">
        <f>IF(I702&gt;0,IF(S699&gt;L699,"READY STOCK",IF(S699=0,"OUT OF STOCK",IF(S699&lt;L699,"LOW STOCK",""))),"")</f>
        <v>#VALUE!</v>
      </c>
      <c r="X699" s="38"/>
      <c r="Y699" s="38"/>
      <c r="Z699" s="38"/>
      <c r="AA699" s="38"/>
      <c r="AB699" s="50">
        <v>46282</v>
      </c>
      <c r="AC699" s="181">
        <v>34354</v>
      </c>
      <c r="AD699" s="51">
        <v>3</v>
      </c>
      <c r="AE699" s="37" t="s">
        <v>383</v>
      </c>
      <c r="AF699" s="37" t="s">
        <v>381</v>
      </c>
      <c r="AG699" s="33" t="str">
        <f>IF(G699&gt;0,IF(AD699&gt;0,IF(AD699=0,"Waiting",IF(AD699&lt;L699,"Partial",IF(AD699=L699,"Full Supply",IF(AD699&gt;L699,"Over Shared")))),"Waiting"),"")</f>
        <v>Full Supply</v>
      </c>
      <c r="AH699" s="37"/>
      <c r="AI699" s="37"/>
      <c r="AJ699" s="181"/>
      <c r="AK699" s="40"/>
      <c r="AL699" s="40"/>
      <c r="AM699" s="40"/>
      <c r="AN699" s="37"/>
      <c r="AO699" s="34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181">
        <f>L699-AD699</f>
        <v>0</v>
      </c>
    </row>
    <row r="700" spans="1:52" ht="15.5" customHeight="1">
      <c r="A700" s="360" t="s">
        <v>372</v>
      </c>
      <c r="B700" s="340">
        <v>46279</v>
      </c>
      <c r="C700" s="181">
        <v>50821</v>
      </c>
      <c r="D700" s="30">
        <v>46279</v>
      </c>
      <c r="E700" s="30">
        <v>46274</v>
      </c>
      <c r="F700" s="30">
        <v>46288</v>
      </c>
      <c r="G700" s="37">
        <v>4420233105</v>
      </c>
      <c r="H700" s="37" t="s">
        <v>373</v>
      </c>
      <c r="I700" s="37">
        <v>9040009398</v>
      </c>
      <c r="J700" s="37" t="s">
        <v>282</v>
      </c>
      <c r="K700" s="325" t="s">
        <v>283</v>
      </c>
      <c r="L700" s="181">
        <v>2</v>
      </c>
      <c r="M700" s="181" t="s">
        <v>421</v>
      </c>
      <c r="N700" s="37" t="s">
        <v>410</v>
      </c>
      <c r="O700" s="31">
        <f>IF(F700&gt;0,F700-AB700,"")</f>
        <v>-13</v>
      </c>
      <c r="P700" s="37" t="str">
        <f>IF(F700&gt;0,IF(AB700="","PLANNING SUPPLY",IF(AB700&lt;=F700,"ONTIME DELIVERY","DELAY")),"")</f>
        <v>DELAY</v>
      </c>
      <c r="Q700" s="181" t="str">
        <f>IFERROR(IF(J700&gt;0,VLOOKUP(J700,#REF!,MATCH($Q$6,#REF!,0),0),""),"")</f>
        <v/>
      </c>
      <c r="R700" s="181" t="str">
        <f>IFERROR(IF(J700&gt;0,VLOOKUP(J700,#REF!,MATCH($R$6,#REF!,0),0),""),"")</f>
        <v/>
      </c>
      <c r="S700" s="181" t="e">
        <f>IF(I703&gt;0,Q700+R700,"")</f>
        <v>#VALUE!</v>
      </c>
      <c r="T700" s="181"/>
      <c r="U700" s="181"/>
      <c r="V700" s="37"/>
      <c r="W700" s="181" t="e">
        <f>IF(I703&gt;0,IF(S700&gt;L700,"READY STOCK",IF(S700=0,"OUT OF STOCK",IF(S700&lt;L700,"LOW STOCK",""))),"")</f>
        <v>#VALUE!</v>
      </c>
      <c r="X700" s="38"/>
      <c r="Y700" s="38"/>
      <c r="Z700" s="38"/>
      <c r="AA700" s="38"/>
      <c r="AB700" s="57">
        <v>46301</v>
      </c>
      <c r="AC700" s="181">
        <v>34792</v>
      </c>
      <c r="AD700" s="53">
        <v>2</v>
      </c>
      <c r="AE700" s="58" t="s">
        <v>387</v>
      </c>
      <c r="AF700" s="58" t="s">
        <v>381</v>
      </c>
      <c r="AG700" s="33" t="str">
        <f>IF(G700&gt;0,IF(AD700&gt;0,IF(AD700=0,"Waiting",IF(AD700&lt;L700,"Partial",IF(AD700=L700,"Full Supply",IF(AD700&gt;L700,"Over Shared")))),"Waiting"),"")</f>
        <v>Full Supply</v>
      </c>
      <c r="AH700" s="37"/>
      <c r="AI700" s="37"/>
      <c r="AJ700" s="181"/>
      <c r="AK700" s="40"/>
      <c r="AL700" s="40"/>
      <c r="AM700" s="40"/>
      <c r="AN700" s="37"/>
      <c r="AO700" s="34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181">
        <f>L700-AD700</f>
        <v>0</v>
      </c>
    </row>
    <row r="701" spans="1:52" ht="15.5" customHeight="1">
      <c r="A701" s="360" t="s">
        <v>372</v>
      </c>
      <c r="B701" s="340">
        <v>46279</v>
      </c>
      <c r="C701" s="181">
        <v>50821</v>
      </c>
      <c r="D701" s="30">
        <v>46279</v>
      </c>
      <c r="E701" s="30">
        <v>46274</v>
      </c>
      <c r="F701" s="30">
        <v>46288</v>
      </c>
      <c r="G701" s="37">
        <v>4420233105</v>
      </c>
      <c r="H701" s="37" t="s">
        <v>373</v>
      </c>
      <c r="I701" s="37">
        <v>9040028877</v>
      </c>
      <c r="J701" s="37" t="s">
        <v>199</v>
      </c>
      <c r="K701" s="325" t="s">
        <v>200</v>
      </c>
      <c r="L701" s="181">
        <v>10</v>
      </c>
      <c r="M701" s="181" t="s">
        <v>375</v>
      </c>
      <c r="N701" s="37" t="s">
        <v>410</v>
      </c>
      <c r="O701" s="31">
        <f>IF(F701&gt;0,F701-AB701,"")</f>
        <v>-12</v>
      </c>
      <c r="P701" s="37" t="str">
        <f>IF(F701&gt;0,IF(AB701="","PLANNING SUPPLY",IF(AB701&lt;=F701,"ONTIME DELIVERY","DELAY")),"")</f>
        <v>DELAY</v>
      </c>
      <c r="Q701" s="181" t="str">
        <f>IFERROR(IF(J701&gt;0,VLOOKUP(J701,#REF!,MATCH($Q$6,#REF!,0),0),""),"")</f>
        <v/>
      </c>
      <c r="R701" s="181" t="str">
        <f>IFERROR(IF(J701&gt;0,VLOOKUP(J701,#REF!,MATCH($R$6,#REF!,0),0),""),"")</f>
        <v/>
      </c>
      <c r="S701" s="181" t="e">
        <f>IF(I704&gt;0,Q701+R701,"")</f>
        <v>#VALUE!</v>
      </c>
      <c r="T701" s="181"/>
      <c r="U701" s="181"/>
      <c r="V701" s="37"/>
      <c r="W701" s="181" t="e">
        <f>IF(I704&gt;0,IF(S701&gt;L701,"READY STOCK",IF(S701=0,"OUT OF STOCK",IF(S701&lt;L701,"LOW STOCK",""))),"")</f>
        <v>#VALUE!</v>
      </c>
      <c r="X701" s="38"/>
      <c r="Y701" s="38"/>
      <c r="Z701" s="38"/>
      <c r="AA701" s="38"/>
      <c r="AB701" s="50">
        <v>46300</v>
      </c>
      <c r="AC701" s="44">
        <v>34736</v>
      </c>
      <c r="AD701" s="51">
        <v>10</v>
      </c>
      <c r="AE701" s="37" t="s">
        <v>387</v>
      </c>
      <c r="AF701" s="37" t="s">
        <v>381</v>
      </c>
      <c r="AG701" s="33" t="str">
        <f>IF(G701&gt;0,IF(AD701&gt;0,IF(AD701=0,"Waiting",IF(AD701&lt;L701,"Partial",IF(AD701=L701,"Full Supply",IF(AD701&gt;L701,"Over Shared")))),"Waiting"),"")</f>
        <v>Full Supply</v>
      </c>
      <c r="AH701" s="37"/>
      <c r="AI701" s="37"/>
      <c r="AJ701" s="181"/>
      <c r="AK701" s="40"/>
      <c r="AL701" s="40"/>
      <c r="AM701" s="40"/>
      <c r="AN701" s="37"/>
      <c r="AO701" s="34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181">
        <f>L701-AD701</f>
        <v>0</v>
      </c>
    </row>
    <row r="702" spans="1:52" ht="15.5" customHeight="1">
      <c r="A702" s="360" t="s">
        <v>372</v>
      </c>
      <c r="B702" s="340">
        <v>46279</v>
      </c>
      <c r="C702" s="181">
        <v>50821</v>
      </c>
      <c r="D702" s="30">
        <v>46279</v>
      </c>
      <c r="E702" s="30">
        <v>46274</v>
      </c>
      <c r="F702" s="30">
        <v>46288</v>
      </c>
      <c r="G702" s="37">
        <v>4420233105</v>
      </c>
      <c r="H702" s="37" t="s">
        <v>373</v>
      </c>
      <c r="I702" s="37">
        <v>9040040401</v>
      </c>
      <c r="J702" s="37" t="s">
        <v>231</v>
      </c>
      <c r="K702" s="325" t="s">
        <v>232</v>
      </c>
      <c r="L702" s="181">
        <v>2</v>
      </c>
      <c r="M702" s="181" t="s">
        <v>389</v>
      </c>
      <c r="N702" s="37" t="s">
        <v>410</v>
      </c>
      <c r="O702" s="31">
        <f>IF(F702&gt;0,F702-AB702,"")</f>
        <v>-26</v>
      </c>
      <c r="P702" s="37" t="str">
        <f>IF(F702&gt;0,IF(AB702="","PLANNING SUPPLY",IF(AB702&lt;=F702,"ONTIME DELIVERY","DELAY")),"")</f>
        <v>DELAY</v>
      </c>
      <c r="Q702" s="181" t="str">
        <f>IFERROR(IF(J702&gt;0,VLOOKUP(J702,#REF!,MATCH($Q$6,#REF!,0),0),""),"")</f>
        <v/>
      </c>
      <c r="R702" s="181" t="str">
        <f>IFERROR(IF(J702&gt;0,VLOOKUP(J702,#REF!,MATCH($R$6,#REF!,0),0),""),"")</f>
        <v/>
      </c>
      <c r="S702" s="181" t="e">
        <f>IF(I705&gt;0,Q702+R702,"")</f>
        <v>#VALUE!</v>
      </c>
      <c r="T702" s="181"/>
      <c r="U702" s="181"/>
      <c r="V702" s="37"/>
      <c r="W702" s="181" t="e">
        <f>IF(I705&gt;0,IF(S702&gt;L702,"READY STOCK",IF(S702=0,"OUT OF STOCK",IF(S702&lt;L702,"LOW STOCK",""))),"")</f>
        <v>#VALUE!</v>
      </c>
      <c r="X702" s="38"/>
      <c r="Y702" s="38"/>
      <c r="Z702" s="38"/>
      <c r="AA702" s="38"/>
      <c r="AB702" s="50">
        <v>46314</v>
      </c>
      <c r="AC702" s="44" t="s">
        <v>1333</v>
      </c>
      <c r="AD702" s="51">
        <v>2</v>
      </c>
      <c r="AE702" s="37" t="s">
        <v>387</v>
      </c>
      <c r="AF702" s="37" t="s">
        <v>381</v>
      </c>
      <c r="AG702" s="33" t="str">
        <f>IF(G702&gt;0,IF(AD702&gt;0,IF(AD702=0,"Waiting",IF(AD702&lt;L702,"Partial",IF(AD702=L702,"Full Supply",IF(AD702&gt;L702,"Over Shared")))),"Waiting"),"")</f>
        <v>Full Supply</v>
      </c>
      <c r="AH702" s="37"/>
      <c r="AI702" s="37"/>
      <c r="AJ702" s="181"/>
      <c r="AK702" s="40"/>
      <c r="AL702" s="40"/>
      <c r="AM702" s="40"/>
      <c r="AN702" s="37"/>
      <c r="AO702" s="34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181">
        <f>L702-AD702</f>
        <v>0</v>
      </c>
    </row>
    <row r="703" spans="1:52" ht="15.5" customHeight="1">
      <c r="A703" s="360" t="s">
        <v>372</v>
      </c>
      <c r="B703" s="340">
        <v>46279</v>
      </c>
      <c r="C703" s="181">
        <v>50821</v>
      </c>
      <c r="D703" s="30">
        <v>46279</v>
      </c>
      <c r="E703" s="30">
        <v>46274</v>
      </c>
      <c r="F703" s="30">
        <v>46288</v>
      </c>
      <c r="G703" s="37">
        <v>4420233105</v>
      </c>
      <c r="H703" s="37" t="s">
        <v>373</v>
      </c>
      <c r="I703" s="37">
        <v>9040040486</v>
      </c>
      <c r="J703" s="37" t="s">
        <v>165</v>
      </c>
      <c r="K703" s="325" t="s">
        <v>166</v>
      </c>
      <c r="L703" s="181">
        <v>5</v>
      </c>
      <c r="M703" s="181" t="s">
        <v>375</v>
      </c>
      <c r="N703" s="37" t="s">
        <v>410</v>
      </c>
      <c r="O703" s="31">
        <f>IF(F703&gt;0,F703-AB703,"")</f>
        <v>-19</v>
      </c>
      <c r="P703" s="37" t="str">
        <f>IF(F703&gt;0,IF(AB703="","PLANNING SUPPLY",IF(AB703&lt;=F703,"ONTIME DELIVERY","DELAY")),"")</f>
        <v>DELAY</v>
      </c>
      <c r="Q703" s="181" t="str">
        <f>IFERROR(IF(J703&gt;0,VLOOKUP(J703,#REF!,MATCH($Q$6,#REF!,0),0),""),"")</f>
        <v/>
      </c>
      <c r="R703" s="181" t="str">
        <f>IFERROR(IF(J703&gt;0,VLOOKUP(J703,#REF!,MATCH($R$6,#REF!,0),0),""),"")</f>
        <v/>
      </c>
      <c r="S703" s="181" t="e">
        <f>IF(I706&gt;0,Q703+R703,"")</f>
        <v>#VALUE!</v>
      </c>
      <c r="T703" s="181"/>
      <c r="U703" s="181"/>
      <c r="V703" s="37"/>
      <c r="W703" s="181" t="e">
        <f>IF(I706&gt;0,IF(S703&gt;L703,"READY STOCK",IF(S703=0,"OUT OF STOCK",IF(S703&lt;L703,"LOW STOCK",""))),"")</f>
        <v>#VALUE!</v>
      </c>
      <c r="X703" s="38"/>
      <c r="Y703" s="38"/>
      <c r="Z703" s="38"/>
      <c r="AA703" s="38"/>
      <c r="AB703" s="50">
        <v>46307</v>
      </c>
      <c r="AC703" s="181"/>
      <c r="AD703" s="51">
        <v>5</v>
      </c>
      <c r="AE703" s="37" t="s">
        <v>387</v>
      </c>
      <c r="AF703" s="37" t="s">
        <v>381</v>
      </c>
      <c r="AG703" s="33" t="str">
        <f>IF(G703&gt;0,IF(AD703&gt;0,IF(AD703=0,"Waiting",IF(AD703&lt;L703,"Partial",IF(AD703=L703,"Full Supply",IF(AD703&gt;L703,"Over Shared")))),"Waiting"),"")</f>
        <v>Full Supply</v>
      </c>
      <c r="AH703" s="37"/>
      <c r="AI703" s="37"/>
      <c r="AJ703" s="181"/>
      <c r="AK703" s="40"/>
      <c r="AL703" s="40"/>
      <c r="AM703" s="40"/>
      <c r="AN703" s="37"/>
      <c r="AO703" s="34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181">
        <f>L703-AD703</f>
        <v>0</v>
      </c>
    </row>
    <row r="704" spans="1:52" ht="15.5" customHeight="1">
      <c r="A704" s="360" t="s">
        <v>372</v>
      </c>
      <c r="B704" s="340">
        <v>46279</v>
      </c>
      <c r="C704" s="181">
        <v>50821</v>
      </c>
      <c r="D704" s="30">
        <v>46279</v>
      </c>
      <c r="E704" s="30">
        <v>46274</v>
      </c>
      <c r="F704" s="30">
        <v>46288</v>
      </c>
      <c r="G704" s="37">
        <v>4420233105</v>
      </c>
      <c r="H704" s="37" t="s">
        <v>373</v>
      </c>
      <c r="I704" s="37">
        <v>9040040885</v>
      </c>
      <c r="J704" s="37" t="s">
        <v>172</v>
      </c>
      <c r="K704" s="325" t="s">
        <v>173</v>
      </c>
      <c r="L704" s="181">
        <v>5</v>
      </c>
      <c r="M704" s="181" t="s">
        <v>375</v>
      </c>
      <c r="N704" s="37" t="s">
        <v>410</v>
      </c>
      <c r="O704" s="31">
        <f>IF(F704&gt;0,F704-AB704,"")</f>
        <v>1</v>
      </c>
      <c r="P704" s="37" t="str">
        <f>IF(F704&gt;0,IF(AB704="","PLANNING SUPPLY",IF(AB704&lt;=F704,"ONTIME DELIVERY","DELAY")),"")</f>
        <v>ONTIME DELIVERY</v>
      </c>
      <c r="Q704" s="181" t="str">
        <f>IFERROR(IF(J704&gt;0,VLOOKUP(J704,#REF!,MATCH($Q$6,#REF!,0),0),""),"")</f>
        <v/>
      </c>
      <c r="R704" s="181" t="str">
        <f>IFERROR(IF(J704&gt;0,VLOOKUP(J704,#REF!,MATCH($R$6,#REF!,0),0),""),"")</f>
        <v/>
      </c>
      <c r="S704" s="181" t="e">
        <f>IF(I707&gt;0,Q704+R704,"")</f>
        <v>#VALUE!</v>
      </c>
      <c r="T704" s="181"/>
      <c r="U704" s="181"/>
      <c r="V704" s="37"/>
      <c r="W704" s="181" t="e">
        <f>IF(I707&gt;0,IF(S704&gt;L704,"READY STOCK",IF(S704=0,"OUT OF STOCK",IF(S704&lt;L704,"LOW STOCK",""))),"")</f>
        <v>#VALUE!</v>
      </c>
      <c r="X704" s="38"/>
      <c r="Y704" s="38"/>
      <c r="Z704" s="38"/>
      <c r="AA704" s="38"/>
      <c r="AB704" s="50">
        <v>46287</v>
      </c>
      <c r="AC704" s="181">
        <v>34403</v>
      </c>
      <c r="AD704" s="51">
        <v>5</v>
      </c>
      <c r="AE704" s="37" t="s">
        <v>387</v>
      </c>
      <c r="AF704" s="37" t="s">
        <v>381</v>
      </c>
      <c r="AG704" s="33" t="str">
        <f>IF(G704&gt;0,IF(AD704&gt;0,IF(AD704=0,"Waiting",IF(AD704&lt;L704,"Partial",IF(AD704=L704,"Full Supply",IF(AD704&gt;L704,"Over Shared")))),"Waiting"),"")</f>
        <v>Full Supply</v>
      </c>
      <c r="AH704" s="37"/>
      <c r="AI704" s="37"/>
      <c r="AJ704" s="181"/>
      <c r="AK704" s="40"/>
      <c r="AL704" s="40"/>
      <c r="AM704" s="40"/>
      <c r="AN704" s="37"/>
      <c r="AO704" s="34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181">
        <f>L704-AD704</f>
        <v>0</v>
      </c>
    </row>
    <row r="705" spans="1:52" ht="15.5" customHeight="1">
      <c r="A705" s="360" t="s">
        <v>372</v>
      </c>
      <c r="B705" s="340">
        <v>46279</v>
      </c>
      <c r="C705" s="181">
        <v>50821</v>
      </c>
      <c r="D705" s="30">
        <v>46279</v>
      </c>
      <c r="E705" s="30">
        <v>46274</v>
      </c>
      <c r="F705" s="30">
        <v>46288</v>
      </c>
      <c r="G705" s="37">
        <v>4420233105</v>
      </c>
      <c r="H705" s="37" t="s">
        <v>373</v>
      </c>
      <c r="I705" s="37">
        <v>9040042224</v>
      </c>
      <c r="J705" s="37" t="s">
        <v>195</v>
      </c>
      <c r="K705" s="325" t="s">
        <v>196</v>
      </c>
      <c r="L705" s="181">
        <v>3</v>
      </c>
      <c r="M705" s="181" t="s">
        <v>421</v>
      </c>
      <c r="N705" s="37" t="s">
        <v>410</v>
      </c>
      <c r="O705" s="31">
        <f>IF(F705&gt;0,F705-AB705,"")</f>
        <v>-26</v>
      </c>
      <c r="P705" s="37" t="str">
        <f>IF(F705&gt;0,IF(AB705="","PLANNING SUPPLY",IF(AB705&lt;=F705,"ONTIME DELIVERY","DELAY")),"")</f>
        <v>DELAY</v>
      </c>
      <c r="Q705" s="181" t="str">
        <f>IFERROR(IF(J705&gt;0,VLOOKUP(J705,#REF!,MATCH($Q$6,#REF!,0),0),""),"")</f>
        <v/>
      </c>
      <c r="R705" s="181" t="str">
        <f>IFERROR(IF(J705&gt;0,VLOOKUP(J705,#REF!,MATCH($R$6,#REF!,0),0),""),"")</f>
        <v/>
      </c>
      <c r="S705" s="181" t="e">
        <f>IF(I708&gt;0,Q705+R705,"")</f>
        <v>#VALUE!</v>
      </c>
      <c r="T705" s="181"/>
      <c r="U705" s="181"/>
      <c r="V705" s="37"/>
      <c r="W705" s="181" t="e">
        <f>IF(I708&gt;0,IF(S705&gt;L705,"READY STOCK",IF(S705=0,"OUT OF STOCK",IF(S705&lt;L705,"LOW STOCK",""))),"")</f>
        <v>#VALUE!</v>
      </c>
      <c r="X705" s="38"/>
      <c r="Y705" s="38"/>
      <c r="Z705" s="38"/>
      <c r="AA705" s="38"/>
      <c r="AB705" s="50">
        <v>46314</v>
      </c>
      <c r="AC705" s="44" t="s">
        <v>1333</v>
      </c>
      <c r="AD705" s="51">
        <v>3</v>
      </c>
      <c r="AE705" s="37" t="s">
        <v>387</v>
      </c>
      <c r="AF705" s="37" t="s">
        <v>381</v>
      </c>
      <c r="AG705" s="33" t="str">
        <f>IF(G705&gt;0,IF(AD705&gt;0,IF(AD705=0,"Waiting",IF(AD705&lt;L705,"Partial",IF(AD705=L705,"Full Supply",IF(AD705&gt;L705,"Over Shared")))),"Waiting"),"")</f>
        <v>Full Supply</v>
      </c>
      <c r="AH705" s="56">
        <v>46287</v>
      </c>
      <c r="AI705" s="37" t="s">
        <v>1322</v>
      </c>
      <c r="AJ705" s="181">
        <v>56</v>
      </c>
      <c r="AK705" s="40">
        <v>26381</v>
      </c>
      <c r="AL705" s="218">
        <v>46287</v>
      </c>
      <c r="AM705" s="40">
        <v>56</v>
      </c>
      <c r="AN705" s="37"/>
      <c r="AO705" s="41">
        <v>46290</v>
      </c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181">
        <f>L705-AD705</f>
        <v>0</v>
      </c>
    </row>
    <row r="706" spans="1:52" ht="15.5" customHeight="1">
      <c r="A706" s="360" t="s">
        <v>372</v>
      </c>
      <c r="B706" s="340">
        <v>46279</v>
      </c>
      <c r="C706" s="181">
        <v>50821</v>
      </c>
      <c r="D706" s="30">
        <v>46279</v>
      </c>
      <c r="E706" s="30">
        <v>46274</v>
      </c>
      <c r="F706" s="30">
        <v>46288</v>
      </c>
      <c r="G706" s="37">
        <v>4420233105</v>
      </c>
      <c r="H706" s="37" t="s">
        <v>373</v>
      </c>
      <c r="I706" s="37">
        <v>9040044066</v>
      </c>
      <c r="J706" s="37" t="s">
        <v>163</v>
      </c>
      <c r="K706" s="325" t="s">
        <v>164</v>
      </c>
      <c r="L706" s="181">
        <v>5</v>
      </c>
      <c r="M706" s="181" t="s">
        <v>375</v>
      </c>
      <c r="N706" s="37" t="s">
        <v>410</v>
      </c>
      <c r="O706" s="31">
        <f>IF(F706&gt;0,F706-AB706,"")</f>
        <v>6</v>
      </c>
      <c r="P706" s="37" t="str">
        <f>IF(F706&gt;0,IF(AB706="","PLANNING SUPPLY",IF(AB706&lt;=F706,"ONTIME DELIVERY","DELAY")),"")</f>
        <v>ONTIME DELIVERY</v>
      </c>
      <c r="Q706" s="181" t="str">
        <f>IFERROR(IF(J706&gt;0,VLOOKUP(J706,#REF!,MATCH($Q$6,#REF!,0),0),""),"")</f>
        <v/>
      </c>
      <c r="R706" s="181" t="str">
        <f>IFERROR(IF(J706&gt;0,VLOOKUP(J706,#REF!,MATCH($R$6,#REF!,0),0),""),"")</f>
        <v/>
      </c>
      <c r="S706" s="181" t="e">
        <f>IF(I709&gt;0,Q706+R706,"")</f>
        <v>#VALUE!</v>
      </c>
      <c r="T706" s="181"/>
      <c r="U706" s="181"/>
      <c r="V706" s="37"/>
      <c r="W706" s="181" t="e">
        <f>IF(I709&gt;0,IF(S706&gt;L706,"READY STOCK",IF(S706=0,"OUT OF STOCK",IF(S706&lt;L706,"LOW STOCK",""))),"")</f>
        <v>#VALUE!</v>
      </c>
      <c r="X706" s="38"/>
      <c r="Y706" s="38"/>
      <c r="Z706" s="38"/>
      <c r="AA706" s="38"/>
      <c r="AB706" s="50">
        <v>46282</v>
      </c>
      <c r="AC706" s="181">
        <v>34354</v>
      </c>
      <c r="AD706" s="51">
        <v>5</v>
      </c>
      <c r="AE706" s="37" t="s">
        <v>383</v>
      </c>
      <c r="AF706" s="37" t="s">
        <v>381</v>
      </c>
      <c r="AG706" s="33" t="str">
        <f>IF(G706&gt;0,IF(AD706&gt;0,IF(AD706=0,"Waiting",IF(AD706&lt;L706,"Partial",IF(AD706=L706,"Full Supply",IF(AD706&gt;L706,"Over Shared")))),"Waiting"),"")</f>
        <v>Full Supply</v>
      </c>
      <c r="AH706" s="37"/>
      <c r="AI706" s="37"/>
      <c r="AJ706" s="181"/>
      <c r="AK706" s="40"/>
      <c r="AL706" s="40"/>
      <c r="AM706" s="40"/>
      <c r="AN706" s="37"/>
      <c r="AO706" s="34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181">
        <f>L706-AD706</f>
        <v>0</v>
      </c>
    </row>
    <row r="707" spans="1:52" ht="15.5" customHeight="1">
      <c r="A707" s="360" t="s">
        <v>372</v>
      </c>
      <c r="B707" s="340">
        <v>46279</v>
      </c>
      <c r="C707" s="181">
        <v>50821</v>
      </c>
      <c r="D707" s="30">
        <v>46279</v>
      </c>
      <c r="E707" s="30">
        <v>46274</v>
      </c>
      <c r="F707" s="30">
        <v>46288</v>
      </c>
      <c r="G707" s="37">
        <v>4420233105</v>
      </c>
      <c r="H707" s="37" t="s">
        <v>373</v>
      </c>
      <c r="I707" s="37">
        <v>9040009391</v>
      </c>
      <c r="J707" s="37" t="s">
        <v>293</v>
      </c>
      <c r="K707" s="325" t="s">
        <v>294</v>
      </c>
      <c r="L707" s="181">
        <v>1</v>
      </c>
      <c r="M707" s="181" t="s">
        <v>375</v>
      </c>
      <c r="N707" s="37" t="s">
        <v>410</v>
      </c>
      <c r="O707" s="31">
        <f>IF(F707&gt;0,F707-AB707,"")</f>
        <v>-7</v>
      </c>
      <c r="P707" s="37" t="str">
        <f>IF(F707&gt;0,IF(AB707="","PLANNING SUPPLY",IF(AB707&lt;=F707,"ONTIME DELIVERY","DELAY")),"")</f>
        <v>DELAY</v>
      </c>
      <c r="Q707" s="181" t="str">
        <f>IFERROR(IF(J707&gt;0,VLOOKUP(J707,#REF!,MATCH($Q$6,#REF!,0),0),""),"")</f>
        <v/>
      </c>
      <c r="R707" s="181" t="str">
        <f>IFERROR(IF(J707&gt;0,VLOOKUP(J707,#REF!,MATCH($R$6,#REF!,0),0),""),"")</f>
        <v/>
      </c>
      <c r="S707" s="181" t="e">
        <f>IF(I710&gt;0,Q707+R707,"")</f>
        <v>#VALUE!</v>
      </c>
      <c r="T707" s="181"/>
      <c r="U707" s="181"/>
      <c r="V707" s="37"/>
      <c r="W707" s="181" t="e">
        <f>IF(I710&gt;0,IF(S707&gt;L707,"READY STOCK",IF(S707=0,"OUT OF STOCK",IF(S707&lt;L707,"LOW STOCK",""))),"")</f>
        <v>#VALUE!</v>
      </c>
      <c r="X707" s="38"/>
      <c r="Y707" s="38"/>
      <c r="Z707" s="38"/>
      <c r="AA707" s="38"/>
      <c r="AB707" s="50">
        <v>46295</v>
      </c>
      <c r="AC707" s="181">
        <v>34651</v>
      </c>
      <c r="AD707" s="51">
        <v>1</v>
      </c>
      <c r="AE707" s="37" t="s">
        <v>387</v>
      </c>
      <c r="AF707" s="37" t="s">
        <v>381</v>
      </c>
      <c r="AG707" s="33" t="str">
        <f>IF(G707&gt;0,IF(AD707&gt;0,IF(AD707=0,"Waiting",IF(AD707&lt;L707,"Partial",IF(AD707=L707,"Full Supply",IF(AD707&gt;L707,"Over Shared")))),"Waiting"),"")</f>
        <v>Full Supply</v>
      </c>
      <c r="AH707" s="37"/>
      <c r="AI707" s="37"/>
      <c r="AJ707" s="181"/>
      <c r="AK707" s="40"/>
      <c r="AL707" s="40"/>
      <c r="AM707" s="40"/>
      <c r="AN707" s="37"/>
      <c r="AO707" s="34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181">
        <f>L707-AD707</f>
        <v>0</v>
      </c>
    </row>
    <row r="708" spans="1:52" ht="15.5" customHeight="1">
      <c r="A708" s="360" t="s">
        <v>372</v>
      </c>
      <c r="B708" s="340">
        <v>46279</v>
      </c>
      <c r="C708" s="181">
        <v>50821</v>
      </c>
      <c r="D708" s="30">
        <v>46279</v>
      </c>
      <c r="E708" s="30">
        <v>46274</v>
      </c>
      <c r="F708" s="30">
        <v>46288</v>
      </c>
      <c r="G708" s="37">
        <v>4420233105</v>
      </c>
      <c r="H708" s="37" t="s">
        <v>373</v>
      </c>
      <c r="I708" s="37">
        <v>9040014955</v>
      </c>
      <c r="J708" s="37" t="s">
        <v>27</v>
      </c>
      <c r="K708" s="325" t="s">
        <v>28</v>
      </c>
      <c r="L708" s="181">
        <v>5</v>
      </c>
      <c r="M708" s="181" t="s">
        <v>375</v>
      </c>
      <c r="N708" s="37" t="s">
        <v>410</v>
      </c>
      <c r="O708" s="31">
        <f>IF(F708&gt;0,F708-AB708,"")</f>
        <v>-26</v>
      </c>
      <c r="P708" s="37" t="str">
        <f>IF(F708&gt;0,IF(AB708="","PLANNING SUPPLY",IF(AB708&lt;=F708,"ONTIME DELIVERY","DELAY")),"")</f>
        <v>DELAY</v>
      </c>
      <c r="Q708" s="181" t="str">
        <f>IFERROR(IF(J708&gt;0,VLOOKUP(J708,#REF!,MATCH($Q$6,#REF!,0),0),""),"")</f>
        <v/>
      </c>
      <c r="R708" s="181" t="str">
        <f>IFERROR(IF(J708&gt;0,VLOOKUP(J708,#REF!,MATCH($R$6,#REF!,0),0),""),"")</f>
        <v/>
      </c>
      <c r="S708" s="181" t="e">
        <f>IF(I711&gt;0,Q708+R708,"")</f>
        <v>#VALUE!</v>
      </c>
      <c r="T708" s="181"/>
      <c r="U708" s="181"/>
      <c r="V708" s="37"/>
      <c r="W708" s="181" t="e">
        <f>IF(I711&gt;0,IF(S708&gt;L708,"READY STOCK",IF(S708=0,"OUT OF STOCK",IF(S708&lt;L708,"LOW STOCK",""))),"")</f>
        <v>#VALUE!</v>
      </c>
      <c r="X708" s="38"/>
      <c r="Y708" s="38"/>
      <c r="Z708" s="38"/>
      <c r="AA708" s="38"/>
      <c r="AB708" s="50">
        <v>46314</v>
      </c>
      <c r="AC708" s="44" t="s">
        <v>1333</v>
      </c>
      <c r="AD708" s="51">
        <v>5</v>
      </c>
      <c r="AE708" s="37" t="s">
        <v>387</v>
      </c>
      <c r="AF708" s="37" t="s">
        <v>381</v>
      </c>
      <c r="AG708" s="33" t="str">
        <f>IF(G708&gt;0,IF(AD708&gt;0,IF(AD708=0,"Waiting",IF(AD708&lt;L708,"Partial",IF(AD708=L708,"Full Supply",IF(AD708&gt;L708,"Over Shared")))),"Waiting"),"")</f>
        <v>Full Supply</v>
      </c>
      <c r="AH708" s="37"/>
      <c r="AI708" s="37"/>
      <c r="AJ708" s="181"/>
      <c r="AK708" s="40"/>
      <c r="AL708" s="40"/>
      <c r="AM708" s="40"/>
      <c r="AN708" s="37"/>
      <c r="AO708" s="34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181">
        <f>L708-AD708</f>
        <v>0</v>
      </c>
    </row>
    <row r="709" spans="1:52" ht="15.5" customHeight="1">
      <c r="A709" s="360" t="s">
        <v>372</v>
      </c>
      <c r="B709" s="340">
        <v>46279</v>
      </c>
      <c r="C709" s="181">
        <v>50821</v>
      </c>
      <c r="D709" s="30">
        <v>46279</v>
      </c>
      <c r="E709" s="30">
        <v>46274</v>
      </c>
      <c r="F709" s="30">
        <v>46288</v>
      </c>
      <c r="G709" s="37">
        <v>4420233105</v>
      </c>
      <c r="H709" s="37" t="s">
        <v>373</v>
      </c>
      <c r="I709" s="230">
        <v>9040020554</v>
      </c>
      <c r="J709" s="37" t="s">
        <v>297</v>
      </c>
      <c r="K709" s="325" t="s">
        <v>298</v>
      </c>
      <c r="L709" s="181">
        <v>2</v>
      </c>
      <c r="M709" s="181" t="s">
        <v>375</v>
      </c>
      <c r="N709" s="37" t="s">
        <v>410</v>
      </c>
      <c r="O709" s="31">
        <f>IF(F709&gt;0,F709-AB709,"")</f>
        <v>46288</v>
      </c>
      <c r="P709" s="37" t="str">
        <f>IF(F709&gt;0,IF(AB709="","PLANNING SUPPLY",IF(AB709&lt;=F709,"ONTIME DELIVERY","DELAY")),"")</f>
        <v>PLANNING SUPPLY</v>
      </c>
      <c r="Q709" s="181" t="str">
        <f>IFERROR(IF(J709&gt;0,VLOOKUP(J709,#REF!,MATCH($Q$6,#REF!,0),0),""),"")</f>
        <v/>
      </c>
      <c r="R709" s="181" t="str">
        <f>IFERROR(IF(J709&gt;0,VLOOKUP(J709,#REF!,MATCH($R$6,#REF!,0),0),""),"")</f>
        <v/>
      </c>
      <c r="S709" s="181" t="e">
        <f>IF(I713&gt;0,Q709+R709,"")</f>
        <v>#VALUE!</v>
      </c>
      <c r="T709" s="181"/>
      <c r="U709" s="181"/>
      <c r="V709" s="37"/>
      <c r="W709" s="181" t="e">
        <f>IF(I713&gt;0,IF(S709&gt;L709,"READY STOCK",IF(S709=0,"OUT OF STOCK",IF(S709&lt;L709,"LOW STOCK",""))),"")</f>
        <v>#VALUE!</v>
      </c>
      <c r="X709" s="38"/>
      <c r="Y709" s="38"/>
      <c r="Z709" s="38"/>
      <c r="AA709" s="38"/>
      <c r="AB709" s="50"/>
      <c r="AC709" s="181"/>
      <c r="AD709" s="51"/>
      <c r="AE709" s="37"/>
      <c r="AF709" s="37"/>
      <c r="AG709" s="33" t="str">
        <f>IF(G709&gt;0,IF(AD709&gt;0,IF(AD709=0,"Waiting",IF(AD709&lt;L709,"Partial",IF(AD709=L709,"Full Supply",IF(AD709&gt;L709,"Over Shared")))),"Waiting"),"")</f>
        <v>Waiting</v>
      </c>
      <c r="AH709" s="56">
        <v>46247</v>
      </c>
      <c r="AI709" s="37" t="s">
        <v>646</v>
      </c>
      <c r="AJ709" s="181">
        <v>100</v>
      </c>
      <c r="AK709" s="40"/>
      <c r="AL709" s="40"/>
      <c r="AM709" s="40"/>
      <c r="AN709" s="216"/>
      <c r="AO709" s="232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181">
        <f>L709-AD709</f>
        <v>2</v>
      </c>
    </row>
    <row r="710" spans="1:52" ht="15.5" customHeight="1">
      <c r="A710" s="360" t="s">
        <v>372</v>
      </c>
      <c r="B710" s="340">
        <v>46279</v>
      </c>
      <c r="C710" s="181">
        <v>50821</v>
      </c>
      <c r="D710" s="30">
        <v>46279</v>
      </c>
      <c r="E710" s="30">
        <v>46274</v>
      </c>
      <c r="F710" s="30">
        <v>46288</v>
      </c>
      <c r="G710" s="37">
        <v>4420233105</v>
      </c>
      <c r="H710" s="37" t="s">
        <v>373</v>
      </c>
      <c r="I710" s="37">
        <v>9040040765</v>
      </c>
      <c r="J710" s="37" t="s">
        <v>3</v>
      </c>
      <c r="K710" s="325" t="s">
        <v>4</v>
      </c>
      <c r="L710" s="181">
        <v>2</v>
      </c>
      <c r="M710" s="181" t="s">
        <v>375</v>
      </c>
      <c r="N710" s="37" t="s">
        <v>410</v>
      </c>
      <c r="O710" s="31">
        <f>IF(F710&gt;0,F710-AB710,"")</f>
        <v>-16</v>
      </c>
      <c r="P710" s="37" t="str">
        <f>IF(F710&gt;0,IF(AB710="","PLANNING SUPPLY",IF(AB710&lt;=F710,"ONTIME DELIVERY","DELAY")),"")</f>
        <v>DELAY</v>
      </c>
      <c r="Q710" s="181" t="str">
        <f>IFERROR(IF(J710&gt;0,VLOOKUP(J710,#REF!,MATCH($Q$6,#REF!,0),0),""),"")</f>
        <v/>
      </c>
      <c r="R710" s="181" t="str">
        <f>IFERROR(IF(J710&gt;0,VLOOKUP(J710,#REF!,MATCH($R$6,#REF!,0),0),""),"")</f>
        <v/>
      </c>
      <c r="S710" s="181" t="e">
        <f>IF(#REF!&gt;0,Q710+R710,"")</f>
        <v>#REF!</v>
      </c>
      <c r="T710" s="181"/>
      <c r="U710" s="181"/>
      <c r="V710" s="37"/>
      <c r="W710" s="181" t="e">
        <f>IF(#REF!&gt;0,IF(S710&gt;L710,"READY STOCK",IF(S710=0,"OUT OF STOCK",IF(S710&lt;L710,"LOW STOCK",""))),"")</f>
        <v>#REF!</v>
      </c>
      <c r="X710" s="38"/>
      <c r="Y710" s="38"/>
      <c r="Z710" s="38"/>
      <c r="AA710" s="38"/>
      <c r="AB710" s="57">
        <v>46304</v>
      </c>
      <c r="AC710" s="181">
        <v>34865</v>
      </c>
      <c r="AD710" s="53">
        <v>2</v>
      </c>
      <c r="AE710" s="58" t="s">
        <v>387</v>
      </c>
      <c r="AF710" s="58" t="s">
        <v>381</v>
      </c>
      <c r="AG710" s="33" t="str">
        <f>IF(G710&gt;0,IF(AD710&gt;0,IF(AD710=0,"Waiting",IF(AD710&lt;L710,"Partial",IF(AD710=L710,"Full Supply",IF(AD710&gt;L710,"Over Shared")))),"Waiting"),"")</f>
        <v>Full Supply</v>
      </c>
      <c r="AH710" s="56">
        <v>46294</v>
      </c>
      <c r="AI710" s="37" t="s">
        <v>1311</v>
      </c>
      <c r="AJ710" s="181">
        <v>18</v>
      </c>
      <c r="AK710" s="40">
        <v>26456</v>
      </c>
      <c r="AL710" s="42">
        <v>46294</v>
      </c>
      <c r="AM710" s="181">
        <v>18</v>
      </c>
      <c r="AN710" s="37"/>
      <c r="AO710" s="41">
        <v>46295</v>
      </c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181">
        <f>L710-AD710</f>
        <v>0</v>
      </c>
    </row>
    <row r="711" spans="1:52" ht="15.5" customHeight="1">
      <c r="A711" s="360" t="s">
        <v>372</v>
      </c>
      <c r="B711" s="340">
        <v>46279</v>
      </c>
      <c r="C711" s="181">
        <v>50824</v>
      </c>
      <c r="D711" s="30">
        <v>46279</v>
      </c>
      <c r="E711" s="30">
        <v>46275</v>
      </c>
      <c r="F711" s="30">
        <v>46283</v>
      </c>
      <c r="G711" s="37">
        <v>4420233133</v>
      </c>
      <c r="H711" s="37" t="s">
        <v>373</v>
      </c>
      <c r="I711" s="37">
        <v>9040021297</v>
      </c>
      <c r="J711" s="37" t="s">
        <v>108</v>
      </c>
      <c r="K711" s="325" t="s">
        <v>109</v>
      </c>
      <c r="L711" s="181">
        <v>6</v>
      </c>
      <c r="M711" s="181" t="s">
        <v>375</v>
      </c>
      <c r="N711" s="37" t="s">
        <v>384</v>
      </c>
      <c r="O711" s="31">
        <f>IF(F711&gt;0,F711-AB711,"")</f>
        <v>-26</v>
      </c>
      <c r="P711" s="37" t="str">
        <f>IF(F711&gt;0,IF(AB711="","PLANNING SUPPLY",IF(AB711&lt;=F711,"ONTIME DELIVERY","DELAY")),"")</f>
        <v>DELAY</v>
      </c>
      <c r="Q711" s="181" t="str">
        <f>IFERROR(IF(J711&gt;0,VLOOKUP(J711,#REF!,MATCH($Q$6,#REF!,0),0),""),"")</f>
        <v/>
      </c>
      <c r="R711" s="181" t="str">
        <f>IFERROR(IF(J711&gt;0,VLOOKUP(J711,#REF!,MATCH($R$6,#REF!,0),0),""),"")</f>
        <v/>
      </c>
      <c r="S711" s="181" t="e">
        <f>IF(I714&gt;0,Q711+R711,"")</f>
        <v>#VALUE!</v>
      </c>
      <c r="T711" s="181"/>
      <c r="U711" s="181"/>
      <c r="V711" s="37"/>
      <c r="W711" s="181" t="e">
        <f>IF(I714&gt;0,IF(S711&gt;L711,"READY STOCK",IF(S711=0,"OUT OF STOCK",IF(S711&lt;L711,"LOW STOCK",""))),"")</f>
        <v>#VALUE!</v>
      </c>
      <c r="X711" s="38"/>
      <c r="Y711" s="38"/>
      <c r="Z711" s="38"/>
      <c r="AA711" s="38"/>
      <c r="AB711" s="50">
        <v>46309</v>
      </c>
      <c r="AC711" s="44">
        <v>35062</v>
      </c>
      <c r="AD711" s="51">
        <v>6</v>
      </c>
      <c r="AE711" s="37" t="s">
        <v>387</v>
      </c>
      <c r="AF711" s="37" t="s">
        <v>381</v>
      </c>
      <c r="AG711" s="33" t="str">
        <f>IF(G711&gt;0,IF(AD711&gt;0,IF(AD711=0,"Waiting",IF(AD711&lt;L711,"Partial",IF(AD711=L711,"Full Supply",IF(AD711&gt;L711,"Over Shared")))),"Waiting"),"")</f>
        <v>Full Supply</v>
      </c>
      <c r="AH711" s="56"/>
      <c r="AI711" s="37"/>
      <c r="AJ711" s="181"/>
      <c r="AK711" s="40"/>
      <c r="AL711" s="40"/>
      <c r="AM711" s="40"/>
      <c r="AN711" s="37"/>
      <c r="AO711" s="34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181">
        <f>L711-AD711</f>
        <v>0</v>
      </c>
    </row>
    <row r="712" spans="1:52" ht="15.5" customHeight="1">
      <c r="A712" s="360" t="s">
        <v>372</v>
      </c>
      <c r="B712" s="340">
        <v>46279</v>
      </c>
      <c r="C712" s="181">
        <v>50824</v>
      </c>
      <c r="D712" s="30">
        <v>46279</v>
      </c>
      <c r="E712" s="30">
        <v>46275</v>
      </c>
      <c r="F712" s="30">
        <v>46283</v>
      </c>
      <c r="G712" s="37">
        <v>4420233133</v>
      </c>
      <c r="H712" s="37" t="s">
        <v>373</v>
      </c>
      <c r="I712" s="37">
        <v>9040042285</v>
      </c>
      <c r="J712" s="37" t="s">
        <v>58</v>
      </c>
      <c r="K712" s="325" t="s">
        <v>59</v>
      </c>
      <c r="L712" s="181">
        <v>7</v>
      </c>
      <c r="M712" s="181" t="s">
        <v>375</v>
      </c>
      <c r="N712" s="37" t="s">
        <v>384</v>
      </c>
      <c r="O712" s="31">
        <f>IF(F712&gt;0,F712-AB712,"")</f>
        <v>-4</v>
      </c>
      <c r="P712" s="37" t="str">
        <f>IF(F712&gt;0,IF(AB712="","PLANNING SUPPLY",IF(AB712&lt;=F712,"ONTIME DELIVERY","DELAY")),"")</f>
        <v>DELAY</v>
      </c>
      <c r="Q712" s="181" t="str">
        <f>IFERROR(IF(J712&gt;0,VLOOKUP(J712,#REF!,MATCH($Q$6,#REF!,0),0),""),"")</f>
        <v/>
      </c>
      <c r="R712" s="181" t="str">
        <f>IFERROR(IF(J712&gt;0,VLOOKUP(J712,#REF!,MATCH($R$6,#REF!,0),0),""),"")</f>
        <v/>
      </c>
      <c r="S712" s="181" t="e">
        <f>IF(I715&gt;0,Q712+R712,"")</f>
        <v>#VALUE!</v>
      </c>
      <c r="T712" s="181"/>
      <c r="U712" s="181"/>
      <c r="V712" s="37"/>
      <c r="W712" s="181" t="e">
        <f>IF(I715&gt;0,IF(S712&gt;L712,"READY STOCK",IF(S712=0,"OUT OF STOCK",IF(S712&lt;L712,"LOW STOCK",""))),"")</f>
        <v>#VALUE!</v>
      </c>
      <c r="X712" s="38"/>
      <c r="Y712" s="38"/>
      <c r="Z712" s="38"/>
      <c r="AA712" s="38"/>
      <c r="AB712" s="50">
        <v>46287</v>
      </c>
      <c r="AC712" s="181">
        <v>34398</v>
      </c>
      <c r="AD712" s="51">
        <v>7</v>
      </c>
      <c r="AE712" s="37" t="s">
        <v>387</v>
      </c>
      <c r="AF712" s="37" t="s">
        <v>381</v>
      </c>
      <c r="AG712" s="33" t="str">
        <f>IF(G712&gt;0,IF(AD712&gt;0,IF(AD712=0,"Waiting",IF(AD712&lt;L712,"Partial",IF(AD712=L712,"Full Supply",IF(AD712&gt;L712,"Over Shared")))),"Waiting"),"")</f>
        <v>Full Supply</v>
      </c>
      <c r="AH712" s="37"/>
      <c r="AI712" s="37"/>
      <c r="AJ712" s="181"/>
      <c r="AK712" s="40"/>
      <c r="AL712" s="40"/>
      <c r="AM712" s="40"/>
      <c r="AN712" s="37"/>
      <c r="AO712" s="34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181">
        <f>L712-AD712</f>
        <v>0</v>
      </c>
    </row>
    <row r="713" spans="1:52" ht="15.5" customHeight="1">
      <c r="A713" s="360" t="s">
        <v>372</v>
      </c>
      <c r="B713" s="340">
        <v>46279</v>
      </c>
      <c r="C713" s="181">
        <v>50825</v>
      </c>
      <c r="D713" s="30">
        <v>46279</v>
      </c>
      <c r="E713" s="30">
        <v>46272</v>
      </c>
      <c r="F713" s="30">
        <v>46309</v>
      </c>
      <c r="G713" s="371">
        <v>4420232899</v>
      </c>
      <c r="H713" s="37" t="s">
        <v>373</v>
      </c>
      <c r="I713" s="37">
        <v>9040009397</v>
      </c>
      <c r="J713" s="37" t="s">
        <v>287</v>
      </c>
      <c r="K713" s="325" t="s">
        <v>288</v>
      </c>
      <c r="L713" s="181">
        <v>1</v>
      </c>
      <c r="M713" s="181" t="s">
        <v>421</v>
      </c>
      <c r="N713" s="37" t="s">
        <v>428</v>
      </c>
      <c r="O713" s="31">
        <f>IF(F713&gt;0,F713-AB713,"")</f>
        <v>20</v>
      </c>
      <c r="P713" s="37" t="str">
        <f>IF(F713&gt;0,IF(AB713="","PLANNING SUPPLY",IF(AB713&lt;=F713,"ONTIME DELIVERY","DELAY")),"")</f>
        <v>ONTIME DELIVERY</v>
      </c>
      <c r="Q713" s="181" t="str">
        <f>IFERROR(IF(J713&gt;0,VLOOKUP(J713,#REF!,MATCH($Q$6,#REF!,0),0),""),"")</f>
        <v/>
      </c>
      <c r="R713" s="181" t="str">
        <f>IFERROR(IF(J713&gt;0,VLOOKUP(J713,#REF!,MATCH($R$6,#REF!,0),0),""),"")</f>
        <v/>
      </c>
      <c r="S713" s="181" t="e">
        <f>IF(I716&gt;0,Q713+R713,"")</f>
        <v>#VALUE!</v>
      </c>
      <c r="T713" s="181"/>
      <c r="U713" s="181"/>
      <c r="V713" s="37"/>
      <c r="W713" s="181" t="e">
        <f>IF(I716&gt;0,IF(S713&gt;L713,"READY STOCK",IF(S713=0,"OUT OF STOCK",IF(S713&lt;L713,"LOW STOCK",""))),"")</f>
        <v>#VALUE!</v>
      </c>
      <c r="X713" s="38"/>
      <c r="Y713" s="38"/>
      <c r="Z713" s="38"/>
      <c r="AA713" s="38"/>
      <c r="AB713" s="50">
        <v>46289</v>
      </c>
      <c r="AC713" s="181">
        <v>34545</v>
      </c>
      <c r="AD713" s="51">
        <v>1</v>
      </c>
      <c r="AE713" s="37" t="s">
        <v>383</v>
      </c>
      <c r="AF713" s="37" t="s">
        <v>381</v>
      </c>
      <c r="AG713" s="33" t="str">
        <f>IF(G713&gt;0,IF(AD713&gt;0,IF(AD713=0,"Waiting",IF(AD713&lt;L713,"Partial",IF(AD713=L713,"Full Supply",IF(AD713&gt;L713,"Over Shared")))),"Waiting"),"")</f>
        <v>Full Supply</v>
      </c>
      <c r="AH713" s="37"/>
      <c r="AI713" s="37"/>
      <c r="AJ713" s="181"/>
      <c r="AK713" s="40"/>
      <c r="AL713" s="40"/>
      <c r="AM713" s="40"/>
      <c r="AN713" s="37"/>
      <c r="AO713" s="34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181">
        <f>L713-AD713</f>
        <v>0</v>
      </c>
    </row>
    <row r="714" spans="1:52" ht="15.5" customHeight="1">
      <c r="A714" s="360" t="s">
        <v>372</v>
      </c>
      <c r="B714" s="340">
        <v>46279</v>
      </c>
      <c r="C714" s="181">
        <v>50825</v>
      </c>
      <c r="D714" s="30">
        <v>46279</v>
      </c>
      <c r="E714" s="30">
        <v>46272</v>
      </c>
      <c r="F714" s="30">
        <v>46309</v>
      </c>
      <c r="G714" s="371">
        <v>4420232899</v>
      </c>
      <c r="H714" s="37" t="s">
        <v>373</v>
      </c>
      <c r="I714" s="37">
        <v>9040009398</v>
      </c>
      <c r="J714" s="37" t="s">
        <v>282</v>
      </c>
      <c r="K714" s="325" t="s">
        <v>283</v>
      </c>
      <c r="L714" s="181">
        <v>1</v>
      </c>
      <c r="M714" s="181" t="s">
        <v>421</v>
      </c>
      <c r="N714" s="37" t="s">
        <v>428</v>
      </c>
      <c r="O714" s="31">
        <f>IF(F714&gt;0,F714-AB714,"")</f>
        <v>8</v>
      </c>
      <c r="P714" s="37" t="str">
        <f>IF(F714&gt;0,IF(AB714="","PLANNING SUPPLY",IF(AB714&lt;=F714,"ONTIME DELIVERY","DELAY")),"")</f>
        <v>ONTIME DELIVERY</v>
      </c>
      <c r="Q714" s="181" t="str">
        <f>IFERROR(IF(J714&gt;0,VLOOKUP(J714,#REF!,MATCH($Q$6,#REF!,0),0),""),"")</f>
        <v/>
      </c>
      <c r="R714" s="181" t="str">
        <f>IFERROR(IF(J714&gt;0,VLOOKUP(J714,#REF!,MATCH($R$6,#REF!,0),0),""),"")</f>
        <v/>
      </c>
      <c r="S714" s="181" t="e">
        <f>IF(I717&gt;0,Q714+R714,"")</f>
        <v>#VALUE!</v>
      </c>
      <c r="T714" s="181"/>
      <c r="U714" s="181"/>
      <c r="V714" s="37"/>
      <c r="W714" s="181" t="e">
        <f>IF(I717&gt;0,IF(S714&gt;L714,"READY STOCK",IF(S714=0,"OUT OF STOCK",IF(S714&lt;L714,"LOW STOCK",""))),"")</f>
        <v>#VALUE!</v>
      </c>
      <c r="X714" s="38"/>
      <c r="Y714" s="38"/>
      <c r="Z714" s="38"/>
      <c r="AA714" s="38"/>
      <c r="AB714" s="57">
        <v>46301</v>
      </c>
      <c r="AC714" s="181">
        <v>34791</v>
      </c>
      <c r="AD714" s="53">
        <v>1</v>
      </c>
      <c r="AE714" s="58" t="s">
        <v>387</v>
      </c>
      <c r="AF714" s="58" t="s">
        <v>381</v>
      </c>
      <c r="AG714" s="33" t="str">
        <f>IF(G714&gt;0,IF(AD714&gt;0,IF(AD714=0,"Waiting",IF(AD714&lt;L714,"Partial",IF(AD714=L714,"Full Supply",IF(AD714&gt;L714,"Over Shared")))),"Waiting"),"")</f>
        <v>Full Supply</v>
      </c>
      <c r="AH714" s="37"/>
      <c r="AI714" s="37"/>
      <c r="AJ714" s="181"/>
      <c r="AK714" s="40"/>
      <c r="AL714" s="40"/>
      <c r="AM714" s="40"/>
      <c r="AN714" s="37"/>
      <c r="AO714" s="34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  <c r="AZ714" s="181">
        <f>L714-AD714</f>
        <v>0</v>
      </c>
    </row>
    <row r="715" spans="1:52" ht="15.5" customHeight="1">
      <c r="A715" s="360" t="s">
        <v>372</v>
      </c>
      <c r="B715" s="340">
        <v>46279</v>
      </c>
      <c r="C715" s="181">
        <v>50825</v>
      </c>
      <c r="D715" s="30">
        <v>46279</v>
      </c>
      <c r="E715" s="30">
        <v>46272</v>
      </c>
      <c r="F715" s="30">
        <v>46309</v>
      </c>
      <c r="G715" s="371">
        <v>4420232899</v>
      </c>
      <c r="H715" s="37" t="s">
        <v>373</v>
      </c>
      <c r="I715" s="37">
        <v>9040016343</v>
      </c>
      <c r="J715" s="37" t="s">
        <v>211</v>
      </c>
      <c r="K715" s="325" t="s">
        <v>212</v>
      </c>
      <c r="L715" s="181">
        <v>10</v>
      </c>
      <c r="M715" s="181" t="s">
        <v>421</v>
      </c>
      <c r="N715" s="37" t="s">
        <v>428</v>
      </c>
      <c r="O715" s="31">
        <f>IF(F715&gt;0,F715-AB715,"")</f>
        <v>0</v>
      </c>
      <c r="P715" s="37" t="str">
        <f>IF(F715&gt;0,IF(AB715="","PLANNING SUPPLY",IF(AB715&lt;=F715,"ONTIME DELIVERY","DELAY")),"")</f>
        <v>ONTIME DELIVERY</v>
      </c>
      <c r="Q715" s="181" t="str">
        <f>IFERROR(IF(J715&gt;0,VLOOKUP(J715,#REF!,MATCH($Q$6,#REF!,0),0),""),"")</f>
        <v/>
      </c>
      <c r="R715" s="181" t="str">
        <f>IFERROR(IF(J715&gt;0,VLOOKUP(J715,#REF!,MATCH($R$6,#REF!,0),0),""),"")</f>
        <v/>
      </c>
      <c r="S715" s="181" t="e">
        <f>IF(I718&gt;0,Q715+R715,"")</f>
        <v>#VALUE!</v>
      </c>
      <c r="T715" s="181"/>
      <c r="U715" s="181"/>
      <c r="V715" s="37"/>
      <c r="W715" s="181" t="e">
        <f>IF(I718&gt;0,IF(S715&gt;L715,"READY STOCK",IF(S715=0,"OUT OF STOCK",IF(S715&lt;L715,"LOW STOCK",""))),"")</f>
        <v>#VALUE!</v>
      </c>
      <c r="X715" s="38"/>
      <c r="Y715" s="38"/>
      <c r="Z715" s="38"/>
      <c r="AA715" s="38"/>
      <c r="AB715" s="50">
        <v>46309</v>
      </c>
      <c r="AC715" s="44">
        <v>35042</v>
      </c>
      <c r="AD715" s="51">
        <v>10</v>
      </c>
      <c r="AE715" s="37" t="s">
        <v>387</v>
      </c>
      <c r="AF715" s="37" t="s">
        <v>381</v>
      </c>
      <c r="AG715" s="33" t="str">
        <f>IF(G715&gt;0,IF(AD715&gt;0,IF(AD715=0,"Waiting",IF(AD715&lt;L715,"Partial",IF(AD715=L715,"Full Supply",IF(AD715&gt;L715,"Over Shared")))),"Waiting"),"")</f>
        <v>Full Supply</v>
      </c>
      <c r="AH715" s="56"/>
      <c r="AI715" s="37" t="s">
        <v>1130</v>
      </c>
      <c r="AJ715" s="181">
        <v>30</v>
      </c>
      <c r="AK715" s="40">
        <v>26347</v>
      </c>
      <c r="AL715" s="45">
        <v>46286</v>
      </c>
      <c r="AM715" s="40">
        <v>32</v>
      </c>
      <c r="AN715" s="37"/>
      <c r="AO715" s="46">
        <v>46296</v>
      </c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181">
        <f>L715-AD715</f>
        <v>0</v>
      </c>
    </row>
    <row r="716" spans="1:52" ht="15.5" customHeight="1">
      <c r="A716" s="360" t="s">
        <v>372</v>
      </c>
      <c r="B716" s="340">
        <v>46279</v>
      </c>
      <c r="C716" s="181">
        <v>50825</v>
      </c>
      <c r="D716" s="30">
        <v>46279</v>
      </c>
      <c r="E716" s="30">
        <v>46272</v>
      </c>
      <c r="F716" s="30">
        <v>46309</v>
      </c>
      <c r="G716" s="371">
        <v>4420232899</v>
      </c>
      <c r="H716" s="37" t="s">
        <v>373</v>
      </c>
      <c r="I716" s="37">
        <v>9040021031</v>
      </c>
      <c r="J716" s="37" t="s">
        <v>201</v>
      </c>
      <c r="K716" s="325" t="s">
        <v>202</v>
      </c>
      <c r="L716" s="181">
        <v>2</v>
      </c>
      <c r="M716" s="181" t="s">
        <v>458</v>
      </c>
      <c r="N716" s="37" t="s">
        <v>428</v>
      </c>
      <c r="O716" s="31">
        <f>IF(F716&gt;0,F716-AB716,"")</f>
        <v>46309</v>
      </c>
      <c r="P716" s="37" t="str">
        <f>IF(F716&gt;0,IF(AB716="","PLANNING SUPPLY",IF(AB716&lt;=F716,"ONTIME DELIVERY","DELAY")),"")</f>
        <v>PLANNING SUPPLY</v>
      </c>
      <c r="Q716" s="181" t="str">
        <f>IFERROR(IF(J716&gt;0,VLOOKUP(J716,#REF!,MATCH($Q$6,#REF!,0),0),""),"")</f>
        <v/>
      </c>
      <c r="R716" s="181" t="str">
        <f>IFERROR(IF(J716&gt;0,VLOOKUP(J716,#REF!,MATCH($R$6,#REF!,0),0),""),"")</f>
        <v/>
      </c>
      <c r="S716" s="181" t="e">
        <f>IF(I719&gt;0,Q716+R716,"")</f>
        <v>#VALUE!</v>
      </c>
      <c r="T716" s="181"/>
      <c r="U716" s="181"/>
      <c r="V716" s="37"/>
      <c r="W716" s="181" t="e">
        <f>IF(I719&gt;0,IF(S716&gt;L716,"READY STOCK",IF(S716=0,"OUT OF STOCK",IF(S716&lt;L716,"LOW STOCK",""))),"")</f>
        <v>#VALUE!</v>
      </c>
      <c r="X716" s="38"/>
      <c r="Y716" s="38"/>
      <c r="Z716" s="38"/>
      <c r="AA716" s="38"/>
      <c r="AB716" s="50"/>
      <c r="AC716" s="181"/>
      <c r="AD716" s="51"/>
      <c r="AE716" s="37"/>
      <c r="AF716" s="37"/>
      <c r="AG716" s="33" t="str">
        <f>IF(G716&gt;0,IF(AD716&gt;0,IF(AD716=0,"Waiting",IF(AD716&lt;L716,"Partial",IF(AD716=L716,"Full Supply",IF(AD716&gt;L716,"Over Shared")))),"Waiting"),"")</f>
        <v>Waiting</v>
      </c>
      <c r="AH716" s="37"/>
      <c r="AI716" s="37"/>
      <c r="AJ716" s="181"/>
      <c r="AK716" s="40"/>
      <c r="AL716" s="40"/>
      <c r="AM716" s="40"/>
      <c r="AN716" s="37"/>
      <c r="AO716" s="34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181">
        <f>L716-AD716</f>
        <v>2</v>
      </c>
    </row>
    <row r="717" spans="1:52" ht="15.5" customHeight="1">
      <c r="A717" s="360" t="s">
        <v>372</v>
      </c>
      <c r="B717" s="340">
        <v>46279</v>
      </c>
      <c r="C717" s="181">
        <v>50825</v>
      </c>
      <c r="D717" s="30">
        <v>46279</v>
      </c>
      <c r="E717" s="30">
        <v>46272</v>
      </c>
      <c r="F717" s="30">
        <v>46309</v>
      </c>
      <c r="G717" s="371">
        <v>4420232899</v>
      </c>
      <c r="H717" s="37" t="s">
        <v>373</v>
      </c>
      <c r="I717" s="37">
        <v>9040028877</v>
      </c>
      <c r="J717" s="37" t="s">
        <v>199</v>
      </c>
      <c r="K717" s="325" t="s">
        <v>200</v>
      </c>
      <c r="L717" s="181">
        <v>20</v>
      </c>
      <c r="M717" s="181" t="s">
        <v>375</v>
      </c>
      <c r="N717" s="37" t="s">
        <v>428</v>
      </c>
      <c r="O717" s="31">
        <f>IF(F717&gt;0,F717-AB717,"")</f>
        <v>9</v>
      </c>
      <c r="P717" s="37" t="str">
        <f>IF(F717&gt;0,IF(AB717="","PLANNING SUPPLY",IF(AB717&lt;=F717,"ONTIME DELIVERY","DELAY")),"")</f>
        <v>ONTIME DELIVERY</v>
      </c>
      <c r="Q717" s="181" t="str">
        <f>IFERROR(IF(J717&gt;0,VLOOKUP(J717,#REF!,MATCH($Q$6,#REF!,0),0),""),"")</f>
        <v/>
      </c>
      <c r="R717" s="181" t="str">
        <f>IFERROR(IF(J717&gt;0,VLOOKUP(J717,#REF!,MATCH($R$6,#REF!,0),0),""),"")</f>
        <v/>
      </c>
      <c r="S717" s="181" t="e">
        <f>IF(I720&gt;0,Q717+R717,"")</f>
        <v>#VALUE!</v>
      </c>
      <c r="T717" s="181"/>
      <c r="U717" s="181"/>
      <c r="V717" s="37"/>
      <c r="W717" s="181" t="e">
        <f>IF(I720&gt;0,IF(S717&gt;L717,"READY STOCK",IF(S717=0,"OUT OF STOCK",IF(S717&lt;L717,"LOW STOCK",""))),"")</f>
        <v>#VALUE!</v>
      </c>
      <c r="X717" s="38"/>
      <c r="Y717" s="38"/>
      <c r="Z717" s="38"/>
      <c r="AA717" s="38"/>
      <c r="AB717" s="50">
        <v>46300</v>
      </c>
      <c r="AC717" s="44">
        <v>34732</v>
      </c>
      <c r="AD717" s="51">
        <v>20</v>
      </c>
      <c r="AE717" s="37" t="s">
        <v>387</v>
      </c>
      <c r="AF717" s="37" t="s">
        <v>381</v>
      </c>
      <c r="AG717" s="33" t="str">
        <f>IF(G717&gt;0,IF(AD717&gt;0,IF(AD717=0,"Waiting",IF(AD717&lt;L717,"Partial",IF(AD717=L717,"Full Supply",IF(AD717&gt;L717,"Over Shared")))),"Waiting"),"")</f>
        <v>Full Supply</v>
      </c>
      <c r="AH717" s="37"/>
      <c r="AI717" s="37"/>
      <c r="AJ717" s="181"/>
      <c r="AK717" s="40"/>
      <c r="AL717" s="40"/>
      <c r="AM717" s="40"/>
      <c r="AN717" s="37"/>
      <c r="AO717" s="34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181">
        <f>L717-AD717</f>
        <v>0</v>
      </c>
    </row>
    <row r="718" spans="1:52" ht="15.5" customHeight="1">
      <c r="A718" s="360" t="s">
        <v>372</v>
      </c>
      <c r="B718" s="340">
        <v>46279</v>
      </c>
      <c r="C718" s="181">
        <v>50825</v>
      </c>
      <c r="D718" s="30">
        <v>46279</v>
      </c>
      <c r="E718" s="30">
        <v>46272</v>
      </c>
      <c r="F718" s="30">
        <v>46309</v>
      </c>
      <c r="G718" s="371">
        <v>4420232899</v>
      </c>
      <c r="H718" s="37" t="s">
        <v>373</v>
      </c>
      <c r="I718" s="37">
        <v>9040040420</v>
      </c>
      <c r="J718" s="37" t="s">
        <v>219</v>
      </c>
      <c r="K718" s="325" t="s">
        <v>220</v>
      </c>
      <c r="L718" s="181">
        <v>4</v>
      </c>
      <c r="M718" s="181" t="s">
        <v>389</v>
      </c>
      <c r="N718" s="37" t="s">
        <v>428</v>
      </c>
      <c r="O718" s="31">
        <f>IF(F718&gt;0,F718-AB718,"")</f>
        <v>0</v>
      </c>
      <c r="P718" s="37" t="str">
        <f>IF(F718&gt;0,IF(AB718="","PLANNING SUPPLY",IF(AB718&lt;=F718,"ONTIME DELIVERY","DELAY")),"")</f>
        <v>ONTIME DELIVERY</v>
      </c>
      <c r="Q718" s="181" t="str">
        <f>IFERROR(IF(J718&gt;0,VLOOKUP(J718,#REF!,MATCH($Q$6,#REF!,0),0),""),"")</f>
        <v/>
      </c>
      <c r="R718" s="181" t="str">
        <f>IFERROR(IF(J718&gt;0,VLOOKUP(J718,#REF!,MATCH($R$6,#REF!,0),0),""),"")</f>
        <v/>
      </c>
      <c r="S718" s="181" t="e">
        <f>IF(I721&gt;0,Q718+R718,"")</f>
        <v>#VALUE!</v>
      </c>
      <c r="T718" s="181"/>
      <c r="U718" s="181"/>
      <c r="V718" s="37"/>
      <c r="W718" s="181" t="e">
        <f>IF(I721&gt;0,IF(S718&gt;L718,"READY STOCK",IF(S718=0,"OUT OF STOCK",IF(S718&lt;L718,"LOW STOCK",""))),"")</f>
        <v>#VALUE!</v>
      </c>
      <c r="X718" s="38"/>
      <c r="Y718" s="38"/>
      <c r="Z718" s="38"/>
      <c r="AA718" s="38"/>
      <c r="AB718" s="50">
        <v>46309</v>
      </c>
      <c r="AC718" s="44">
        <v>35042</v>
      </c>
      <c r="AD718" s="51">
        <v>4</v>
      </c>
      <c r="AE718" s="37" t="s">
        <v>387</v>
      </c>
      <c r="AF718" s="37" t="s">
        <v>381</v>
      </c>
      <c r="AG718" s="33" t="str">
        <f>IF(G718&gt;0,IF(AD718&gt;0,IF(AD718=0,"Waiting",IF(AD718&lt;L718,"Partial",IF(AD718=L718,"Full Supply",IF(AD718&gt;L718,"Over Shared")))),"Waiting"),"")</f>
        <v>Full Supply</v>
      </c>
      <c r="AH718" s="56">
        <v>46281</v>
      </c>
      <c r="AI718" s="37" t="s">
        <v>1334</v>
      </c>
      <c r="AJ718" s="181">
        <v>4</v>
      </c>
      <c r="AK718" s="40"/>
      <c r="AL718" s="40"/>
      <c r="AM718" s="40"/>
      <c r="AN718" s="216"/>
      <c r="AO718" s="55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181">
        <f>L718-AD718</f>
        <v>0</v>
      </c>
    </row>
    <row r="719" spans="1:52" ht="15.5" customHeight="1">
      <c r="A719" s="360" t="s">
        <v>372</v>
      </c>
      <c r="B719" s="340">
        <v>46279</v>
      </c>
      <c r="C719" s="181">
        <v>50825</v>
      </c>
      <c r="D719" s="30">
        <v>46279</v>
      </c>
      <c r="E719" s="30">
        <v>46272</v>
      </c>
      <c r="F719" s="30">
        <v>46309</v>
      </c>
      <c r="G719" s="371">
        <v>4420232899</v>
      </c>
      <c r="H719" s="37" t="s">
        <v>373</v>
      </c>
      <c r="I719" s="37">
        <v>9040040486</v>
      </c>
      <c r="J719" s="37" t="s">
        <v>165</v>
      </c>
      <c r="K719" s="325" t="s">
        <v>166</v>
      </c>
      <c r="L719" s="181">
        <v>20</v>
      </c>
      <c r="M719" s="181" t="s">
        <v>375</v>
      </c>
      <c r="N719" s="37" t="s">
        <v>428</v>
      </c>
      <c r="O719" s="31">
        <f>IF(F719&gt;0,F719-AB719,"")</f>
        <v>2</v>
      </c>
      <c r="P719" s="37" t="str">
        <f>IF(F719&gt;0,IF(AB719="","PLANNING SUPPLY",IF(AB719&lt;=F719,"ONTIME DELIVERY","DELAY")),"")</f>
        <v>ONTIME DELIVERY</v>
      </c>
      <c r="Q719" s="181" t="str">
        <f>IFERROR(IF(J719&gt;0,VLOOKUP(J719,#REF!,MATCH($Q$6,#REF!,0),0),""),"")</f>
        <v/>
      </c>
      <c r="R719" s="181" t="str">
        <f>IFERROR(IF(J719&gt;0,VLOOKUP(J719,#REF!,MATCH($R$6,#REF!,0),0),""),"")</f>
        <v/>
      </c>
      <c r="S719" s="181" t="e">
        <f>IF(I722&gt;0,Q719+R719,"")</f>
        <v>#VALUE!</v>
      </c>
      <c r="T719" s="181"/>
      <c r="U719" s="181"/>
      <c r="V719" s="37"/>
      <c r="W719" s="181" t="e">
        <f>IF(I722&gt;0,IF(S719&gt;L719,"READY STOCK",IF(S719=0,"OUT OF STOCK",IF(S719&lt;L719,"LOW STOCK",""))),"")</f>
        <v>#VALUE!</v>
      </c>
      <c r="X719" s="38"/>
      <c r="Y719" s="38"/>
      <c r="Z719" s="38"/>
      <c r="AA719" s="38"/>
      <c r="AB719" s="50">
        <v>46307</v>
      </c>
      <c r="AC719" s="181">
        <v>34930</v>
      </c>
      <c r="AD719" s="51">
        <v>30</v>
      </c>
      <c r="AE719" s="37" t="s">
        <v>387</v>
      </c>
      <c r="AF719" s="37" t="s">
        <v>381</v>
      </c>
      <c r="AG719" s="33" t="str">
        <f>IF(G719&gt;0,IF(AD719&gt;0,IF(AD719=0,"Waiting",IF(AD719&lt;L719,"Partial",IF(AD719=L719,"Full Supply",IF(AD719&gt;L719,"Over Shared")))),"Waiting"),"")</f>
        <v>Over Shared</v>
      </c>
      <c r="AH719" s="37"/>
      <c r="AI719" s="37"/>
      <c r="AJ719" s="181"/>
      <c r="AK719" s="40"/>
      <c r="AL719" s="40"/>
      <c r="AM719" s="40"/>
      <c r="AN719" s="37"/>
      <c r="AO719" s="34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181">
        <f>L719-AD719</f>
        <v>-10</v>
      </c>
    </row>
    <row r="720" spans="1:52" ht="15.5" customHeight="1">
      <c r="A720" s="360" t="s">
        <v>372</v>
      </c>
      <c r="B720" s="340">
        <v>46279</v>
      </c>
      <c r="C720" s="181">
        <v>50825</v>
      </c>
      <c r="D720" s="30">
        <v>46279</v>
      </c>
      <c r="E720" s="30">
        <v>46272</v>
      </c>
      <c r="F720" s="30">
        <v>46309</v>
      </c>
      <c r="G720" s="371">
        <v>4420232899</v>
      </c>
      <c r="H720" s="37" t="s">
        <v>373</v>
      </c>
      <c r="I720" s="37">
        <v>9040042096</v>
      </c>
      <c r="J720" s="37" t="s">
        <v>159</v>
      </c>
      <c r="K720" s="325" t="s">
        <v>160</v>
      </c>
      <c r="L720" s="181">
        <v>50</v>
      </c>
      <c r="M720" s="181" t="s">
        <v>375</v>
      </c>
      <c r="N720" s="37" t="s">
        <v>428</v>
      </c>
      <c r="O720" s="31">
        <f>IF(F720&gt;0,F720-AB720,"")</f>
        <v>28</v>
      </c>
      <c r="P720" s="37" t="str">
        <f>IF(F720&gt;0,IF(AB720="","PLANNING SUPPLY",IF(AB720&lt;=F720,"ONTIME DELIVERY","DELAY")),"")</f>
        <v>ONTIME DELIVERY</v>
      </c>
      <c r="Q720" s="181" t="str">
        <f>IFERROR(IF(J720&gt;0,VLOOKUP(J720,#REF!,MATCH($Q$6,#REF!,0),0),""),"")</f>
        <v/>
      </c>
      <c r="R720" s="181" t="str">
        <f>IFERROR(IF(J720&gt;0,VLOOKUP(J720,#REF!,MATCH($R$6,#REF!,0),0),""),"")</f>
        <v/>
      </c>
      <c r="S720" s="181" t="e">
        <f>IF(I723&gt;0,Q720+R720,"")</f>
        <v>#VALUE!</v>
      </c>
      <c r="T720" s="181"/>
      <c r="U720" s="181"/>
      <c r="V720" s="37"/>
      <c r="W720" s="181" t="e">
        <f>IF(I723&gt;0,IF(S720&gt;L720,"READY STOCK",IF(S720=0,"OUT OF STOCK",IF(S720&lt;L720,"LOW STOCK",""))),"")</f>
        <v>#VALUE!</v>
      </c>
      <c r="X720" s="38"/>
      <c r="Y720" s="38"/>
      <c r="Z720" s="38"/>
      <c r="AA720" s="38"/>
      <c r="AB720" s="50">
        <v>46281</v>
      </c>
      <c r="AC720" s="181">
        <v>34280</v>
      </c>
      <c r="AD720" s="51">
        <v>50</v>
      </c>
      <c r="AE720" s="37" t="s">
        <v>383</v>
      </c>
      <c r="AF720" s="37" t="s">
        <v>381</v>
      </c>
      <c r="AG720" s="33" t="str">
        <f>IF(G720&gt;0,IF(AD720&gt;0,IF(AD720=0,"Waiting",IF(AD720&lt;L720,"Partial",IF(AD720=L720,"Full Supply",IF(AD720&gt;L720,"Over Shared")))),"Waiting"),"")</f>
        <v>Full Supply</v>
      </c>
      <c r="AH720" s="37"/>
      <c r="AI720" s="37"/>
      <c r="AJ720" s="181"/>
      <c r="AK720" s="40"/>
      <c r="AL720" s="40"/>
      <c r="AM720" s="40"/>
      <c r="AN720" s="37"/>
      <c r="AO720" s="34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181">
        <f>L720-AD720</f>
        <v>0</v>
      </c>
    </row>
    <row r="721" spans="1:52" ht="15.5" customHeight="1">
      <c r="A721" s="360" t="s">
        <v>372</v>
      </c>
      <c r="B721" s="340">
        <v>46279</v>
      </c>
      <c r="C721" s="181">
        <v>50825</v>
      </c>
      <c r="D721" s="30">
        <v>46279</v>
      </c>
      <c r="E721" s="30">
        <v>46272</v>
      </c>
      <c r="F721" s="30">
        <v>46309</v>
      </c>
      <c r="G721" s="371">
        <v>4420232899</v>
      </c>
      <c r="H721" s="37" t="s">
        <v>373</v>
      </c>
      <c r="I721" s="37">
        <v>9040044285</v>
      </c>
      <c r="J721" s="37" t="s">
        <v>100</v>
      </c>
      <c r="K721" s="325" t="s">
        <v>101</v>
      </c>
      <c r="L721" s="181">
        <v>5</v>
      </c>
      <c r="M721" s="181" t="s">
        <v>427</v>
      </c>
      <c r="N721" s="37" t="s">
        <v>428</v>
      </c>
      <c r="O721" s="31">
        <f>IF(F721&gt;0,F721-AB721,"")</f>
        <v>28</v>
      </c>
      <c r="P721" s="37" t="str">
        <f>IF(F721&gt;0,IF(AB721="","PLANNING SUPPLY",IF(AB721&lt;=F721,"ONTIME DELIVERY","DELAY")),"")</f>
        <v>ONTIME DELIVERY</v>
      </c>
      <c r="Q721" s="181" t="str">
        <f>IFERROR(IF(J721&gt;0,VLOOKUP(J721,#REF!,MATCH($Q$6,#REF!,0),0),""),"")</f>
        <v/>
      </c>
      <c r="R721" s="181" t="str">
        <f>IFERROR(IF(J721&gt;0,VLOOKUP(J721,#REF!,MATCH($R$6,#REF!,0),0),""),"")</f>
        <v/>
      </c>
      <c r="S721" s="181" t="e">
        <f>IF(I724&gt;0,Q721+R721,"")</f>
        <v>#VALUE!</v>
      </c>
      <c r="T721" s="181"/>
      <c r="U721" s="181"/>
      <c r="V721" s="37"/>
      <c r="W721" s="181" t="e">
        <f>IF(I724&gt;0,IF(S721&gt;L721,"READY STOCK",IF(S721=0,"OUT OF STOCK",IF(S721&lt;L721,"LOW STOCK",""))),"")</f>
        <v>#VALUE!</v>
      </c>
      <c r="X721" s="38"/>
      <c r="Y721" s="38"/>
      <c r="Z721" s="38"/>
      <c r="AA721" s="38"/>
      <c r="AB721" s="50">
        <v>46281</v>
      </c>
      <c r="AC721" s="181">
        <v>34280</v>
      </c>
      <c r="AD721" s="51">
        <v>5</v>
      </c>
      <c r="AE721" s="37" t="s">
        <v>383</v>
      </c>
      <c r="AF721" s="37" t="s">
        <v>381</v>
      </c>
      <c r="AG721" s="33" t="str">
        <f>IF(G721&gt;0,IF(AD721&gt;0,IF(AD721=0,"Waiting",IF(AD721&lt;L721,"Partial",IF(AD721=L721,"Full Supply",IF(AD721&gt;L721,"Over Shared")))),"Waiting"),"")</f>
        <v>Full Supply</v>
      </c>
      <c r="AH721" s="37"/>
      <c r="AI721" s="37"/>
      <c r="AJ721" s="181"/>
      <c r="AK721" s="40"/>
      <c r="AL721" s="40"/>
      <c r="AM721" s="40"/>
      <c r="AN721" s="37"/>
      <c r="AO721" s="34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181">
        <f>L721-AD721</f>
        <v>0</v>
      </c>
    </row>
    <row r="722" spans="1:52" ht="15.5" customHeight="1">
      <c r="A722" s="360" t="s">
        <v>372</v>
      </c>
      <c r="B722" s="340">
        <v>46279</v>
      </c>
      <c r="C722" s="181">
        <v>50825</v>
      </c>
      <c r="D722" s="30">
        <v>46279</v>
      </c>
      <c r="E722" s="30">
        <v>46272</v>
      </c>
      <c r="F722" s="30">
        <v>46309</v>
      </c>
      <c r="G722" s="371">
        <v>4420232899</v>
      </c>
      <c r="H722" s="37" t="s">
        <v>373</v>
      </c>
      <c r="I722" s="37">
        <v>9040019100</v>
      </c>
      <c r="J722" s="37" t="s">
        <v>317</v>
      </c>
      <c r="K722" s="325" t="s">
        <v>318</v>
      </c>
      <c r="L722" s="181">
        <v>2</v>
      </c>
      <c r="M722" s="181" t="s">
        <v>375</v>
      </c>
      <c r="N722" s="37" t="s">
        <v>428</v>
      </c>
      <c r="O722" s="31">
        <f>IF(F722&gt;0,F722-AB722,"")</f>
        <v>14</v>
      </c>
      <c r="P722" s="37" t="str">
        <f>IF(F722&gt;0,IF(AB722="","PLANNING SUPPLY",IF(AB722&lt;=F722,"ONTIME DELIVERY","DELAY")),"")</f>
        <v>ONTIME DELIVERY</v>
      </c>
      <c r="Q722" s="181" t="str">
        <f>IFERROR(IF(J722&gt;0,VLOOKUP(J722,#REF!,MATCH($Q$6,#REF!,0),0),""),"")</f>
        <v/>
      </c>
      <c r="R722" s="181" t="str">
        <f>IFERROR(IF(J722&gt;0,VLOOKUP(J722,#REF!,MATCH($R$6,#REF!,0),0),""),"")</f>
        <v/>
      </c>
      <c r="S722" s="181" t="e">
        <f>IF(I725&gt;0,Q722+R722,"")</f>
        <v>#VALUE!</v>
      </c>
      <c r="T722" s="181"/>
      <c r="U722" s="181"/>
      <c r="V722" s="37"/>
      <c r="W722" s="181" t="e">
        <f>IF(I725&gt;0,IF(S722&gt;L722,"READY STOCK",IF(S722=0,"OUT OF STOCK",IF(S722&lt;L722,"LOW STOCK",""))),"")</f>
        <v>#VALUE!</v>
      </c>
      <c r="X722" s="38"/>
      <c r="Y722" s="38"/>
      <c r="Z722" s="38"/>
      <c r="AA722" s="38"/>
      <c r="AB722" s="50">
        <v>46295</v>
      </c>
      <c r="AC722" s="181">
        <v>34653</v>
      </c>
      <c r="AD722" s="51">
        <v>2</v>
      </c>
      <c r="AE722" s="37" t="s">
        <v>387</v>
      </c>
      <c r="AF722" s="37" t="s">
        <v>381</v>
      </c>
      <c r="AG722" s="33" t="str">
        <f>IF(G722&gt;0,IF(AD722&gt;0,IF(AD722=0,"Waiting",IF(AD722&lt;L722,"Partial",IF(AD722=L722,"Full Supply",IF(AD722&gt;L722,"Over Shared")))),"Waiting"),"")</f>
        <v>Full Supply</v>
      </c>
      <c r="AH722" s="37"/>
      <c r="AI722" s="37"/>
      <c r="AJ722" s="181"/>
      <c r="AK722" s="40"/>
      <c r="AL722" s="40"/>
      <c r="AM722" s="40"/>
      <c r="AN722" s="37"/>
      <c r="AO722" s="34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181">
        <f>L722-AD722</f>
        <v>0</v>
      </c>
    </row>
    <row r="723" spans="1:52" ht="15.5" customHeight="1">
      <c r="A723" s="360" t="s">
        <v>372</v>
      </c>
      <c r="B723" s="340">
        <v>46279</v>
      </c>
      <c r="C723" s="181">
        <v>50828</v>
      </c>
      <c r="D723" s="30">
        <v>46279</v>
      </c>
      <c r="E723" s="30">
        <v>46275</v>
      </c>
      <c r="F723" s="30">
        <v>46295</v>
      </c>
      <c r="G723" s="230">
        <v>4420233159</v>
      </c>
      <c r="H723" s="37" t="s">
        <v>373</v>
      </c>
      <c r="I723" s="37">
        <v>9040044349</v>
      </c>
      <c r="J723" s="37" t="s">
        <v>157</v>
      </c>
      <c r="K723" s="325" t="s">
        <v>158</v>
      </c>
      <c r="L723" s="181">
        <v>39</v>
      </c>
      <c r="M723" s="181" t="s">
        <v>375</v>
      </c>
      <c r="N723" s="37" t="s">
        <v>400</v>
      </c>
      <c r="O723" s="31">
        <f>IF(F723&gt;0,F723-AB723,"")</f>
        <v>14</v>
      </c>
      <c r="P723" s="37" t="str">
        <f>IF(F723&gt;0,IF(AB723="","PLANNING SUPPLY",IF(AB723&lt;=F723,"ONTIME DELIVERY","DELAY")),"")</f>
        <v>ONTIME DELIVERY</v>
      </c>
      <c r="Q723" s="181" t="str">
        <f>IFERROR(IF(J723&gt;0,VLOOKUP(J723,#REF!,MATCH($Q$6,#REF!,0),0),""),"")</f>
        <v/>
      </c>
      <c r="R723" s="181" t="str">
        <f>IFERROR(IF(J723&gt;0,VLOOKUP(J723,#REF!,MATCH($R$6,#REF!,0),0),""),"")</f>
        <v/>
      </c>
      <c r="S723" s="181" t="e">
        <f>IF(I726&gt;0,Q723+R723,"")</f>
        <v>#VALUE!</v>
      </c>
      <c r="T723" s="181"/>
      <c r="U723" s="181"/>
      <c r="V723" s="37"/>
      <c r="W723" s="181" t="e">
        <f>IF(I726&gt;0,IF(S723&gt;L723,"READY STOCK",IF(S723=0,"OUT OF STOCK",IF(S723&lt;L723,"LOW STOCK",""))),"")</f>
        <v>#VALUE!</v>
      </c>
      <c r="X723" s="38"/>
      <c r="Y723" s="38"/>
      <c r="Z723" s="38"/>
      <c r="AA723" s="38"/>
      <c r="AB723" s="50">
        <v>46281</v>
      </c>
      <c r="AC723" s="181">
        <v>34279</v>
      </c>
      <c r="AD723" s="51">
        <v>39</v>
      </c>
      <c r="AE723" s="37" t="s">
        <v>383</v>
      </c>
      <c r="AF723" s="37" t="s">
        <v>381</v>
      </c>
      <c r="AG723" s="33" t="str">
        <f>IF(G723&gt;0,IF(AD723&gt;0,IF(AD723=0,"Waiting",IF(AD723&lt;L723,"Partial",IF(AD723=L723,"Full Supply",IF(AD723&gt;L723,"Over Shared")))),"Waiting"),"")</f>
        <v>Full Supply</v>
      </c>
      <c r="AH723" s="37"/>
      <c r="AI723" s="37"/>
      <c r="AJ723" s="181"/>
      <c r="AK723" s="40"/>
      <c r="AL723" s="40"/>
      <c r="AM723" s="40"/>
      <c r="AN723" s="37"/>
      <c r="AO723" s="34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181">
        <f>L723-AD723</f>
        <v>0</v>
      </c>
    </row>
    <row r="724" spans="1:52" ht="15.5" customHeight="1">
      <c r="A724" s="360" t="s">
        <v>372</v>
      </c>
      <c r="B724" s="340">
        <v>46279</v>
      </c>
      <c r="C724" s="181">
        <v>50828</v>
      </c>
      <c r="D724" s="30">
        <v>46279</v>
      </c>
      <c r="E724" s="30">
        <v>46275</v>
      </c>
      <c r="F724" s="30">
        <v>46295</v>
      </c>
      <c r="G724" s="230">
        <v>4420233159</v>
      </c>
      <c r="H724" s="37" t="s">
        <v>373</v>
      </c>
      <c r="I724" s="37">
        <v>9040009393</v>
      </c>
      <c r="J724" s="37" t="s">
        <v>161</v>
      </c>
      <c r="K724" s="325" t="s">
        <v>162</v>
      </c>
      <c r="L724" s="181">
        <v>2</v>
      </c>
      <c r="M724" s="181" t="s">
        <v>375</v>
      </c>
      <c r="N724" s="37" t="s">
        <v>400</v>
      </c>
      <c r="O724" s="31">
        <f>IF(F724&gt;0,F724-AB724,"")</f>
        <v>14</v>
      </c>
      <c r="P724" s="37" t="str">
        <f>IF(F724&gt;0,IF(AB724="","PLANNING SUPPLY",IF(AB724&lt;=F724,"ONTIME DELIVERY","DELAY")),"")</f>
        <v>ONTIME DELIVERY</v>
      </c>
      <c r="Q724" s="181" t="str">
        <f>IFERROR(IF(J724&gt;0,VLOOKUP(J724,#REF!,MATCH($Q$6,#REF!,0),0),""),"")</f>
        <v/>
      </c>
      <c r="R724" s="181" t="str">
        <f>IFERROR(IF(J724&gt;0,VLOOKUP(J724,#REF!,MATCH($R$6,#REF!,0),0),""),"")</f>
        <v/>
      </c>
      <c r="S724" s="181" t="e">
        <f>IF(I727&gt;0,Q724+R724,"")</f>
        <v>#VALUE!</v>
      </c>
      <c r="T724" s="181"/>
      <c r="U724" s="181"/>
      <c r="V724" s="37"/>
      <c r="W724" s="181" t="e">
        <f>IF(I727&gt;0,IF(S724&gt;L724,"READY STOCK",IF(S724=0,"OUT OF STOCK",IF(S724&lt;L724,"LOW STOCK",""))),"")</f>
        <v>#VALUE!</v>
      </c>
      <c r="X724" s="38"/>
      <c r="Y724" s="38"/>
      <c r="Z724" s="38"/>
      <c r="AA724" s="38"/>
      <c r="AB724" s="50">
        <v>46281</v>
      </c>
      <c r="AC724" s="181">
        <v>34279</v>
      </c>
      <c r="AD724" s="51">
        <v>2</v>
      </c>
      <c r="AE724" s="37" t="s">
        <v>383</v>
      </c>
      <c r="AF724" s="37" t="s">
        <v>381</v>
      </c>
      <c r="AG724" s="33" t="str">
        <f>IF(G724&gt;0,IF(AD724&gt;0,IF(AD724=0,"Waiting",IF(AD724&lt;L724,"Partial",IF(AD724=L724,"Full Supply",IF(AD724&gt;L724,"Over Shared")))),"Waiting"),"")</f>
        <v>Full Supply</v>
      </c>
      <c r="AH724" s="37"/>
      <c r="AI724" s="37"/>
      <c r="AJ724" s="181"/>
      <c r="AK724" s="40"/>
      <c r="AL724" s="40"/>
      <c r="AM724" s="40"/>
      <c r="AN724" s="37"/>
      <c r="AO724" s="34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181">
        <f>L724-AD724</f>
        <v>0</v>
      </c>
    </row>
    <row r="725" spans="1:52" ht="15.5" customHeight="1">
      <c r="A725" s="360" t="s">
        <v>372</v>
      </c>
      <c r="B725" s="340">
        <v>46279</v>
      </c>
      <c r="C725" s="181">
        <v>50828</v>
      </c>
      <c r="D725" s="30">
        <v>46279</v>
      </c>
      <c r="E725" s="30">
        <v>46275</v>
      </c>
      <c r="F725" s="30">
        <v>46295</v>
      </c>
      <c r="G725" s="230">
        <v>4420233159</v>
      </c>
      <c r="H725" s="37" t="s">
        <v>373</v>
      </c>
      <c r="I725" s="37">
        <v>9040009398</v>
      </c>
      <c r="J725" s="37" t="s">
        <v>282</v>
      </c>
      <c r="K725" s="325" t="s">
        <v>283</v>
      </c>
      <c r="L725" s="181">
        <v>11</v>
      </c>
      <c r="M725" s="181" t="s">
        <v>421</v>
      </c>
      <c r="N725" s="37" t="s">
        <v>400</v>
      </c>
      <c r="O725" s="31">
        <f>IF(F725&gt;0,F725-AB725,"")</f>
        <v>-6</v>
      </c>
      <c r="P725" s="37" t="str">
        <f>IF(F725&gt;0,IF(AB725="","PLANNING SUPPLY",IF(AB725&lt;=F725,"ONTIME DELIVERY","DELAY")),"")</f>
        <v>DELAY</v>
      </c>
      <c r="Q725" s="181" t="str">
        <f>IFERROR(IF(J725&gt;0,VLOOKUP(J725,#REF!,MATCH($Q$6,#REF!,0),0),""),"")</f>
        <v/>
      </c>
      <c r="R725" s="181" t="str">
        <f>IFERROR(IF(J725&gt;0,VLOOKUP(J725,#REF!,MATCH($R$6,#REF!,0),0),""),"")</f>
        <v/>
      </c>
      <c r="S725" s="181" t="e">
        <f>IF(I728&gt;0,Q725+R725,"")</f>
        <v>#VALUE!</v>
      </c>
      <c r="T725" s="181"/>
      <c r="U725" s="181"/>
      <c r="V725" s="37"/>
      <c r="W725" s="181" t="e">
        <f>IF(I728&gt;0,IF(S725&gt;L725,"READY STOCK",IF(S725=0,"OUT OF STOCK",IF(S725&lt;L725,"LOW STOCK",""))),"")</f>
        <v>#VALUE!</v>
      </c>
      <c r="X725" s="38"/>
      <c r="Y725" s="38"/>
      <c r="Z725" s="38"/>
      <c r="AA725" s="38"/>
      <c r="AB725" s="57">
        <v>46301</v>
      </c>
      <c r="AC725" s="181">
        <v>34793</v>
      </c>
      <c r="AD725" s="53">
        <v>11</v>
      </c>
      <c r="AE725" s="58" t="s">
        <v>387</v>
      </c>
      <c r="AF725" s="58" t="s">
        <v>381</v>
      </c>
      <c r="AG725" s="33" t="str">
        <f>IF(G725&gt;0,IF(AD725&gt;0,IF(AD725=0,"Waiting",IF(AD725&lt;L725,"Partial",IF(AD725=L725,"Full Supply",IF(AD725&gt;L725,"Over Shared")))),"Waiting"),"")</f>
        <v>Full Supply</v>
      </c>
      <c r="AH725" s="37"/>
      <c r="AI725" s="37"/>
      <c r="AJ725" s="181"/>
      <c r="AK725" s="40"/>
      <c r="AL725" s="40"/>
      <c r="AM725" s="40"/>
      <c r="AN725" s="37"/>
      <c r="AO725" s="34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181">
        <f>L725-AD725</f>
        <v>0</v>
      </c>
    </row>
    <row r="726" spans="1:52" ht="15.5" customHeight="1">
      <c r="A726" s="360" t="s">
        <v>372</v>
      </c>
      <c r="B726" s="340">
        <v>46279</v>
      </c>
      <c r="C726" s="181">
        <v>50828</v>
      </c>
      <c r="D726" s="30">
        <v>46279</v>
      </c>
      <c r="E726" s="30">
        <v>46275</v>
      </c>
      <c r="F726" s="30">
        <v>46295</v>
      </c>
      <c r="G726" s="230">
        <v>4420233159</v>
      </c>
      <c r="H726" s="37" t="s">
        <v>373</v>
      </c>
      <c r="I726" s="37">
        <v>9040012687</v>
      </c>
      <c r="J726" s="37" t="s">
        <v>178</v>
      </c>
      <c r="K726" s="325" t="s">
        <v>179</v>
      </c>
      <c r="L726" s="181">
        <v>8</v>
      </c>
      <c r="M726" s="181" t="s">
        <v>375</v>
      </c>
      <c r="N726" s="37" t="s">
        <v>400</v>
      </c>
      <c r="O726" s="31">
        <f>IF(F726&gt;0,F726-AB726,"")</f>
        <v>-19</v>
      </c>
      <c r="P726" s="37" t="str">
        <f>IF(F726&gt;0,IF(AB726="","PLANNING SUPPLY",IF(AB726&lt;=F726,"ONTIME DELIVERY","DELAY")),"")</f>
        <v>DELAY</v>
      </c>
      <c r="Q726" s="181" t="str">
        <f>IFERROR(IF(J726&gt;0,VLOOKUP(J726,#REF!,MATCH($Q$6,#REF!,0),0),""),"")</f>
        <v/>
      </c>
      <c r="R726" s="181" t="str">
        <f>IFERROR(IF(J726&gt;0,VLOOKUP(J726,#REF!,MATCH($R$6,#REF!,0),0),""),"")</f>
        <v/>
      </c>
      <c r="S726" s="181" t="e">
        <f>IF(I729&gt;0,Q726+R726,"")</f>
        <v>#VALUE!</v>
      </c>
      <c r="T726" s="181"/>
      <c r="U726" s="181"/>
      <c r="V726" s="37"/>
      <c r="W726" s="181" t="e">
        <f>IF(I729&gt;0,IF(S726&gt;L726,"READY STOCK",IF(S726=0,"OUT OF STOCK",IF(S726&lt;L726,"LOW STOCK",""))),"")</f>
        <v>#VALUE!</v>
      </c>
      <c r="X726" s="38"/>
      <c r="Y726" s="38"/>
      <c r="Z726" s="38"/>
      <c r="AA726" s="38"/>
      <c r="AB726" s="50">
        <v>46314</v>
      </c>
      <c r="AC726" s="44" t="s">
        <v>1335</v>
      </c>
      <c r="AD726" s="51">
        <v>8</v>
      </c>
      <c r="AE726" s="37" t="s">
        <v>387</v>
      </c>
      <c r="AF726" s="37" t="s">
        <v>381</v>
      </c>
      <c r="AG726" s="33" t="str">
        <f>IF(G726&gt;0,IF(AD726&gt;0,IF(AD726=0,"Waiting",IF(AD726&lt;L726,"Partial",IF(AD726=L726,"Full Supply",IF(AD726&gt;L726,"Over Shared")))),"Waiting"),"")</f>
        <v>Full Supply</v>
      </c>
      <c r="AH726" s="37"/>
      <c r="AI726" s="37"/>
      <c r="AJ726" s="181"/>
      <c r="AK726" s="40"/>
      <c r="AL726" s="40"/>
      <c r="AM726" s="40"/>
      <c r="AN726" s="37"/>
      <c r="AO726" s="34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181">
        <f>L726-AD726</f>
        <v>0</v>
      </c>
    </row>
    <row r="727" spans="1:52" ht="15.5" customHeight="1">
      <c r="A727" s="360" t="s">
        <v>372</v>
      </c>
      <c r="B727" s="340">
        <v>46279</v>
      </c>
      <c r="C727" s="181">
        <v>50828</v>
      </c>
      <c r="D727" s="30">
        <v>46279</v>
      </c>
      <c r="E727" s="30">
        <v>46275</v>
      </c>
      <c r="F727" s="30">
        <v>46295</v>
      </c>
      <c r="G727" s="230">
        <v>4420233159</v>
      </c>
      <c r="H727" s="37" t="s">
        <v>373</v>
      </c>
      <c r="I727" s="37">
        <v>9040040319</v>
      </c>
      <c r="J727" s="37" t="s">
        <v>301</v>
      </c>
      <c r="K727" s="325" t="s">
        <v>302</v>
      </c>
      <c r="L727" s="181">
        <v>2</v>
      </c>
      <c r="M727" s="181" t="s">
        <v>375</v>
      </c>
      <c r="N727" s="37" t="s">
        <v>400</v>
      </c>
      <c r="O727" s="31">
        <f>IF(F727&gt;0,F727-AB727,"")</f>
        <v>-19</v>
      </c>
      <c r="P727" s="37" t="str">
        <f>IF(F727&gt;0,IF(AB727="","PLANNING SUPPLY",IF(AB727&lt;=F727,"ONTIME DELIVERY","DELAY")),"")</f>
        <v>DELAY</v>
      </c>
      <c r="Q727" s="181" t="str">
        <f>IFERROR(IF(J727&gt;0,VLOOKUP(J727,#REF!,MATCH($Q$6,#REF!,0),0),""),"")</f>
        <v/>
      </c>
      <c r="R727" s="181" t="str">
        <f>IFERROR(IF(J727&gt;0,VLOOKUP(J727,#REF!,MATCH($R$6,#REF!,0),0),""),"")</f>
        <v/>
      </c>
      <c r="S727" s="181" t="e">
        <f>IF(I730&gt;0,Q727+R727,"")</f>
        <v>#VALUE!</v>
      </c>
      <c r="T727" s="181"/>
      <c r="U727" s="181"/>
      <c r="V727" s="37"/>
      <c r="W727" s="181" t="e">
        <f>IF(I730&gt;0,IF(S727&gt;L727,"READY STOCK",IF(S727=0,"OUT OF STOCK",IF(S727&lt;L727,"LOW STOCK",""))),"")</f>
        <v>#VALUE!</v>
      </c>
      <c r="X727" s="38"/>
      <c r="Y727" s="38"/>
      <c r="Z727" s="38"/>
      <c r="AA727" s="38"/>
      <c r="AB727" s="50">
        <v>46314</v>
      </c>
      <c r="AC727" s="44" t="s">
        <v>1335</v>
      </c>
      <c r="AD727" s="51">
        <v>2</v>
      </c>
      <c r="AE727" s="37" t="s">
        <v>387</v>
      </c>
      <c r="AF727" s="37" t="s">
        <v>381</v>
      </c>
      <c r="AG727" s="33" t="str">
        <f>IF(G727&gt;0,IF(AD727&gt;0,IF(AD727=0,"Waiting",IF(AD727&lt;L727,"Partial",IF(AD727=L727,"Full Supply",IF(AD727&gt;L727,"Over Shared")))),"Waiting"),"")</f>
        <v>Full Supply</v>
      </c>
      <c r="AH727" s="56">
        <v>46282</v>
      </c>
      <c r="AI727" s="37" t="s">
        <v>1303</v>
      </c>
      <c r="AJ727" s="181">
        <v>30</v>
      </c>
      <c r="AK727" s="40">
        <v>26382</v>
      </c>
      <c r="AL727" s="218">
        <v>46287</v>
      </c>
      <c r="AM727" s="40">
        <v>30</v>
      </c>
      <c r="AN727" s="37"/>
      <c r="AO727" s="55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181">
        <f>L727-AD727</f>
        <v>0</v>
      </c>
    </row>
    <row r="728" spans="1:52" ht="15.5" customHeight="1">
      <c r="A728" s="360" t="s">
        <v>372</v>
      </c>
      <c r="B728" s="340">
        <v>46279</v>
      </c>
      <c r="C728" s="181">
        <v>50830</v>
      </c>
      <c r="D728" s="30">
        <v>46279</v>
      </c>
      <c r="E728" s="30">
        <v>46276</v>
      </c>
      <c r="F728" s="30">
        <v>46290</v>
      </c>
      <c r="G728" s="37">
        <v>4420233223</v>
      </c>
      <c r="H728" s="37" t="s">
        <v>373</v>
      </c>
      <c r="I728" s="37">
        <v>9040054918</v>
      </c>
      <c r="J728" s="37" t="s">
        <v>308</v>
      </c>
      <c r="K728" s="325" t="s">
        <v>309</v>
      </c>
      <c r="L728" s="181">
        <v>10</v>
      </c>
      <c r="M728" s="181" t="s">
        <v>421</v>
      </c>
      <c r="N728" s="37" t="s">
        <v>410</v>
      </c>
      <c r="O728" s="31">
        <f>IF(F728&gt;0,F728-AB728,"")</f>
        <v>8</v>
      </c>
      <c r="P728" s="37" t="str">
        <f>IF(F728&gt;0,IF(AB728="","PLANNING SUPPLY",IF(AB728&lt;=F728,"ONTIME DELIVERY","DELAY")),"")</f>
        <v>ONTIME DELIVERY</v>
      </c>
      <c r="Q728" s="181" t="str">
        <f>IFERROR(IF(J728&gt;0,VLOOKUP(J728,#REF!,MATCH($Q$6,#REF!,0),0),""),"")</f>
        <v/>
      </c>
      <c r="R728" s="181" t="str">
        <f>IFERROR(IF(J728&gt;0,VLOOKUP(J728,#REF!,MATCH($R$6,#REF!,0),0),""),"")</f>
        <v/>
      </c>
      <c r="S728" s="181" t="e">
        <f>IF(I731&gt;0,Q728+R728,"")</f>
        <v>#VALUE!</v>
      </c>
      <c r="T728" s="181"/>
      <c r="U728" s="181"/>
      <c r="V728" s="37"/>
      <c r="W728" s="181" t="e">
        <f>IF(I731&gt;0,IF(S728&gt;L728,"READY STOCK",IF(S728=0,"OUT OF STOCK",IF(S728&lt;L728,"LOW STOCK",""))),"")</f>
        <v>#VALUE!</v>
      </c>
      <c r="X728" s="38"/>
      <c r="Y728" s="38"/>
      <c r="Z728" s="38"/>
      <c r="AA728" s="38"/>
      <c r="AB728" s="50">
        <v>46282</v>
      </c>
      <c r="AC728" s="181">
        <v>34348</v>
      </c>
      <c r="AD728" s="51">
        <v>10</v>
      </c>
      <c r="AE728" s="37" t="s">
        <v>383</v>
      </c>
      <c r="AF728" s="37" t="s">
        <v>381</v>
      </c>
      <c r="AG728" s="33" t="str">
        <f>IF(G728&gt;0,IF(AD728&gt;0,IF(AD728=0,"Waiting",IF(AD728&lt;L728,"Partial",IF(AD728=L728,"Full Supply",IF(AD728&gt;L728,"Over Shared")))),"Waiting"),"")</f>
        <v>Full Supply</v>
      </c>
      <c r="AH728" s="37"/>
      <c r="AI728" s="37"/>
      <c r="AJ728" s="181"/>
      <c r="AK728" s="40"/>
      <c r="AL728" s="40"/>
      <c r="AM728" s="40"/>
      <c r="AN728" s="37"/>
      <c r="AO728" s="34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181">
        <f>L728-AD728</f>
        <v>0</v>
      </c>
    </row>
    <row r="729" spans="1:52" ht="15.5" customHeight="1">
      <c r="A729" s="360" t="s">
        <v>372</v>
      </c>
      <c r="B729" s="340">
        <v>46279</v>
      </c>
      <c r="C729" s="181">
        <v>50830</v>
      </c>
      <c r="D729" s="30">
        <v>46279</v>
      </c>
      <c r="E729" s="30">
        <v>46276</v>
      </c>
      <c r="F729" s="30">
        <v>46290</v>
      </c>
      <c r="G729" s="37">
        <v>4420233223</v>
      </c>
      <c r="H729" s="37" t="s">
        <v>373</v>
      </c>
      <c r="I729" s="37">
        <v>9040009398</v>
      </c>
      <c r="J729" s="37" t="s">
        <v>282</v>
      </c>
      <c r="K729" s="325" t="s">
        <v>283</v>
      </c>
      <c r="L729" s="181">
        <v>5</v>
      </c>
      <c r="M729" s="181" t="s">
        <v>421</v>
      </c>
      <c r="N729" s="37" t="s">
        <v>410</v>
      </c>
      <c r="O729" s="31">
        <f>IF(F729&gt;0,F729-AB729,"")</f>
        <v>-11</v>
      </c>
      <c r="P729" s="37" t="str">
        <f>IF(F729&gt;0,IF(AB729="","PLANNING SUPPLY",IF(AB729&lt;=F729,"ONTIME DELIVERY","DELAY")),"")</f>
        <v>DELAY</v>
      </c>
      <c r="Q729" s="181" t="str">
        <f>IFERROR(IF(J729&gt;0,VLOOKUP(J729,#REF!,MATCH($Q$6,#REF!,0),0),""),"")</f>
        <v/>
      </c>
      <c r="R729" s="181" t="str">
        <f>IFERROR(IF(J729&gt;0,VLOOKUP(J729,#REF!,MATCH($R$6,#REF!,0),0),""),"")</f>
        <v/>
      </c>
      <c r="S729" s="181" t="e">
        <f>IF(I732&gt;0,Q729+R729,"")</f>
        <v>#VALUE!</v>
      </c>
      <c r="T729" s="181"/>
      <c r="U729" s="181"/>
      <c r="V729" s="37"/>
      <c r="W729" s="181" t="e">
        <f>IF(I732&gt;0,IF(S729&gt;L729,"READY STOCK",IF(S729=0,"OUT OF STOCK",IF(S729&lt;L729,"LOW STOCK",""))),"")</f>
        <v>#VALUE!</v>
      </c>
      <c r="X729" s="38"/>
      <c r="Y729" s="38"/>
      <c r="Z729" s="38"/>
      <c r="AA729" s="38"/>
      <c r="AB729" s="57">
        <v>46301</v>
      </c>
      <c r="AC729" s="181">
        <v>34795</v>
      </c>
      <c r="AD729" s="53">
        <v>5</v>
      </c>
      <c r="AE729" s="58" t="s">
        <v>387</v>
      </c>
      <c r="AF729" s="58" t="s">
        <v>381</v>
      </c>
      <c r="AG729" s="33" t="str">
        <f>IF(G729&gt;0,IF(AD729&gt;0,IF(AD729=0,"Waiting",IF(AD729&lt;L729,"Partial",IF(AD729=L729,"Full Supply",IF(AD729&gt;L729,"Over Shared")))),"Waiting"),"")</f>
        <v>Full Supply</v>
      </c>
      <c r="AH729" s="37"/>
      <c r="AI729" s="37"/>
      <c r="AJ729" s="181"/>
      <c r="AK729" s="40"/>
      <c r="AL729" s="40"/>
      <c r="AM729" s="40"/>
      <c r="AN729" s="37"/>
      <c r="AO729" s="34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181">
        <f>L729-AD729</f>
        <v>0</v>
      </c>
    </row>
    <row r="730" spans="1:52" ht="15.5" customHeight="1">
      <c r="A730" s="360" t="s">
        <v>372</v>
      </c>
      <c r="B730" s="340">
        <v>46279</v>
      </c>
      <c r="C730" s="181">
        <v>50830</v>
      </c>
      <c r="D730" s="30">
        <v>46279</v>
      </c>
      <c r="E730" s="30">
        <v>46276</v>
      </c>
      <c r="F730" s="30">
        <v>46290</v>
      </c>
      <c r="G730" s="37">
        <v>4420233223</v>
      </c>
      <c r="H730" s="37" t="s">
        <v>373</v>
      </c>
      <c r="I730" s="37">
        <v>9040054919</v>
      </c>
      <c r="J730" s="37" t="s">
        <v>311</v>
      </c>
      <c r="K730" s="325" t="s">
        <v>312</v>
      </c>
      <c r="L730" s="181">
        <v>10</v>
      </c>
      <c r="M730" s="181" t="s">
        <v>421</v>
      </c>
      <c r="N730" s="37" t="s">
        <v>410</v>
      </c>
      <c r="O730" s="31">
        <f>IF(F730&gt;0,F730-AB730,"")</f>
        <v>46290</v>
      </c>
      <c r="P730" s="37" t="str">
        <f>IF(F730&gt;0,IF(AB730="","PLANNING SUPPLY",IF(AB730&lt;=F730,"ONTIME DELIVERY","DELAY")),"")</f>
        <v>PLANNING SUPPLY</v>
      </c>
      <c r="Q730" s="181" t="str">
        <f>IFERROR(IF(J730&gt;0,VLOOKUP(J730,#REF!,MATCH($Q$6,#REF!,0),0),""),"")</f>
        <v/>
      </c>
      <c r="R730" s="181" t="str">
        <f>IFERROR(IF(J730&gt;0,VLOOKUP(J730,#REF!,MATCH($R$6,#REF!,0),0),""),"")</f>
        <v/>
      </c>
      <c r="S730" s="181" t="e">
        <f>IF(I733&gt;0,Q730+R730,"")</f>
        <v>#VALUE!</v>
      </c>
      <c r="T730" s="181"/>
      <c r="U730" s="181"/>
      <c r="V730" s="37"/>
      <c r="W730" s="181" t="e">
        <f>IF(I733&gt;0,IF(S730&gt;L730,"READY STOCK",IF(S730=0,"OUT OF STOCK",IF(S730&lt;L730,"LOW STOCK",""))),"")</f>
        <v>#VALUE!</v>
      </c>
      <c r="X730" s="38"/>
      <c r="Y730" s="38"/>
      <c r="Z730" s="38"/>
      <c r="AA730" s="38"/>
      <c r="AB730" s="50"/>
      <c r="AC730" s="181"/>
      <c r="AD730" s="51"/>
      <c r="AE730" s="37"/>
      <c r="AF730" s="37"/>
      <c r="AG730" s="33" t="str">
        <f>IF(G730&gt;0,IF(AD730&gt;0,IF(AD730=0,"Waiting",IF(AD730&lt;L730,"Partial",IF(AD730=L730,"Full Supply",IF(AD730&gt;L730,"Over Shared")))),"Waiting"),"")</f>
        <v>Waiting</v>
      </c>
      <c r="AH730" s="56">
        <v>46294</v>
      </c>
      <c r="AI730" s="37" t="s">
        <v>1311</v>
      </c>
      <c r="AJ730" s="181">
        <v>24</v>
      </c>
      <c r="AK730" s="40">
        <v>26494</v>
      </c>
      <c r="AL730" s="42">
        <v>46295</v>
      </c>
      <c r="AM730" s="40">
        <v>40</v>
      </c>
      <c r="AN730" s="37"/>
      <c r="AO730" s="46">
        <v>46299</v>
      </c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181">
        <f>L730-AD730</f>
        <v>10</v>
      </c>
    </row>
    <row r="731" spans="1:52" ht="15.5" customHeight="1">
      <c r="A731" s="360" t="s">
        <v>372</v>
      </c>
      <c r="B731" s="340">
        <v>46279</v>
      </c>
      <c r="C731" s="181">
        <v>50830</v>
      </c>
      <c r="D731" s="30">
        <v>46279</v>
      </c>
      <c r="E731" s="30">
        <v>46276</v>
      </c>
      <c r="F731" s="30">
        <v>46290</v>
      </c>
      <c r="G731" s="37">
        <v>4420233223</v>
      </c>
      <c r="H731" s="37" t="s">
        <v>373</v>
      </c>
      <c r="I731" s="230">
        <v>9040054960</v>
      </c>
      <c r="J731" s="37" t="s">
        <v>306</v>
      </c>
      <c r="K731" s="325" t="s">
        <v>307</v>
      </c>
      <c r="L731" s="181">
        <v>10</v>
      </c>
      <c r="M731" s="181" t="s">
        <v>421</v>
      </c>
      <c r="N731" s="37" t="s">
        <v>410</v>
      </c>
      <c r="O731" s="31">
        <f>IF(F731&gt;0,F731-AB731,"")</f>
        <v>-11</v>
      </c>
      <c r="P731" s="37" t="str">
        <f>IF(F731&gt;0,IF(AB731="","PLANNING SUPPLY",IF(AB731&lt;=F731,"ONTIME DELIVERY","DELAY")),"")</f>
        <v>DELAY</v>
      </c>
      <c r="Q731" s="181" t="str">
        <f>IFERROR(IF(J732&gt;0,VLOOKUP(J732,#REF!,MATCH($Q$6,#REF!,0),0),""),"")</f>
        <v/>
      </c>
      <c r="R731" s="181" t="str">
        <f>IFERROR(IF(J732&gt;0,VLOOKUP(J732,#REF!,MATCH($R$6,#REF!,0),0),""),"")</f>
        <v/>
      </c>
      <c r="S731" s="181" t="e">
        <f>IF(I735&gt;0,Q731+R731,"")</f>
        <v>#VALUE!</v>
      </c>
      <c r="T731" s="181"/>
      <c r="U731" s="181"/>
      <c r="V731" s="37"/>
      <c r="W731" s="181" t="e">
        <f>IF(I735&gt;0,IF(S731&gt;L731,"READY STOCK",IF(S731=0,"OUT OF STOCK",IF(S731&lt;L731,"LOW STOCK",""))),"")</f>
        <v>#VALUE!</v>
      </c>
      <c r="X731" s="38"/>
      <c r="Y731" s="38"/>
      <c r="Z731" s="38"/>
      <c r="AA731" s="38"/>
      <c r="AB731" s="57">
        <v>46301</v>
      </c>
      <c r="AC731" s="181">
        <v>34789</v>
      </c>
      <c r="AD731" s="53">
        <v>10</v>
      </c>
      <c r="AE731" s="58" t="s">
        <v>387</v>
      </c>
      <c r="AF731" s="58" t="s">
        <v>381</v>
      </c>
      <c r="AG731" s="33" t="str">
        <f>IF(G731&gt;0,IF(AD731&gt;0,IF(AD731=0,"Waiting",IF(AD731&lt;L731,"Partial",IF(AD731=L731,"Full Supply",IF(AD731&gt;L731,"Over Shared")))),"Waiting"),"")</f>
        <v>Full Supply</v>
      </c>
      <c r="AH731" s="37"/>
      <c r="AI731" s="37"/>
      <c r="AJ731" s="181"/>
      <c r="AK731" s="40">
        <v>26523</v>
      </c>
      <c r="AL731" s="40"/>
      <c r="AM731" s="40"/>
      <c r="AN731" s="37" t="s">
        <v>1321</v>
      </c>
      <c r="AO731" s="41">
        <v>46299</v>
      </c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181">
        <f>L731-AD731</f>
        <v>0</v>
      </c>
    </row>
    <row r="732" spans="1:52" ht="15.5" customHeight="1">
      <c r="A732" s="360" t="s">
        <v>372</v>
      </c>
      <c r="B732" s="340">
        <v>46279</v>
      </c>
      <c r="C732" s="181">
        <v>50830</v>
      </c>
      <c r="D732" s="30">
        <v>46279</v>
      </c>
      <c r="E732" s="30">
        <v>46276</v>
      </c>
      <c r="F732" s="30">
        <v>46290</v>
      </c>
      <c r="G732" s="37">
        <v>4420233223</v>
      </c>
      <c r="H732" s="37" t="s">
        <v>373</v>
      </c>
      <c r="I732" s="37">
        <v>9040022707</v>
      </c>
      <c r="J732" s="37" t="s">
        <v>79</v>
      </c>
      <c r="K732" s="325" t="s">
        <v>80</v>
      </c>
      <c r="L732" s="181">
        <v>5</v>
      </c>
      <c r="M732" s="181" t="s">
        <v>375</v>
      </c>
      <c r="N732" s="37" t="s">
        <v>410</v>
      </c>
      <c r="O732" s="31">
        <f>IF(F732&gt;0,F732-AB732,"")</f>
        <v>8</v>
      </c>
      <c r="P732" s="37" t="str">
        <f>IF(F732&gt;0,IF(AB732="","PLANNING SUPPLY",IF(AB732&lt;=F732,"ONTIME DELIVERY","DELAY")),"")</f>
        <v>ONTIME DELIVERY</v>
      </c>
      <c r="Q732" s="181" t="str">
        <f>IFERROR(IF(#REF!&gt;0,VLOOKUP(#REF!,#REF!,MATCH($Q$6,#REF!,0),0),""),"")</f>
        <v/>
      </c>
      <c r="R732" s="181" t="str">
        <f>IFERROR(IF(#REF!&gt;0,VLOOKUP(#REF!,#REF!,MATCH($R$6,#REF!,0),0),""),"")</f>
        <v/>
      </c>
      <c r="S732" s="181" t="e">
        <f>IF(#REF!&gt;0,Q732+R732,"")</f>
        <v>#REF!</v>
      </c>
      <c r="T732" s="181"/>
      <c r="U732" s="181"/>
      <c r="V732" s="37"/>
      <c r="W732" s="181" t="e">
        <f>IF(#REF!&gt;0,IF(S732&gt;L732,"READY STOCK",IF(S732=0,"OUT OF STOCK",IF(S732&lt;L732,"LOW STOCK",""))),"")</f>
        <v>#REF!</v>
      </c>
      <c r="X732" s="38"/>
      <c r="Y732" s="38"/>
      <c r="Z732" s="38"/>
      <c r="AA732" s="38"/>
      <c r="AB732" s="50">
        <v>46282</v>
      </c>
      <c r="AC732" s="181">
        <v>34354</v>
      </c>
      <c r="AD732" s="51">
        <v>5</v>
      </c>
      <c r="AE732" s="37" t="s">
        <v>383</v>
      </c>
      <c r="AF732" s="37" t="s">
        <v>381</v>
      </c>
      <c r="AG732" s="33" t="str">
        <f>IF(G732&gt;0,IF(AD732&gt;0,IF(AD732=0,"Waiting",IF(AD732&lt;L732,"Partial",IF(AD732=L732,"Full Supply",IF(AD732&gt;L732,"Over Shared")))),"Waiting"),"")</f>
        <v>Full Supply</v>
      </c>
      <c r="AH732" s="37"/>
      <c r="AI732" s="37"/>
      <c r="AJ732" s="181"/>
      <c r="AK732" s="40"/>
      <c r="AL732" s="40"/>
      <c r="AM732" s="40"/>
      <c r="AN732" s="37"/>
      <c r="AO732" s="34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181">
        <f>L732-AD732</f>
        <v>0</v>
      </c>
    </row>
    <row r="733" spans="1:52" ht="15.5" customHeight="1">
      <c r="A733" s="360" t="s">
        <v>372</v>
      </c>
      <c r="B733" s="340">
        <v>46280</v>
      </c>
      <c r="C733" s="181">
        <v>50899</v>
      </c>
      <c r="D733" s="30">
        <v>46279</v>
      </c>
      <c r="E733" s="30">
        <v>46274</v>
      </c>
      <c r="F733" s="30">
        <v>46304</v>
      </c>
      <c r="G733" s="37">
        <v>4420233098</v>
      </c>
      <c r="H733" s="37" t="s">
        <v>373</v>
      </c>
      <c r="I733" s="37">
        <v>9040016343</v>
      </c>
      <c r="J733" s="37" t="s">
        <v>211</v>
      </c>
      <c r="K733" s="325" t="s">
        <v>212</v>
      </c>
      <c r="L733" s="181">
        <v>10</v>
      </c>
      <c r="M733" s="181" t="s">
        <v>421</v>
      </c>
      <c r="N733" s="37" t="s">
        <v>376</v>
      </c>
      <c r="O733" s="31">
        <f>IF(F733&gt;0,F733-AB733,"")</f>
        <v>-5</v>
      </c>
      <c r="P733" s="37" t="str">
        <f>IF(F733&gt;0,IF(AB733="","PLANNING SUPPLY",IF(AB733&lt;=F733,"ONTIME DELIVERY","DELAY")),"")</f>
        <v>DELAY</v>
      </c>
      <c r="Q733" s="181" t="str">
        <f>IFERROR(IF(J733&gt;0,VLOOKUP(J733,#REF!,MATCH($Q$6,#REF!,0),0),""),"")</f>
        <v/>
      </c>
      <c r="R733" s="181" t="str">
        <f>IFERROR(IF(J733&gt;0,VLOOKUP(J733,#REF!,MATCH($R$6,#REF!,0),0),""),"")</f>
        <v/>
      </c>
      <c r="S733" s="181" t="e">
        <f>IF(I736&gt;0,Q733+R733,"")</f>
        <v>#VALUE!</v>
      </c>
      <c r="T733" s="181"/>
      <c r="U733" s="181"/>
      <c r="V733" s="37"/>
      <c r="W733" s="181" t="e">
        <f>IF(I736&gt;0,IF(S733&gt;L733,"READY STOCK",IF(S733=0,"OUT OF STOCK",IF(S733&lt;L733,"LOW STOCK",""))),"")</f>
        <v>#VALUE!</v>
      </c>
      <c r="X733" s="38"/>
      <c r="Y733" s="38"/>
      <c r="Z733" s="38"/>
      <c r="AA733" s="38"/>
      <c r="AB733" s="50">
        <v>46309</v>
      </c>
      <c r="AC733" s="44">
        <v>35046</v>
      </c>
      <c r="AD733" s="51">
        <v>10</v>
      </c>
      <c r="AE733" s="37" t="s">
        <v>387</v>
      </c>
      <c r="AF733" s="37" t="s">
        <v>381</v>
      </c>
      <c r="AG733" s="33" t="str">
        <f>IF(G733&gt;0,IF(AD733&gt;0,IF(AD733=0,"Waiting",IF(AD733&lt;L733,"Partial",IF(AD733=L733,"Full Supply",IF(AD733&gt;L733,"Over Shared")))),"Waiting"),"")</f>
        <v>Full Supply</v>
      </c>
      <c r="AH733" s="56"/>
      <c r="AI733" s="37" t="s">
        <v>1130</v>
      </c>
      <c r="AJ733" s="181">
        <v>30</v>
      </c>
      <c r="AK733" s="40">
        <v>26347</v>
      </c>
      <c r="AL733" s="45">
        <v>46286</v>
      </c>
      <c r="AM733" s="40">
        <v>32</v>
      </c>
      <c r="AN733" s="37"/>
      <c r="AO733" s="46">
        <v>46296</v>
      </c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181">
        <f>L733-AD733</f>
        <v>0</v>
      </c>
    </row>
    <row r="734" spans="1:52" ht="15.5" customHeight="1">
      <c r="A734" s="360" t="s">
        <v>372</v>
      </c>
      <c r="B734" s="340">
        <v>46280</v>
      </c>
      <c r="C734" s="181">
        <v>50899</v>
      </c>
      <c r="D734" s="30">
        <v>46279</v>
      </c>
      <c r="E734" s="30">
        <v>46274</v>
      </c>
      <c r="F734" s="30">
        <v>46304</v>
      </c>
      <c r="G734" s="37">
        <v>4420233098</v>
      </c>
      <c r="H734" s="37" t="s">
        <v>373</v>
      </c>
      <c r="I734" s="37">
        <v>9040017179</v>
      </c>
      <c r="J734" s="37" t="s">
        <v>91</v>
      </c>
      <c r="K734" s="325" t="s">
        <v>92</v>
      </c>
      <c r="L734" s="181">
        <v>2</v>
      </c>
      <c r="M734" s="181" t="s">
        <v>375</v>
      </c>
      <c r="N734" s="37" t="s">
        <v>376</v>
      </c>
      <c r="O734" s="31">
        <f>IF(F734&gt;0,F734-AB734,"")</f>
        <v>4</v>
      </c>
      <c r="P734" s="37" t="str">
        <f>IF(F734&gt;0,IF(AB734="","PLANNING SUPPLY",IF(AB734&lt;=F734,"ONTIME DELIVERY","DELAY")),"")</f>
        <v>ONTIME DELIVERY</v>
      </c>
      <c r="Q734" s="181" t="str">
        <f>IFERROR(IF(J734&gt;0,VLOOKUP(J734,#REF!,MATCH($Q$6,#REF!,0),0),""),"")</f>
        <v/>
      </c>
      <c r="R734" s="181" t="str">
        <f>IFERROR(IF(J734&gt;0,VLOOKUP(J734,#REF!,MATCH($R$6,#REF!,0),0),""),"")</f>
        <v/>
      </c>
      <c r="S734" s="181" t="e">
        <f>IF(I737&gt;0,Q734+R734,"")</f>
        <v>#VALUE!</v>
      </c>
      <c r="T734" s="181"/>
      <c r="U734" s="181"/>
      <c r="V734" s="37"/>
      <c r="W734" s="181" t="e">
        <f>IF(I737&gt;0,IF(S734&gt;L734,"READY STOCK",IF(S734=0,"OUT OF STOCK",IF(S734&lt;L734,"LOW STOCK",""))),"")</f>
        <v>#VALUE!</v>
      </c>
      <c r="X734" s="38"/>
      <c r="Y734" s="38"/>
      <c r="Z734" s="38"/>
      <c r="AA734" s="38"/>
      <c r="AB734" s="50">
        <v>46300</v>
      </c>
      <c r="AC734" s="44">
        <v>34735</v>
      </c>
      <c r="AD734" s="51">
        <v>2</v>
      </c>
      <c r="AE734" s="37" t="s">
        <v>387</v>
      </c>
      <c r="AF734" s="37" t="s">
        <v>381</v>
      </c>
      <c r="AG734" s="33" t="str">
        <f>IF(G734&gt;0,IF(AD734&gt;0,IF(AD734=0,"Waiting",IF(AD734&lt;L734,"Partial",IF(AD734=L734,"Full Supply",IF(AD734&gt;L734,"Over Shared")))),"Waiting"),"")</f>
        <v>Full Supply</v>
      </c>
      <c r="AH734" s="37"/>
      <c r="AI734" s="37"/>
      <c r="AJ734" s="181"/>
      <c r="AK734" s="40"/>
      <c r="AL734" s="40"/>
      <c r="AM734" s="40"/>
      <c r="AN734" s="37"/>
      <c r="AO734" s="34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181">
        <f>L734-AD734</f>
        <v>0</v>
      </c>
    </row>
    <row r="735" spans="1:52" ht="15.5" customHeight="1">
      <c r="A735" s="360" t="s">
        <v>372</v>
      </c>
      <c r="B735" s="340">
        <v>46280</v>
      </c>
      <c r="C735" s="181">
        <v>50899</v>
      </c>
      <c r="D735" s="30">
        <v>46279</v>
      </c>
      <c r="E735" s="30">
        <v>46274</v>
      </c>
      <c r="F735" s="30">
        <v>46304</v>
      </c>
      <c r="G735" s="37">
        <v>4420233098</v>
      </c>
      <c r="H735" s="37" t="s">
        <v>373</v>
      </c>
      <c r="I735" s="37">
        <v>9040022707</v>
      </c>
      <c r="J735" s="37" t="s">
        <v>79</v>
      </c>
      <c r="K735" s="325" t="s">
        <v>80</v>
      </c>
      <c r="L735" s="181">
        <v>4</v>
      </c>
      <c r="M735" s="181" t="s">
        <v>375</v>
      </c>
      <c r="N735" s="37" t="s">
        <v>376</v>
      </c>
      <c r="O735" s="31">
        <f>IF(F735&gt;0,F735-AB735,"")</f>
        <v>10</v>
      </c>
      <c r="P735" s="37" t="str">
        <f>IF(F735&gt;0,IF(AB735="","PLANNING SUPPLY",IF(AB735&lt;=F735,"ONTIME DELIVERY","DELAY")),"")</f>
        <v>ONTIME DELIVERY</v>
      </c>
      <c r="Q735" s="181" t="str">
        <f>IFERROR(IF(J735&gt;0,VLOOKUP(J735,#REF!,MATCH($Q$6,#REF!,0),0),""),"")</f>
        <v/>
      </c>
      <c r="R735" s="181" t="str">
        <f>IFERROR(IF(J735&gt;0,VLOOKUP(J735,#REF!,MATCH($R$6,#REF!,0),0),""),"")</f>
        <v/>
      </c>
      <c r="S735" s="181" t="e">
        <f>IF(I738&gt;0,Q735+R735,"")</f>
        <v>#VALUE!</v>
      </c>
      <c r="T735" s="181"/>
      <c r="U735" s="181"/>
      <c r="V735" s="37"/>
      <c r="W735" s="181" t="e">
        <f>IF(I738&gt;0,IF(S735&gt;L735,"READY STOCK",IF(S735=0,"OUT OF STOCK",IF(S735&lt;L735,"LOW STOCK",""))),"")</f>
        <v>#VALUE!</v>
      </c>
      <c r="X735" s="38"/>
      <c r="Y735" s="38"/>
      <c r="Z735" s="38"/>
      <c r="AA735" s="38"/>
      <c r="AB735" s="50">
        <v>46294</v>
      </c>
      <c r="AC735" s="181">
        <v>34607</v>
      </c>
      <c r="AD735" s="51">
        <v>4</v>
      </c>
      <c r="AE735" s="37" t="s">
        <v>387</v>
      </c>
      <c r="AF735" s="37"/>
      <c r="AG735" s="33" t="str">
        <f>IF(G735&gt;0,IF(AD735&gt;0,IF(AD735=0,"Waiting",IF(AD735&lt;L735,"Partial",IF(AD735=L735,"Full Supply",IF(AD735&gt;L735,"Over Shared")))),"Waiting"),"")</f>
        <v>Full Supply</v>
      </c>
      <c r="AH735" s="56">
        <v>46281</v>
      </c>
      <c r="AI735" s="37" t="s">
        <v>1334</v>
      </c>
      <c r="AJ735" s="181">
        <v>4</v>
      </c>
      <c r="AK735" s="40"/>
      <c r="AL735" s="218"/>
      <c r="AM735" s="40"/>
      <c r="AN735" s="216"/>
      <c r="AO735" s="55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181">
        <f>L735-AD735</f>
        <v>0</v>
      </c>
    </row>
    <row r="736" spans="1:52" ht="15.5" customHeight="1">
      <c r="A736" s="360" t="s">
        <v>372</v>
      </c>
      <c r="B736" s="340">
        <v>46280</v>
      </c>
      <c r="C736" s="181">
        <v>50901</v>
      </c>
      <c r="D736" s="30">
        <v>46280</v>
      </c>
      <c r="E736" s="30">
        <v>46275</v>
      </c>
      <c r="F736" s="30">
        <v>46295</v>
      </c>
      <c r="G736" s="37">
        <v>4420233143</v>
      </c>
      <c r="H736" s="37" t="s">
        <v>373</v>
      </c>
      <c r="I736" s="37">
        <v>9040056135</v>
      </c>
      <c r="J736" s="37" t="s">
        <v>139</v>
      </c>
      <c r="K736" s="325" t="s">
        <v>140</v>
      </c>
      <c r="L736" s="181">
        <v>1</v>
      </c>
      <c r="M736" s="181" t="s">
        <v>375</v>
      </c>
      <c r="N736" s="37" t="s">
        <v>382</v>
      </c>
      <c r="O736" s="31">
        <f>IF(F736&gt;0,F736-AB736,"")</f>
        <v>46295</v>
      </c>
      <c r="P736" s="37" t="str">
        <f>IF(F736&gt;0,IF(AB736="","PLANNING SUPPLY",IF(AB736&lt;=F736,"ONTIME DELIVERY","DELAY")),"")</f>
        <v>PLANNING SUPPLY</v>
      </c>
      <c r="Q736" s="181" t="str">
        <f>IFERROR(IF(J736&gt;0,VLOOKUP(J736,#REF!,MATCH($Q$6,#REF!,0),0),""),"")</f>
        <v/>
      </c>
      <c r="R736" s="181" t="str">
        <f>IFERROR(IF(J736&gt;0,VLOOKUP(J736,#REF!,MATCH($R$6,#REF!,0),0),""),"")</f>
        <v/>
      </c>
      <c r="S736" s="181" t="e">
        <f>IF(I739&gt;0,Q736+R736,"")</f>
        <v>#VALUE!</v>
      </c>
      <c r="T736" s="181"/>
      <c r="U736" s="181"/>
      <c r="V736" s="37"/>
      <c r="W736" s="181" t="e">
        <f>IF(I739&gt;0,IF(S736&gt;L736,"READY STOCK",IF(S736=0,"OUT OF STOCK",IF(S736&lt;L736,"LOW STOCK",""))),"")</f>
        <v>#VALUE!</v>
      </c>
      <c r="X736" s="38"/>
      <c r="Y736" s="38"/>
      <c r="Z736" s="38"/>
      <c r="AA736" s="38"/>
      <c r="AB736" s="50"/>
      <c r="AC736" s="181"/>
      <c r="AD736" s="51"/>
      <c r="AE736" s="37"/>
      <c r="AF736" s="37"/>
      <c r="AG736" s="33" t="str">
        <f>IF(G736&gt;0,IF(AD736&gt;0,IF(AD736=0,"Waiting",IF(AD736&lt;L736,"Partial",IF(AD736=L736,"Full Supply",IF(AD736&gt;L736,"Over Shared")))),"Waiting"),"")</f>
        <v>Waiting</v>
      </c>
      <c r="AH736" s="56">
        <v>46281</v>
      </c>
      <c r="AI736" s="37" t="s">
        <v>1334</v>
      </c>
      <c r="AJ736" s="181">
        <v>1</v>
      </c>
      <c r="AK736" s="40"/>
      <c r="AL736" s="40"/>
      <c r="AM736" s="40"/>
      <c r="AN736" s="216"/>
      <c r="AO736" s="55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181">
        <f>L736-AD736</f>
        <v>1</v>
      </c>
    </row>
    <row r="737" spans="1:52" ht="15.5" customHeight="1">
      <c r="A737" s="360" t="s">
        <v>372</v>
      </c>
      <c r="B737" s="340">
        <v>46280</v>
      </c>
      <c r="C737" s="181">
        <v>50901</v>
      </c>
      <c r="D737" s="30">
        <v>46280</v>
      </c>
      <c r="E737" s="30">
        <v>46275</v>
      </c>
      <c r="F737" s="30">
        <v>46295</v>
      </c>
      <c r="G737" s="37">
        <v>4420233143</v>
      </c>
      <c r="H737" s="37" t="s">
        <v>373</v>
      </c>
      <c r="I737" s="37">
        <v>9040073264</v>
      </c>
      <c r="J737" s="37" t="s">
        <v>85</v>
      </c>
      <c r="K737" s="325" t="s">
        <v>86</v>
      </c>
      <c r="L737" s="181">
        <v>2</v>
      </c>
      <c r="M737" s="181" t="s">
        <v>375</v>
      </c>
      <c r="N737" s="37" t="s">
        <v>382</v>
      </c>
      <c r="O737" s="31">
        <f>IF(F737&gt;0,F737-AB737,"")</f>
        <v>-13</v>
      </c>
      <c r="P737" s="37" t="str">
        <f>IF(F737&gt;0,IF(AB737="","PLANNING SUPPLY",IF(AB737&lt;=F737,"ONTIME DELIVERY","DELAY")),"")</f>
        <v>DELAY</v>
      </c>
      <c r="Q737" s="181" t="str">
        <f>IFERROR(IF(J737&gt;0,VLOOKUP(J737,#REF!,MATCH($Q$6,#REF!,0),0),""),"")</f>
        <v/>
      </c>
      <c r="R737" s="181" t="str">
        <f>IFERROR(IF(J737&gt;0,VLOOKUP(J737,#REF!,MATCH($R$6,#REF!,0),0),""),"")</f>
        <v/>
      </c>
      <c r="S737" s="181" t="e">
        <f>IF(I740&gt;0,Q737+R737,"")</f>
        <v>#VALUE!</v>
      </c>
      <c r="T737" s="181"/>
      <c r="U737" s="181"/>
      <c r="V737" s="37"/>
      <c r="W737" s="181" t="e">
        <f>IF(I740&gt;0,IF(S737&gt;L737,"READY STOCK",IF(S737=0,"OUT OF STOCK",IF(S737&lt;L737,"LOW STOCK",""))),"")</f>
        <v>#VALUE!</v>
      </c>
      <c r="X737" s="38"/>
      <c r="Y737" s="38"/>
      <c r="Z737" s="38"/>
      <c r="AA737" s="38"/>
      <c r="AB737" s="50">
        <v>46308</v>
      </c>
      <c r="AC737" s="246">
        <v>34987</v>
      </c>
      <c r="AD737" s="51">
        <v>2</v>
      </c>
      <c r="AE737" s="37" t="s">
        <v>387</v>
      </c>
      <c r="AF737" s="37" t="s">
        <v>381</v>
      </c>
      <c r="AG737" s="33" t="str">
        <f>IF(G737&gt;0,IF(AD737&gt;0,IF(AD737=0,"Waiting",IF(AD737&lt;L737,"Partial",IF(AD737=L737,"Full Supply",IF(AD737&gt;L737,"Over Shared")))),"Waiting"),"")</f>
        <v>Full Supply</v>
      </c>
      <c r="AH737" s="56">
        <v>46281</v>
      </c>
      <c r="AI737" s="37" t="s">
        <v>1334</v>
      </c>
      <c r="AJ737" s="181">
        <v>2</v>
      </c>
      <c r="AK737" s="40"/>
      <c r="AL737" s="40"/>
      <c r="AM737" s="40"/>
      <c r="AN737" s="216"/>
      <c r="AO737" s="55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181">
        <f>L737-AD737</f>
        <v>0</v>
      </c>
    </row>
    <row r="738" spans="1:52" ht="15.5" customHeight="1">
      <c r="A738" s="360" t="s">
        <v>372</v>
      </c>
      <c r="B738" s="340">
        <v>46280</v>
      </c>
      <c r="C738" s="181">
        <v>50901</v>
      </c>
      <c r="D738" s="30">
        <v>46280</v>
      </c>
      <c r="E738" s="30">
        <v>46275</v>
      </c>
      <c r="F738" s="30">
        <v>46295</v>
      </c>
      <c r="G738" s="37">
        <v>4420233143</v>
      </c>
      <c r="H738" s="37" t="s">
        <v>373</v>
      </c>
      <c r="I738" s="230">
        <v>9040020554</v>
      </c>
      <c r="J738" s="37" t="s">
        <v>297</v>
      </c>
      <c r="K738" s="325" t="s">
        <v>298</v>
      </c>
      <c r="L738" s="181">
        <v>4</v>
      </c>
      <c r="M738" s="181" t="s">
        <v>375</v>
      </c>
      <c r="N738" s="37" t="s">
        <v>382</v>
      </c>
      <c r="O738" s="31">
        <f>IF(F738&gt;0,F738-AB738,"")</f>
        <v>46295</v>
      </c>
      <c r="P738" s="37" t="str">
        <f>IF(F738&gt;0,IF(AB738="","PLANNING SUPPLY",IF(AB738&lt;=F738,"ONTIME DELIVERY","DELAY")),"")</f>
        <v>PLANNING SUPPLY</v>
      </c>
      <c r="Q738" s="181" t="str">
        <f>IFERROR(IF(J738&gt;0,VLOOKUP(J738,#REF!,MATCH($Q$6,#REF!,0),0),""),"")</f>
        <v/>
      </c>
      <c r="R738" s="181" t="str">
        <f>IFERROR(IF(J738&gt;0,VLOOKUP(J738,#REF!,MATCH($R$6,#REF!,0),0),""),"")</f>
        <v/>
      </c>
      <c r="S738" s="181" t="e">
        <f>IF(I741&gt;0,Q738+R738,"")</f>
        <v>#VALUE!</v>
      </c>
      <c r="T738" s="181"/>
      <c r="U738" s="181"/>
      <c r="V738" s="37"/>
      <c r="W738" s="181" t="e">
        <f>IF(I741&gt;0,IF(S738&gt;L738,"READY STOCK",IF(S738=0,"OUT OF STOCK",IF(S738&lt;L738,"LOW STOCK",""))),"")</f>
        <v>#VALUE!</v>
      </c>
      <c r="X738" s="38"/>
      <c r="Y738" s="38"/>
      <c r="Z738" s="38"/>
      <c r="AA738" s="38"/>
      <c r="AB738" s="50"/>
      <c r="AC738" s="181"/>
      <c r="AD738" s="51"/>
      <c r="AE738" s="37"/>
      <c r="AF738" s="37"/>
      <c r="AG738" s="33" t="str">
        <f>IF(G738&gt;0,IF(AD738&gt;0,IF(AD738=0,"Waiting",IF(AD738&lt;L738,"Partial",IF(AD738=L738,"Full Supply",IF(AD738&gt;L738,"Over Shared")))),"Waiting"),"")</f>
        <v>Waiting</v>
      </c>
      <c r="AH738" s="56">
        <v>46247</v>
      </c>
      <c r="AI738" s="37" t="s">
        <v>646</v>
      </c>
      <c r="AJ738" s="181">
        <v>100</v>
      </c>
      <c r="AK738" s="40"/>
      <c r="AL738" s="40"/>
      <c r="AM738" s="40"/>
      <c r="AN738" s="216"/>
      <c r="AO738" s="55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181">
        <f>L738-AD738</f>
        <v>4</v>
      </c>
    </row>
    <row r="739" spans="1:52" ht="15.5" customHeight="1">
      <c r="A739" s="360" t="s">
        <v>372</v>
      </c>
      <c r="B739" s="340">
        <v>46282</v>
      </c>
      <c r="C739" s="181">
        <v>50966</v>
      </c>
      <c r="D739" s="30">
        <v>46282</v>
      </c>
      <c r="E739" s="30">
        <v>46280</v>
      </c>
      <c r="F739" s="30">
        <v>46287</v>
      </c>
      <c r="G739" s="37">
        <v>4420233452</v>
      </c>
      <c r="H739" s="37" t="s">
        <v>373</v>
      </c>
      <c r="I739" s="37">
        <v>9040044209</v>
      </c>
      <c r="J739" s="37" t="s">
        <v>270</v>
      </c>
      <c r="K739" s="325" t="s">
        <v>271</v>
      </c>
      <c r="L739" s="181">
        <v>362</v>
      </c>
      <c r="M739" s="181" t="s">
        <v>375</v>
      </c>
      <c r="N739" s="37" t="s">
        <v>384</v>
      </c>
      <c r="O739" s="31">
        <f>IF(F739&gt;0,F739-AB739,"")</f>
        <v>-13</v>
      </c>
      <c r="P739" s="37" t="str">
        <f>IF(F739&gt;0,IF(AB739="","PLANNING SUPPLY",IF(AB739&lt;=F739,"ONTIME DELIVERY","DELAY")),"")</f>
        <v>DELAY</v>
      </c>
      <c r="Q739" s="181" t="str">
        <f>IFERROR(IF(J739&gt;0,VLOOKUP(J739,#REF!,MATCH($Q$6,#REF!,0),0),""),"")</f>
        <v/>
      </c>
      <c r="R739" s="181" t="str">
        <f>IFERROR(IF(J739&gt;0,VLOOKUP(J739,#REF!,MATCH($R$6,#REF!,0),0),""),"")</f>
        <v/>
      </c>
      <c r="S739" s="181" t="e">
        <f>IF(I742&gt;0,Q739+R739,"")</f>
        <v>#VALUE!</v>
      </c>
      <c r="T739" s="181"/>
      <c r="U739" s="181"/>
      <c r="V739" s="37"/>
      <c r="W739" s="181" t="e">
        <f>IF(I742&gt;0,IF(S739&gt;L739,"READY STOCK",IF(S739=0,"OUT OF STOCK",IF(S739&lt;L739,"LOW STOCK",""))),"")</f>
        <v>#VALUE!</v>
      </c>
      <c r="X739" s="38"/>
      <c r="Y739" s="38"/>
      <c r="Z739" s="38"/>
      <c r="AA739" s="38"/>
      <c r="AB739" s="50">
        <v>46300</v>
      </c>
      <c r="AC739" s="44">
        <v>34738</v>
      </c>
      <c r="AD739" s="51">
        <v>362</v>
      </c>
      <c r="AE739" s="37" t="s">
        <v>387</v>
      </c>
      <c r="AF739" s="37" t="s">
        <v>381</v>
      </c>
      <c r="AG739" s="33" t="str">
        <f>IF(G739&gt;0,IF(AD739&gt;0,IF(AD739=0,"Waiting",IF(AD739&lt;L739,"Partial",IF(AD739=L739,"Full Supply",IF(AD739&gt;L739,"Over Shared")))),"Waiting"),"")</f>
        <v>Full Supply</v>
      </c>
      <c r="AH739" s="37"/>
      <c r="AI739" s="37"/>
      <c r="AJ739" s="181"/>
      <c r="AK739" s="40"/>
      <c r="AL739" s="40"/>
      <c r="AM739" s="40"/>
      <c r="AN739" s="37"/>
      <c r="AO739" s="34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181">
        <f>L739-AD739</f>
        <v>0</v>
      </c>
    </row>
    <row r="740" spans="1:52" ht="15.5" customHeight="1">
      <c r="A740" s="360" t="s">
        <v>372</v>
      </c>
      <c r="B740" s="340">
        <v>46282</v>
      </c>
      <c r="C740" s="181">
        <v>50966</v>
      </c>
      <c r="D740" s="30">
        <v>46282</v>
      </c>
      <c r="E740" s="30">
        <v>46280</v>
      </c>
      <c r="F740" s="30">
        <v>46287</v>
      </c>
      <c r="G740" s="37">
        <v>4420233452</v>
      </c>
      <c r="H740" s="37" t="s">
        <v>373</v>
      </c>
      <c r="I740" s="37">
        <v>9040017179</v>
      </c>
      <c r="J740" s="37" t="s">
        <v>91</v>
      </c>
      <c r="K740" s="325" t="s">
        <v>92</v>
      </c>
      <c r="L740" s="181">
        <v>5</v>
      </c>
      <c r="M740" s="181" t="s">
        <v>375</v>
      </c>
      <c r="N740" s="37" t="s">
        <v>384</v>
      </c>
      <c r="O740" s="31">
        <f>IF(F740&gt;0,F740-AB740,"")</f>
        <v>46287</v>
      </c>
      <c r="P740" s="37" t="str">
        <f>IF(F740&gt;0,IF(AB740="","PLANNING SUPPLY",IF(AB740&lt;=F740,"ONTIME DELIVERY","DELAY")),"")</f>
        <v>PLANNING SUPPLY</v>
      </c>
      <c r="Q740" s="181" t="str">
        <f>IFERROR(IF(J740&gt;0,VLOOKUP(J740,#REF!,MATCH($Q$6,#REF!,0),0),""),"")</f>
        <v/>
      </c>
      <c r="R740" s="181" t="str">
        <f>IFERROR(IF(J740&gt;0,VLOOKUP(J740,#REF!,MATCH($R$6,#REF!,0),0),""),"")</f>
        <v/>
      </c>
      <c r="S740" s="181" t="e">
        <f>IF(I743&gt;0,Q740+R740,"")</f>
        <v>#VALUE!</v>
      </c>
      <c r="T740" s="181"/>
      <c r="U740" s="181"/>
      <c r="V740" s="37"/>
      <c r="W740" s="181" t="e">
        <f>IF(I743&gt;0,IF(S740&gt;L740,"READY STOCK",IF(S740=0,"OUT OF STOCK",IF(S740&lt;L740,"LOW STOCK",""))),"")</f>
        <v>#VALUE!</v>
      </c>
      <c r="X740" s="38"/>
      <c r="Y740" s="38"/>
      <c r="Z740" s="38"/>
      <c r="AA740" s="38"/>
      <c r="AB740" s="50"/>
      <c r="AC740" s="181"/>
      <c r="AD740" s="51"/>
      <c r="AE740" s="37"/>
      <c r="AF740" s="37"/>
      <c r="AG740" s="33" t="str">
        <f>IF(G740&gt;0,IF(AD740&gt;0,IF(AD740=0,"Waiting",IF(AD740&lt;L740,"Partial",IF(AD740=L740,"Full Supply",IF(AD740&gt;L740,"Over Shared")))),"Waiting"),"")</f>
        <v>Waiting</v>
      </c>
      <c r="AH740" s="37"/>
      <c r="AI740" s="37"/>
      <c r="AJ740" s="181"/>
      <c r="AK740" s="40"/>
      <c r="AL740" s="40"/>
      <c r="AM740" s="40"/>
      <c r="AN740" s="37"/>
      <c r="AO740" s="34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181">
        <f>L740-AD740</f>
        <v>5</v>
      </c>
    </row>
    <row r="741" spans="1:52" ht="15.5" customHeight="1">
      <c r="A741" s="360" t="s">
        <v>372</v>
      </c>
      <c r="B741" s="340">
        <v>46282</v>
      </c>
      <c r="C741" s="181">
        <v>50966</v>
      </c>
      <c r="D741" s="30">
        <v>46282</v>
      </c>
      <c r="E741" s="30">
        <v>46280</v>
      </c>
      <c r="F741" s="30">
        <v>46287</v>
      </c>
      <c r="G741" s="37">
        <v>4420233452</v>
      </c>
      <c r="H741" s="37" t="s">
        <v>373</v>
      </c>
      <c r="I741" s="37">
        <v>9040029517</v>
      </c>
      <c r="J741" s="37" t="s">
        <v>197</v>
      </c>
      <c r="K741" s="325" t="s">
        <v>198</v>
      </c>
      <c r="L741" s="181">
        <v>31</v>
      </c>
      <c r="M741" s="181" t="s">
        <v>375</v>
      </c>
      <c r="N741" s="37" t="s">
        <v>384</v>
      </c>
      <c r="O741" s="31">
        <f>IF(F741&gt;0,F741-AB741,"")</f>
        <v>0</v>
      </c>
      <c r="P741" s="37" t="str">
        <f>IF(F741&gt;0,IF(AB741="","PLANNING SUPPLY",IF(AB741&lt;=F741,"ONTIME DELIVERY","DELAY")),"")</f>
        <v>ONTIME DELIVERY</v>
      </c>
      <c r="Q741" s="181" t="str">
        <f>IFERROR(IF(J741&gt;0,VLOOKUP(J741,#REF!,MATCH($Q$6,#REF!,0),0),""),"")</f>
        <v/>
      </c>
      <c r="R741" s="181" t="str">
        <f>IFERROR(IF(J741&gt;0,VLOOKUP(J741,#REF!,MATCH($R$6,#REF!,0),0),""),"")</f>
        <v/>
      </c>
      <c r="S741" s="181" t="e">
        <f>IF(I744&gt;0,Q741+R741,"")</f>
        <v>#VALUE!</v>
      </c>
      <c r="T741" s="181"/>
      <c r="U741" s="181"/>
      <c r="V741" s="37"/>
      <c r="W741" s="181" t="e">
        <f>IF(I744&gt;0,IF(S741&gt;L741,"READY STOCK",IF(S741=0,"OUT OF STOCK",IF(S741&lt;L741,"LOW STOCK",""))),"")</f>
        <v>#VALUE!</v>
      </c>
      <c r="X741" s="38"/>
      <c r="Y741" s="38"/>
      <c r="Z741" s="38"/>
      <c r="AA741" s="38"/>
      <c r="AB741" s="50">
        <v>46287</v>
      </c>
      <c r="AC741" s="181">
        <v>34399</v>
      </c>
      <c r="AD741" s="51">
        <v>31</v>
      </c>
      <c r="AE741" s="37" t="s">
        <v>387</v>
      </c>
      <c r="AF741" s="37" t="s">
        <v>381</v>
      </c>
      <c r="AG741" s="33" t="str">
        <f>IF(G741&gt;0,IF(AD741&gt;0,IF(AD741=0,"Waiting",IF(AD741&lt;L741,"Partial",IF(AD741=L741,"Full Supply",IF(AD741&gt;L741,"Over Shared")))),"Waiting"),"")</f>
        <v>Full Supply</v>
      </c>
      <c r="AH741" s="37"/>
      <c r="AI741" s="37"/>
      <c r="AJ741" s="181"/>
      <c r="AK741" s="40"/>
      <c r="AL741" s="40"/>
      <c r="AM741" s="40"/>
      <c r="AN741" s="37"/>
      <c r="AO741" s="34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181">
        <f>L741-AD741</f>
        <v>0</v>
      </c>
    </row>
    <row r="742" spans="1:52" ht="15.5" customHeight="1">
      <c r="A742" s="360" t="s">
        <v>372</v>
      </c>
      <c r="B742" s="340">
        <v>46282</v>
      </c>
      <c r="C742" s="181">
        <v>50966</v>
      </c>
      <c r="D742" s="30">
        <v>46282</v>
      </c>
      <c r="E742" s="30">
        <v>46280</v>
      </c>
      <c r="F742" s="30">
        <v>46287</v>
      </c>
      <c r="G742" s="37">
        <v>4420233452</v>
      </c>
      <c r="H742" s="37" t="s">
        <v>373</v>
      </c>
      <c r="I742" s="37">
        <v>9040040445</v>
      </c>
      <c r="J742" s="37" t="s">
        <v>193</v>
      </c>
      <c r="K742" s="325" t="s">
        <v>194</v>
      </c>
      <c r="L742" s="181">
        <v>37</v>
      </c>
      <c r="M742" s="181" t="s">
        <v>421</v>
      </c>
      <c r="N742" s="37" t="s">
        <v>384</v>
      </c>
      <c r="O742" s="31">
        <f>IF(F742&gt;0,F742-AB742,"")</f>
        <v>-30</v>
      </c>
      <c r="P742" s="37" t="str">
        <f>IF(F742&gt;0,IF(AB742="","PLANNING SUPPLY",IF(AB742&lt;=F742,"ONTIME DELIVERY","DELAY")),"")</f>
        <v>DELAY</v>
      </c>
      <c r="Q742" s="181" t="str">
        <f>IFERROR(IF(J742&gt;0,VLOOKUP(J742,#REF!,MATCH($Q$6,#REF!,0),0),""),"")</f>
        <v/>
      </c>
      <c r="R742" s="181" t="str">
        <f>IFERROR(IF(J742&gt;0,VLOOKUP(J742,#REF!,MATCH($R$6,#REF!,0),0),""),"")</f>
        <v/>
      </c>
      <c r="S742" s="181" t="e">
        <f>IF(I745&gt;0,Q742+R742,"")</f>
        <v>#VALUE!</v>
      </c>
      <c r="T742" s="181"/>
      <c r="U742" s="181"/>
      <c r="V742" s="37"/>
      <c r="W742" s="181" t="e">
        <f>IF(I745&gt;0,IF(S742&gt;L742,"READY STOCK",IF(S742=0,"OUT OF STOCK",IF(S742&lt;L742,"LOW STOCK",""))),"")</f>
        <v>#VALUE!</v>
      </c>
      <c r="X742" s="38"/>
      <c r="Y742" s="38"/>
      <c r="Z742" s="38"/>
      <c r="AA742" s="38"/>
      <c r="AB742" s="50">
        <v>46317</v>
      </c>
      <c r="AC742" s="238" t="s">
        <v>1336</v>
      </c>
      <c r="AD742" s="51">
        <v>37</v>
      </c>
      <c r="AE742" s="37" t="s">
        <v>387</v>
      </c>
      <c r="AF742" s="37" t="s">
        <v>381</v>
      </c>
      <c r="AG742" s="33" t="str">
        <f>IF(G742&gt;0,IF(AD742&gt;0,IF(AD742=0,"Waiting",IF(AD742&lt;L742,"Partial",IF(AD742=L742,"Full Supply",IF(AD742&gt;L742,"Over Shared")))),"Waiting"),"")</f>
        <v>Full Supply</v>
      </c>
      <c r="AH742" s="37"/>
      <c r="AI742" s="37"/>
      <c r="AJ742" s="181"/>
      <c r="AK742" s="40"/>
      <c r="AL742" s="40"/>
      <c r="AM742" s="40"/>
      <c r="AN742" s="37"/>
      <c r="AO742" s="34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181">
        <f>L742-AD742</f>
        <v>0</v>
      </c>
    </row>
    <row r="743" spans="1:52" ht="15.5" customHeight="1">
      <c r="A743" s="360" t="s">
        <v>372</v>
      </c>
      <c r="B743" s="340">
        <v>46282</v>
      </c>
      <c r="C743" s="181">
        <v>50966</v>
      </c>
      <c r="D743" s="30">
        <v>46282</v>
      </c>
      <c r="E743" s="30">
        <v>46280</v>
      </c>
      <c r="F743" s="30">
        <v>46287</v>
      </c>
      <c r="G743" s="37">
        <v>4420233452</v>
      </c>
      <c r="H743" s="37" t="s">
        <v>373</v>
      </c>
      <c r="I743" s="37">
        <v>9040040446</v>
      </c>
      <c r="J743" s="37" t="s">
        <v>189</v>
      </c>
      <c r="K743" s="325" t="s">
        <v>190</v>
      </c>
      <c r="L743" s="181">
        <v>7</v>
      </c>
      <c r="M743" s="181" t="s">
        <v>429</v>
      </c>
      <c r="N743" s="37" t="s">
        <v>384</v>
      </c>
      <c r="O743" s="31">
        <f>IF(F743&gt;0,F743-AB743,"")</f>
        <v>46287</v>
      </c>
      <c r="P743" s="37" t="str">
        <f>IF(F743&gt;0,IF(AB743="","PLANNING SUPPLY",IF(AB743&lt;=F743,"ONTIME DELIVERY","DELAY")),"")</f>
        <v>PLANNING SUPPLY</v>
      </c>
      <c r="Q743" s="181" t="str">
        <f>IFERROR(IF(J743&gt;0,VLOOKUP(J743,#REF!,MATCH($Q$6,#REF!,0),0),""),"")</f>
        <v/>
      </c>
      <c r="R743" s="181" t="str">
        <f>IFERROR(IF(J743&gt;0,VLOOKUP(J743,#REF!,MATCH($R$6,#REF!,0),0),""),"")</f>
        <v/>
      </c>
      <c r="S743" s="181" t="e">
        <f>IF(I746&gt;0,Q743+R743,"")</f>
        <v>#VALUE!</v>
      </c>
      <c r="T743" s="181"/>
      <c r="U743" s="181"/>
      <c r="V743" s="37"/>
      <c r="W743" s="181" t="e">
        <f>IF(I746&gt;0,IF(S743&gt;L743,"READY STOCK",IF(S743=0,"OUT OF STOCK",IF(S743&lt;L743,"LOW STOCK",""))),"")</f>
        <v>#VALUE!</v>
      </c>
      <c r="X743" s="38"/>
      <c r="Y743" s="38"/>
      <c r="Z743" s="38"/>
      <c r="AA743" s="38"/>
      <c r="AB743" s="50"/>
      <c r="AC743" s="181"/>
      <c r="AD743" s="51"/>
      <c r="AE743" s="37"/>
      <c r="AF743" s="37"/>
      <c r="AG743" s="33" t="str">
        <f>IF(G743&gt;0,IF(AD743&gt;0,IF(AD743=0,"Waiting",IF(AD743&lt;L743,"Partial",IF(AD743=L743,"Full Supply",IF(AD743&gt;L743,"Over Shared")))),"Waiting"),"")</f>
        <v>Waiting</v>
      </c>
      <c r="AH743" s="37"/>
      <c r="AI743" s="37"/>
      <c r="AJ743" s="181"/>
      <c r="AK743" s="40"/>
      <c r="AL743" s="40"/>
      <c r="AM743" s="40"/>
      <c r="AN743" s="37"/>
      <c r="AO743" s="34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181">
        <f>L743-AD743</f>
        <v>7</v>
      </c>
    </row>
    <row r="744" spans="1:52" ht="15.5" customHeight="1">
      <c r="A744" s="360" t="s">
        <v>372</v>
      </c>
      <c r="B744" s="340">
        <v>46282</v>
      </c>
      <c r="C744" s="181">
        <v>50966</v>
      </c>
      <c r="D744" s="30">
        <v>46282</v>
      </c>
      <c r="E744" s="30">
        <v>46280</v>
      </c>
      <c r="F744" s="30">
        <v>46287</v>
      </c>
      <c r="G744" s="37">
        <v>4420233452</v>
      </c>
      <c r="H744" s="37" t="s">
        <v>373</v>
      </c>
      <c r="I744" s="37">
        <v>9040041393</v>
      </c>
      <c r="J744" s="37" t="s">
        <v>191</v>
      </c>
      <c r="K744" s="325" t="s">
        <v>192</v>
      </c>
      <c r="L744" s="181">
        <v>375</v>
      </c>
      <c r="M744" s="181" t="s">
        <v>375</v>
      </c>
      <c r="N744" s="37" t="s">
        <v>384</v>
      </c>
      <c r="O744" s="31">
        <f>IF(F744&gt;0,F744-AB744,"")</f>
        <v>-13</v>
      </c>
      <c r="P744" s="37" t="str">
        <f>IF(F744&gt;0,IF(AB744="","PLANNING SUPPLY",IF(AB744&lt;=F744,"ONTIME DELIVERY","DELAY")),"")</f>
        <v>DELAY</v>
      </c>
      <c r="Q744" s="181" t="str">
        <f>IFERROR(IF(J744&gt;0,VLOOKUP(J744,#REF!,MATCH($Q$6,#REF!,0),0),""),"")</f>
        <v/>
      </c>
      <c r="R744" s="181" t="str">
        <f>IFERROR(IF(J744&gt;0,VLOOKUP(J744,#REF!,MATCH($R$6,#REF!,0),0),""),"")</f>
        <v/>
      </c>
      <c r="S744" s="181" t="e">
        <f>IF(I747&gt;0,Q744+R744,"")</f>
        <v>#VALUE!</v>
      </c>
      <c r="T744" s="181"/>
      <c r="U744" s="181"/>
      <c r="V744" s="37"/>
      <c r="W744" s="181" t="e">
        <f>IF(I747&gt;0,IF(S744&gt;L744,"READY STOCK",IF(S744=0,"OUT OF STOCK",IF(S744&lt;L744,"LOW STOCK",""))),"")</f>
        <v>#VALUE!</v>
      </c>
      <c r="X744" s="38"/>
      <c r="Y744" s="38"/>
      <c r="Z744" s="38"/>
      <c r="AA744" s="38"/>
      <c r="AB744" s="50">
        <v>46300</v>
      </c>
      <c r="AC744" s="44">
        <v>34738</v>
      </c>
      <c r="AD744" s="51">
        <v>375</v>
      </c>
      <c r="AE744" s="37" t="s">
        <v>387</v>
      </c>
      <c r="AF744" s="37" t="s">
        <v>381</v>
      </c>
      <c r="AG744" s="33" t="str">
        <f>IF(G744&gt;0,IF(AD744&gt;0,IF(AD744=0,"Waiting",IF(AD744&lt;L744,"Partial",IF(AD744=L744,"Full Supply",IF(AD744&gt;L744,"Over Shared")))),"Waiting"),"")</f>
        <v>Full Supply</v>
      </c>
      <c r="AH744" s="37"/>
      <c r="AI744" s="37"/>
      <c r="AJ744" s="181"/>
      <c r="AK744" s="40"/>
      <c r="AL744" s="40"/>
      <c r="AM744" s="40"/>
      <c r="AN744" s="37"/>
      <c r="AO744" s="34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181">
        <f>L744-AD744</f>
        <v>0</v>
      </c>
    </row>
    <row r="745" spans="1:52" ht="15.5" customHeight="1">
      <c r="A745" s="360" t="s">
        <v>372</v>
      </c>
      <c r="B745" s="340">
        <v>46283</v>
      </c>
      <c r="C745" s="181">
        <v>51037</v>
      </c>
      <c r="D745" s="30">
        <v>46283</v>
      </c>
      <c r="E745" s="30">
        <v>46282</v>
      </c>
      <c r="F745" s="30">
        <v>46310</v>
      </c>
      <c r="G745" s="37">
        <v>4420233525</v>
      </c>
      <c r="H745" s="37" t="s">
        <v>373</v>
      </c>
      <c r="I745" s="37">
        <v>9040024721</v>
      </c>
      <c r="J745" s="37" t="s">
        <v>239</v>
      </c>
      <c r="K745" s="325" t="s">
        <v>240</v>
      </c>
      <c r="L745" s="181">
        <v>1</v>
      </c>
      <c r="M745" s="181" t="s">
        <v>446</v>
      </c>
      <c r="N745" s="37" t="s">
        <v>382</v>
      </c>
      <c r="O745" s="31">
        <f>IF(F745&gt;0,F745-AB745,"")</f>
        <v>46310</v>
      </c>
      <c r="P745" s="37" t="str">
        <f>IF(F745&gt;0,IF(AB745="","PLANNING SUPPLY",IF(AB745&lt;=F745,"ONTIME DELIVERY","DELAY")),"")</f>
        <v>PLANNING SUPPLY</v>
      </c>
      <c r="Q745" s="181" t="str">
        <f>IFERROR(IF(J745&gt;0,VLOOKUP(J745,#REF!,MATCH($Q$6,#REF!,0),0),""),"")</f>
        <v/>
      </c>
      <c r="R745" s="181" t="str">
        <f>IFERROR(IF(J745&gt;0,VLOOKUP(J745,#REF!,MATCH($R$6,#REF!,0),0),""),"")</f>
        <v/>
      </c>
      <c r="S745" s="181" t="e">
        <f>IF(I748&gt;0,Q745+R745,"")</f>
        <v>#VALUE!</v>
      </c>
      <c r="T745" s="181"/>
      <c r="U745" s="181"/>
      <c r="V745" s="37"/>
      <c r="W745" s="181" t="e">
        <f>IF(I748&gt;0,IF(S745&gt;L745,"READY STOCK",IF(S745=0,"OUT OF STOCK",IF(S745&lt;L745,"LOW STOCK",""))),"")</f>
        <v>#VALUE!</v>
      </c>
      <c r="X745" s="38"/>
      <c r="Y745" s="38"/>
      <c r="Z745" s="38"/>
      <c r="AA745" s="38"/>
      <c r="AB745" s="50"/>
      <c r="AC745" s="181"/>
      <c r="AD745" s="51"/>
      <c r="AE745" s="37"/>
      <c r="AF745" s="37"/>
      <c r="AG745" s="33" t="str">
        <f>IF(G745&gt;0,IF(AD745&gt;0,IF(AD745=0,"Waiting",IF(AD745&lt;L745,"Partial",IF(AD745=L745,"Full Supply",IF(AD745&gt;L745,"Over Shared")))),"Waiting"),"")</f>
        <v>Waiting</v>
      </c>
      <c r="AH745" s="56">
        <v>46287</v>
      </c>
      <c r="AI745" s="37" t="s">
        <v>1322</v>
      </c>
      <c r="AJ745" s="181">
        <v>5</v>
      </c>
      <c r="AK745" s="40">
        <v>26388</v>
      </c>
      <c r="AL745" s="42">
        <v>46287</v>
      </c>
      <c r="AM745" s="40">
        <v>5</v>
      </c>
      <c r="AN745" s="37"/>
      <c r="AO745" s="46">
        <v>46302</v>
      </c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181">
        <f>L745-AD745</f>
        <v>1</v>
      </c>
    </row>
    <row r="746" spans="1:52" ht="15.5" customHeight="1">
      <c r="A746" s="360" t="s">
        <v>372</v>
      </c>
      <c r="B746" s="340">
        <v>46283</v>
      </c>
      <c r="C746" s="181">
        <v>51037</v>
      </c>
      <c r="D746" s="30">
        <v>46283</v>
      </c>
      <c r="E746" s="30">
        <v>46282</v>
      </c>
      <c r="F746" s="30">
        <v>46310</v>
      </c>
      <c r="G746" s="37">
        <v>4420233525</v>
      </c>
      <c r="H746" s="37" t="s">
        <v>373</v>
      </c>
      <c r="I746" s="37">
        <v>9040024721</v>
      </c>
      <c r="J746" s="37" t="s">
        <v>239</v>
      </c>
      <c r="K746" s="325" t="s">
        <v>240</v>
      </c>
      <c r="L746" s="181">
        <v>1</v>
      </c>
      <c r="M746" s="181" t="s">
        <v>446</v>
      </c>
      <c r="N746" s="37" t="s">
        <v>382</v>
      </c>
      <c r="O746" s="31">
        <f>IF(F746&gt;0,F746-AB746,"")</f>
        <v>46310</v>
      </c>
      <c r="P746" s="37" t="str">
        <f>IF(F746&gt;0,IF(AB746="","PLANNING SUPPLY",IF(AB746&lt;=F746,"ONTIME DELIVERY","DELAY")),"")</f>
        <v>PLANNING SUPPLY</v>
      </c>
      <c r="Q746" s="181" t="str">
        <f>IFERROR(IF(J746&gt;0,VLOOKUP(J746,#REF!,MATCH($Q$6,#REF!,0),0),""),"")</f>
        <v/>
      </c>
      <c r="R746" s="181" t="str">
        <f>IFERROR(IF(J746&gt;0,VLOOKUP(J746,#REF!,MATCH($R$6,#REF!,0),0),""),"")</f>
        <v/>
      </c>
      <c r="S746" s="181" t="e">
        <f>IF(I749&gt;0,Q746+R746,"")</f>
        <v>#VALUE!</v>
      </c>
      <c r="T746" s="181"/>
      <c r="U746" s="181"/>
      <c r="V746" s="37"/>
      <c r="W746" s="181" t="e">
        <f>IF(I749&gt;0,IF(S746&gt;L746,"READY STOCK",IF(S746=0,"OUT OF STOCK",IF(S746&lt;L746,"LOW STOCK",""))),"")</f>
        <v>#VALUE!</v>
      </c>
      <c r="X746" s="38"/>
      <c r="Y746" s="38"/>
      <c r="Z746" s="38"/>
      <c r="AA746" s="38"/>
      <c r="AB746" s="50"/>
      <c r="AC746" s="181"/>
      <c r="AD746" s="51"/>
      <c r="AE746" s="37"/>
      <c r="AF746" s="37"/>
      <c r="AG746" s="33" t="str">
        <f>IF(G746&gt;0,IF(AD746&gt;0,IF(AD746=0,"Waiting",IF(AD746&lt;L746,"Partial",IF(AD746=L746,"Full Supply",IF(AD746&gt;L746,"Over Shared")))),"Waiting"),"")</f>
        <v>Waiting</v>
      </c>
      <c r="AH746" s="56">
        <v>46287</v>
      </c>
      <c r="AI746" s="37" t="s">
        <v>1322</v>
      </c>
      <c r="AJ746" s="181">
        <v>5</v>
      </c>
      <c r="AK746" s="40">
        <v>26388</v>
      </c>
      <c r="AL746" s="42">
        <v>46287</v>
      </c>
      <c r="AM746" s="40">
        <v>5</v>
      </c>
      <c r="AN746" s="37"/>
      <c r="AO746" s="46">
        <v>46302</v>
      </c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181">
        <f>L746-AD746</f>
        <v>1</v>
      </c>
    </row>
    <row r="747" spans="1:52" ht="15.5" customHeight="1">
      <c r="A747" s="360" t="s">
        <v>372</v>
      </c>
      <c r="B747" s="340">
        <v>46283</v>
      </c>
      <c r="C747" s="181">
        <v>51037</v>
      </c>
      <c r="D747" s="30">
        <v>46283</v>
      </c>
      <c r="E747" s="30">
        <v>46282</v>
      </c>
      <c r="F747" s="30">
        <v>46310</v>
      </c>
      <c r="G747" s="37">
        <v>4420233525</v>
      </c>
      <c r="H747" s="37" t="s">
        <v>373</v>
      </c>
      <c r="I747" s="37">
        <v>9040051092</v>
      </c>
      <c r="J747" s="37" t="s">
        <v>89</v>
      </c>
      <c r="K747" s="325" t="s">
        <v>90</v>
      </c>
      <c r="L747" s="181">
        <v>1</v>
      </c>
      <c r="M747" s="181" t="s">
        <v>375</v>
      </c>
      <c r="N747" s="37" t="s">
        <v>382</v>
      </c>
      <c r="O747" s="31">
        <f>IF(F747&gt;0,F747-AB747,"")</f>
        <v>-4</v>
      </c>
      <c r="P747" s="37" t="str">
        <f>IF(F747&gt;0,IF(AB747="","PLANNING SUPPLY",IF(AB747&lt;=F747,"ONTIME DELIVERY","DELAY")),"")</f>
        <v>DELAY</v>
      </c>
      <c r="Q747" s="181" t="str">
        <f>IFERROR(IF(J747&gt;0,VLOOKUP(J747,#REF!,MATCH($Q$6,#REF!,0),0),""),"")</f>
        <v/>
      </c>
      <c r="R747" s="181" t="str">
        <f>IFERROR(IF(J747&gt;0,VLOOKUP(J747,#REF!,MATCH($R$6,#REF!,0),0),""),"")</f>
        <v/>
      </c>
      <c r="S747" s="181" t="e">
        <f>IF(I750&gt;0,Q747+R747,"")</f>
        <v>#VALUE!</v>
      </c>
      <c r="T747" s="181"/>
      <c r="U747" s="181"/>
      <c r="V747" s="37"/>
      <c r="W747" s="181" t="e">
        <f>IF(I750&gt;0,IF(S747&gt;L747,"READY STOCK",IF(S747=0,"OUT OF STOCK",IF(S747&lt;L747,"LOW STOCK",""))),"")</f>
        <v>#VALUE!</v>
      </c>
      <c r="X747" s="38"/>
      <c r="Y747" s="38"/>
      <c r="Z747" s="38"/>
      <c r="AA747" s="38"/>
      <c r="AB747" s="50">
        <v>46314</v>
      </c>
      <c r="AC747" s="44" t="s">
        <v>1337</v>
      </c>
      <c r="AD747" s="51">
        <v>1</v>
      </c>
      <c r="AE747" s="37" t="s">
        <v>387</v>
      </c>
      <c r="AF747" s="37" t="s">
        <v>381</v>
      </c>
      <c r="AG747" s="33" t="str">
        <f>IF(G747&gt;0,IF(AD747&gt;0,IF(AD747=0,"Waiting",IF(AD747&lt;L747,"Partial",IF(AD747=L747,"Full Supply",IF(AD747&gt;L747,"Over Shared")))),"Waiting"),"")</f>
        <v>Full Supply</v>
      </c>
      <c r="AH747" s="37"/>
      <c r="AI747" s="37" t="s">
        <v>646</v>
      </c>
      <c r="AJ747" s="181">
        <v>18</v>
      </c>
      <c r="AK747" s="40">
        <v>26191</v>
      </c>
      <c r="AL747" s="189">
        <v>46269</v>
      </c>
      <c r="AM747" s="40">
        <v>16</v>
      </c>
      <c r="AN747" s="37"/>
      <c r="AO747" s="214">
        <v>46275</v>
      </c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181">
        <f>L747-AD747</f>
        <v>0</v>
      </c>
    </row>
    <row r="748" spans="1:52" ht="15.5" customHeight="1">
      <c r="A748" s="360" t="s">
        <v>372</v>
      </c>
      <c r="B748" s="340">
        <v>46283</v>
      </c>
      <c r="C748" s="181">
        <v>51037</v>
      </c>
      <c r="D748" s="30">
        <v>46283</v>
      </c>
      <c r="E748" s="30">
        <v>46282</v>
      </c>
      <c r="F748" s="30">
        <v>46310</v>
      </c>
      <c r="G748" s="37">
        <v>4420233525</v>
      </c>
      <c r="H748" s="37" t="s">
        <v>373</v>
      </c>
      <c r="I748" s="37">
        <v>9040073264</v>
      </c>
      <c r="J748" s="37" t="s">
        <v>85</v>
      </c>
      <c r="K748" s="325" t="s">
        <v>86</v>
      </c>
      <c r="L748" s="181">
        <v>1</v>
      </c>
      <c r="M748" s="181" t="s">
        <v>375</v>
      </c>
      <c r="N748" s="37" t="s">
        <v>382</v>
      </c>
      <c r="O748" s="31">
        <f>IF(F748&gt;0,F748-AB748,"")</f>
        <v>2</v>
      </c>
      <c r="P748" s="37" t="str">
        <f>IF(F748&gt;0,IF(AB748="","PLANNING SUPPLY",IF(AB748&lt;=F748,"ONTIME DELIVERY","DELAY")),"")</f>
        <v>ONTIME DELIVERY</v>
      </c>
      <c r="Q748" s="181" t="str">
        <f>IFERROR(IF(J748&gt;0,VLOOKUP(J748,#REF!,MATCH($Q$6,#REF!,0),0),""),"")</f>
        <v/>
      </c>
      <c r="R748" s="181" t="str">
        <f>IFERROR(IF(J748&gt;0,VLOOKUP(J748,#REF!,MATCH($R$6,#REF!,0),0),""),"")</f>
        <v/>
      </c>
      <c r="S748" s="181" t="e">
        <f>IF(I751&gt;0,Q748+R748,"")</f>
        <v>#VALUE!</v>
      </c>
      <c r="T748" s="181"/>
      <c r="U748" s="181"/>
      <c r="V748" s="37"/>
      <c r="W748" s="181" t="e">
        <f>IF(I751&gt;0,IF(S748&gt;L748,"READY STOCK",IF(S748=0,"OUT OF STOCK",IF(S748&lt;L748,"LOW STOCK",""))),"")</f>
        <v>#VALUE!</v>
      </c>
      <c r="X748" s="38"/>
      <c r="Y748" s="38"/>
      <c r="Z748" s="38"/>
      <c r="AA748" s="38"/>
      <c r="AB748" s="50">
        <v>46308</v>
      </c>
      <c r="AC748" s="246">
        <v>34988</v>
      </c>
      <c r="AD748" s="51">
        <v>1</v>
      </c>
      <c r="AE748" s="37" t="s">
        <v>387</v>
      </c>
      <c r="AF748" s="37" t="s">
        <v>381</v>
      </c>
      <c r="AG748" s="33" t="str">
        <f>IF(G748&gt;0,IF(AD748&gt;0,IF(AD748=0,"Waiting",IF(AD748&lt;L748,"Partial",IF(AD748=L748,"Full Supply",IF(AD748&gt;L748,"Over Shared")))),"Waiting"),"")</f>
        <v>Full Supply</v>
      </c>
      <c r="AH748" s="37"/>
      <c r="AI748" s="37" t="s">
        <v>646</v>
      </c>
      <c r="AJ748" s="181">
        <v>5</v>
      </c>
      <c r="AK748" s="40">
        <v>26191</v>
      </c>
      <c r="AL748" s="189">
        <v>46269</v>
      </c>
      <c r="AM748" s="40">
        <v>8</v>
      </c>
      <c r="AN748" s="37"/>
      <c r="AO748" s="214">
        <v>46275</v>
      </c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181">
        <f>L748-AD748</f>
        <v>0</v>
      </c>
    </row>
    <row r="749" spans="1:52" ht="15.5" customHeight="1">
      <c r="A749" s="360" t="s">
        <v>372</v>
      </c>
      <c r="B749" s="340">
        <v>46283</v>
      </c>
      <c r="C749" s="181">
        <v>51037</v>
      </c>
      <c r="D749" s="30">
        <v>46283</v>
      </c>
      <c r="E749" s="30">
        <v>46282</v>
      </c>
      <c r="F749" s="30">
        <v>46310</v>
      </c>
      <c r="G749" s="37">
        <v>4420233525</v>
      </c>
      <c r="H749" s="37" t="s">
        <v>373</v>
      </c>
      <c r="I749" s="37">
        <v>9040024721</v>
      </c>
      <c r="J749" s="37" t="s">
        <v>239</v>
      </c>
      <c r="K749" s="325" t="s">
        <v>240</v>
      </c>
      <c r="L749" s="181">
        <v>1</v>
      </c>
      <c r="M749" s="181" t="s">
        <v>446</v>
      </c>
      <c r="N749" s="37" t="s">
        <v>382</v>
      </c>
      <c r="O749" s="31">
        <f>IF(F749&gt;0,F749-AB749,"")</f>
        <v>46310</v>
      </c>
      <c r="P749" s="37" t="str">
        <f>IF(F749&gt;0,IF(AB749="","PLANNING SUPPLY",IF(AB749&lt;=F749,"ONTIME DELIVERY","DELAY")),"")</f>
        <v>PLANNING SUPPLY</v>
      </c>
      <c r="Q749" s="181" t="str">
        <f>IFERROR(IF(J749&gt;0,VLOOKUP(J749,#REF!,MATCH($Q$6,#REF!,0),0),""),"")</f>
        <v/>
      </c>
      <c r="R749" s="181" t="str">
        <f>IFERROR(IF(J749&gt;0,VLOOKUP(J749,#REF!,MATCH($R$6,#REF!,0),0),""),"")</f>
        <v/>
      </c>
      <c r="S749" s="181" t="e">
        <f>IF(I752&gt;0,Q749+R749,"")</f>
        <v>#VALUE!</v>
      </c>
      <c r="T749" s="181"/>
      <c r="U749" s="181"/>
      <c r="V749" s="37"/>
      <c r="W749" s="181" t="e">
        <f>IF(I752&gt;0,IF(S749&gt;L749,"READY STOCK",IF(S749=0,"OUT OF STOCK",IF(S749&lt;L749,"LOW STOCK",""))),"")</f>
        <v>#VALUE!</v>
      </c>
      <c r="X749" s="38"/>
      <c r="Y749" s="38"/>
      <c r="Z749" s="38"/>
      <c r="AA749" s="38"/>
      <c r="AB749" s="50"/>
      <c r="AC749" s="181"/>
      <c r="AD749" s="51"/>
      <c r="AE749" s="37"/>
      <c r="AF749" s="37"/>
      <c r="AG749" s="33" t="str">
        <f>IF(G749&gt;0,IF(AD749&gt;0,IF(AD749=0,"Waiting",IF(AD749&lt;L749,"Partial",IF(AD749=L749,"Full Supply",IF(AD749&gt;L749,"Over Shared")))),"Waiting"),"")</f>
        <v>Waiting</v>
      </c>
      <c r="AH749" s="56">
        <v>46287</v>
      </c>
      <c r="AI749" s="37" t="s">
        <v>1322</v>
      </c>
      <c r="AJ749" s="181">
        <v>5</v>
      </c>
      <c r="AK749" s="40">
        <v>26388</v>
      </c>
      <c r="AL749" s="42">
        <v>46287</v>
      </c>
      <c r="AM749" s="40">
        <v>5</v>
      </c>
      <c r="AN749" s="37"/>
      <c r="AO749" s="46">
        <v>46302</v>
      </c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181">
        <f>L749-AD749</f>
        <v>1</v>
      </c>
    </row>
    <row r="750" spans="1:52" ht="15.5" customHeight="1">
      <c r="A750" s="360" t="s">
        <v>372</v>
      </c>
      <c r="B750" s="340">
        <v>46283</v>
      </c>
      <c r="C750" s="181">
        <v>51037</v>
      </c>
      <c r="D750" s="30">
        <v>46283</v>
      </c>
      <c r="E750" s="30">
        <v>46282</v>
      </c>
      <c r="F750" s="30">
        <v>46310</v>
      </c>
      <c r="G750" s="37">
        <v>4420233525</v>
      </c>
      <c r="H750" s="37" t="s">
        <v>373</v>
      </c>
      <c r="I750" s="37">
        <v>9040051092</v>
      </c>
      <c r="J750" s="37" t="s">
        <v>89</v>
      </c>
      <c r="K750" s="325" t="s">
        <v>90</v>
      </c>
      <c r="L750" s="181">
        <v>1</v>
      </c>
      <c r="M750" s="181" t="s">
        <v>375</v>
      </c>
      <c r="N750" s="37" t="s">
        <v>382</v>
      </c>
      <c r="O750" s="31">
        <f>IF(F750&gt;0,F750-AB750,"")</f>
        <v>-4</v>
      </c>
      <c r="P750" s="37" t="str">
        <f>IF(F750&gt;0,IF(AB750="","PLANNING SUPPLY",IF(AB750&lt;=F750,"ONTIME DELIVERY","DELAY")),"")</f>
        <v>DELAY</v>
      </c>
      <c r="Q750" s="181" t="str">
        <f>IFERROR(IF(J750&gt;0,VLOOKUP(J750,#REF!,MATCH($Q$6,#REF!,0),0),""),"")</f>
        <v/>
      </c>
      <c r="R750" s="181" t="str">
        <f>IFERROR(IF(J750&gt;0,VLOOKUP(J750,#REF!,MATCH($R$6,#REF!,0),0),""),"")</f>
        <v/>
      </c>
      <c r="S750" s="181" t="e">
        <f>IF(I753&gt;0,Q750+R750,"")</f>
        <v>#VALUE!</v>
      </c>
      <c r="T750" s="181"/>
      <c r="U750" s="181"/>
      <c r="V750" s="37"/>
      <c r="W750" s="181" t="e">
        <f>IF(I753&gt;0,IF(S750&gt;L750,"READY STOCK",IF(S750=0,"OUT OF STOCK",IF(S750&lt;L750,"LOW STOCK",""))),"")</f>
        <v>#VALUE!</v>
      </c>
      <c r="X750" s="38"/>
      <c r="Y750" s="38"/>
      <c r="Z750" s="38"/>
      <c r="AA750" s="38"/>
      <c r="AB750" s="50">
        <v>46314</v>
      </c>
      <c r="AC750" s="44" t="s">
        <v>1337</v>
      </c>
      <c r="AD750" s="51">
        <v>1</v>
      </c>
      <c r="AE750" s="37" t="s">
        <v>387</v>
      </c>
      <c r="AF750" s="37" t="s">
        <v>381</v>
      </c>
      <c r="AG750" s="33" t="str">
        <f>IF(G750&gt;0,IF(AD750&gt;0,IF(AD750=0,"Waiting",IF(AD750&lt;L750,"Partial",IF(AD750=L750,"Full Supply",IF(AD750&gt;L750,"Over Shared")))),"Waiting"),"")</f>
        <v>Full Supply</v>
      </c>
      <c r="AH750" s="37"/>
      <c r="AI750" s="37" t="s">
        <v>646</v>
      </c>
      <c r="AJ750" s="181">
        <v>18</v>
      </c>
      <c r="AK750" s="40">
        <v>26191</v>
      </c>
      <c r="AL750" s="189">
        <v>46269</v>
      </c>
      <c r="AM750" s="40">
        <v>16</v>
      </c>
      <c r="AN750" s="37"/>
      <c r="AO750" s="214">
        <v>46275</v>
      </c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181">
        <f>L750-AD750</f>
        <v>0</v>
      </c>
    </row>
    <row r="751" spans="1:52" ht="15.5" customHeight="1">
      <c r="A751" s="360" t="s">
        <v>372</v>
      </c>
      <c r="B751" s="340">
        <v>46283</v>
      </c>
      <c r="C751" s="181">
        <v>51037</v>
      </c>
      <c r="D751" s="30">
        <v>46283</v>
      </c>
      <c r="E751" s="30">
        <v>46282</v>
      </c>
      <c r="F751" s="30">
        <v>46310</v>
      </c>
      <c r="G751" s="37">
        <v>4420233525</v>
      </c>
      <c r="H751" s="37" t="s">
        <v>373</v>
      </c>
      <c r="I751" s="37">
        <v>9040073264</v>
      </c>
      <c r="J751" s="37" t="s">
        <v>85</v>
      </c>
      <c r="K751" s="325" t="s">
        <v>86</v>
      </c>
      <c r="L751" s="181">
        <v>1</v>
      </c>
      <c r="M751" s="181" t="s">
        <v>375</v>
      </c>
      <c r="N751" s="37" t="s">
        <v>382</v>
      </c>
      <c r="O751" s="31">
        <f>IF(F751&gt;0,F751-AB751,"")</f>
        <v>2</v>
      </c>
      <c r="P751" s="37" t="str">
        <f>IF(F751&gt;0,IF(AB751="","PLANNING SUPPLY",IF(AB751&lt;=F751,"ONTIME DELIVERY","DELAY")),"")</f>
        <v>ONTIME DELIVERY</v>
      </c>
      <c r="Q751" s="181" t="str">
        <f>IFERROR(IF(J751&gt;0,VLOOKUP(J751,#REF!,MATCH($Q$6,#REF!,0),0),""),"")</f>
        <v/>
      </c>
      <c r="R751" s="181" t="str">
        <f>IFERROR(IF(J751&gt;0,VLOOKUP(J751,#REF!,MATCH($R$6,#REF!,0),0),""),"")</f>
        <v/>
      </c>
      <c r="S751" s="181" t="e">
        <f>IF(I754&gt;0,Q751+R751,"")</f>
        <v>#VALUE!</v>
      </c>
      <c r="T751" s="181"/>
      <c r="U751" s="181"/>
      <c r="V751" s="37"/>
      <c r="W751" s="181" t="e">
        <f>IF(I754&gt;0,IF(S751&gt;L751,"READY STOCK",IF(S751=0,"OUT OF STOCK",IF(S751&lt;L751,"LOW STOCK",""))),"")</f>
        <v>#VALUE!</v>
      </c>
      <c r="X751" s="38"/>
      <c r="Y751" s="38"/>
      <c r="Z751" s="38"/>
      <c r="AA751" s="38"/>
      <c r="AB751" s="50">
        <v>46308</v>
      </c>
      <c r="AC751" s="246">
        <v>34988</v>
      </c>
      <c r="AD751" s="51">
        <v>1</v>
      </c>
      <c r="AE751" s="37" t="s">
        <v>387</v>
      </c>
      <c r="AF751" s="37" t="s">
        <v>381</v>
      </c>
      <c r="AG751" s="33" t="str">
        <f>IF(G751&gt;0,IF(AD751&gt;0,IF(AD751=0,"Waiting",IF(AD751&lt;L751,"Partial",IF(AD751=L751,"Full Supply",IF(AD751&gt;L751,"Over Shared")))),"Waiting"),"")</f>
        <v>Full Supply</v>
      </c>
      <c r="AH751" s="37"/>
      <c r="AI751" s="37" t="s">
        <v>646</v>
      </c>
      <c r="AJ751" s="181">
        <v>5</v>
      </c>
      <c r="AK751" s="40">
        <v>26191</v>
      </c>
      <c r="AL751" s="189">
        <v>46269</v>
      </c>
      <c r="AM751" s="40">
        <v>8</v>
      </c>
      <c r="AN751" s="37"/>
      <c r="AO751" s="214">
        <v>46275</v>
      </c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181">
        <f>L751-AD751</f>
        <v>0</v>
      </c>
    </row>
    <row r="752" spans="1:52" ht="15.5" customHeight="1">
      <c r="A752" s="360" t="s">
        <v>372</v>
      </c>
      <c r="B752" s="340">
        <v>46283</v>
      </c>
      <c r="C752" s="181">
        <v>51037</v>
      </c>
      <c r="D752" s="30">
        <v>46283</v>
      </c>
      <c r="E752" s="30">
        <v>46282</v>
      </c>
      <c r="F752" s="30">
        <v>46310</v>
      </c>
      <c r="G752" s="37">
        <v>4420233525</v>
      </c>
      <c r="H752" s="37" t="s">
        <v>373</v>
      </c>
      <c r="I752" s="37">
        <v>9040024721</v>
      </c>
      <c r="J752" s="37" t="s">
        <v>239</v>
      </c>
      <c r="K752" s="325" t="s">
        <v>240</v>
      </c>
      <c r="L752" s="181">
        <v>1</v>
      </c>
      <c r="M752" s="181" t="s">
        <v>446</v>
      </c>
      <c r="N752" s="37" t="s">
        <v>382</v>
      </c>
      <c r="O752" s="31">
        <f>IF(F752&gt;0,F752-AB752,"")</f>
        <v>46310</v>
      </c>
      <c r="P752" s="37" t="str">
        <f>IF(F752&gt;0,IF(AB752="","PLANNING SUPPLY",IF(AB752&lt;=F752,"ONTIME DELIVERY","DELAY")),"")</f>
        <v>PLANNING SUPPLY</v>
      </c>
      <c r="Q752" s="181" t="str">
        <f>IFERROR(IF(J752&gt;0,VLOOKUP(J752,#REF!,MATCH($Q$6,#REF!,0),0),""),"")</f>
        <v/>
      </c>
      <c r="R752" s="181" t="str">
        <f>IFERROR(IF(J752&gt;0,VLOOKUP(J752,#REF!,MATCH($R$6,#REF!,0),0),""),"")</f>
        <v/>
      </c>
      <c r="S752" s="181" t="e">
        <f>IF(I755&gt;0,Q752+R752,"")</f>
        <v>#VALUE!</v>
      </c>
      <c r="T752" s="181"/>
      <c r="U752" s="181"/>
      <c r="V752" s="37"/>
      <c r="W752" s="181" t="e">
        <f>IF(I755&gt;0,IF(S752&gt;L752,"READY STOCK",IF(S752=0,"OUT OF STOCK",IF(S752&lt;L752,"LOW STOCK",""))),"")</f>
        <v>#VALUE!</v>
      </c>
      <c r="X752" s="38"/>
      <c r="Y752" s="38"/>
      <c r="Z752" s="38"/>
      <c r="AA752" s="38"/>
      <c r="AB752" s="50"/>
      <c r="AC752" s="181"/>
      <c r="AD752" s="51"/>
      <c r="AE752" s="37"/>
      <c r="AF752" s="37"/>
      <c r="AG752" s="33" t="str">
        <f>IF(G752&gt;0,IF(AD752&gt;0,IF(AD752=0,"Waiting",IF(AD752&lt;L752,"Partial",IF(AD752=L752,"Full Supply",IF(AD752&gt;L752,"Over Shared")))),"Waiting"),"")</f>
        <v>Waiting</v>
      </c>
      <c r="AH752" s="56">
        <v>46287</v>
      </c>
      <c r="AI752" s="37" t="s">
        <v>1322</v>
      </c>
      <c r="AJ752" s="181">
        <v>5</v>
      </c>
      <c r="AK752" s="40">
        <v>26388</v>
      </c>
      <c r="AL752" s="42">
        <v>46287</v>
      </c>
      <c r="AM752" s="40">
        <v>5</v>
      </c>
      <c r="AN752" s="37"/>
      <c r="AO752" s="46">
        <v>46302</v>
      </c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181">
        <f>L752-AD752</f>
        <v>1</v>
      </c>
    </row>
    <row r="753" spans="1:52" ht="15.5" customHeight="1">
      <c r="A753" s="360" t="s">
        <v>372</v>
      </c>
      <c r="B753" s="340">
        <v>46283</v>
      </c>
      <c r="C753" s="181">
        <v>51037</v>
      </c>
      <c r="D753" s="30">
        <v>46283</v>
      </c>
      <c r="E753" s="30">
        <v>46282</v>
      </c>
      <c r="F753" s="30">
        <v>46310</v>
      </c>
      <c r="G753" s="37">
        <v>4420233525</v>
      </c>
      <c r="H753" s="37" t="s">
        <v>373</v>
      </c>
      <c r="I753" s="37">
        <v>9040051092</v>
      </c>
      <c r="J753" s="37" t="s">
        <v>89</v>
      </c>
      <c r="K753" s="325" t="s">
        <v>90</v>
      </c>
      <c r="L753" s="181">
        <v>1</v>
      </c>
      <c r="M753" s="181" t="s">
        <v>375</v>
      </c>
      <c r="N753" s="37" t="s">
        <v>382</v>
      </c>
      <c r="O753" s="31">
        <f>IF(F753&gt;0,F753-AB753,"")</f>
        <v>-4</v>
      </c>
      <c r="P753" s="37" t="str">
        <f>IF(F753&gt;0,IF(AB753="","PLANNING SUPPLY",IF(AB753&lt;=F753,"ONTIME DELIVERY","DELAY")),"")</f>
        <v>DELAY</v>
      </c>
      <c r="Q753" s="181" t="str">
        <f>IFERROR(IF(J753&gt;0,VLOOKUP(J753,#REF!,MATCH($Q$6,#REF!,0),0),""),"")</f>
        <v/>
      </c>
      <c r="R753" s="181" t="str">
        <f>IFERROR(IF(J753&gt;0,VLOOKUP(J753,#REF!,MATCH($R$6,#REF!,0),0),""),"")</f>
        <v/>
      </c>
      <c r="S753" s="181" t="e">
        <f>IF(I756&gt;0,Q753+R753,"")</f>
        <v>#VALUE!</v>
      </c>
      <c r="T753" s="181"/>
      <c r="U753" s="181"/>
      <c r="V753" s="37"/>
      <c r="W753" s="181" t="e">
        <f>IF(I756&gt;0,IF(S753&gt;L753,"READY STOCK",IF(S753=0,"OUT OF STOCK",IF(S753&lt;L753,"LOW STOCK",""))),"")</f>
        <v>#VALUE!</v>
      </c>
      <c r="X753" s="38"/>
      <c r="Y753" s="38"/>
      <c r="Z753" s="38"/>
      <c r="AA753" s="38"/>
      <c r="AB753" s="50">
        <v>46314</v>
      </c>
      <c r="AC753" s="44" t="s">
        <v>1337</v>
      </c>
      <c r="AD753" s="51">
        <v>1</v>
      </c>
      <c r="AE753" s="37" t="s">
        <v>387</v>
      </c>
      <c r="AF753" s="37" t="s">
        <v>381</v>
      </c>
      <c r="AG753" s="33" t="str">
        <f>IF(G753&gt;0,IF(AD753&gt;0,IF(AD753=0,"Waiting",IF(AD753&lt;L753,"Partial",IF(AD753=L753,"Full Supply",IF(AD753&gt;L753,"Over Shared")))),"Waiting"),"")</f>
        <v>Full Supply</v>
      </c>
      <c r="AH753" s="37"/>
      <c r="AI753" s="37" t="s">
        <v>646</v>
      </c>
      <c r="AJ753" s="181">
        <v>18</v>
      </c>
      <c r="AK753" s="40">
        <v>26191</v>
      </c>
      <c r="AL753" s="189">
        <v>46269</v>
      </c>
      <c r="AM753" s="40">
        <v>16</v>
      </c>
      <c r="AN753" s="37"/>
      <c r="AO753" s="214">
        <v>46275</v>
      </c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181">
        <f>L753-AD753</f>
        <v>0</v>
      </c>
    </row>
    <row r="754" spans="1:52" ht="15.5" customHeight="1">
      <c r="A754" s="360" t="s">
        <v>372</v>
      </c>
      <c r="B754" s="340">
        <v>46283</v>
      </c>
      <c r="C754" s="181">
        <v>51037</v>
      </c>
      <c r="D754" s="30">
        <v>46283</v>
      </c>
      <c r="E754" s="30">
        <v>46282</v>
      </c>
      <c r="F754" s="30">
        <v>46310</v>
      </c>
      <c r="G754" s="37">
        <v>4420233525</v>
      </c>
      <c r="H754" s="37" t="s">
        <v>373</v>
      </c>
      <c r="I754" s="37">
        <v>9040073264</v>
      </c>
      <c r="J754" s="37" t="s">
        <v>85</v>
      </c>
      <c r="K754" s="325" t="s">
        <v>86</v>
      </c>
      <c r="L754" s="181">
        <v>1</v>
      </c>
      <c r="M754" s="181" t="s">
        <v>375</v>
      </c>
      <c r="N754" s="37" t="s">
        <v>382</v>
      </c>
      <c r="O754" s="31">
        <f>IF(F754&gt;0,F754-AB754,"")</f>
        <v>2</v>
      </c>
      <c r="P754" s="37" t="str">
        <f>IF(F754&gt;0,IF(AB754="","PLANNING SUPPLY",IF(AB754&lt;=F754,"ONTIME DELIVERY","DELAY")),"")</f>
        <v>ONTIME DELIVERY</v>
      </c>
      <c r="Q754" s="181" t="str">
        <f>IFERROR(IF(J754&gt;0,VLOOKUP(J754,#REF!,MATCH($Q$6,#REF!,0),0),""),"")</f>
        <v/>
      </c>
      <c r="R754" s="181" t="str">
        <f>IFERROR(IF(J754&gt;0,VLOOKUP(J754,#REF!,MATCH($R$6,#REF!,0),0),""),"")</f>
        <v/>
      </c>
      <c r="S754" s="181" t="e">
        <f>IF(I757&gt;0,Q754+R754,"")</f>
        <v>#VALUE!</v>
      </c>
      <c r="T754" s="181"/>
      <c r="U754" s="181"/>
      <c r="V754" s="37"/>
      <c r="W754" s="181" t="e">
        <f>IF(I757&gt;0,IF(S754&gt;L754,"READY STOCK",IF(S754=0,"OUT OF STOCK",IF(S754&lt;L754,"LOW STOCK",""))),"")</f>
        <v>#VALUE!</v>
      </c>
      <c r="X754" s="38"/>
      <c r="Y754" s="38"/>
      <c r="Z754" s="38"/>
      <c r="AA754" s="38"/>
      <c r="AB754" s="50">
        <v>46308</v>
      </c>
      <c r="AC754" s="246">
        <v>34988</v>
      </c>
      <c r="AD754" s="51">
        <v>1</v>
      </c>
      <c r="AE754" s="37" t="s">
        <v>387</v>
      </c>
      <c r="AF754" s="37" t="s">
        <v>381</v>
      </c>
      <c r="AG754" s="33" t="str">
        <f>IF(G754&gt;0,IF(AD754&gt;0,IF(AD754=0,"Waiting",IF(AD754&lt;L754,"Partial",IF(AD754=L754,"Full Supply",IF(AD754&gt;L754,"Over Shared")))),"Waiting"),"")</f>
        <v>Full Supply</v>
      </c>
      <c r="AH754" s="37"/>
      <c r="AI754" s="37" t="s">
        <v>646</v>
      </c>
      <c r="AJ754" s="181">
        <v>5</v>
      </c>
      <c r="AK754" s="40">
        <v>26191</v>
      </c>
      <c r="AL754" s="189">
        <v>46269</v>
      </c>
      <c r="AM754" s="40">
        <v>8</v>
      </c>
      <c r="AN754" s="37"/>
      <c r="AO754" s="214">
        <v>46275</v>
      </c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181">
        <f>L754-AD754</f>
        <v>0</v>
      </c>
    </row>
    <row r="755" spans="1:52" ht="15.5" customHeight="1">
      <c r="A755" s="360" t="s">
        <v>372</v>
      </c>
      <c r="B755" s="340">
        <v>46283</v>
      </c>
      <c r="C755" s="181">
        <v>51037</v>
      </c>
      <c r="D755" s="30">
        <v>46283</v>
      </c>
      <c r="E755" s="30">
        <v>46282</v>
      </c>
      <c r="F755" s="30">
        <v>46310</v>
      </c>
      <c r="G755" s="37">
        <v>4420233525</v>
      </c>
      <c r="H755" s="37" t="s">
        <v>373</v>
      </c>
      <c r="I755" s="37">
        <v>9040024721</v>
      </c>
      <c r="J755" s="37" t="s">
        <v>239</v>
      </c>
      <c r="K755" s="325" t="s">
        <v>240</v>
      </c>
      <c r="L755" s="181">
        <v>1</v>
      </c>
      <c r="M755" s="181" t="s">
        <v>446</v>
      </c>
      <c r="N755" s="37" t="s">
        <v>382</v>
      </c>
      <c r="O755" s="31">
        <f>IF(F755&gt;0,F755-AB755,"")</f>
        <v>46310</v>
      </c>
      <c r="P755" s="37" t="str">
        <f>IF(F755&gt;0,IF(AB755="","PLANNING SUPPLY",IF(AB755&lt;=F755,"ONTIME DELIVERY","DELAY")),"")</f>
        <v>PLANNING SUPPLY</v>
      </c>
      <c r="Q755" s="181" t="str">
        <f>IFERROR(IF(J755&gt;0,VLOOKUP(J755,#REF!,MATCH($Q$6,#REF!,0),0),""),"")</f>
        <v/>
      </c>
      <c r="R755" s="181" t="str">
        <f>IFERROR(IF(J755&gt;0,VLOOKUP(J755,#REF!,MATCH($R$6,#REF!,0),0),""),"")</f>
        <v/>
      </c>
      <c r="S755" s="181" t="e">
        <f>IF(I758&gt;0,Q755+R755,"")</f>
        <v>#VALUE!</v>
      </c>
      <c r="T755" s="181"/>
      <c r="U755" s="181"/>
      <c r="V755" s="37"/>
      <c r="W755" s="181" t="e">
        <f>IF(I758&gt;0,IF(S755&gt;L755,"READY STOCK",IF(S755=0,"OUT OF STOCK",IF(S755&lt;L755,"LOW STOCK",""))),"")</f>
        <v>#VALUE!</v>
      </c>
      <c r="X755" s="38"/>
      <c r="Y755" s="38"/>
      <c r="Z755" s="38"/>
      <c r="AA755" s="38"/>
      <c r="AB755" s="50"/>
      <c r="AC755" s="181"/>
      <c r="AD755" s="51"/>
      <c r="AE755" s="37"/>
      <c r="AF755" s="37"/>
      <c r="AG755" s="33" t="str">
        <f>IF(G755&gt;0,IF(AD755&gt;0,IF(AD755=0,"Waiting",IF(AD755&lt;L755,"Partial",IF(AD755=L755,"Full Supply",IF(AD755&gt;L755,"Over Shared")))),"Waiting"),"")</f>
        <v>Waiting</v>
      </c>
      <c r="AH755" s="56">
        <v>46287</v>
      </c>
      <c r="AI755" s="37" t="s">
        <v>1322</v>
      </c>
      <c r="AJ755" s="181">
        <v>5</v>
      </c>
      <c r="AK755" s="40">
        <v>26388</v>
      </c>
      <c r="AL755" s="42">
        <v>46287</v>
      </c>
      <c r="AM755" s="40">
        <v>5</v>
      </c>
      <c r="AN755" s="37"/>
      <c r="AO755" s="46">
        <v>46302</v>
      </c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181">
        <f>L755-AD755</f>
        <v>1</v>
      </c>
    </row>
    <row r="756" spans="1:52" ht="15.5" customHeight="1">
      <c r="A756" s="360" t="s">
        <v>372</v>
      </c>
      <c r="B756" s="340">
        <v>46283</v>
      </c>
      <c r="C756" s="181">
        <v>51037</v>
      </c>
      <c r="D756" s="30">
        <v>46283</v>
      </c>
      <c r="E756" s="30">
        <v>46282</v>
      </c>
      <c r="F756" s="30">
        <v>46310</v>
      </c>
      <c r="G756" s="37">
        <v>4420233525</v>
      </c>
      <c r="H756" s="37" t="s">
        <v>373</v>
      </c>
      <c r="I756" s="37">
        <v>9040051092</v>
      </c>
      <c r="J756" s="37" t="s">
        <v>89</v>
      </c>
      <c r="K756" s="325" t="s">
        <v>90</v>
      </c>
      <c r="L756" s="181">
        <v>1</v>
      </c>
      <c r="M756" s="181" t="s">
        <v>375</v>
      </c>
      <c r="N756" s="37" t="s">
        <v>382</v>
      </c>
      <c r="O756" s="31">
        <f>IF(F756&gt;0,F756-AB756,"")</f>
        <v>-4</v>
      </c>
      <c r="P756" s="37" t="str">
        <f>IF(F756&gt;0,IF(AB756="","PLANNING SUPPLY",IF(AB756&lt;=F756,"ONTIME DELIVERY","DELAY")),"")</f>
        <v>DELAY</v>
      </c>
      <c r="Q756" s="181" t="str">
        <f>IFERROR(IF(J756&gt;0,VLOOKUP(J756,#REF!,MATCH($Q$6,#REF!,0),0),""),"")</f>
        <v/>
      </c>
      <c r="R756" s="181" t="str">
        <f>IFERROR(IF(J756&gt;0,VLOOKUP(J756,#REF!,MATCH($R$6,#REF!,0),0),""),"")</f>
        <v/>
      </c>
      <c r="S756" s="181" t="e">
        <f>IF(I759&gt;0,Q756+R756,"")</f>
        <v>#VALUE!</v>
      </c>
      <c r="T756" s="181"/>
      <c r="U756" s="181"/>
      <c r="V756" s="37"/>
      <c r="W756" s="181" t="e">
        <f>IF(I759&gt;0,IF(S756&gt;L756,"READY STOCK",IF(S756=0,"OUT OF STOCK",IF(S756&lt;L756,"LOW STOCK",""))),"")</f>
        <v>#VALUE!</v>
      </c>
      <c r="X756" s="38"/>
      <c r="Y756" s="38"/>
      <c r="Z756" s="38"/>
      <c r="AA756" s="38"/>
      <c r="AB756" s="50">
        <v>46314</v>
      </c>
      <c r="AC756" s="44" t="s">
        <v>1337</v>
      </c>
      <c r="AD756" s="51">
        <v>1</v>
      </c>
      <c r="AE756" s="37" t="s">
        <v>387</v>
      </c>
      <c r="AF756" s="37" t="s">
        <v>381</v>
      </c>
      <c r="AG756" s="33" t="str">
        <f>IF(G756&gt;0,IF(AD756&gt;0,IF(AD756=0,"Waiting",IF(AD756&lt;L756,"Partial",IF(AD756=L756,"Full Supply",IF(AD756&gt;L756,"Over Shared")))),"Waiting"),"")</f>
        <v>Full Supply</v>
      </c>
      <c r="AH756" s="37"/>
      <c r="AI756" s="37" t="s">
        <v>646</v>
      </c>
      <c r="AJ756" s="181">
        <v>18</v>
      </c>
      <c r="AK756" s="40">
        <v>26191</v>
      </c>
      <c r="AL756" s="189">
        <v>46269</v>
      </c>
      <c r="AM756" s="40">
        <v>16</v>
      </c>
      <c r="AN756" s="37"/>
      <c r="AO756" s="214">
        <v>46275</v>
      </c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181">
        <f>L756-AD756</f>
        <v>0</v>
      </c>
    </row>
    <row r="757" spans="1:52" ht="15.5" customHeight="1">
      <c r="A757" s="360" t="s">
        <v>372</v>
      </c>
      <c r="B757" s="340">
        <v>46283</v>
      </c>
      <c r="C757" s="181">
        <v>51037</v>
      </c>
      <c r="D757" s="30">
        <v>46283</v>
      </c>
      <c r="E757" s="30">
        <v>46282</v>
      </c>
      <c r="F757" s="30">
        <v>46310</v>
      </c>
      <c r="G757" s="37">
        <v>4420233525</v>
      </c>
      <c r="H757" s="37" t="s">
        <v>373</v>
      </c>
      <c r="I757" s="37">
        <v>9040073264</v>
      </c>
      <c r="J757" s="37" t="s">
        <v>85</v>
      </c>
      <c r="K757" s="325" t="s">
        <v>86</v>
      </c>
      <c r="L757" s="181">
        <v>1</v>
      </c>
      <c r="M757" s="181" t="s">
        <v>375</v>
      </c>
      <c r="N757" s="37" t="s">
        <v>382</v>
      </c>
      <c r="O757" s="31">
        <f>IF(F757&gt;0,F757-AB757,"")</f>
        <v>2</v>
      </c>
      <c r="P757" s="37" t="str">
        <f>IF(F757&gt;0,IF(AB757="","PLANNING SUPPLY",IF(AB757&lt;=F757,"ONTIME DELIVERY","DELAY")),"")</f>
        <v>ONTIME DELIVERY</v>
      </c>
      <c r="Q757" s="181" t="str">
        <f>IFERROR(IF(J757&gt;0,VLOOKUP(J757,#REF!,MATCH($Q$6,#REF!,0),0),""),"")</f>
        <v/>
      </c>
      <c r="R757" s="181" t="str">
        <f>IFERROR(IF(J757&gt;0,VLOOKUP(J757,#REF!,MATCH($R$6,#REF!,0),0),""),"")</f>
        <v/>
      </c>
      <c r="S757" s="181" t="e">
        <f>IF(I760&gt;0,Q757+R757,"")</f>
        <v>#VALUE!</v>
      </c>
      <c r="T757" s="181"/>
      <c r="U757" s="181"/>
      <c r="V757" s="37"/>
      <c r="W757" s="181" t="e">
        <f>IF(I760&gt;0,IF(S757&gt;L757,"READY STOCK",IF(S757=0,"OUT OF STOCK",IF(S757&lt;L757,"LOW STOCK",""))),"")</f>
        <v>#VALUE!</v>
      </c>
      <c r="X757" s="38"/>
      <c r="Y757" s="38"/>
      <c r="Z757" s="38"/>
      <c r="AA757" s="38"/>
      <c r="AB757" s="50">
        <v>46308</v>
      </c>
      <c r="AC757" s="246">
        <v>34988</v>
      </c>
      <c r="AD757" s="51">
        <v>1</v>
      </c>
      <c r="AE757" s="37" t="s">
        <v>387</v>
      </c>
      <c r="AF757" s="37" t="s">
        <v>381</v>
      </c>
      <c r="AG757" s="33" t="str">
        <f>IF(G757&gt;0,IF(AD757&gt;0,IF(AD757=0,"Waiting",IF(AD757&lt;L757,"Partial",IF(AD757=L757,"Full Supply",IF(AD757&gt;L757,"Over Shared")))),"Waiting"),"")</f>
        <v>Full Supply</v>
      </c>
      <c r="AH757" s="37"/>
      <c r="AI757" s="37" t="s">
        <v>646</v>
      </c>
      <c r="AJ757" s="181">
        <v>5</v>
      </c>
      <c r="AK757" s="40">
        <v>26191</v>
      </c>
      <c r="AL757" s="189">
        <v>46269</v>
      </c>
      <c r="AM757" s="40">
        <v>8</v>
      </c>
      <c r="AN757" s="37"/>
      <c r="AO757" s="214">
        <v>46275</v>
      </c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181">
        <f>L757-AD757</f>
        <v>0</v>
      </c>
    </row>
    <row r="758" spans="1:52" ht="15.5" customHeight="1">
      <c r="A758" s="360" t="s">
        <v>372</v>
      </c>
      <c r="B758" s="340">
        <v>46283</v>
      </c>
      <c r="C758" s="181">
        <v>51038</v>
      </c>
      <c r="D758" s="30">
        <v>46283</v>
      </c>
      <c r="E758" s="30">
        <v>46282</v>
      </c>
      <c r="F758" s="30">
        <v>46303</v>
      </c>
      <c r="G758" s="37">
        <v>4420233519</v>
      </c>
      <c r="H758" s="37" t="s">
        <v>373</v>
      </c>
      <c r="I758" s="37">
        <v>9040130311</v>
      </c>
      <c r="J758" s="37" t="s">
        <v>191</v>
      </c>
      <c r="K758" s="325" t="s">
        <v>192</v>
      </c>
      <c r="L758" s="181">
        <v>82</v>
      </c>
      <c r="M758" s="181" t="s">
        <v>375</v>
      </c>
      <c r="N758" s="37" t="s">
        <v>431</v>
      </c>
      <c r="O758" s="31">
        <f>IF(F758&gt;0,F758-AB758,"")</f>
        <v>9</v>
      </c>
      <c r="P758" s="37" t="str">
        <f>IF(F758&gt;0,IF(AB758="","PLANNING SUPPLY",IF(AB758&lt;=F758,"ONTIME DELIVERY","DELAY")),"")</f>
        <v>ONTIME DELIVERY</v>
      </c>
      <c r="Q758" s="181" t="str">
        <f>IFERROR(IF(J758&gt;0,VLOOKUP(J758,#REF!,MATCH($Q$6,#REF!,0),0),""),"")</f>
        <v/>
      </c>
      <c r="R758" s="181" t="str">
        <f>IFERROR(IF(J758&gt;0,VLOOKUP(J758,#REF!,MATCH($R$6,#REF!,0),0),""),"")</f>
        <v/>
      </c>
      <c r="S758" s="181" t="e">
        <f>IF(I761&gt;0,Q758+R758,"")</f>
        <v>#VALUE!</v>
      </c>
      <c r="T758" s="181"/>
      <c r="U758" s="181"/>
      <c r="V758" s="37"/>
      <c r="W758" s="181" t="e">
        <f>IF(I761&gt;0,IF(S758&gt;L758,"READY STOCK",IF(S758=0,"OUT OF STOCK",IF(S758&lt;L758,"LOW STOCK",""))),"")</f>
        <v>#VALUE!</v>
      </c>
      <c r="X758" s="38"/>
      <c r="Y758" s="38"/>
      <c r="Z758" s="38"/>
      <c r="AA758" s="38"/>
      <c r="AB758" s="50">
        <v>46294</v>
      </c>
      <c r="AC758" s="181">
        <v>34627</v>
      </c>
      <c r="AD758" s="51">
        <v>82</v>
      </c>
      <c r="AE758" s="37" t="s">
        <v>387</v>
      </c>
      <c r="AF758" s="37"/>
      <c r="AG758" s="33" t="str">
        <f>IF(G758&gt;0,IF(AD758&gt;0,IF(AD758=0,"Waiting",IF(AD758&lt;L758,"Partial",IF(AD758=L758,"Full Supply",IF(AD758&gt;L758,"Over Shared")))),"Waiting"),"")</f>
        <v>Full Supply</v>
      </c>
      <c r="AH758" s="37"/>
      <c r="AI758" s="37"/>
      <c r="AJ758" s="181"/>
      <c r="AK758" s="40"/>
      <c r="AL758" s="40"/>
      <c r="AM758" s="40"/>
      <c r="AN758" s="37"/>
      <c r="AO758" s="34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181">
        <f>L758-AD758</f>
        <v>0</v>
      </c>
    </row>
    <row r="759" spans="1:52" ht="15.5" customHeight="1">
      <c r="A759" s="360" t="s">
        <v>372</v>
      </c>
      <c r="B759" s="340">
        <v>46283</v>
      </c>
      <c r="C759" s="181">
        <v>51038</v>
      </c>
      <c r="D759" s="30">
        <v>46283</v>
      </c>
      <c r="E759" s="30">
        <v>46282</v>
      </c>
      <c r="F759" s="30">
        <v>46303</v>
      </c>
      <c r="G759" s="37">
        <v>4420233519</v>
      </c>
      <c r="H759" s="37" t="s">
        <v>373</v>
      </c>
      <c r="I759" s="37">
        <v>9040032418</v>
      </c>
      <c r="J759" s="37" t="s">
        <v>276</v>
      </c>
      <c r="K759" s="325" t="s">
        <v>277</v>
      </c>
      <c r="L759" s="181">
        <v>1</v>
      </c>
      <c r="M759" s="181" t="s">
        <v>375</v>
      </c>
      <c r="N759" s="37" t="s">
        <v>431</v>
      </c>
      <c r="O759" s="31">
        <f>IF(F759&gt;0,F759-AB759,"")</f>
        <v>15</v>
      </c>
      <c r="P759" s="37" t="str">
        <f>IF(F759&gt;0,IF(AB759="","PLANNING SUPPLY",IF(AB759&lt;=F759,"ONTIME DELIVERY","DELAY")),"")</f>
        <v>ONTIME DELIVERY</v>
      </c>
      <c r="Q759" s="181" t="str">
        <f>IFERROR(IF(J759&gt;0,VLOOKUP(J759,#REF!,MATCH($Q$6,#REF!,0),0),""),"")</f>
        <v/>
      </c>
      <c r="R759" s="181" t="str">
        <f>IFERROR(IF(J759&gt;0,VLOOKUP(J759,#REF!,MATCH($R$6,#REF!,0),0),""),"")</f>
        <v/>
      </c>
      <c r="S759" s="181" t="e">
        <f>IF(I762&gt;0,Q759+R759,"")</f>
        <v>#VALUE!</v>
      </c>
      <c r="T759" s="181"/>
      <c r="U759" s="181"/>
      <c r="V759" s="37"/>
      <c r="W759" s="181" t="e">
        <f>IF(I762&gt;0,IF(S759&gt;L759,"READY STOCK",IF(S759=0,"OUT OF STOCK",IF(S759&lt;L759,"LOW STOCK",""))),"")</f>
        <v>#VALUE!</v>
      </c>
      <c r="X759" s="38"/>
      <c r="Y759" s="38"/>
      <c r="Z759" s="38"/>
      <c r="AA759" s="38"/>
      <c r="AB759" s="50">
        <v>46288</v>
      </c>
      <c r="AC759" s="181">
        <v>34489</v>
      </c>
      <c r="AD759" s="51">
        <v>1</v>
      </c>
      <c r="AE759" s="37" t="s">
        <v>383</v>
      </c>
      <c r="AF759" s="37" t="s">
        <v>381</v>
      </c>
      <c r="AG759" s="33" t="str">
        <f>IF(G759&gt;0,IF(AD759&gt;0,IF(AD759=0,"Waiting",IF(AD759&lt;L759,"Partial",IF(AD759=L759,"Full Supply",IF(AD759&gt;L759,"Over Shared")))),"Waiting"),"")</f>
        <v>Full Supply</v>
      </c>
      <c r="AH759" s="37"/>
      <c r="AI759" s="37"/>
      <c r="AJ759" s="181"/>
      <c r="AK759" s="40"/>
      <c r="AL759" s="40"/>
      <c r="AM759" s="40"/>
      <c r="AN759" s="37"/>
      <c r="AO759" s="34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181">
        <f>L759-AD759</f>
        <v>0</v>
      </c>
    </row>
    <row r="760" spans="1:52" ht="15.5" customHeight="1">
      <c r="A760" s="360" t="s">
        <v>372</v>
      </c>
      <c r="B760" s="340">
        <v>46283</v>
      </c>
      <c r="C760" s="181">
        <v>51038</v>
      </c>
      <c r="D760" s="30">
        <v>46283</v>
      </c>
      <c r="E760" s="30">
        <v>46282</v>
      </c>
      <c r="F760" s="30">
        <v>46303</v>
      </c>
      <c r="G760" s="37">
        <v>4420233519</v>
      </c>
      <c r="H760" s="37" t="s">
        <v>373</v>
      </c>
      <c r="I760" s="37">
        <v>9040130311</v>
      </c>
      <c r="J760" s="37" t="s">
        <v>191</v>
      </c>
      <c r="K760" s="325" t="s">
        <v>192</v>
      </c>
      <c r="L760" s="181">
        <v>20</v>
      </c>
      <c r="M760" s="181" t="s">
        <v>375</v>
      </c>
      <c r="N760" s="37" t="s">
        <v>431</v>
      </c>
      <c r="O760" s="31">
        <f>IF(F760&gt;0,F760-AB760,"")</f>
        <v>8</v>
      </c>
      <c r="P760" s="37" t="str">
        <f>IF(F760&gt;0,IF(AB760="","PLANNING SUPPLY",IF(AB760&lt;=F760,"ONTIME DELIVERY","DELAY")),"")</f>
        <v>ONTIME DELIVERY</v>
      </c>
      <c r="Q760" s="181" t="str">
        <f>IFERROR(IF(J760&gt;0,VLOOKUP(J760,#REF!,MATCH($Q$6,#REF!,0),0),""),"")</f>
        <v/>
      </c>
      <c r="R760" s="181" t="str">
        <f>IFERROR(IF(J760&gt;0,VLOOKUP(J760,#REF!,MATCH($R$6,#REF!,0),0),""),"")</f>
        <v/>
      </c>
      <c r="S760" s="181" t="e">
        <f>IF(I763&gt;0,Q760+R760,"")</f>
        <v>#VALUE!</v>
      </c>
      <c r="T760" s="181"/>
      <c r="U760" s="181"/>
      <c r="V760" s="37"/>
      <c r="W760" s="181" t="e">
        <f>IF(I763&gt;0,IF(S760&gt;L760,"READY STOCK",IF(S760=0,"OUT OF STOCK",IF(S760&lt;L760,"LOW STOCK",""))),"")</f>
        <v>#VALUE!</v>
      </c>
      <c r="X760" s="38"/>
      <c r="Y760" s="38"/>
      <c r="Z760" s="38"/>
      <c r="AA760" s="38"/>
      <c r="AB760" s="50">
        <v>46295</v>
      </c>
      <c r="AC760" s="181">
        <v>346522</v>
      </c>
      <c r="AD760" s="51">
        <v>20</v>
      </c>
      <c r="AE760" s="37" t="s">
        <v>387</v>
      </c>
      <c r="AF760" s="37" t="s">
        <v>381</v>
      </c>
      <c r="AG760" s="33" t="str">
        <f>IF(G760&gt;0,IF(AD760&gt;0,IF(AD760=0,"Waiting",IF(AD760&lt;L760,"Partial",IF(AD760=L760,"Full Supply",IF(AD760&gt;L760,"Over Shared")))),"Waiting"),"")</f>
        <v>Full Supply</v>
      </c>
      <c r="AH760" s="37"/>
      <c r="AI760" s="37"/>
      <c r="AJ760" s="181"/>
      <c r="AK760" s="40"/>
      <c r="AL760" s="40"/>
      <c r="AM760" s="40"/>
      <c r="AN760" s="37"/>
      <c r="AO760" s="34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181">
        <f>L760-AD760</f>
        <v>0</v>
      </c>
    </row>
    <row r="761" spans="1:52" ht="15.5" customHeight="1">
      <c r="A761" s="360" t="s">
        <v>372</v>
      </c>
      <c r="B761" s="340">
        <v>46283</v>
      </c>
      <c r="C761" s="181">
        <v>51039</v>
      </c>
      <c r="D761" s="30">
        <v>46283</v>
      </c>
      <c r="E761" s="30">
        <v>46282</v>
      </c>
      <c r="F761" s="30">
        <v>46293</v>
      </c>
      <c r="G761" s="37">
        <v>4420233591</v>
      </c>
      <c r="H761" s="37" t="s">
        <v>373</v>
      </c>
      <c r="I761" s="37">
        <v>9040017347</v>
      </c>
      <c r="J761" s="37" t="s">
        <v>72</v>
      </c>
      <c r="K761" s="325" t="s">
        <v>73</v>
      </c>
      <c r="L761" s="181">
        <v>3</v>
      </c>
      <c r="M761" s="181" t="s">
        <v>375</v>
      </c>
      <c r="N761" s="37" t="s">
        <v>408</v>
      </c>
      <c r="O761" s="31">
        <f>IF(F761&gt;0,F761-AB761,"")</f>
        <v>-16</v>
      </c>
      <c r="P761" s="37" t="str">
        <f>IF(F761&gt;0,IF(AB761="","PLANNING SUPPLY",IF(AB761&lt;=F761,"ONTIME DELIVERY","DELAY")),"")</f>
        <v>DELAY</v>
      </c>
      <c r="Q761" s="181" t="str">
        <f>IFERROR(IF(J761&gt;0,VLOOKUP(J761,#REF!,MATCH($Q$6,#REF!,0),0),""),"")</f>
        <v/>
      </c>
      <c r="R761" s="181" t="str">
        <f>IFERROR(IF(J761&gt;0,VLOOKUP(J761,#REF!,MATCH($R$6,#REF!,0),0),""),"")</f>
        <v/>
      </c>
      <c r="S761" s="181" t="e">
        <f>IF(I764&gt;0,Q761+R761,"")</f>
        <v>#VALUE!</v>
      </c>
      <c r="T761" s="181"/>
      <c r="U761" s="181"/>
      <c r="V761" s="37"/>
      <c r="W761" s="181" t="e">
        <f>IF(I764&gt;0,IF(S761&gt;L761,"READY STOCK",IF(S761=0,"OUT OF STOCK",IF(S761&lt;L761,"LOW STOCK",""))),"")</f>
        <v>#VALUE!</v>
      </c>
      <c r="X761" s="38"/>
      <c r="Y761" s="38"/>
      <c r="Z761" s="38"/>
      <c r="AA761" s="38"/>
      <c r="AB761" s="50">
        <v>46309</v>
      </c>
      <c r="AC761" s="44">
        <v>35053</v>
      </c>
      <c r="AD761" s="51">
        <v>3</v>
      </c>
      <c r="AE761" s="37" t="s">
        <v>387</v>
      </c>
      <c r="AF761" s="37" t="s">
        <v>381</v>
      </c>
      <c r="AG761" s="33" t="str">
        <f>IF(G761&gt;0,IF(AD761&gt;0,IF(AD761=0,"Waiting",IF(AD761&lt;L761,"Partial",IF(AD761=L761,"Full Supply",IF(AD761&gt;L761,"Over Shared")))),"Waiting"),"")</f>
        <v>Full Supply</v>
      </c>
      <c r="AH761" s="56">
        <v>46282</v>
      </c>
      <c r="AI761" s="37" t="s">
        <v>1303</v>
      </c>
      <c r="AJ761" s="181">
        <v>10</v>
      </c>
      <c r="AK761" s="40">
        <v>26393</v>
      </c>
      <c r="AL761" s="218">
        <v>46287</v>
      </c>
      <c r="AM761" s="40">
        <v>10</v>
      </c>
      <c r="AN761" s="37"/>
      <c r="AO761" s="46">
        <v>46298</v>
      </c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181">
        <f>L761-AD761</f>
        <v>0</v>
      </c>
    </row>
    <row r="762" spans="1:52" ht="15.5" customHeight="1">
      <c r="A762" s="360" t="s">
        <v>372</v>
      </c>
      <c r="B762" s="340">
        <v>46283</v>
      </c>
      <c r="C762" s="181">
        <v>51039</v>
      </c>
      <c r="D762" s="30">
        <v>46283</v>
      </c>
      <c r="E762" s="30">
        <v>46282</v>
      </c>
      <c r="F762" s="30">
        <v>46293</v>
      </c>
      <c r="G762" s="37">
        <v>4420233591</v>
      </c>
      <c r="H762" s="37" t="s">
        <v>373</v>
      </c>
      <c r="I762" s="37">
        <v>9040040588</v>
      </c>
      <c r="J762" s="37" t="s">
        <v>76</v>
      </c>
      <c r="K762" s="325" t="s">
        <v>77</v>
      </c>
      <c r="L762" s="181">
        <v>11</v>
      </c>
      <c r="M762" s="181" t="s">
        <v>375</v>
      </c>
      <c r="N762" s="37" t="s">
        <v>408</v>
      </c>
      <c r="O762" s="31">
        <f>IF(F762&gt;0,F762-AB762,"")</f>
        <v>27</v>
      </c>
      <c r="P762" s="37" t="str">
        <f>IF(F762&gt;0,IF(AB762="","PLANNING SUPPLY",IF(AB762&lt;=F762,"ONTIME DELIVERY","DELAY")),"")</f>
        <v>ONTIME DELIVERY</v>
      </c>
      <c r="Q762" s="181" t="str">
        <f>IFERROR(IF(J762&gt;0,VLOOKUP(J762,#REF!,MATCH($Q$6,#REF!,0),0),""),"")</f>
        <v/>
      </c>
      <c r="R762" s="181" t="str">
        <f>IFERROR(IF(J762&gt;0,VLOOKUP(J762,#REF!,MATCH($R$6,#REF!,0),0),""),"")</f>
        <v/>
      </c>
      <c r="S762" s="181" t="e">
        <f>IF(I765&gt;0,Q762+R762,"")</f>
        <v>#VALUE!</v>
      </c>
      <c r="T762" s="181"/>
      <c r="U762" s="181"/>
      <c r="V762" s="37"/>
      <c r="W762" s="181" t="e">
        <f>IF(I765&gt;0,IF(S762&gt;L762,"READY STOCK",IF(S762=0,"OUT OF STOCK",IF(S762&lt;L762,"LOW STOCK",""))),"")</f>
        <v>#VALUE!</v>
      </c>
      <c r="X762" s="38"/>
      <c r="Y762" s="38"/>
      <c r="Z762" s="38"/>
      <c r="AA762" s="38"/>
      <c r="AB762" s="50">
        <v>46266</v>
      </c>
      <c r="AC762" s="181" t="s">
        <v>1338</v>
      </c>
      <c r="AD762" s="51">
        <f>10+1</f>
        <v>11</v>
      </c>
      <c r="AE762" s="37" t="s">
        <v>387</v>
      </c>
      <c r="AF762" s="37" t="s">
        <v>381</v>
      </c>
      <c r="AG762" s="33" t="str">
        <f>IF(G762&gt;0,IF(AD762&gt;0,IF(AD762=0,"Waiting",IF(AD762&lt;L762,"Partial",IF(AD762=L762,"Full Supply",IF(AD762&gt;L762,"Over Shared")))),"Waiting"),"")</f>
        <v>Full Supply</v>
      </c>
      <c r="AH762" s="37"/>
      <c r="AI762" s="37"/>
      <c r="AJ762" s="181"/>
      <c r="AK762" s="40"/>
      <c r="AL762" s="40"/>
      <c r="AM762" s="40"/>
      <c r="AN762" s="37"/>
      <c r="AO762" s="34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181">
        <f>L762-AD762</f>
        <v>0</v>
      </c>
    </row>
    <row r="763" spans="1:52" ht="15.5" customHeight="1">
      <c r="A763" s="360" t="s">
        <v>372</v>
      </c>
      <c r="B763" s="340">
        <v>46283</v>
      </c>
      <c r="C763" s="181">
        <v>51039</v>
      </c>
      <c r="D763" s="30">
        <v>46283</v>
      </c>
      <c r="E763" s="30">
        <v>46282</v>
      </c>
      <c r="F763" s="30">
        <v>46293</v>
      </c>
      <c r="G763" s="37">
        <v>4420233591</v>
      </c>
      <c r="H763" s="37" t="s">
        <v>373</v>
      </c>
      <c r="I763" s="37">
        <v>9040041385</v>
      </c>
      <c r="J763" s="37" t="s">
        <v>6</v>
      </c>
      <c r="K763" s="325" t="s">
        <v>7</v>
      </c>
      <c r="L763" s="181">
        <v>4</v>
      </c>
      <c r="M763" s="181" t="s">
        <v>375</v>
      </c>
      <c r="N763" s="37" t="s">
        <v>408</v>
      </c>
      <c r="O763" s="31">
        <f>IF(F763&gt;0,F763-AB763,"")</f>
        <v>46293</v>
      </c>
      <c r="P763" s="37" t="str">
        <f>IF(F763&gt;0,IF(AB763="","PLANNING SUPPLY",IF(AB763&lt;=F763,"ONTIME DELIVERY","DELAY")),"")</f>
        <v>PLANNING SUPPLY</v>
      </c>
      <c r="Q763" s="181" t="str">
        <f>IFERROR(IF(J763&gt;0,VLOOKUP(J763,#REF!,MATCH($Q$6,#REF!,0),0),""),"")</f>
        <v/>
      </c>
      <c r="R763" s="181" t="str">
        <f>IFERROR(IF(J763&gt;0,VLOOKUP(J763,#REF!,MATCH($R$6,#REF!,0),0),""),"")</f>
        <v/>
      </c>
      <c r="S763" s="181" t="e">
        <f>IF(I766&gt;0,Q763+R763,"")</f>
        <v>#VALUE!</v>
      </c>
      <c r="T763" s="181"/>
      <c r="U763" s="181"/>
      <c r="V763" s="37"/>
      <c r="W763" s="181" t="e">
        <f>IF(I766&gt;0,IF(S763&gt;L763,"READY STOCK",IF(S763=0,"OUT OF STOCK",IF(S763&lt;L763,"LOW STOCK",""))),"")</f>
        <v>#VALUE!</v>
      </c>
      <c r="X763" s="38"/>
      <c r="Y763" s="38"/>
      <c r="Z763" s="38"/>
      <c r="AA763" s="38"/>
      <c r="AB763" s="50"/>
      <c r="AC763" s="181"/>
      <c r="AD763" s="51"/>
      <c r="AE763" s="37"/>
      <c r="AF763" s="37"/>
      <c r="AG763" s="33" t="str">
        <f>IF(G763&gt;0,IF(AD763&gt;0,IF(AD763=0,"Waiting",IF(AD763&lt;L763,"Partial",IF(AD763=L763,"Full Supply",IF(AD763&gt;L763,"Over Shared")))),"Waiting"),"")</f>
        <v>Waiting</v>
      </c>
      <c r="AH763" s="56">
        <v>46295</v>
      </c>
      <c r="AI763" s="37" t="s">
        <v>1314</v>
      </c>
      <c r="AJ763" s="181">
        <v>25</v>
      </c>
      <c r="AK763" s="40">
        <v>26475</v>
      </c>
      <c r="AL763" s="42">
        <v>46296</v>
      </c>
      <c r="AM763" s="181">
        <v>25</v>
      </c>
      <c r="AN763" s="37"/>
      <c r="AO763" s="41">
        <v>46296</v>
      </c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181">
        <f>L763-AD763</f>
        <v>4</v>
      </c>
    </row>
    <row r="764" spans="1:52" ht="15.5" customHeight="1">
      <c r="A764" s="360" t="s">
        <v>372</v>
      </c>
      <c r="B764" s="340">
        <v>46283</v>
      </c>
      <c r="C764" s="181">
        <v>51040</v>
      </c>
      <c r="D764" s="30">
        <v>46283</v>
      </c>
      <c r="E764" s="30">
        <v>46282</v>
      </c>
      <c r="F764" s="30">
        <v>46295</v>
      </c>
      <c r="G764" s="37">
        <v>4420233537</v>
      </c>
      <c r="H764" s="37" t="s">
        <v>373</v>
      </c>
      <c r="I764" s="37">
        <v>9040040636</v>
      </c>
      <c r="J764" s="37" t="s">
        <v>167</v>
      </c>
      <c r="K764" s="325" t="s">
        <v>168</v>
      </c>
      <c r="L764" s="181">
        <v>10</v>
      </c>
      <c r="M764" s="181" t="s">
        <v>375</v>
      </c>
      <c r="N764" s="37" t="s">
        <v>940</v>
      </c>
      <c r="O764" s="31">
        <f>IF(F764&gt;0,F764-AB764,"")</f>
        <v>1</v>
      </c>
      <c r="P764" s="37" t="str">
        <f>IF(F764&gt;0,IF(AB764="","PLANNING SUPPLY",IF(AB764&lt;=F764,"ONTIME DELIVERY","DELAY")),"")</f>
        <v>ONTIME DELIVERY</v>
      </c>
      <c r="Q764" s="181" t="str">
        <f>IFERROR(IF(J764&gt;0,VLOOKUP(J764,#REF!,MATCH($Q$6,#REF!,0),0),""),"")</f>
        <v/>
      </c>
      <c r="R764" s="181" t="str">
        <f>IFERROR(IF(J764&gt;0,VLOOKUP(J764,#REF!,MATCH($R$6,#REF!,0),0),""),"")</f>
        <v/>
      </c>
      <c r="S764" s="181" t="e">
        <f>IF(I767&gt;0,Q764+R764,"")</f>
        <v>#VALUE!</v>
      </c>
      <c r="T764" s="181"/>
      <c r="U764" s="181"/>
      <c r="V764" s="37"/>
      <c r="W764" s="181" t="e">
        <f>IF(I767&gt;0,IF(S764&gt;L764,"READY STOCK",IF(S764=0,"OUT OF STOCK",IF(S764&lt;L764,"LOW STOCK",""))),"")</f>
        <v>#VALUE!</v>
      </c>
      <c r="X764" s="38"/>
      <c r="Y764" s="38"/>
      <c r="Z764" s="38"/>
      <c r="AA764" s="38"/>
      <c r="AB764" s="50">
        <v>46294</v>
      </c>
      <c r="AC764" s="181">
        <v>34613</v>
      </c>
      <c r="AD764" s="51">
        <v>10</v>
      </c>
      <c r="AE764" s="37" t="s">
        <v>387</v>
      </c>
      <c r="AF764" s="37" t="s">
        <v>381</v>
      </c>
      <c r="AG764" s="33" t="str">
        <f>IF(G764&gt;0,IF(AD764&gt;0,IF(AD764=0,"Waiting",IF(AD764&lt;L764,"Partial",IF(AD764=L764,"Full Supply",IF(AD764&gt;L764,"Over Shared")))),"Waiting"),"")</f>
        <v>Full Supply</v>
      </c>
      <c r="AH764" s="37"/>
      <c r="AI764" s="37"/>
      <c r="AJ764" s="181"/>
      <c r="AK764" s="40"/>
      <c r="AL764" s="40"/>
      <c r="AM764" s="40"/>
      <c r="AN764" s="37"/>
      <c r="AO764" s="34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181">
        <f>L764-AD764</f>
        <v>0</v>
      </c>
    </row>
    <row r="765" spans="1:52" ht="15.5" customHeight="1">
      <c r="A765" s="360" t="s">
        <v>372</v>
      </c>
      <c r="B765" s="340">
        <v>46283</v>
      </c>
      <c r="C765" s="181">
        <v>51041</v>
      </c>
      <c r="D765" s="30">
        <v>46283</v>
      </c>
      <c r="E765" s="30">
        <v>46281</v>
      </c>
      <c r="F765" s="30">
        <v>46295</v>
      </c>
      <c r="G765" s="37">
        <v>4420233481</v>
      </c>
      <c r="H765" s="37" t="s">
        <v>373</v>
      </c>
      <c r="I765" s="37">
        <v>9040044066</v>
      </c>
      <c r="J765" s="37" t="s">
        <v>163</v>
      </c>
      <c r="K765" s="325" t="s">
        <v>164</v>
      </c>
      <c r="L765" s="181">
        <v>10</v>
      </c>
      <c r="M765" s="181" t="s">
        <v>375</v>
      </c>
      <c r="N765" s="37" t="s">
        <v>940</v>
      </c>
      <c r="O765" s="31">
        <f>IF(F765&gt;0,F765-AB765,"")</f>
        <v>-9</v>
      </c>
      <c r="P765" s="37" t="str">
        <f>IF(F765&gt;0,IF(AB765="","PLANNING SUPPLY",IF(AB765&lt;=F765,"ONTIME DELIVERY","DELAY")),"")</f>
        <v>DELAY</v>
      </c>
      <c r="Q765" s="181" t="str">
        <f>IFERROR(IF(J765&gt;0,VLOOKUP(J765,#REF!,MATCH($Q$6,#REF!,0),0),""),"")</f>
        <v/>
      </c>
      <c r="R765" s="181" t="str">
        <f>IFERROR(IF(J765&gt;0,VLOOKUP(J765,#REF!,MATCH($R$6,#REF!,0),0),""),"")</f>
        <v/>
      </c>
      <c r="S765" s="181" t="e">
        <f>IF(I768&gt;0,Q765+R765,"")</f>
        <v>#VALUE!</v>
      </c>
      <c r="T765" s="181"/>
      <c r="U765" s="181"/>
      <c r="V765" s="37"/>
      <c r="W765" s="181" t="e">
        <f>IF(I768&gt;0,IF(S765&gt;L765,"READY STOCK",IF(S765=0,"OUT OF STOCK",IF(S765&lt;L765,"LOW STOCK",""))),"")</f>
        <v>#VALUE!</v>
      </c>
      <c r="X765" s="38"/>
      <c r="Y765" s="38"/>
      <c r="Z765" s="38"/>
      <c r="AA765" s="38"/>
      <c r="AB765" s="57">
        <v>46304</v>
      </c>
      <c r="AC765" s="181">
        <v>34880</v>
      </c>
      <c r="AD765" s="53">
        <v>10</v>
      </c>
      <c r="AE765" s="58" t="s">
        <v>387</v>
      </c>
      <c r="AF765" s="58" t="s">
        <v>381</v>
      </c>
      <c r="AG765" s="33" t="str">
        <f>IF(G765&gt;0,IF(AD765&gt;0,IF(AD765=0,"Waiting",IF(AD765&lt;L765,"Partial",IF(AD765=L765,"Full Supply",IF(AD765&gt;L765,"Over Shared")))),"Waiting"),"")</f>
        <v>Full Supply</v>
      </c>
      <c r="AH765" s="37"/>
      <c r="AI765" s="37"/>
      <c r="AJ765" s="181"/>
      <c r="AK765" s="40"/>
      <c r="AL765" s="40"/>
      <c r="AM765" s="40"/>
      <c r="AN765" s="37"/>
      <c r="AO765" s="34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181">
        <f>L765-AD765</f>
        <v>0</v>
      </c>
    </row>
    <row r="766" spans="1:52" ht="15.5" customHeight="1">
      <c r="A766" s="360" t="s">
        <v>372</v>
      </c>
      <c r="B766" s="340">
        <v>46283</v>
      </c>
      <c r="C766" s="181">
        <v>51041</v>
      </c>
      <c r="D766" s="30">
        <v>46283</v>
      </c>
      <c r="E766" s="30">
        <v>46281</v>
      </c>
      <c r="F766" s="30">
        <v>46295</v>
      </c>
      <c r="G766" s="37">
        <v>4420233481</v>
      </c>
      <c r="H766" s="37" t="s">
        <v>373</v>
      </c>
      <c r="I766" s="37">
        <v>9040040486</v>
      </c>
      <c r="J766" s="37" t="s">
        <v>165</v>
      </c>
      <c r="K766" s="325" t="s">
        <v>166</v>
      </c>
      <c r="L766" s="181">
        <v>10</v>
      </c>
      <c r="M766" s="181" t="s">
        <v>375</v>
      </c>
      <c r="N766" s="37" t="s">
        <v>940</v>
      </c>
      <c r="O766" s="31">
        <f>IF(F766&gt;0,F766-AB766,"")</f>
        <v>-12</v>
      </c>
      <c r="P766" s="37" t="str">
        <f>IF(F766&gt;0,IF(AB766="","PLANNING SUPPLY",IF(AB766&lt;=F766,"ONTIME DELIVERY","DELAY")),"")</f>
        <v>DELAY</v>
      </c>
      <c r="Q766" s="181" t="str">
        <f>IFERROR(IF(J766&gt;0,VLOOKUP(J766,#REF!,MATCH($Q$6,#REF!,0),0),""),"")</f>
        <v/>
      </c>
      <c r="R766" s="181" t="str">
        <f>IFERROR(IF(J766&gt;0,VLOOKUP(J766,#REF!,MATCH($R$6,#REF!,0),0),""),"")</f>
        <v/>
      </c>
      <c r="S766" s="181" t="e">
        <f>IF(I769&gt;0,Q766+R766,"")</f>
        <v>#VALUE!</v>
      </c>
      <c r="T766" s="181"/>
      <c r="U766" s="181"/>
      <c r="V766" s="37"/>
      <c r="W766" s="181" t="e">
        <f>IF(I769&gt;0,IF(S766&gt;L766,"READY STOCK",IF(S766=0,"OUT OF STOCK",IF(S766&lt;L766,"LOW STOCK",""))),"")</f>
        <v>#VALUE!</v>
      </c>
      <c r="X766" s="38"/>
      <c r="Y766" s="38"/>
      <c r="Z766" s="38"/>
      <c r="AA766" s="38"/>
      <c r="AB766" s="50">
        <v>46307</v>
      </c>
      <c r="AC766" s="181">
        <v>34937</v>
      </c>
      <c r="AD766" s="51">
        <v>10</v>
      </c>
      <c r="AE766" s="37" t="s">
        <v>387</v>
      </c>
      <c r="AF766" s="37" t="s">
        <v>381</v>
      </c>
      <c r="AG766" s="33" t="str">
        <f>IF(G766&gt;0,IF(AD766&gt;0,IF(AD766=0,"Waiting",IF(AD766&lt;L766,"Partial",IF(AD766=L766,"Full Supply",IF(AD766&gt;L766,"Over Shared")))),"Waiting"),"")</f>
        <v>Full Supply</v>
      </c>
      <c r="AH766" s="37"/>
      <c r="AI766" s="37"/>
      <c r="AJ766" s="181"/>
      <c r="AK766" s="40"/>
      <c r="AL766" s="40"/>
      <c r="AM766" s="40"/>
      <c r="AN766" s="37"/>
      <c r="AO766" s="34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  <c r="AZ766" s="181">
        <f>L766-AD766</f>
        <v>0</v>
      </c>
    </row>
    <row r="767" spans="1:52" ht="15.5" customHeight="1">
      <c r="A767" s="360" t="s">
        <v>372</v>
      </c>
      <c r="B767" s="340">
        <v>46283</v>
      </c>
      <c r="C767" s="181">
        <v>51041</v>
      </c>
      <c r="D767" s="30">
        <v>46283</v>
      </c>
      <c r="E767" s="30">
        <v>46281</v>
      </c>
      <c r="F767" s="30">
        <v>46295</v>
      </c>
      <c r="G767" s="37">
        <v>4420233481</v>
      </c>
      <c r="H767" s="37" t="s">
        <v>373</v>
      </c>
      <c r="I767" s="37">
        <v>9040042096</v>
      </c>
      <c r="J767" s="37" t="s">
        <v>159</v>
      </c>
      <c r="K767" s="325" t="s">
        <v>160</v>
      </c>
      <c r="L767" s="181">
        <v>10</v>
      </c>
      <c r="M767" s="181" t="s">
        <v>375</v>
      </c>
      <c r="N767" s="37" t="s">
        <v>940</v>
      </c>
      <c r="O767" s="31">
        <f>IF(F767&gt;0,F767-AB767,"")</f>
        <v>1</v>
      </c>
      <c r="P767" s="37" t="str">
        <f>IF(F767&gt;0,IF(AB767="","PLANNING SUPPLY",IF(AB767&lt;=F767,"ONTIME DELIVERY","DELAY")),"")</f>
        <v>ONTIME DELIVERY</v>
      </c>
      <c r="Q767" s="181" t="str">
        <f>IFERROR(IF(J767&gt;0,VLOOKUP(J767,#REF!,MATCH($Q$6,#REF!,0),0),""),"")</f>
        <v/>
      </c>
      <c r="R767" s="181" t="str">
        <f>IFERROR(IF(J767&gt;0,VLOOKUP(J767,#REF!,MATCH($R$6,#REF!,0),0),""),"")</f>
        <v/>
      </c>
      <c r="S767" s="181" t="e">
        <f>IF(I770&gt;0,Q767+R767,"")</f>
        <v>#VALUE!</v>
      </c>
      <c r="T767" s="181"/>
      <c r="U767" s="181"/>
      <c r="V767" s="37"/>
      <c r="W767" s="181" t="e">
        <f>IF(I770&gt;0,IF(S767&gt;L767,"READY STOCK",IF(S767=0,"OUT OF STOCK",IF(S767&lt;L767,"LOW STOCK",""))),"")</f>
        <v>#VALUE!</v>
      </c>
      <c r="X767" s="38"/>
      <c r="Y767" s="38"/>
      <c r="Z767" s="38"/>
      <c r="AA767" s="38"/>
      <c r="AB767" s="50">
        <v>46294</v>
      </c>
      <c r="AC767" s="181">
        <v>34612</v>
      </c>
      <c r="AD767" s="51">
        <v>10</v>
      </c>
      <c r="AE767" s="37" t="s">
        <v>387</v>
      </c>
      <c r="AF767" s="37"/>
      <c r="AG767" s="33" t="str">
        <f>IF(G767&gt;0,IF(AD767&gt;0,IF(AD767=0,"Waiting",IF(AD767&lt;L767,"Partial",IF(AD767=L767,"Full Supply",IF(AD767&gt;L767,"Over Shared")))),"Waiting"),"")</f>
        <v>Full Supply</v>
      </c>
      <c r="AH767" s="37"/>
      <c r="AI767" s="37"/>
      <c r="AJ767" s="181"/>
      <c r="AK767" s="40"/>
      <c r="AL767" s="40"/>
      <c r="AM767" s="40"/>
      <c r="AN767" s="37"/>
      <c r="AO767" s="34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181">
        <f>L767-AD767</f>
        <v>0</v>
      </c>
    </row>
    <row r="768" spans="1:52" ht="15.5" customHeight="1">
      <c r="A768" s="360" t="s">
        <v>372</v>
      </c>
      <c r="B768" s="340">
        <v>46283</v>
      </c>
      <c r="C768" s="181">
        <v>51041</v>
      </c>
      <c r="D768" s="30">
        <v>46283</v>
      </c>
      <c r="E768" s="30">
        <v>46281</v>
      </c>
      <c r="F768" s="30">
        <v>46295</v>
      </c>
      <c r="G768" s="37">
        <v>4420233481</v>
      </c>
      <c r="H768" s="37" t="s">
        <v>373</v>
      </c>
      <c r="I768" s="37">
        <v>9040040885</v>
      </c>
      <c r="J768" s="37" t="s">
        <v>172</v>
      </c>
      <c r="K768" s="325" t="s">
        <v>173</v>
      </c>
      <c r="L768" s="181">
        <v>10</v>
      </c>
      <c r="M768" s="181" t="s">
        <v>375</v>
      </c>
      <c r="N768" s="37" t="s">
        <v>940</v>
      </c>
      <c r="O768" s="31">
        <f>IF(F768&gt;0,F768-AB768,"")</f>
        <v>1</v>
      </c>
      <c r="P768" s="37" t="str">
        <f>IF(F768&gt;0,IF(AB768="","PLANNING SUPPLY",IF(AB768&lt;=F768,"ONTIME DELIVERY","DELAY")),"")</f>
        <v>ONTIME DELIVERY</v>
      </c>
      <c r="Q768" s="181" t="str">
        <f>IFERROR(IF(J768&gt;0,VLOOKUP(J768,#REF!,MATCH($Q$6,#REF!,0),0),""),"")</f>
        <v/>
      </c>
      <c r="R768" s="181" t="str">
        <f>IFERROR(IF(J768&gt;0,VLOOKUP(J768,#REF!,MATCH($R$6,#REF!,0),0),""),"")</f>
        <v/>
      </c>
      <c r="S768" s="181" t="e">
        <f>IF(I771&gt;0,Q768+R768,"")</f>
        <v>#VALUE!</v>
      </c>
      <c r="T768" s="181"/>
      <c r="U768" s="181"/>
      <c r="V768" s="37"/>
      <c r="W768" s="181" t="e">
        <f>IF(I771&gt;0,IF(S768&gt;L768,"READY STOCK",IF(S768=0,"OUT OF STOCK",IF(S768&lt;L768,"LOW STOCK",""))),"")</f>
        <v>#VALUE!</v>
      </c>
      <c r="X768" s="38"/>
      <c r="Y768" s="38"/>
      <c r="Z768" s="38"/>
      <c r="AA768" s="38"/>
      <c r="AB768" s="50">
        <v>46294</v>
      </c>
      <c r="AC768" s="181">
        <v>34614</v>
      </c>
      <c r="AD768" s="51">
        <v>10</v>
      </c>
      <c r="AE768" s="37" t="s">
        <v>387</v>
      </c>
      <c r="AF768" s="37" t="s">
        <v>381</v>
      </c>
      <c r="AG768" s="33" t="str">
        <f>IF(G768&gt;0,IF(AD768&gt;0,IF(AD768=0,"Waiting",IF(AD768&lt;L768,"Partial",IF(AD768=L768,"Full Supply",IF(AD768&gt;L768,"Over Shared")))),"Waiting"),"")</f>
        <v>Full Supply</v>
      </c>
      <c r="AH768" s="37"/>
      <c r="AI768" s="37"/>
      <c r="AJ768" s="181"/>
      <c r="AK768" s="40"/>
      <c r="AL768" s="40"/>
      <c r="AM768" s="40"/>
      <c r="AN768" s="37"/>
      <c r="AO768" s="34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  <c r="AZ768" s="181">
        <f>L768-AD768</f>
        <v>0</v>
      </c>
    </row>
    <row r="769" spans="1:52" ht="15.5" customHeight="1">
      <c r="A769" s="360" t="s">
        <v>372</v>
      </c>
      <c r="B769" s="340">
        <v>46283</v>
      </c>
      <c r="C769" s="181">
        <v>51041</v>
      </c>
      <c r="D769" s="30">
        <v>46283</v>
      </c>
      <c r="E769" s="30">
        <v>46281</v>
      </c>
      <c r="F769" s="30">
        <v>46295</v>
      </c>
      <c r="G769" s="37">
        <v>4420233481</v>
      </c>
      <c r="H769" s="37" t="s">
        <v>373</v>
      </c>
      <c r="I769" s="37">
        <v>9040044075</v>
      </c>
      <c r="J769" s="37" t="s">
        <v>223</v>
      </c>
      <c r="K769" s="325" t="s">
        <v>224</v>
      </c>
      <c r="L769" s="181">
        <v>4</v>
      </c>
      <c r="M769" s="181" t="s">
        <v>389</v>
      </c>
      <c r="N769" s="37" t="s">
        <v>940</v>
      </c>
      <c r="O769" s="31">
        <f>IF(F769&gt;0,F769-AB769,"")</f>
        <v>-14</v>
      </c>
      <c r="P769" s="37" t="str">
        <f>IF(F769&gt;0,IF(AB769="","PLANNING SUPPLY",IF(AB769&lt;=F769,"ONTIME DELIVERY","DELAY")),"")</f>
        <v>DELAY</v>
      </c>
      <c r="Q769" s="181" t="str">
        <f>IFERROR(IF(J769&gt;0,VLOOKUP(J769,#REF!,MATCH($Q$6,#REF!,0),0),""),"")</f>
        <v/>
      </c>
      <c r="R769" s="181" t="str">
        <f>IFERROR(IF(J769&gt;0,VLOOKUP(J769,#REF!,MATCH($R$6,#REF!,0),0),""),"")</f>
        <v/>
      </c>
      <c r="S769" s="181" t="e">
        <f>IF(I772&gt;0,Q769+R769,"")</f>
        <v>#VALUE!</v>
      </c>
      <c r="T769" s="181"/>
      <c r="U769" s="181"/>
      <c r="V769" s="37"/>
      <c r="W769" s="181" t="e">
        <f>IF(I772&gt;0,IF(S769&gt;L769,"READY STOCK",IF(S769=0,"OUT OF STOCK",IF(S769&lt;L769,"LOW STOCK",""))),"")</f>
        <v>#VALUE!</v>
      </c>
      <c r="X769" s="38"/>
      <c r="Y769" s="38"/>
      <c r="Z769" s="38"/>
      <c r="AA769" s="38"/>
      <c r="AB769" s="50">
        <v>46309</v>
      </c>
      <c r="AC769" s="44">
        <v>35058</v>
      </c>
      <c r="AD769" s="51">
        <v>4</v>
      </c>
      <c r="AE769" s="37" t="s">
        <v>387</v>
      </c>
      <c r="AF769" s="37" t="s">
        <v>381</v>
      </c>
      <c r="AG769" s="33" t="str">
        <f>IF(G769&gt;0,IF(AD769&gt;0,IF(AD769=0,"Waiting",IF(AD769&lt;L769,"Partial",IF(AD769=L769,"Full Supply",IF(AD769&gt;L769,"Over Shared")))),"Waiting"),"")</f>
        <v>Full Supply</v>
      </c>
      <c r="AH769" s="37"/>
      <c r="AI769" s="37"/>
      <c r="AJ769" s="181"/>
      <c r="AK769" s="40"/>
      <c r="AL769" s="40"/>
      <c r="AM769" s="40"/>
      <c r="AN769" s="37"/>
      <c r="AO769" s="34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  <c r="AZ769" s="181">
        <f>L769-AD769</f>
        <v>0</v>
      </c>
    </row>
    <row r="770" spans="1:52" ht="15.5" customHeight="1">
      <c r="A770" s="360" t="s">
        <v>372</v>
      </c>
      <c r="B770" s="340">
        <v>46283</v>
      </c>
      <c r="C770" s="181">
        <v>51041</v>
      </c>
      <c r="D770" s="30">
        <v>46283</v>
      </c>
      <c r="E770" s="30">
        <v>46281</v>
      </c>
      <c r="F770" s="30">
        <v>46295</v>
      </c>
      <c r="G770" s="37">
        <v>4420233481</v>
      </c>
      <c r="H770" s="37" t="s">
        <v>373</v>
      </c>
      <c r="I770" s="37">
        <v>9040040401</v>
      </c>
      <c r="J770" s="37" t="s">
        <v>231</v>
      </c>
      <c r="K770" s="325" t="s">
        <v>232</v>
      </c>
      <c r="L770" s="181">
        <v>4</v>
      </c>
      <c r="M770" s="181" t="s">
        <v>389</v>
      </c>
      <c r="N770" s="37" t="s">
        <v>940</v>
      </c>
      <c r="O770" s="31">
        <f>IF(F770&gt;0,F770-AB770,"")</f>
        <v>-14</v>
      </c>
      <c r="P770" s="37" t="str">
        <f>IF(F770&gt;0,IF(AB770="","PLANNING SUPPLY",IF(AB770&lt;=F770,"ONTIME DELIVERY","DELAY")),"")</f>
        <v>DELAY</v>
      </c>
      <c r="Q770" s="181" t="str">
        <f>IFERROR(IF(J770&gt;0,VLOOKUP(J770,#REF!,MATCH($Q$6,#REF!,0),0),""),"")</f>
        <v/>
      </c>
      <c r="R770" s="181" t="str">
        <f>IFERROR(IF(J770&gt;0,VLOOKUP(J770,#REF!,MATCH($R$6,#REF!,0),0),""),"")</f>
        <v/>
      </c>
      <c r="S770" s="181" t="e">
        <f>IF(I773&gt;0,Q770+R770,"")</f>
        <v>#VALUE!</v>
      </c>
      <c r="T770" s="181"/>
      <c r="U770" s="181"/>
      <c r="V770" s="37"/>
      <c r="W770" s="181" t="e">
        <f>IF(I773&gt;0,IF(S770&gt;L770,"READY STOCK",IF(S770=0,"OUT OF STOCK",IF(S770&lt;L770,"LOW STOCK",""))),"")</f>
        <v>#VALUE!</v>
      </c>
      <c r="X770" s="38"/>
      <c r="Y770" s="38"/>
      <c r="Z770" s="38"/>
      <c r="AA770" s="38"/>
      <c r="AB770" s="50">
        <v>46309</v>
      </c>
      <c r="AC770" s="44">
        <v>35058</v>
      </c>
      <c r="AD770" s="51">
        <v>4</v>
      </c>
      <c r="AE770" s="37" t="s">
        <v>387</v>
      </c>
      <c r="AF770" s="37" t="s">
        <v>381</v>
      </c>
      <c r="AG770" s="33" t="str">
        <f>IF(G770&gt;0,IF(AD770&gt;0,IF(AD770=0,"Waiting",IF(AD770&lt;L770,"Partial",IF(AD770=L770,"Full Supply",IF(AD770&gt;L770,"Over Shared")))),"Waiting"),"")</f>
        <v>Full Supply</v>
      </c>
      <c r="AH770" s="37"/>
      <c r="AI770" s="37"/>
      <c r="AJ770" s="181"/>
      <c r="AK770" s="40"/>
      <c r="AL770" s="40"/>
      <c r="AM770" s="40"/>
      <c r="AN770" s="37"/>
      <c r="AO770" s="34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  <c r="AZ770" s="181">
        <f>L770-AD770</f>
        <v>0</v>
      </c>
    </row>
    <row r="771" spans="1:52" ht="15.5" customHeight="1">
      <c r="A771" s="360" t="s">
        <v>372</v>
      </c>
      <c r="B771" s="340">
        <v>46283</v>
      </c>
      <c r="C771" s="181">
        <v>51041</v>
      </c>
      <c r="D771" s="30">
        <v>46283</v>
      </c>
      <c r="E771" s="30">
        <v>46281</v>
      </c>
      <c r="F771" s="30">
        <v>46295</v>
      </c>
      <c r="G771" s="37">
        <v>4420233481</v>
      </c>
      <c r="H771" s="37" t="s">
        <v>373</v>
      </c>
      <c r="I771" s="37">
        <v>9040044075</v>
      </c>
      <c r="J771" s="37" t="s">
        <v>223</v>
      </c>
      <c r="K771" s="325" t="s">
        <v>224</v>
      </c>
      <c r="L771" s="181">
        <v>4</v>
      </c>
      <c r="M771" s="181" t="s">
        <v>389</v>
      </c>
      <c r="N771" s="37" t="s">
        <v>940</v>
      </c>
      <c r="O771" s="31">
        <f>IF(F771&gt;0,F771-AB771,"")</f>
        <v>-14</v>
      </c>
      <c r="P771" s="37" t="str">
        <f>IF(F771&gt;0,IF(AB771="","PLANNING SUPPLY",IF(AB771&lt;=F771,"ONTIME DELIVERY","DELAY")),"")</f>
        <v>DELAY</v>
      </c>
      <c r="Q771" s="181" t="str">
        <f>IFERROR(IF(J771&gt;0,VLOOKUP(J771,#REF!,MATCH($Q$6,#REF!,0),0),""),"")</f>
        <v/>
      </c>
      <c r="R771" s="181" t="str">
        <f>IFERROR(IF(J771&gt;0,VLOOKUP(J771,#REF!,MATCH($R$6,#REF!,0),0),""),"")</f>
        <v/>
      </c>
      <c r="S771" s="181" t="e">
        <f>IF(I774&gt;0,Q771+R771,"")</f>
        <v>#VALUE!</v>
      </c>
      <c r="T771" s="181"/>
      <c r="U771" s="181"/>
      <c r="V771" s="37"/>
      <c r="W771" s="181" t="e">
        <f>IF(I774&gt;0,IF(S771&gt;L771,"READY STOCK",IF(S771=0,"OUT OF STOCK",IF(S771&lt;L771,"LOW STOCK",""))),"")</f>
        <v>#VALUE!</v>
      </c>
      <c r="X771" s="38"/>
      <c r="Y771" s="38"/>
      <c r="Z771" s="38"/>
      <c r="AA771" s="38"/>
      <c r="AB771" s="50">
        <v>46309</v>
      </c>
      <c r="AC771" s="44">
        <v>35058</v>
      </c>
      <c r="AD771" s="51">
        <v>4</v>
      </c>
      <c r="AE771" s="37" t="s">
        <v>387</v>
      </c>
      <c r="AF771" s="37" t="s">
        <v>381</v>
      </c>
      <c r="AG771" s="33" t="str">
        <f>IF(G771&gt;0,IF(AD771&gt;0,IF(AD771=0,"Waiting",IF(AD771&lt;L771,"Partial",IF(AD771=L771,"Full Supply",IF(AD771&gt;L771,"Over Shared")))),"Waiting"),"")</f>
        <v>Full Supply</v>
      </c>
      <c r="AH771" s="37"/>
      <c r="AI771" s="37"/>
      <c r="AJ771" s="181"/>
      <c r="AK771" s="40"/>
      <c r="AL771" s="40"/>
      <c r="AM771" s="40"/>
      <c r="AN771" s="37"/>
      <c r="AO771" s="34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181">
        <f>L771-AD771</f>
        <v>0</v>
      </c>
    </row>
    <row r="772" spans="1:52" ht="15.5" customHeight="1">
      <c r="A772" s="360" t="s">
        <v>372</v>
      </c>
      <c r="B772" s="340">
        <v>46286</v>
      </c>
      <c r="C772" s="181">
        <v>51080</v>
      </c>
      <c r="D772" s="30">
        <v>46286</v>
      </c>
      <c r="E772" s="30">
        <v>46283</v>
      </c>
      <c r="F772" s="30">
        <v>46300</v>
      </c>
      <c r="G772" s="37">
        <v>4420233604</v>
      </c>
      <c r="H772" s="37" t="s">
        <v>373</v>
      </c>
      <c r="I772" s="37">
        <v>9040016581</v>
      </c>
      <c r="J772" s="37" t="s">
        <v>185</v>
      </c>
      <c r="K772" s="325" t="s">
        <v>186</v>
      </c>
      <c r="L772" s="181">
        <v>31</v>
      </c>
      <c r="M772" s="181" t="s">
        <v>375</v>
      </c>
      <c r="N772" s="37" t="s">
        <v>399</v>
      </c>
      <c r="O772" s="31">
        <f>IF(F772&gt;0,F772-AB772,"")</f>
        <v>6</v>
      </c>
      <c r="P772" s="37" t="str">
        <f>IF(F772&gt;0,IF(AB772="","PLANNING SUPPLY",IF(AB772&lt;=F772,"ONTIME DELIVERY","DELAY")),"")</f>
        <v>ONTIME DELIVERY</v>
      </c>
      <c r="Q772" s="181" t="str">
        <f>IFERROR(IF(J772&gt;0,VLOOKUP(J772,#REF!,MATCH($Q$6,#REF!,0),0),""),"")</f>
        <v/>
      </c>
      <c r="R772" s="181" t="str">
        <f>IFERROR(IF(J772&gt;0,VLOOKUP(J772,#REF!,MATCH($R$6,#REF!,0),0),""),"")</f>
        <v/>
      </c>
      <c r="S772" s="181" t="e">
        <f>IF(I775&gt;0,Q772+R772,"")</f>
        <v>#VALUE!</v>
      </c>
      <c r="T772" s="181"/>
      <c r="U772" s="181"/>
      <c r="V772" s="37"/>
      <c r="W772" s="181" t="e">
        <f>IF(I775&gt;0,IF(S772&gt;L772,"READY STOCK",IF(S772=0,"OUT OF STOCK",IF(S772&lt;L772,"LOW STOCK",""))),"")</f>
        <v>#VALUE!</v>
      </c>
      <c r="X772" s="38"/>
      <c r="Y772" s="38"/>
      <c r="Z772" s="38"/>
      <c r="AA772" s="38"/>
      <c r="AB772" s="50">
        <v>46294</v>
      </c>
      <c r="AC772" s="181">
        <v>34617</v>
      </c>
      <c r="AD772" s="51">
        <v>31</v>
      </c>
      <c r="AE772" s="37" t="s">
        <v>387</v>
      </c>
      <c r="AF772" s="37" t="s">
        <v>381</v>
      </c>
      <c r="AG772" s="33" t="str">
        <f>IF(G772&gt;0,IF(AD772&gt;0,IF(AD772=0,"Waiting",IF(AD772&lt;L772,"Partial",IF(AD772=L772,"Full Supply",IF(AD772&gt;L772,"Over Shared")))),"Waiting"),"")</f>
        <v>Full Supply</v>
      </c>
      <c r="AH772" s="37"/>
      <c r="AI772" s="37"/>
      <c r="AJ772" s="181"/>
      <c r="AK772" s="40"/>
      <c r="AL772" s="40"/>
      <c r="AM772" s="40"/>
      <c r="AN772" s="37"/>
      <c r="AO772" s="34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181">
        <f>L772-AD772</f>
        <v>0</v>
      </c>
    </row>
    <row r="773" spans="1:52" ht="15.5" customHeight="1">
      <c r="A773" s="360" t="s">
        <v>372</v>
      </c>
      <c r="B773" s="340">
        <v>46286</v>
      </c>
      <c r="C773" s="181">
        <v>51080</v>
      </c>
      <c r="D773" s="30">
        <v>46286</v>
      </c>
      <c r="E773" s="30">
        <v>46283</v>
      </c>
      <c r="F773" s="30">
        <v>46300</v>
      </c>
      <c r="G773" s="37">
        <v>4420233604</v>
      </c>
      <c r="H773" s="37" t="s">
        <v>373</v>
      </c>
      <c r="I773" s="37">
        <v>9040016582</v>
      </c>
      <c r="J773" s="37" t="s">
        <v>183</v>
      </c>
      <c r="K773" s="325" t="s">
        <v>184</v>
      </c>
      <c r="L773" s="181">
        <v>25</v>
      </c>
      <c r="M773" s="181" t="s">
        <v>375</v>
      </c>
      <c r="N773" s="37" t="s">
        <v>399</v>
      </c>
      <c r="O773" s="31">
        <f>IF(F773&gt;0,F773-AB773,"")</f>
        <v>6</v>
      </c>
      <c r="P773" s="37" t="str">
        <f>IF(F773&gt;0,IF(AB773="","PLANNING SUPPLY",IF(AB773&lt;=F773,"ONTIME DELIVERY","DELAY")),"")</f>
        <v>ONTIME DELIVERY</v>
      </c>
      <c r="Q773" s="181" t="str">
        <f>IFERROR(IF(J773&gt;0,VLOOKUP(J773,#REF!,MATCH($Q$6,#REF!,0),0),""),"")</f>
        <v/>
      </c>
      <c r="R773" s="181" t="str">
        <f>IFERROR(IF(J773&gt;0,VLOOKUP(J773,#REF!,MATCH($R$6,#REF!,0),0),""),"")</f>
        <v/>
      </c>
      <c r="S773" s="181" t="e">
        <f>IF(I776&gt;0,Q773+R773,"")</f>
        <v>#VALUE!</v>
      </c>
      <c r="T773" s="181"/>
      <c r="U773" s="181"/>
      <c r="V773" s="37"/>
      <c r="W773" s="181" t="e">
        <f>IF(I776&gt;0,IF(S773&gt;L773,"READY STOCK",IF(S773=0,"OUT OF STOCK",IF(S773&lt;L773,"LOW STOCK",""))),"")</f>
        <v>#VALUE!</v>
      </c>
      <c r="X773" s="38"/>
      <c r="Y773" s="38"/>
      <c r="Z773" s="38"/>
      <c r="AA773" s="38"/>
      <c r="AB773" s="50">
        <v>46294</v>
      </c>
      <c r="AC773" s="181">
        <v>34616</v>
      </c>
      <c r="AD773" s="51">
        <v>25</v>
      </c>
      <c r="AE773" s="37" t="s">
        <v>387</v>
      </c>
      <c r="AF773" s="37" t="s">
        <v>381</v>
      </c>
      <c r="AG773" s="33" t="str">
        <f>IF(G773&gt;0,IF(AD773&gt;0,IF(AD773=0,"Waiting",IF(AD773&lt;L773,"Partial",IF(AD773=L773,"Full Supply",IF(AD773&gt;L773,"Over Shared")))),"Waiting"),"")</f>
        <v>Full Supply</v>
      </c>
      <c r="AH773" s="37"/>
      <c r="AI773" s="37"/>
      <c r="AJ773" s="181"/>
      <c r="AK773" s="40"/>
      <c r="AL773" s="40"/>
      <c r="AM773" s="40"/>
      <c r="AN773" s="37"/>
      <c r="AO773" s="34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181">
        <f>L773-AD773</f>
        <v>0</v>
      </c>
    </row>
    <row r="774" spans="1:52" ht="15.5" customHeight="1">
      <c r="A774" s="360" t="s">
        <v>372</v>
      </c>
      <c r="B774" s="340">
        <v>46286</v>
      </c>
      <c r="C774" s="181">
        <v>51081</v>
      </c>
      <c r="D774" s="30">
        <v>46286</v>
      </c>
      <c r="E774" s="30">
        <v>46283</v>
      </c>
      <c r="F774" s="30">
        <v>46289</v>
      </c>
      <c r="G774" s="37">
        <v>4420233602</v>
      </c>
      <c r="H774" s="37" t="s">
        <v>373</v>
      </c>
      <c r="I774" s="37">
        <v>9040076744</v>
      </c>
      <c r="J774" s="37" t="s">
        <v>3</v>
      </c>
      <c r="K774" s="325" t="s">
        <v>4</v>
      </c>
      <c r="L774" s="181">
        <v>1</v>
      </c>
      <c r="M774" s="181" t="s">
        <v>375</v>
      </c>
      <c r="N774" s="37" t="s">
        <v>384</v>
      </c>
      <c r="O774" s="31">
        <f>IF(F774&gt;0,F774-AB774,"")</f>
        <v>-15</v>
      </c>
      <c r="P774" s="37" t="str">
        <f>IF(F774&gt;0,IF(AB774="","PLANNING SUPPLY",IF(AB774&lt;=F774,"ONTIME DELIVERY","DELAY")),"")</f>
        <v>DELAY</v>
      </c>
      <c r="Q774" s="181" t="str">
        <f>IFERROR(IF(J774&gt;0,VLOOKUP(J774,#REF!,MATCH($Q$6,#REF!,0),0),""),"")</f>
        <v/>
      </c>
      <c r="R774" s="181" t="str">
        <f>IFERROR(IF(J774&gt;0,VLOOKUP(J774,#REF!,MATCH($R$6,#REF!,0),0),""),"")</f>
        <v/>
      </c>
      <c r="S774" s="181" t="e">
        <f>IF(I777&gt;0,Q774+R774,"")</f>
        <v>#VALUE!</v>
      </c>
      <c r="T774" s="181"/>
      <c r="U774" s="181"/>
      <c r="V774" s="37"/>
      <c r="W774" s="181" t="e">
        <f>IF(I777&gt;0,IF(S774&gt;L774,"READY STOCK",IF(S774=0,"OUT OF STOCK",IF(S774&lt;L774,"LOW STOCK",""))),"")</f>
        <v>#VALUE!</v>
      </c>
      <c r="X774" s="38"/>
      <c r="Y774" s="38"/>
      <c r="Z774" s="38"/>
      <c r="AA774" s="38"/>
      <c r="AB774" s="57">
        <v>46304</v>
      </c>
      <c r="AC774" s="181">
        <v>34861</v>
      </c>
      <c r="AD774" s="53">
        <v>1</v>
      </c>
      <c r="AE774" s="58" t="s">
        <v>387</v>
      </c>
      <c r="AF774" s="58" t="s">
        <v>381</v>
      </c>
      <c r="AG774" s="33" t="str">
        <f>IF(G774&gt;0,IF(AD774&gt;0,IF(AD774=0,"Waiting",IF(AD774&lt;L774,"Partial",IF(AD774=L774,"Full Supply",IF(AD774&gt;L774,"Over Shared")))),"Waiting"),"")</f>
        <v>Full Supply</v>
      </c>
      <c r="AH774" s="56">
        <v>46294</v>
      </c>
      <c r="AI774" s="37" t="s">
        <v>1311</v>
      </c>
      <c r="AJ774" s="181">
        <v>18</v>
      </c>
      <c r="AK774" s="40">
        <v>26456</v>
      </c>
      <c r="AL774" s="42">
        <v>46294</v>
      </c>
      <c r="AM774" s="181">
        <v>18</v>
      </c>
      <c r="AN774" s="37"/>
      <c r="AO774" s="41">
        <v>46295</v>
      </c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  <c r="AZ774" s="181">
        <f>L774-AD774</f>
        <v>0</v>
      </c>
    </row>
    <row r="775" spans="1:52" ht="15.5" customHeight="1">
      <c r="A775" s="360" t="s">
        <v>372</v>
      </c>
      <c r="B775" s="340">
        <v>46286</v>
      </c>
      <c r="C775" s="181">
        <v>51081</v>
      </c>
      <c r="D775" s="30">
        <v>46286</v>
      </c>
      <c r="E775" s="30">
        <v>46283</v>
      </c>
      <c r="F775" s="30">
        <v>46289</v>
      </c>
      <c r="G775" s="37">
        <v>4420233602</v>
      </c>
      <c r="H775" s="37" t="s">
        <v>373</v>
      </c>
      <c r="I775" s="37">
        <v>9040081695</v>
      </c>
      <c r="J775" s="37" t="s">
        <v>106</v>
      </c>
      <c r="K775" s="325" t="s">
        <v>107</v>
      </c>
      <c r="L775" s="181">
        <v>5</v>
      </c>
      <c r="M775" s="181" t="s">
        <v>375</v>
      </c>
      <c r="N775" s="37" t="s">
        <v>384</v>
      </c>
      <c r="O775" s="31">
        <f>IF(F775&gt;0,F775-AB775,"")</f>
        <v>-25</v>
      </c>
      <c r="P775" s="37" t="str">
        <f>IF(F775&gt;0,IF(AB775="","PLANNING SUPPLY",IF(AB775&lt;=F775,"ONTIME DELIVERY","DELAY")),"")</f>
        <v>DELAY</v>
      </c>
      <c r="Q775" s="181" t="str">
        <f>IFERROR(IF(J775&gt;0,VLOOKUP(J775,#REF!,MATCH($Q$6,#REF!,0),0),""),"")</f>
        <v/>
      </c>
      <c r="R775" s="181" t="str">
        <f>IFERROR(IF(J775&gt;0,VLOOKUP(J775,#REF!,MATCH($R$6,#REF!,0),0),""),"")</f>
        <v/>
      </c>
      <c r="S775" s="181" t="e">
        <f>IF(I778&gt;0,Q775+R775,"")</f>
        <v>#VALUE!</v>
      </c>
      <c r="T775" s="181"/>
      <c r="U775" s="181"/>
      <c r="V775" s="37"/>
      <c r="W775" s="181" t="e">
        <f>IF(I778&gt;0,IF(S775&gt;L775,"READY STOCK",IF(S775=0,"OUT OF STOCK",IF(S775&lt;L775,"LOW STOCK",""))),"")</f>
        <v>#VALUE!</v>
      </c>
      <c r="X775" s="38"/>
      <c r="Y775" s="38"/>
      <c r="Z775" s="38"/>
      <c r="AA775" s="38"/>
      <c r="AB775" s="50">
        <v>46314</v>
      </c>
      <c r="AC775" s="44" t="s">
        <v>1339</v>
      </c>
      <c r="AD775" s="51">
        <v>5</v>
      </c>
      <c r="AE775" s="37" t="s">
        <v>387</v>
      </c>
      <c r="AF775" s="37" t="s">
        <v>381</v>
      </c>
      <c r="AG775" s="33" t="str">
        <f>IF(G775&gt;0,IF(AD775&gt;0,IF(AD775=0,"Waiting",IF(AD775&lt;L775,"Partial",IF(AD775=L775,"Full Supply",IF(AD775&gt;L775,"Over Shared")))),"Waiting"),"")</f>
        <v>Full Supply</v>
      </c>
      <c r="AH775" s="56">
        <v>46287</v>
      </c>
      <c r="AI775" s="37" t="s">
        <v>1340</v>
      </c>
      <c r="AJ775" s="181">
        <f>5+25</f>
        <v>30</v>
      </c>
      <c r="AK775" s="40"/>
      <c r="AL775" s="40"/>
      <c r="AM775" s="40"/>
      <c r="AN775" s="216" t="s">
        <v>1341</v>
      </c>
      <c r="AO775" s="55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181">
        <f>L775-AD775</f>
        <v>0</v>
      </c>
    </row>
    <row r="776" spans="1:52" ht="15.5" customHeight="1">
      <c r="A776" s="360" t="s">
        <v>372</v>
      </c>
      <c r="B776" s="340">
        <v>46286</v>
      </c>
      <c r="C776" s="181">
        <v>51082</v>
      </c>
      <c r="D776" s="30">
        <v>46286</v>
      </c>
      <c r="E776" s="30">
        <v>46283</v>
      </c>
      <c r="F776" s="30">
        <v>46295</v>
      </c>
      <c r="G776" s="37">
        <v>4420233630</v>
      </c>
      <c r="H776" s="37" t="s">
        <v>373</v>
      </c>
      <c r="I776" s="37">
        <v>9040040699</v>
      </c>
      <c r="J776" s="37" t="s">
        <v>27</v>
      </c>
      <c r="K776" s="325" t="s">
        <v>28</v>
      </c>
      <c r="L776" s="181">
        <v>4</v>
      </c>
      <c r="M776" s="181" t="s">
        <v>375</v>
      </c>
      <c r="N776" s="37" t="s">
        <v>680</v>
      </c>
      <c r="O776" s="31">
        <f>IF(F776&gt;0,F776-AB776,"")</f>
        <v>-19</v>
      </c>
      <c r="P776" s="37" t="str">
        <f>IF(F776&gt;0,IF(AB776="","PLANNING SUPPLY",IF(AB776&lt;=F776,"ONTIME DELIVERY","DELAY")),"")</f>
        <v>DELAY</v>
      </c>
      <c r="Q776" s="181" t="str">
        <f>IFERROR(IF(J776&gt;0,VLOOKUP(J776,#REF!,MATCH($Q$6,#REF!,0),0),""),"")</f>
        <v/>
      </c>
      <c r="R776" s="181" t="str">
        <f>IFERROR(IF(J776&gt;0,VLOOKUP(J776,#REF!,MATCH($R$6,#REF!,0),0),""),"")</f>
        <v/>
      </c>
      <c r="S776" s="181" t="e">
        <f>IF(I779&gt;0,Q776+R776,"")</f>
        <v>#VALUE!</v>
      </c>
      <c r="T776" s="181"/>
      <c r="U776" s="181"/>
      <c r="V776" s="37"/>
      <c r="W776" s="181" t="e">
        <f>IF(I779&gt;0,IF(S776&gt;L776,"READY STOCK",IF(S776=0,"OUT OF STOCK",IF(S776&lt;L776,"LOW STOCK",""))),"")</f>
        <v>#VALUE!</v>
      </c>
      <c r="X776" s="38"/>
      <c r="Y776" s="38"/>
      <c r="Z776" s="38"/>
      <c r="AA776" s="38"/>
      <c r="AB776" s="50">
        <v>46314</v>
      </c>
      <c r="AC776" s="44" t="s">
        <v>1342</v>
      </c>
      <c r="AD776" s="51">
        <v>4</v>
      </c>
      <c r="AE776" s="37" t="s">
        <v>387</v>
      </c>
      <c r="AF776" s="37" t="s">
        <v>381</v>
      </c>
      <c r="AG776" s="33" t="str">
        <f>IF(G776&gt;0,IF(AD776&gt;0,IF(AD776=0,"Waiting",IF(AD776&lt;L776,"Partial",IF(AD776=L776,"Full Supply",IF(AD776&gt;L776,"Over Shared")))),"Waiting"),"")</f>
        <v>Full Supply</v>
      </c>
      <c r="AH776" s="37"/>
      <c r="AI776" s="37"/>
      <c r="AJ776" s="181"/>
      <c r="AK776" s="40"/>
      <c r="AL776" s="40"/>
      <c r="AM776" s="40"/>
      <c r="AN776" s="37"/>
      <c r="AO776" s="34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181">
        <f>L776-AD776</f>
        <v>0</v>
      </c>
    </row>
    <row r="777" spans="1:52" ht="15.5" customHeight="1">
      <c r="A777" s="360" t="s">
        <v>372</v>
      </c>
      <c r="B777" s="340">
        <v>46287</v>
      </c>
      <c r="C777" s="181">
        <v>51157</v>
      </c>
      <c r="D777" s="30">
        <v>46287</v>
      </c>
      <c r="E777" s="30">
        <v>46280</v>
      </c>
      <c r="F777" s="30">
        <v>46295</v>
      </c>
      <c r="G777" s="37">
        <v>4420233415</v>
      </c>
      <c r="H777" s="37" t="s">
        <v>373</v>
      </c>
      <c r="I777" s="37">
        <v>9040052369</v>
      </c>
      <c r="J777" s="37" t="s">
        <v>199</v>
      </c>
      <c r="K777" s="325" t="s">
        <v>200</v>
      </c>
      <c r="L777" s="181">
        <v>10</v>
      </c>
      <c r="M777" s="181" t="s">
        <v>375</v>
      </c>
      <c r="N777" s="37" t="s">
        <v>434</v>
      </c>
      <c r="O777" s="31">
        <f>IF(F777&gt;0,F777-AB777,"")</f>
        <v>-5</v>
      </c>
      <c r="P777" s="37" t="str">
        <f>IF(F777&gt;0,IF(AB777="","PLANNING SUPPLY",IF(AB777&lt;=F777,"ONTIME DELIVERY","DELAY")),"")</f>
        <v>DELAY</v>
      </c>
      <c r="Q777" s="181" t="str">
        <f>IFERROR(IF(J777&gt;0,VLOOKUP(J777,#REF!,MATCH($Q$6,#REF!,0),0),""),"")</f>
        <v/>
      </c>
      <c r="R777" s="181" t="str">
        <f>IFERROR(IF(J777&gt;0,VLOOKUP(J777,#REF!,MATCH($R$6,#REF!,0),0),""),"")</f>
        <v/>
      </c>
      <c r="S777" s="181" t="e">
        <f>IF(I780&gt;0,Q777+R777,"")</f>
        <v>#VALUE!</v>
      </c>
      <c r="T777" s="181"/>
      <c r="U777" s="181"/>
      <c r="V777" s="37"/>
      <c r="W777" s="181" t="e">
        <f>IF(I780&gt;0,IF(S777&gt;L777,"READY STOCK",IF(S777=0,"OUT OF STOCK",IF(S777&lt;L777,"LOW STOCK",""))),"")</f>
        <v>#VALUE!</v>
      </c>
      <c r="X777" s="38"/>
      <c r="Y777" s="38"/>
      <c r="Z777" s="38"/>
      <c r="AA777" s="38"/>
      <c r="AB777" s="50">
        <v>46300</v>
      </c>
      <c r="AC777" s="44">
        <v>34737</v>
      </c>
      <c r="AD777" s="51">
        <v>10</v>
      </c>
      <c r="AE777" s="37" t="s">
        <v>387</v>
      </c>
      <c r="AF777" s="37" t="s">
        <v>381</v>
      </c>
      <c r="AG777" s="33" t="str">
        <f>IF(G777&gt;0,IF(AD777&gt;0,IF(AD777=0,"Waiting",IF(AD777&lt;L777,"Partial",IF(AD777=L777,"Full Supply",IF(AD777&gt;L777,"Over Shared")))),"Waiting"),"")</f>
        <v>Full Supply</v>
      </c>
      <c r="AH777" s="37"/>
      <c r="AI777" s="37"/>
      <c r="AJ777" s="181"/>
      <c r="AK777" s="40"/>
      <c r="AL777" s="40"/>
      <c r="AM777" s="40"/>
      <c r="AN777" s="37"/>
      <c r="AO777" s="34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181">
        <f>L777-AD777</f>
        <v>0</v>
      </c>
    </row>
    <row r="778" spans="1:52" ht="15.5" customHeight="1">
      <c r="A778" s="360" t="s">
        <v>372</v>
      </c>
      <c r="B778" s="340">
        <v>46287</v>
      </c>
      <c r="C778" s="181">
        <v>51157</v>
      </c>
      <c r="D778" s="30">
        <v>46287</v>
      </c>
      <c r="E778" s="30">
        <v>46280</v>
      </c>
      <c r="F778" s="30">
        <v>46295</v>
      </c>
      <c r="G778" s="37">
        <v>4420233415</v>
      </c>
      <c r="H778" s="37" t="s">
        <v>373</v>
      </c>
      <c r="I778" s="37">
        <v>9040002662</v>
      </c>
      <c r="J778" s="37" t="s">
        <v>174</v>
      </c>
      <c r="K778" s="325" t="s">
        <v>175</v>
      </c>
      <c r="L778" s="181">
        <v>1</v>
      </c>
      <c r="M778" s="181" t="s">
        <v>421</v>
      </c>
      <c r="N778" s="37" t="s">
        <v>434</v>
      </c>
      <c r="O778" s="31">
        <f>IF(F778&gt;0,F778-AB778,"")</f>
        <v>2</v>
      </c>
      <c r="P778" s="37" t="str">
        <f>IF(F778&gt;0,IF(AB778="","PLANNING SUPPLY",IF(AB778&lt;=F778,"ONTIME DELIVERY","DELAY")),"")</f>
        <v>ONTIME DELIVERY</v>
      </c>
      <c r="Q778" s="181" t="str">
        <f>IFERROR(IF(J778&gt;0,VLOOKUP(J778,#REF!,MATCH($Q$6,#REF!,0),0),""),"")</f>
        <v/>
      </c>
      <c r="R778" s="181" t="str">
        <f>IFERROR(IF(J778&gt;0,VLOOKUP(J778,#REF!,MATCH($R$6,#REF!,0),0),""),"")</f>
        <v/>
      </c>
      <c r="S778" s="181" t="e">
        <f>IF(I781&gt;0,Q778+R778,"")</f>
        <v>#VALUE!</v>
      </c>
      <c r="T778" s="181"/>
      <c r="U778" s="181"/>
      <c r="V778" s="37"/>
      <c r="W778" s="181" t="e">
        <f>IF(I781&gt;0,IF(S778&gt;L778,"READY STOCK",IF(S778=0,"OUT OF STOCK",IF(S778&lt;L778,"LOW STOCK",""))),"")</f>
        <v>#VALUE!</v>
      </c>
      <c r="X778" s="38"/>
      <c r="Y778" s="38"/>
      <c r="Z778" s="38"/>
      <c r="AA778" s="38"/>
      <c r="AB778" s="50">
        <v>46293</v>
      </c>
      <c r="AC778" s="181">
        <v>34590</v>
      </c>
      <c r="AD778" s="51">
        <v>1</v>
      </c>
      <c r="AE778" s="37" t="s">
        <v>383</v>
      </c>
      <c r="AF778" s="37" t="s">
        <v>381</v>
      </c>
      <c r="AG778" s="33" t="str">
        <f>IF(G778&gt;0,IF(AD778&gt;0,IF(AD778=0,"Waiting",IF(AD778&lt;L778,"Partial",IF(AD778=L778,"Full Supply",IF(AD778&gt;L778,"Over Shared")))),"Waiting"),"")</f>
        <v>Full Supply</v>
      </c>
      <c r="AH778" s="37"/>
      <c r="AI778" s="37"/>
      <c r="AJ778" s="181"/>
      <c r="AK778" s="40"/>
      <c r="AL778" s="40"/>
      <c r="AM778" s="40"/>
      <c r="AN778" s="37"/>
      <c r="AO778" s="34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181">
        <f>L778-AD778</f>
        <v>0</v>
      </c>
    </row>
    <row r="779" spans="1:52" ht="15.5" customHeight="1">
      <c r="A779" s="360" t="s">
        <v>372</v>
      </c>
      <c r="B779" s="340">
        <v>46287</v>
      </c>
      <c r="C779" s="181">
        <v>51157</v>
      </c>
      <c r="D779" s="30">
        <v>46287</v>
      </c>
      <c r="E779" s="30">
        <v>46280</v>
      </c>
      <c r="F779" s="30">
        <v>46295</v>
      </c>
      <c r="G779" s="37">
        <v>4420233415</v>
      </c>
      <c r="H779" s="37" t="s">
        <v>373</v>
      </c>
      <c r="I779" s="37">
        <v>9040015632</v>
      </c>
      <c r="J779" s="37" t="s">
        <v>29</v>
      </c>
      <c r="K779" s="325" t="s">
        <v>30</v>
      </c>
      <c r="L779" s="181">
        <v>1</v>
      </c>
      <c r="M779" s="181" t="s">
        <v>375</v>
      </c>
      <c r="N779" s="37" t="s">
        <v>434</v>
      </c>
      <c r="O779" s="31">
        <f>IF(F779&gt;0,F779-AB779,"")</f>
        <v>-5</v>
      </c>
      <c r="P779" s="37" t="str">
        <f>IF(F779&gt;0,IF(AB779="","PLANNING SUPPLY",IF(AB779&lt;=F779,"ONTIME DELIVERY","DELAY")),"")</f>
        <v>DELAY</v>
      </c>
      <c r="Q779" s="181" t="str">
        <f>IFERROR(IF(J779&gt;0,VLOOKUP(J779,#REF!,MATCH($Q$6,#REF!,0),0),""),"")</f>
        <v/>
      </c>
      <c r="R779" s="181" t="str">
        <f>IFERROR(IF(J779&gt;0,VLOOKUP(J779,#REF!,MATCH($R$6,#REF!,0),0),""),"")</f>
        <v/>
      </c>
      <c r="S779" s="181" t="e">
        <f>IF(I782&gt;0,Q779+R779,"")</f>
        <v>#VALUE!</v>
      </c>
      <c r="T779" s="181"/>
      <c r="U779" s="181"/>
      <c r="V779" s="37"/>
      <c r="W779" s="181" t="e">
        <f>IF(I782&gt;0,IF(S779&gt;L779,"READY STOCK",IF(S779=0,"OUT OF STOCK",IF(S779&lt;L779,"LOW STOCK",""))),"")</f>
        <v>#VALUE!</v>
      </c>
      <c r="X779" s="38"/>
      <c r="Y779" s="38"/>
      <c r="Z779" s="38"/>
      <c r="AA779" s="38"/>
      <c r="AB779" s="50">
        <v>46300</v>
      </c>
      <c r="AC779" s="44">
        <v>34737</v>
      </c>
      <c r="AD779" s="51">
        <v>1</v>
      </c>
      <c r="AE779" s="37" t="s">
        <v>387</v>
      </c>
      <c r="AF779" s="37" t="s">
        <v>381</v>
      </c>
      <c r="AG779" s="33" t="str">
        <f>IF(G779&gt;0,IF(AD779&gt;0,IF(AD779=0,"Waiting",IF(AD779&lt;L779,"Partial",IF(AD779=L779,"Full Supply",IF(AD779&gt;L779,"Over Shared")))),"Waiting"),"")</f>
        <v>Full Supply</v>
      </c>
      <c r="AH779" s="37"/>
      <c r="AI779" s="37"/>
      <c r="AJ779" s="181"/>
      <c r="AK779" s="40"/>
      <c r="AL779" s="40"/>
      <c r="AM779" s="40"/>
      <c r="AN779" s="37"/>
      <c r="AO779" s="34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181">
        <f>L779-AD779</f>
        <v>0</v>
      </c>
    </row>
    <row r="780" spans="1:52" ht="15.5" customHeight="1">
      <c r="A780" s="360" t="s">
        <v>372</v>
      </c>
      <c r="B780" s="340">
        <v>46287</v>
      </c>
      <c r="C780" s="181">
        <v>51157</v>
      </c>
      <c r="D780" s="30">
        <v>46287</v>
      </c>
      <c r="E780" s="30">
        <v>46280</v>
      </c>
      <c r="F780" s="30">
        <v>46295</v>
      </c>
      <c r="G780" s="37">
        <v>4420233415</v>
      </c>
      <c r="H780" s="37" t="s">
        <v>373</v>
      </c>
      <c r="I780" s="37">
        <v>9040040765</v>
      </c>
      <c r="J780" s="37" t="s">
        <v>3</v>
      </c>
      <c r="K780" s="325" t="s">
        <v>4</v>
      </c>
      <c r="L780" s="181">
        <v>1</v>
      </c>
      <c r="M780" s="181" t="s">
        <v>375</v>
      </c>
      <c r="N780" s="37" t="s">
        <v>434</v>
      </c>
      <c r="O780" s="31">
        <f>IF(F780&gt;0,F780-AB780,"")</f>
        <v>-9</v>
      </c>
      <c r="P780" s="37" t="str">
        <f>IF(F780&gt;0,IF(AB780="","PLANNING SUPPLY",IF(AB780&lt;=F780,"ONTIME DELIVERY","DELAY")),"")</f>
        <v>DELAY</v>
      </c>
      <c r="Q780" s="181" t="str">
        <f>IFERROR(IF(J780&gt;0,VLOOKUP(J780,#REF!,MATCH($Q$6,#REF!,0),0),""),"")</f>
        <v/>
      </c>
      <c r="R780" s="181" t="str">
        <f>IFERROR(IF(J780&gt;0,VLOOKUP(J780,#REF!,MATCH($R$6,#REF!,0),0),""),"")</f>
        <v/>
      </c>
      <c r="S780" s="181" t="e">
        <f>IF(I783&gt;0,Q780+R780,"")</f>
        <v>#VALUE!</v>
      </c>
      <c r="T780" s="181"/>
      <c r="U780" s="181"/>
      <c r="V780" s="37"/>
      <c r="W780" s="181" t="e">
        <f>IF(I783&gt;0,IF(S780&gt;L780,"READY STOCK",IF(S780=0,"OUT OF STOCK",IF(S780&lt;L780,"LOW STOCK",""))),"")</f>
        <v>#VALUE!</v>
      </c>
      <c r="X780" s="38"/>
      <c r="Y780" s="38"/>
      <c r="Z780" s="38"/>
      <c r="AA780" s="38"/>
      <c r="AB780" s="57">
        <v>46304</v>
      </c>
      <c r="AC780" s="181">
        <v>34867</v>
      </c>
      <c r="AD780" s="53">
        <v>1</v>
      </c>
      <c r="AE780" s="58" t="s">
        <v>387</v>
      </c>
      <c r="AF780" s="58" t="s">
        <v>381</v>
      </c>
      <c r="AG780" s="33" t="str">
        <f>IF(G780&gt;0,IF(AD780&gt;0,IF(AD780=0,"Waiting",IF(AD780&lt;L780,"Partial",IF(AD780=L780,"Full Supply",IF(AD780&gt;L780,"Over Shared")))),"Waiting"),"")</f>
        <v>Full Supply</v>
      </c>
      <c r="AH780" s="56">
        <v>46294</v>
      </c>
      <c r="AI780" s="37" t="s">
        <v>1311</v>
      </c>
      <c r="AJ780" s="181">
        <v>18</v>
      </c>
      <c r="AK780" s="40">
        <v>26456</v>
      </c>
      <c r="AL780" s="42">
        <v>46294</v>
      </c>
      <c r="AM780" s="181">
        <v>18</v>
      </c>
      <c r="AN780" s="37"/>
      <c r="AO780" s="41">
        <v>46295</v>
      </c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181">
        <f>L780-AD780</f>
        <v>0</v>
      </c>
    </row>
    <row r="781" spans="1:52" ht="15.5" customHeight="1">
      <c r="A781" s="360" t="s">
        <v>372</v>
      </c>
      <c r="B781" s="340">
        <v>46287</v>
      </c>
      <c r="C781" s="181">
        <v>51157</v>
      </c>
      <c r="D781" s="30">
        <v>46287</v>
      </c>
      <c r="E781" s="30">
        <v>46280</v>
      </c>
      <c r="F781" s="30">
        <v>46295</v>
      </c>
      <c r="G781" s="37">
        <v>4420233415</v>
      </c>
      <c r="H781" s="37" t="s">
        <v>373</v>
      </c>
      <c r="I781" s="37">
        <v>9040040390</v>
      </c>
      <c r="J781" s="37" t="s">
        <v>209</v>
      </c>
      <c r="K781" s="325" t="s">
        <v>210</v>
      </c>
      <c r="L781" s="181">
        <v>11</v>
      </c>
      <c r="M781" s="181" t="s">
        <v>421</v>
      </c>
      <c r="N781" s="37" t="s">
        <v>434</v>
      </c>
      <c r="O781" s="31">
        <f>IF(F781&gt;0,F781-AB781,"")</f>
        <v>2</v>
      </c>
      <c r="P781" s="37" t="str">
        <f>IF(F781&gt;0,IF(AB781="","PLANNING SUPPLY",IF(AB781&lt;=F781,"ONTIME DELIVERY","DELAY")),"")</f>
        <v>ONTIME DELIVERY</v>
      </c>
      <c r="Q781" s="181" t="str">
        <f>IFERROR(IF(J781&gt;0,VLOOKUP(J781,#REF!,MATCH($Q$6,#REF!,0),0),""),"")</f>
        <v/>
      </c>
      <c r="R781" s="181" t="str">
        <f>IFERROR(IF(J781&gt;0,VLOOKUP(J781,#REF!,MATCH($R$6,#REF!,0),0),""),"")</f>
        <v/>
      </c>
      <c r="S781" s="181" t="e">
        <f>IF(I784&gt;0,Q781+R781,"")</f>
        <v>#VALUE!</v>
      </c>
      <c r="T781" s="181"/>
      <c r="U781" s="181"/>
      <c r="V781" s="37"/>
      <c r="W781" s="181" t="e">
        <f>IF(I784&gt;0,IF(S781&gt;L781,"READY STOCK",IF(S781=0,"OUT OF STOCK",IF(S781&lt;L781,"LOW STOCK",""))),"")</f>
        <v>#VALUE!</v>
      </c>
      <c r="X781" s="38"/>
      <c r="Y781" s="38"/>
      <c r="Z781" s="38"/>
      <c r="AA781" s="38"/>
      <c r="AB781" s="50">
        <v>46293</v>
      </c>
      <c r="AC781" s="181">
        <v>34590</v>
      </c>
      <c r="AD781" s="51">
        <v>11</v>
      </c>
      <c r="AE781" s="37" t="s">
        <v>383</v>
      </c>
      <c r="AF781" s="37" t="s">
        <v>381</v>
      </c>
      <c r="AG781" s="33" t="str">
        <f>IF(G781&gt;0,IF(AD781&gt;0,IF(AD781=0,"Waiting",IF(AD781&lt;L781,"Partial",IF(AD781=L781,"Full Supply",IF(AD781&gt;L781,"Over Shared")))),"Waiting"),"")</f>
        <v>Full Supply</v>
      </c>
      <c r="AH781" s="37"/>
      <c r="AI781" s="37"/>
      <c r="AJ781" s="181"/>
      <c r="AK781" s="40"/>
      <c r="AL781" s="40"/>
      <c r="AM781" s="40"/>
      <c r="AN781" s="37"/>
      <c r="AO781" s="34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181">
        <f>L781-AD781</f>
        <v>0</v>
      </c>
    </row>
    <row r="782" spans="1:52" ht="15.5" customHeight="1">
      <c r="A782" s="360" t="s">
        <v>372</v>
      </c>
      <c r="B782" s="340">
        <v>46287</v>
      </c>
      <c r="C782" s="181">
        <v>51157</v>
      </c>
      <c r="D782" s="30">
        <v>46287</v>
      </c>
      <c r="E782" s="30">
        <v>46280</v>
      </c>
      <c r="F782" s="30">
        <v>46295</v>
      </c>
      <c r="G782" s="37">
        <v>4420233415</v>
      </c>
      <c r="H782" s="37" t="s">
        <v>373</v>
      </c>
      <c r="I782" s="37">
        <v>9040028877</v>
      </c>
      <c r="J782" s="37" t="s">
        <v>199</v>
      </c>
      <c r="K782" s="325" t="s">
        <v>200</v>
      </c>
      <c r="L782" s="181">
        <v>76</v>
      </c>
      <c r="M782" s="181" t="s">
        <v>375</v>
      </c>
      <c r="N782" s="37" t="s">
        <v>434</v>
      </c>
      <c r="O782" s="31">
        <f>IF(F782&gt;0,F782-AB782,"")</f>
        <v>-5</v>
      </c>
      <c r="P782" s="37" t="str">
        <f>IF(F782&gt;0,IF(AB782="","PLANNING SUPPLY",IF(AB782&lt;=F782,"ONTIME DELIVERY","DELAY")),"")</f>
        <v>DELAY</v>
      </c>
      <c r="Q782" s="181" t="str">
        <f>IFERROR(IF(J782&gt;0,VLOOKUP(J782,#REF!,MATCH($Q$6,#REF!,0),0),""),"")</f>
        <v/>
      </c>
      <c r="R782" s="181" t="str">
        <f>IFERROR(IF(J782&gt;0,VLOOKUP(J782,#REF!,MATCH($R$6,#REF!,0),0),""),"")</f>
        <v/>
      </c>
      <c r="S782" s="181" t="e">
        <f>IF(I785&gt;0,Q782+R782,"")</f>
        <v>#VALUE!</v>
      </c>
      <c r="T782" s="181"/>
      <c r="U782" s="181"/>
      <c r="V782" s="37"/>
      <c r="W782" s="181" t="e">
        <f>IF(I785&gt;0,IF(S782&gt;L782,"READY STOCK",IF(S782=0,"OUT OF STOCK",IF(S782&lt;L782,"LOW STOCK",""))),"")</f>
        <v>#VALUE!</v>
      </c>
      <c r="X782" s="38"/>
      <c r="Y782" s="38"/>
      <c r="Z782" s="38"/>
      <c r="AA782" s="38"/>
      <c r="AB782" s="50">
        <v>46300</v>
      </c>
      <c r="AC782" s="44">
        <v>34737</v>
      </c>
      <c r="AD782" s="51">
        <v>76</v>
      </c>
      <c r="AE782" s="37" t="s">
        <v>387</v>
      </c>
      <c r="AF782" s="37" t="s">
        <v>381</v>
      </c>
      <c r="AG782" s="33" t="str">
        <f>IF(G782&gt;0,IF(AD782&gt;0,IF(AD782=0,"Waiting",IF(AD782&lt;L782,"Partial",IF(AD782=L782,"Full Supply",IF(AD782&gt;L782,"Over Shared")))),"Waiting"),"")</f>
        <v>Full Supply</v>
      </c>
      <c r="AH782" s="37"/>
      <c r="AI782" s="37"/>
      <c r="AJ782" s="181"/>
      <c r="AK782" s="40"/>
      <c r="AL782" s="40"/>
      <c r="AM782" s="40"/>
      <c r="AN782" s="37"/>
      <c r="AO782" s="34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181">
        <f>L782-AD782</f>
        <v>0</v>
      </c>
    </row>
    <row r="783" spans="1:52" ht="15.5" customHeight="1">
      <c r="A783" s="360" t="s">
        <v>372</v>
      </c>
      <c r="B783" s="340">
        <v>46287</v>
      </c>
      <c r="C783" s="181">
        <v>51160</v>
      </c>
      <c r="D783" s="30">
        <v>46287</v>
      </c>
      <c r="E783" s="30">
        <v>46283</v>
      </c>
      <c r="F783" s="30">
        <v>46313</v>
      </c>
      <c r="G783" s="37">
        <v>4420233654</v>
      </c>
      <c r="H783" s="37" t="s">
        <v>373</v>
      </c>
      <c r="I783" s="37">
        <v>9040022707</v>
      </c>
      <c r="J783" s="37" t="s">
        <v>79</v>
      </c>
      <c r="K783" s="325" t="s">
        <v>80</v>
      </c>
      <c r="L783" s="181">
        <v>10</v>
      </c>
      <c r="M783" s="181" t="s">
        <v>375</v>
      </c>
      <c r="N783" s="37" t="s">
        <v>376</v>
      </c>
      <c r="O783" s="31">
        <f>IF(F783&gt;0,F783-AB783,"")</f>
        <v>19</v>
      </c>
      <c r="P783" s="37" t="str">
        <f>IF(F783&gt;0,IF(AB783="","PLANNING SUPPLY",IF(AB783&lt;=F783,"ONTIME DELIVERY","DELAY")),"")</f>
        <v>ONTIME DELIVERY</v>
      </c>
      <c r="Q783" s="181" t="str">
        <f>IFERROR(IF(J783&gt;0,VLOOKUP(J783,#REF!,MATCH($Q$6,#REF!,0),0),""),"")</f>
        <v/>
      </c>
      <c r="R783" s="181" t="str">
        <f>IFERROR(IF(J783&gt;0,VLOOKUP(J783,#REF!,MATCH($R$6,#REF!,0),0),""),"")</f>
        <v/>
      </c>
      <c r="S783" s="181" t="e">
        <f>IF(I786&gt;0,Q783+R783,"")</f>
        <v>#VALUE!</v>
      </c>
      <c r="T783" s="181"/>
      <c r="U783" s="181"/>
      <c r="V783" s="37"/>
      <c r="W783" s="181" t="e">
        <f>IF(I786&gt;0,IF(S783&gt;L783,"READY STOCK",IF(S783=0,"OUT OF STOCK",IF(S783&lt;L783,"LOW STOCK",""))),"")</f>
        <v>#VALUE!</v>
      </c>
      <c r="X783" s="38"/>
      <c r="Y783" s="38"/>
      <c r="Z783" s="38"/>
      <c r="AA783" s="38"/>
      <c r="AB783" s="50">
        <v>46294</v>
      </c>
      <c r="AC783" s="181">
        <v>34608</v>
      </c>
      <c r="AD783" s="51">
        <v>10</v>
      </c>
      <c r="AE783" s="37" t="s">
        <v>387</v>
      </c>
      <c r="AF783" s="37"/>
      <c r="AG783" s="33" t="str">
        <f>IF(G783&gt;0,IF(AD783&gt;0,IF(AD783=0,"Waiting",IF(AD783&lt;L783,"Partial",IF(AD783=L783,"Full Supply",IF(AD783&gt;L783,"Over Shared")))),"Waiting"),"")</f>
        <v>Full Supply</v>
      </c>
      <c r="AH783" s="37"/>
      <c r="AI783" s="37"/>
      <c r="AJ783" s="181"/>
      <c r="AK783" s="40"/>
      <c r="AL783" s="40"/>
      <c r="AM783" s="40"/>
      <c r="AN783" s="37"/>
      <c r="AO783" s="34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181">
        <f>L783-AD783</f>
        <v>0</v>
      </c>
    </row>
    <row r="784" spans="1:52" ht="15.5" customHeight="1">
      <c r="A784" s="360" t="s">
        <v>372</v>
      </c>
      <c r="B784" s="340">
        <v>46287</v>
      </c>
      <c r="C784" s="181">
        <v>51160</v>
      </c>
      <c r="D784" s="30">
        <v>46287</v>
      </c>
      <c r="E784" s="30">
        <v>46283</v>
      </c>
      <c r="F784" s="30">
        <v>46313</v>
      </c>
      <c r="G784" s="37">
        <v>4420233654</v>
      </c>
      <c r="H784" s="37" t="s">
        <v>373</v>
      </c>
      <c r="I784" s="37">
        <v>9040028877</v>
      </c>
      <c r="J784" s="37" t="s">
        <v>199</v>
      </c>
      <c r="K784" s="325" t="s">
        <v>200</v>
      </c>
      <c r="L784" s="181">
        <v>20</v>
      </c>
      <c r="M784" s="181" t="s">
        <v>375</v>
      </c>
      <c r="N784" s="37" t="s">
        <v>376</v>
      </c>
      <c r="O784" s="31">
        <f>IF(F784&gt;0,F784-AB784,"")</f>
        <v>13</v>
      </c>
      <c r="P784" s="37" t="str">
        <f>IF(F784&gt;0,IF(AB784="","PLANNING SUPPLY",IF(AB784&lt;=F784,"ONTIME DELIVERY","DELAY")),"")</f>
        <v>ONTIME DELIVERY</v>
      </c>
      <c r="Q784" s="181" t="str">
        <f>IFERROR(IF(J784&gt;0,VLOOKUP(J784,#REF!,MATCH($Q$6,#REF!,0),0),""),"")</f>
        <v/>
      </c>
      <c r="R784" s="181" t="str">
        <f>IFERROR(IF(J784&gt;0,VLOOKUP(J784,#REF!,MATCH($R$6,#REF!,0),0),""),"")</f>
        <v/>
      </c>
      <c r="S784" s="181" t="e">
        <f>IF(I787&gt;0,Q784+R784,"")</f>
        <v>#VALUE!</v>
      </c>
      <c r="T784" s="181"/>
      <c r="U784" s="181"/>
      <c r="V784" s="37"/>
      <c r="W784" s="181" t="e">
        <f>IF(I787&gt;0,IF(S784&gt;L784,"READY STOCK",IF(S784=0,"OUT OF STOCK",IF(S784&lt;L784,"LOW STOCK",""))),"")</f>
        <v>#VALUE!</v>
      </c>
      <c r="X784" s="38"/>
      <c r="Y784" s="38"/>
      <c r="Z784" s="38"/>
      <c r="AA784" s="38"/>
      <c r="AB784" s="50">
        <v>46300</v>
      </c>
      <c r="AC784" s="44">
        <v>34739</v>
      </c>
      <c r="AD784" s="51">
        <v>20</v>
      </c>
      <c r="AE784" s="37" t="s">
        <v>387</v>
      </c>
      <c r="AF784" s="37" t="s">
        <v>381</v>
      </c>
      <c r="AG784" s="33" t="str">
        <f>IF(G784&gt;0,IF(AD784&gt;0,IF(AD784=0,"Waiting",IF(AD784&lt;L784,"Partial",IF(AD784=L784,"Full Supply",IF(AD784&gt;L784,"Over Shared")))),"Waiting"),"")</f>
        <v>Full Supply</v>
      </c>
      <c r="AH784" s="37"/>
      <c r="AI784" s="37"/>
      <c r="AJ784" s="181"/>
      <c r="AK784" s="40"/>
      <c r="AL784" s="40"/>
      <c r="AM784" s="40"/>
      <c r="AN784" s="37"/>
      <c r="AO784" s="34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181">
        <f>L784-AD784</f>
        <v>0</v>
      </c>
    </row>
    <row r="785" spans="1:52" ht="15.5" customHeight="1">
      <c r="A785" s="360" t="s">
        <v>372</v>
      </c>
      <c r="B785" s="340">
        <v>46287</v>
      </c>
      <c r="C785" s="181">
        <v>51160</v>
      </c>
      <c r="D785" s="30">
        <v>46287</v>
      </c>
      <c r="E785" s="30">
        <v>46283</v>
      </c>
      <c r="F785" s="30">
        <v>46313</v>
      </c>
      <c r="G785" s="37">
        <v>4420233654</v>
      </c>
      <c r="H785" s="37" t="s">
        <v>373</v>
      </c>
      <c r="I785" s="37">
        <v>9040040390</v>
      </c>
      <c r="J785" s="37" t="s">
        <v>209</v>
      </c>
      <c r="K785" s="325" t="s">
        <v>210</v>
      </c>
      <c r="L785" s="181">
        <v>5</v>
      </c>
      <c r="M785" s="181" t="s">
        <v>421</v>
      </c>
      <c r="N785" s="58" t="s">
        <v>376</v>
      </c>
      <c r="O785" s="31">
        <f>IF(F785&gt;0,F785-AB785,"")</f>
        <v>46313</v>
      </c>
      <c r="P785" s="37" t="str">
        <f>IF(F785&gt;0,IF(AB785="","PLANNING SUPPLY",IF(AB785&lt;=F785,"ONTIME DELIVERY","DELAY")),"")</f>
        <v>PLANNING SUPPLY</v>
      </c>
      <c r="Q785" s="181" t="str">
        <f>IFERROR(IF(J785&gt;0,VLOOKUP(J785,#REF!,MATCH($Q$6,#REF!,0),0),""),"")</f>
        <v/>
      </c>
      <c r="R785" s="181" t="str">
        <f>IFERROR(IF(J785&gt;0,VLOOKUP(J785,#REF!,MATCH($R$6,#REF!,0),0),""),"")</f>
        <v/>
      </c>
      <c r="S785" s="181" t="e">
        <f>IF(I788&gt;0,Q785+R785,"")</f>
        <v>#VALUE!</v>
      </c>
      <c r="T785" s="181"/>
      <c r="U785" s="181"/>
      <c r="V785" s="37"/>
      <c r="W785" s="181" t="e">
        <f>IF(I788&gt;0,IF(S785&gt;L785,"READY STOCK",IF(S785=0,"OUT OF STOCK",IF(S785&lt;L785,"LOW STOCK",""))),"")</f>
        <v>#VALUE!</v>
      </c>
      <c r="X785" s="38"/>
      <c r="Y785" s="38"/>
      <c r="Z785" s="38"/>
      <c r="AA785" s="38"/>
      <c r="AB785" s="50"/>
      <c r="AC785" s="44"/>
      <c r="AD785" s="51"/>
      <c r="AE785" s="37"/>
      <c r="AF785" s="37"/>
      <c r="AG785" s="33" t="str">
        <f>IF(G785&gt;0,IF(AD785&gt;0,IF(AD785=0,"Waiting",IF(AD785&lt;L785,"Partial",IF(AD785=L785,"Full Supply",IF(AD785&gt;L785,"Over Shared")))),"Waiting"),"")</f>
        <v>Waiting</v>
      </c>
      <c r="AH785" s="56">
        <v>46296</v>
      </c>
      <c r="AI785" s="37" t="s">
        <v>1306</v>
      </c>
      <c r="AJ785" s="181">
        <v>5</v>
      </c>
      <c r="AK785" s="40"/>
      <c r="AL785" s="40"/>
      <c r="AM785" s="40"/>
      <c r="AN785" s="37"/>
      <c r="AO785" s="34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181">
        <f>L785-AD785</f>
        <v>5</v>
      </c>
    </row>
    <row r="786" spans="1:52" ht="15.5" customHeight="1">
      <c r="A786" s="360" t="s">
        <v>372</v>
      </c>
      <c r="B786" s="340">
        <v>46287</v>
      </c>
      <c r="C786" s="181">
        <v>51160</v>
      </c>
      <c r="D786" s="30">
        <v>46287</v>
      </c>
      <c r="E786" s="30">
        <v>46283</v>
      </c>
      <c r="F786" s="30">
        <v>46313</v>
      </c>
      <c r="G786" s="37">
        <v>4420233654</v>
      </c>
      <c r="H786" s="37" t="s">
        <v>373</v>
      </c>
      <c r="I786" s="37">
        <v>9040040401</v>
      </c>
      <c r="J786" s="37" t="s">
        <v>231</v>
      </c>
      <c r="K786" s="325" t="s">
        <v>232</v>
      </c>
      <c r="L786" s="181">
        <v>5</v>
      </c>
      <c r="M786" s="181" t="s">
        <v>389</v>
      </c>
      <c r="N786" s="37" t="s">
        <v>376</v>
      </c>
      <c r="O786" s="31">
        <f>IF(F786&gt;0,F786-AB786,"")</f>
        <v>46313</v>
      </c>
      <c r="P786" s="37" t="str">
        <f>IF(F786&gt;0,IF(AB786="","PLANNING SUPPLY",IF(AB786&lt;=F786,"ONTIME DELIVERY","DELAY")),"")</f>
        <v>PLANNING SUPPLY</v>
      </c>
      <c r="Q786" s="181" t="str">
        <f>IFERROR(IF(J786&gt;0,VLOOKUP(J786,#REF!,MATCH($Q$6,#REF!,0),0),""),"")</f>
        <v/>
      </c>
      <c r="R786" s="181" t="str">
        <f>IFERROR(IF(J786&gt;0,VLOOKUP(J786,#REF!,MATCH($R$6,#REF!,0),0),""),"")</f>
        <v/>
      </c>
      <c r="S786" s="181" t="e">
        <f>IF(I789&gt;0,Q786+R786,"")</f>
        <v>#VALUE!</v>
      </c>
      <c r="T786" s="181"/>
      <c r="U786" s="181"/>
      <c r="V786" s="37"/>
      <c r="W786" s="181" t="e">
        <f>IF(I789&gt;0,IF(S786&gt;L786,"READY STOCK",IF(S786=0,"OUT OF STOCK",IF(S786&lt;L786,"LOW STOCK",""))),"")</f>
        <v>#VALUE!</v>
      </c>
      <c r="X786" s="38"/>
      <c r="Y786" s="38"/>
      <c r="Z786" s="38"/>
      <c r="AA786" s="38"/>
      <c r="AB786" s="50"/>
      <c r="AC786" s="181"/>
      <c r="AD786" s="51"/>
      <c r="AE786" s="37"/>
      <c r="AF786" s="37"/>
      <c r="AG786" s="33" t="str">
        <f>IF(G786&gt;0,IF(AD786&gt;0,IF(AD786=0,"Waiting",IF(AD786&lt;L786,"Partial",IF(AD786=L786,"Full Supply",IF(AD786&gt;L786,"Over Shared")))),"Waiting"),"")</f>
        <v>Waiting</v>
      </c>
      <c r="AH786" s="37"/>
      <c r="AI786" s="37"/>
      <c r="AJ786" s="181"/>
      <c r="AK786" s="40"/>
      <c r="AL786" s="40"/>
      <c r="AM786" s="40"/>
      <c r="AN786" s="37"/>
      <c r="AO786" s="34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181">
        <f>L786-AD786</f>
        <v>5</v>
      </c>
    </row>
    <row r="787" spans="1:52" ht="15.5" customHeight="1">
      <c r="A787" s="360" t="s">
        <v>372</v>
      </c>
      <c r="B787" s="340">
        <v>46287</v>
      </c>
      <c r="C787" s="181">
        <v>51160</v>
      </c>
      <c r="D787" s="30">
        <v>46287</v>
      </c>
      <c r="E787" s="30">
        <v>46283</v>
      </c>
      <c r="F787" s="30">
        <v>46313</v>
      </c>
      <c r="G787" s="37">
        <v>4420233654</v>
      </c>
      <c r="H787" s="37" t="s">
        <v>373</v>
      </c>
      <c r="I787" s="37">
        <v>9040041385</v>
      </c>
      <c r="J787" s="37" t="s">
        <v>6</v>
      </c>
      <c r="K787" s="325" t="s">
        <v>7</v>
      </c>
      <c r="L787" s="181">
        <v>4</v>
      </c>
      <c r="M787" s="181" t="s">
        <v>375</v>
      </c>
      <c r="N787" s="37" t="s">
        <v>376</v>
      </c>
      <c r="O787" s="31">
        <f>IF(F787&gt;0,F787-AB787,"")</f>
        <v>46313</v>
      </c>
      <c r="P787" s="37" t="str">
        <f>IF(F787&gt;0,IF(AB787="","PLANNING SUPPLY",IF(AB787&lt;=F787,"ONTIME DELIVERY","DELAY")),"")</f>
        <v>PLANNING SUPPLY</v>
      </c>
      <c r="Q787" s="181" t="str">
        <f>IFERROR(IF(J787&gt;0,VLOOKUP(J787,#REF!,MATCH($Q$6,#REF!,0),0),""),"")</f>
        <v/>
      </c>
      <c r="R787" s="181" t="str">
        <f>IFERROR(IF(J787&gt;0,VLOOKUP(J787,#REF!,MATCH($R$6,#REF!,0),0),""),"")</f>
        <v/>
      </c>
      <c r="S787" s="181" t="e">
        <f>IF(I790&gt;0,Q787+R787,"")</f>
        <v>#VALUE!</v>
      </c>
      <c r="T787" s="181"/>
      <c r="U787" s="181"/>
      <c r="V787" s="37"/>
      <c r="W787" s="181" t="e">
        <f>IF(I790&gt;0,IF(S787&gt;L787,"READY STOCK",IF(S787=0,"OUT OF STOCK",IF(S787&lt;L787,"LOW STOCK",""))),"")</f>
        <v>#VALUE!</v>
      </c>
      <c r="X787" s="38"/>
      <c r="Y787" s="38"/>
      <c r="Z787" s="38"/>
      <c r="AA787" s="38"/>
      <c r="AB787" s="50"/>
      <c r="AC787" s="181"/>
      <c r="AD787" s="51"/>
      <c r="AE787" s="37"/>
      <c r="AF787" s="37"/>
      <c r="AG787" s="33" t="str">
        <f>IF(G787&gt;0,IF(AD787&gt;0,IF(AD787=0,"Waiting",IF(AD787&lt;L787,"Partial",IF(AD787=L787,"Full Supply",IF(AD787&gt;L787,"Over Shared")))),"Waiting"),"")</f>
        <v>Waiting</v>
      </c>
      <c r="AH787" s="56">
        <v>46295</v>
      </c>
      <c r="AI787" s="37" t="s">
        <v>1314</v>
      </c>
      <c r="AJ787" s="181">
        <v>25</v>
      </c>
      <c r="AK787" s="40">
        <v>26475</v>
      </c>
      <c r="AL787" s="42">
        <v>46296</v>
      </c>
      <c r="AM787" s="181">
        <v>25</v>
      </c>
      <c r="AN787" s="37"/>
      <c r="AO787" s="41">
        <v>46296</v>
      </c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181">
        <f>L787-AD787</f>
        <v>4</v>
      </c>
    </row>
    <row r="788" spans="1:52" ht="15.5" customHeight="1">
      <c r="A788" s="360" t="s">
        <v>372</v>
      </c>
      <c r="B788" s="340">
        <v>46287</v>
      </c>
      <c r="C788" s="181">
        <v>51160</v>
      </c>
      <c r="D788" s="30">
        <v>46287</v>
      </c>
      <c r="E788" s="30">
        <v>46283</v>
      </c>
      <c r="F788" s="30">
        <v>46313</v>
      </c>
      <c r="G788" s="37">
        <v>4420233654</v>
      </c>
      <c r="H788" s="37" t="s">
        <v>373</v>
      </c>
      <c r="I788" s="37">
        <v>9040052369</v>
      </c>
      <c r="J788" s="37" t="s">
        <v>199</v>
      </c>
      <c r="K788" s="325" t="s">
        <v>200</v>
      </c>
      <c r="L788" s="181">
        <v>5</v>
      </c>
      <c r="M788" s="181" t="s">
        <v>375</v>
      </c>
      <c r="N788" s="37" t="s">
        <v>376</v>
      </c>
      <c r="O788" s="31">
        <f>IF(F788&gt;0,F788-AB788,"")</f>
        <v>13</v>
      </c>
      <c r="P788" s="37" t="str">
        <f>IF(F788&gt;0,IF(AB788="","PLANNING SUPPLY",IF(AB788&lt;=F788,"ONTIME DELIVERY","DELAY")),"")</f>
        <v>ONTIME DELIVERY</v>
      </c>
      <c r="Q788" s="181" t="str">
        <f>IFERROR(IF(J788&gt;0,VLOOKUP(J788,#REF!,MATCH($Q$6,#REF!,0),0),""),"")</f>
        <v/>
      </c>
      <c r="R788" s="181" t="str">
        <f>IFERROR(IF(J788&gt;0,VLOOKUP(J788,#REF!,MATCH($R$6,#REF!,0),0),""),"")</f>
        <v/>
      </c>
      <c r="S788" s="181" t="e">
        <f>IF(I791&gt;0,Q788+R788,"")</f>
        <v>#VALUE!</v>
      </c>
      <c r="T788" s="181"/>
      <c r="U788" s="181"/>
      <c r="V788" s="37"/>
      <c r="W788" s="181" t="e">
        <f>IF(I791&gt;0,IF(S788&gt;L788,"READY STOCK",IF(S788=0,"OUT OF STOCK",IF(S788&lt;L788,"LOW STOCK",""))),"")</f>
        <v>#VALUE!</v>
      </c>
      <c r="X788" s="38"/>
      <c r="Y788" s="38"/>
      <c r="Z788" s="38"/>
      <c r="AA788" s="38"/>
      <c r="AB788" s="50">
        <v>46300</v>
      </c>
      <c r="AC788" s="44">
        <v>34739</v>
      </c>
      <c r="AD788" s="51">
        <v>5</v>
      </c>
      <c r="AE788" s="37" t="s">
        <v>387</v>
      </c>
      <c r="AF788" s="37" t="s">
        <v>381</v>
      </c>
      <c r="AG788" s="33" t="str">
        <f>IF(G788&gt;0,IF(AD788&gt;0,IF(AD788=0,"Waiting",IF(AD788&lt;L788,"Partial",IF(AD788=L788,"Full Supply",IF(AD788&gt;L788,"Over Shared")))),"Waiting"),"")</f>
        <v>Full Supply</v>
      </c>
      <c r="AH788" s="37"/>
      <c r="AI788" s="37"/>
      <c r="AJ788" s="181"/>
      <c r="AK788" s="40"/>
      <c r="AL788" s="40"/>
      <c r="AM788" s="40"/>
      <c r="AN788" s="37"/>
      <c r="AO788" s="34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181">
        <f>L788-AD788</f>
        <v>0</v>
      </c>
    </row>
    <row r="789" spans="1:52" ht="15.5" customHeight="1">
      <c r="A789" s="360" t="s">
        <v>372</v>
      </c>
      <c r="B789" s="340">
        <v>46287</v>
      </c>
      <c r="C789" s="181">
        <v>51160</v>
      </c>
      <c r="D789" s="30">
        <v>46287</v>
      </c>
      <c r="E789" s="30">
        <v>46283</v>
      </c>
      <c r="F789" s="30">
        <v>46313</v>
      </c>
      <c r="G789" s="37">
        <v>4420233654</v>
      </c>
      <c r="H789" s="37" t="s">
        <v>373</v>
      </c>
      <c r="I789" s="37">
        <v>9040052401</v>
      </c>
      <c r="J789" s="37" t="s">
        <v>252</v>
      </c>
      <c r="K789" s="325" t="s">
        <v>253</v>
      </c>
      <c r="L789" s="181">
        <v>8</v>
      </c>
      <c r="M789" s="181" t="s">
        <v>375</v>
      </c>
      <c r="N789" s="37" t="s">
        <v>376</v>
      </c>
      <c r="O789" s="31">
        <f>IF(F789&gt;0,F789-AB789,"")</f>
        <v>13</v>
      </c>
      <c r="P789" s="37" t="str">
        <f>IF(F789&gt;0,IF(AB789="","PLANNING SUPPLY",IF(AB789&lt;=F789,"ONTIME DELIVERY","DELAY")),"")</f>
        <v>ONTIME DELIVERY</v>
      </c>
      <c r="Q789" s="181" t="str">
        <f>IFERROR(IF(J789&gt;0,VLOOKUP(J789,#REF!,MATCH($Q$6,#REF!,0),0),""),"")</f>
        <v/>
      </c>
      <c r="R789" s="181" t="str">
        <f>IFERROR(IF(J789&gt;0,VLOOKUP(J789,#REF!,MATCH($R$6,#REF!,0),0),""),"")</f>
        <v/>
      </c>
      <c r="S789" s="181" t="e">
        <f>IF(I792&gt;0,Q789+R789,"")</f>
        <v>#VALUE!</v>
      </c>
      <c r="T789" s="181"/>
      <c r="U789" s="181"/>
      <c r="V789" s="37"/>
      <c r="W789" s="181" t="e">
        <f>IF(I792&gt;0,IF(S789&gt;L789,"READY STOCK",IF(S789=0,"OUT OF STOCK",IF(S789&lt;L789,"LOW STOCK",""))),"")</f>
        <v>#VALUE!</v>
      </c>
      <c r="X789" s="38"/>
      <c r="Y789" s="38"/>
      <c r="Z789" s="38"/>
      <c r="AA789" s="38"/>
      <c r="AB789" s="50">
        <v>46300</v>
      </c>
      <c r="AC789" s="44">
        <v>34739</v>
      </c>
      <c r="AD789" s="51">
        <v>8</v>
      </c>
      <c r="AE789" s="37" t="s">
        <v>387</v>
      </c>
      <c r="AF789" s="37" t="s">
        <v>381</v>
      </c>
      <c r="AG789" s="33" t="str">
        <f>IF(G789&gt;0,IF(AD789&gt;0,IF(AD789=0,"Waiting",IF(AD789&lt;L789,"Partial",IF(AD789=L789,"Full Supply",IF(AD789&gt;L789,"Over Shared")))),"Waiting"),"")</f>
        <v>Full Supply</v>
      </c>
      <c r="AH789" s="37"/>
      <c r="AI789" s="37"/>
      <c r="AJ789" s="181"/>
      <c r="AK789" s="40"/>
      <c r="AL789" s="40"/>
      <c r="AM789" s="40"/>
      <c r="AN789" s="37"/>
      <c r="AO789" s="34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181">
        <f>L789-AD789</f>
        <v>0</v>
      </c>
    </row>
    <row r="790" spans="1:52" ht="15.5" customHeight="1">
      <c r="A790" s="360" t="s">
        <v>372</v>
      </c>
      <c r="B790" s="340">
        <v>46287</v>
      </c>
      <c r="C790" s="181">
        <v>51160</v>
      </c>
      <c r="D790" s="30">
        <v>46287</v>
      </c>
      <c r="E790" s="30">
        <v>46283</v>
      </c>
      <c r="F790" s="30">
        <v>46313</v>
      </c>
      <c r="G790" s="37">
        <v>4420233654</v>
      </c>
      <c r="H790" s="37" t="s">
        <v>373</v>
      </c>
      <c r="I790" s="37">
        <v>9040054918</v>
      </c>
      <c r="J790" s="37" t="s">
        <v>308</v>
      </c>
      <c r="K790" s="325" t="s">
        <v>309</v>
      </c>
      <c r="L790" s="181">
        <v>20</v>
      </c>
      <c r="M790" s="181" t="s">
        <v>421</v>
      </c>
      <c r="N790" s="37" t="s">
        <v>376</v>
      </c>
      <c r="O790" s="31">
        <f>IF(F790&gt;0,F790-AB790,"")</f>
        <v>18</v>
      </c>
      <c r="P790" s="37" t="str">
        <f>IF(F790&gt;0,IF(AB790="","PLANNING SUPPLY",IF(AB790&lt;=F790,"ONTIME DELIVERY","DELAY")),"")</f>
        <v>ONTIME DELIVERY</v>
      </c>
      <c r="Q790" s="181" t="str">
        <f>IFERROR(IF(J790&gt;0,VLOOKUP(J790,#REF!,MATCH($Q$6,#REF!,0),0),""),"")</f>
        <v/>
      </c>
      <c r="R790" s="181" t="str">
        <f>IFERROR(IF(J790&gt;0,VLOOKUP(J790,#REF!,MATCH($R$6,#REF!,0),0),""),"")</f>
        <v/>
      </c>
      <c r="S790" s="181" t="e">
        <f>IF(I793&gt;0,Q790+R790,"")</f>
        <v>#VALUE!</v>
      </c>
      <c r="T790" s="181"/>
      <c r="U790" s="181"/>
      <c r="V790" s="37"/>
      <c r="W790" s="181" t="e">
        <f>IF(I793&gt;0,IF(S790&gt;L790,"READY STOCK",IF(S790=0,"OUT OF STOCK",IF(S790&lt;L790,"LOW STOCK",""))),"")</f>
        <v>#VALUE!</v>
      </c>
      <c r="X790" s="38"/>
      <c r="Y790" s="38"/>
      <c r="Z790" s="38"/>
      <c r="AA790" s="38"/>
      <c r="AB790" s="50">
        <v>46295</v>
      </c>
      <c r="AC790" s="181">
        <v>34648</v>
      </c>
      <c r="AD790" s="51">
        <v>20</v>
      </c>
      <c r="AE790" s="37" t="s">
        <v>387</v>
      </c>
      <c r="AF790" s="37" t="s">
        <v>381</v>
      </c>
      <c r="AG790" s="33" t="str">
        <f>IF(G790&gt;0,IF(AD790&gt;0,IF(AD790=0,"Waiting",IF(AD790&lt;L790,"Partial",IF(AD790=L790,"Full Supply",IF(AD790&gt;L790,"Over Shared")))),"Waiting"),"")</f>
        <v>Full Supply</v>
      </c>
      <c r="AH790" s="37"/>
      <c r="AI790" s="37"/>
      <c r="AJ790" s="181"/>
      <c r="AK790" s="40"/>
      <c r="AL790" s="40"/>
      <c r="AM790" s="40"/>
      <c r="AN790" s="37"/>
      <c r="AO790" s="34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181">
        <f>L790-AD790</f>
        <v>0</v>
      </c>
    </row>
    <row r="791" spans="1:52" ht="15.5" customHeight="1">
      <c r="A791" s="360" t="s">
        <v>372</v>
      </c>
      <c r="B791" s="340">
        <v>46287</v>
      </c>
      <c r="C791" s="181">
        <v>51160</v>
      </c>
      <c r="D791" s="30">
        <v>46287</v>
      </c>
      <c r="E791" s="30">
        <v>46283</v>
      </c>
      <c r="F791" s="30">
        <v>46313</v>
      </c>
      <c r="G791" s="37">
        <v>4420233654</v>
      </c>
      <c r="H791" s="37" t="s">
        <v>373</v>
      </c>
      <c r="I791" s="37">
        <v>9040055051</v>
      </c>
      <c r="J791" s="212" t="s">
        <v>10</v>
      </c>
      <c r="K791" s="325" t="s">
        <v>149</v>
      </c>
      <c r="L791" s="181">
        <v>10</v>
      </c>
      <c r="M791" s="181" t="s">
        <v>375</v>
      </c>
      <c r="N791" s="37" t="s">
        <v>376</v>
      </c>
      <c r="O791" s="31">
        <f>IF(F791&gt;0,F791-AB791,"")</f>
        <v>5</v>
      </c>
      <c r="P791" s="37" t="str">
        <f>IF(F791&gt;0,IF(AB791="","PLANNING SUPPLY",IF(AB791&lt;=F791,"ONTIME DELIVERY","DELAY")),"")</f>
        <v>ONTIME DELIVERY</v>
      </c>
      <c r="Q791" s="181" t="str">
        <f>IFERROR(IF(J791&gt;0,VLOOKUP(J791,#REF!,MATCH($Q$6,#REF!,0),0),""),"")</f>
        <v/>
      </c>
      <c r="R791" s="181" t="str">
        <f>IFERROR(IF(J791&gt;0,VLOOKUP(J791,#REF!,MATCH($R$6,#REF!,0),0),""),"")</f>
        <v/>
      </c>
      <c r="S791" s="181" t="e">
        <f>IF(I794&gt;0,Q791+R791,"")</f>
        <v>#VALUE!</v>
      </c>
      <c r="T791" s="181"/>
      <c r="U791" s="181"/>
      <c r="V791" s="37"/>
      <c r="W791" s="181" t="e">
        <f>IF(I794&gt;0,IF(S791&gt;L791,"READY STOCK",IF(S791=0,"OUT OF STOCK",IF(S791&lt;L791,"LOW STOCK",""))),"")</f>
        <v>#VALUE!</v>
      </c>
      <c r="X791" s="38"/>
      <c r="Y791" s="38"/>
      <c r="Z791" s="38"/>
      <c r="AA791" s="38"/>
      <c r="AB791" s="57">
        <v>46308</v>
      </c>
      <c r="AC791" s="246">
        <v>35005</v>
      </c>
      <c r="AD791" s="53">
        <v>5</v>
      </c>
      <c r="AE791" s="58" t="s">
        <v>387</v>
      </c>
      <c r="AF791" s="58" t="s">
        <v>381</v>
      </c>
      <c r="AG791" s="33" t="str">
        <f>IF(G791&gt;0,IF(AD791&gt;0,IF(AD791=0,"Waiting",IF(AD791&lt;L791,"Partial",IF(AD791=L791,"Full Supply",IF(AD791&gt;L791,"Over Shared")))),"Waiting"),"")</f>
        <v>Partial</v>
      </c>
      <c r="AH791" s="56">
        <v>46294</v>
      </c>
      <c r="AI791" s="37" t="s">
        <v>1311</v>
      </c>
      <c r="AJ791" s="181">
        <v>43</v>
      </c>
      <c r="AK791" s="40">
        <v>26456</v>
      </c>
      <c r="AL791" s="42">
        <v>46294</v>
      </c>
      <c r="AM791" s="181">
        <v>43</v>
      </c>
      <c r="AN791" s="37"/>
      <c r="AO791" s="41">
        <v>46295</v>
      </c>
      <c r="AP791" s="37"/>
      <c r="AQ791" s="37"/>
      <c r="AR791" s="37"/>
      <c r="AS791" s="37"/>
      <c r="AT791" s="37"/>
      <c r="AU791" s="36" t="str">
        <f>IF(AR791=0,"Waiting",IF(AR791&lt;AH791,"Kurang",IF(AR791=AH791,"Sesuai",IF(AR791&gt;AH791,"Over Shared"))))</f>
        <v>Waiting</v>
      </c>
      <c r="AV791" s="37"/>
      <c r="AW791" s="37"/>
      <c r="AX791" s="37"/>
      <c r="AY791" s="37"/>
      <c r="AZ791" s="181">
        <f>L791-AD791</f>
        <v>5</v>
      </c>
    </row>
    <row r="792" spans="1:52" ht="15.5" customHeight="1">
      <c r="A792" s="360" t="s">
        <v>372</v>
      </c>
      <c r="B792" s="340">
        <v>46287</v>
      </c>
      <c r="C792" s="181">
        <v>51161</v>
      </c>
      <c r="D792" s="30">
        <v>46287</v>
      </c>
      <c r="E792" s="30">
        <v>46283</v>
      </c>
      <c r="F792" s="30">
        <v>46313</v>
      </c>
      <c r="G792" s="37">
        <v>4420233650</v>
      </c>
      <c r="H792" s="37" t="s">
        <v>373</v>
      </c>
      <c r="I792" s="37">
        <v>9040017347</v>
      </c>
      <c r="J792" s="37" t="s">
        <v>72</v>
      </c>
      <c r="K792" s="325" t="s">
        <v>73</v>
      </c>
      <c r="L792" s="181">
        <v>3</v>
      </c>
      <c r="M792" s="181" t="s">
        <v>375</v>
      </c>
      <c r="N792" s="37" t="s">
        <v>376</v>
      </c>
      <c r="O792" s="31">
        <f>IF(F792&gt;0,F792-AB792,"")</f>
        <v>-1</v>
      </c>
      <c r="P792" s="37" t="str">
        <f>IF(F792&gt;0,IF(AB792="","PLANNING SUPPLY",IF(AB792&lt;=F792,"ONTIME DELIVERY","DELAY")),"")</f>
        <v>DELAY</v>
      </c>
      <c r="Q792" s="181" t="str">
        <f>IFERROR(IF(J792&gt;0,VLOOKUP(J792,#REF!,MATCH($Q$6,#REF!,0),0),""),"")</f>
        <v/>
      </c>
      <c r="R792" s="181" t="str">
        <f>IFERROR(IF(J792&gt;0,VLOOKUP(J792,#REF!,MATCH($R$6,#REF!,0),0),""),"")</f>
        <v/>
      </c>
      <c r="S792" s="181" t="e">
        <f>IF(I795&gt;0,Q792+R792,"")</f>
        <v>#VALUE!</v>
      </c>
      <c r="T792" s="181"/>
      <c r="U792" s="181"/>
      <c r="V792" s="37"/>
      <c r="W792" s="181" t="e">
        <f>IF(I795&gt;0,IF(S792&gt;L792,"READY STOCK",IF(S792=0,"OUT OF STOCK",IF(S792&lt;L792,"LOW STOCK",""))),"")</f>
        <v>#VALUE!</v>
      </c>
      <c r="X792" s="38"/>
      <c r="Y792" s="38"/>
      <c r="Z792" s="38"/>
      <c r="AA792" s="38"/>
      <c r="AB792" s="50">
        <v>46314</v>
      </c>
      <c r="AC792" s="44" t="s">
        <v>1343</v>
      </c>
      <c r="AD792" s="51">
        <v>1</v>
      </c>
      <c r="AE792" s="37" t="s">
        <v>387</v>
      </c>
      <c r="AF792" s="37" t="s">
        <v>381</v>
      </c>
      <c r="AG792" s="33" t="str">
        <f>IF(G792&gt;0,IF(AD792&gt;0,IF(AD792=0,"Waiting",IF(AD792&lt;L792,"Partial",IF(AD792=L792,"Full Supply",IF(AD792&gt;L792,"Over Shared")))),"Waiting"),"")</f>
        <v>Partial</v>
      </c>
      <c r="AH792" s="56">
        <v>46282</v>
      </c>
      <c r="AI792" s="37" t="s">
        <v>1303</v>
      </c>
      <c r="AJ792" s="181">
        <v>10</v>
      </c>
      <c r="AK792" s="40">
        <v>26393</v>
      </c>
      <c r="AL792" s="42">
        <v>46287</v>
      </c>
      <c r="AM792" s="181">
        <v>10</v>
      </c>
      <c r="AN792" s="37"/>
      <c r="AO792" s="46">
        <v>46298</v>
      </c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181">
        <f>L792-AD792</f>
        <v>2</v>
      </c>
    </row>
    <row r="793" spans="1:52" ht="15.5" customHeight="1">
      <c r="A793" s="360" t="s">
        <v>372</v>
      </c>
      <c r="B793" s="340">
        <v>46287</v>
      </c>
      <c r="C793" s="181">
        <v>51235</v>
      </c>
      <c r="D793" s="30">
        <v>46287</v>
      </c>
      <c r="E793" s="30">
        <v>46286</v>
      </c>
      <c r="F793" s="30">
        <v>46300</v>
      </c>
      <c r="G793" s="37">
        <v>4420233748</v>
      </c>
      <c r="H793" s="37" t="s">
        <v>373</v>
      </c>
      <c r="I793" s="37">
        <v>9040001301</v>
      </c>
      <c r="J793" s="37" t="s">
        <v>33</v>
      </c>
      <c r="K793" s="325" t="s">
        <v>34</v>
      </c>
      <c r="L793" s="181">
        <v>2</v>
      </c>
      <c r="M793" s="181" t="s">
        <v>375</v>
      </c>
      <c r="N793" s="37" t="s">
        <v>940</v>
      </c>
      <c r="O793" s="31">
        <f>IF(F793&gt;0,F793-AB793,"")</f>
        <v>-17</v>
      </c>
      <c r="P793" s="37" t="str">
        <f>IF(F793&gt;0,IF(AB793="","PLANNING SUPPLY",IF(AB793&lt;=F793,"ONTIME DELIVERY","DELAY")),"")</f>
        <v>DELAY</v>
      </c>
      <c r="Q793" s="181" t="str">
        <f>IFERROR(IF(J793&gt;0,VLOOKUP(J793,#REF!,MATCH($Q$6,#REF!,0),0),""),"")</f>
        <v/>
      </c>
      <c r="R793" s="181" t="str">
        <f>IFERROR(IF(J793&gt;0,VLOOKUP(J793,#REF!,MATCH($R$6,#REF!,0),0),""),"")</f>
        <v/>
      </c>
      <c r="S793" s="181" t="e">
        <f>IF(I796&gt;0,Q793+R793,"")</f>
        <v>#VALUE!</v>
      </c>
      <c r="T793" s="181"/>
      <c r="U793" s="181"/>
      <c r="V793" s="37"/>
      <c r="W793" s="181" t="e">
        <f>IF(I796&gt;0,IF(S793&gt;L793,"READY STOCK",IF(S793=0,"OUT OF STOCK",IF(S793&lt;L793,"LOW STOCK",""))),"")</f>
        <v>#VALUE!</v>
      </c>
      <c r="X793" s="38"/>
      <c r="Y793" s="38"/>
      <c r="Z793" s="38"/>
      <c r="AA793" s="38"/>
      <c r="AB793" s="50">
        <v>46317</v>
      </c>
      <c r="AC793" s="238" t="s">
        <v>1344</v>
      </c>
      <c r="AD793" s="51">
        <v>2</v>
      </c>
      <c r="AE793" s="37" t="s">
        <v>387</v>
      </c>
      <c r="AF793" s="37" t="s">
        <v>381</v>
      </c>
      <c r="AG793" s="33" t="str">
        <f>IF(G793&gt;0,IF(AD793&gt;0,IF(AD793=0,"Waiting",IF(AD793&lt;L793,"Partial",IF(AD793=L793,"Full Supply",IF(AD793&gt;L793,"Over Shared")))),"Waiting"),"")</f>
        <v>Full Supply</v>
      </c>
      <c r="AH793" s="37"/>
      <c r="AI793" s="37"/>
      <c r="AJ793" s="181"/>
      <c r="AK793" s="37"/>
      <c r="AL793" s="37"/>
      <c r="AM793" s="181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181">
        <f>L793-AD793</f>
        <v>0</v>
      </c>
    </row>
    <row r="794" spans="1:52" ht="15.5" customHeight="1">
      <c r="A794" s="360" t="s">
        <v>372</v>
      </c>
      <c r="B794" s="340">
        <v>46287</v>
      </c>
      <c r="C794" s="181">
        <v>51237</v>
      </c>
      <c r="D794" s="30">
        <v>46287</v>
      </c>
      <c r="E794" s="30">
        <v>46286</v>
      </c>
      <c r="F794" s="30">
        <v>46295</v>
      </c>
      <c r="G794" s="37">
        <v>4420233785</v>
      </c>
      <c r="H794" s="37" t="s">
        <v>373</v>
      </c>
      <c r="I794" s="37">
        <v>9040040486</v>
      </c>
      <c r="J794" s="37" t="s">
        <v>165</v>
      </c>
      <c r="K794" s="325" t="s">
        <v>166</v>
      </c>
      <c r="L794" s="181">
        <v>10</v>
      </c>
      <c r="M794" s="181" t="s">
        <v>375</v>
      </c>
      <c r="N794" s="37" t="s">
        <v>1285</v>
      </c>
      <c r="O794" s="31">
        <f>IF(F794&gt;0,F794-AB794,"")</f>
        <v>-12</v>
      </c>
      <c r="P794" s="37" t="str">
        <f>IF(F794&gt;0,IF(AB794="","PLANNING SUPPLY",IF(AB794&lt;=F794,"ONTIME DELIVERY","DELAY")),"")</f>
        <v>DELAY</v>
      </c>
      <c r="Q794" s="181" t="str">
        <f>IFERROR(IF(J794&gt;0,VLOOKUP(J794,#REF!,MATCH($Q$6,#REF!,0),0),""),"")</f>
        <v/>
      </c>
      <c r="R794" s="181" t="str">
        <f>IFERROR(IF(J794&gt;0,VLOOKUP(J794,#REF!,MATCH($R$6,#REF!,0),0),""),"")</f>
        <v/>
      </c>
      <c r="S794" s="181" t="e">
        <f>IF(I797&gt;0,Q794+R794,"")</f>
        <v>#VALUE!</v>
      </c>
      <c r="T794" s="181"/>
      <c r="U794" s="181"/>
      <c r="V794" s="37"/>
      <c r="W794" s="181" t="e">
        <f>IF(I797&gt;0,IF(S794&gt;L794,"READY STOCK",IF(S794=0,"OUT OF STOCK",IF(S794&lt;L794,"LOW STOCK",""))),"")</f>
        <v>#VALUE!</v>
      </c>
      <c r="X794" s="38"/>
      <c r="Y794" s="38"/>
      <c r="Z794" s="38"/>
      <c r="AA794" s="38"/>
      <c r="AB794" s="50">
        <v>46307</v>
      </c>
      <c r="AC794" s="181">
        <v>34953</v>
      </c>
      <c r="AD794" s="51">
        <v>10</v>
      </c>
      <c r="AE794" s="37" t="s">
        <v>387</v>
      </c>
      <c r="AF794" s="37" t="s">
        <v>381</v>
      </c>
      <c r="AG794" s="33" t="str">
        <f>IF(G794&gt;0,IF(AD794&gt;0,IF(AD794=0,"Waiting",IF(AD794&lt;L794,"Partial",IF(AD794=L794,"Full Supply",IF(AD794&gt;L794,"Over Shared")))),"Waiting"),"")</f>
        <v>Full Supply</v>
      </c>
      <c r="AH794" s="37"/>
      <c r="AI794" s="37"/>
      <c r="AJ794" s="181"/>
      <c r="AK794" s="37"/>
      <c r="AL794" s="37"/>
      <c r="AM794" s="181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181">
        <f>L794-AD794</f>
        <v>0</v>
      </c>
    </row>
    <row r="795" spans="1:52" ht="15.5" customHeight="1">
      <c r="A795" s="360" t="s">
        <v>372</v>
      </c>
      <c r="B795" s="340">
        <v>46287</v>
      </c>
      <c r="C795" s="181">
        <v>51237</v>
      </c>
      <c r="D795" s="30">
        <v>46287</v>
      </c>
      <c r="E795" s="30">
        <v>46286</v>
      </c>
      <c r="F795" s="30">
        <v>46295</v>
      </c>
      <c r="G795" s="37">
        <v>4420233785</v>
      </c>
      <c r="H795" s="37" t="s">
        <v>373</v>
      </c>
      <c r="I795" s="37">
        <v>9040044066</v>
      </c>
      <c r="J795" s="37" t="s">
        <v>163</v>
      </c>
      <c r="K795" s="325" t="s">
        <v>164</v>
      </c>
      <c r="L795" s="181">
        <v>6</v>
      </c>
      <c r="M795" s="181" t="s">
        <v>375</v>
      </c>
      <c r="N795" s="37" t="s">
        <v>1285</v>
      </c>
      <c r="O795" s="31">
        <f>IF(F795&gt;0,F795-AB795,"")</f>
        <v>-13</v>
      </c>
      <c r="P795" s="37" t="str">
        <f>IF(F795&gt;0,IF(AB795="","PLANNING SUPPLY",IF(AB795&lt;=F795,"ONTIME DELIVERY","DELAY")),"")</f>
        <v>DELAY</v>
      </c>
      <c r="Q795" s="181" t="str">
        <f>IFERROR(IF(J795&gt;0,VLOOKUP(J795,#REF!,MATCH($Q$6,#REF!,0),0),""),"")</f>
        <v/>
      </c>
      <c r="R795" s="181" t="str">
        <f>IFERROR(IF(J795&gt;0,VLOOKUP(J795,#REF!,MATCH($R$6,#REF!,0),0),""),"")</f>
        <v/>
      </c>
      <c r="S795" s="181" t="e">
        <f>IF(I798&gt;0,Q795+R795,"")</f>
        <v>#VALUE!</v>
      </c>
      <c r="T795" s="181"/>
      <c r="U795" s="181"/>
      <c r="V795" s="37"/>
      <c r="W795" s="181" t="e">
        <f>IF(I798&gt;0,IF(S795&gt;L795,"READY STOCK",IF(S795=0,"OUT OF STOCK",IF(S795&lt;L795,"LOW STOCK",""))),"")</f>
        <v>#VALUE!</v>
      </c>
      <c r="X795" s="38"/>
      <c r="Y795" s="38"/>
      <c r="Z795" s="38"/>
      <c r="AA795" s="38"/>
      <c r="AB795" s="50">
        <v>46308</v>
      </c>
      <c r="AC795" s="246">
        <v>34994</v>
      </c>
      <c r="AD795" s="51">
        <v>6</v>
      </c>
      <c r="AE795" s="37" t="s">
        <v>387</v>
      </c>
      <c r="AF795" s="37" t="s">
        <v>381</v>
      </c>
      <c r="AG795" s="33" t="str">
        <f>IF(G795&gt;0,IF(AD795&gt;0,IF(AD795=0,"Waiting",IF(AD795&lt;L795,"Partial",IF(AD795=L795,"Full Supply",IF(AD795&gt;L795,"Over Shared")))),"Waiting"),"")</f>
        <v>Full Supply</v>
      </c>
      <c r="AH795" s="37"/>
      <c r="AI795" s="37"/>
      <c r="AJ795" s="181"/>
      <c r="AK795" s="37"/>
      <c r="AL795" s="37"/>
      <c r="AM795" s="181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181">
        <f>L795-AD795</f>
        <v>0</v>
      </c>
    </row>
    <row r="796" spans="1:52" ht="15.5" customHeight="1">
      <c r="A796" s="360" t="s">
        <v>372</v>
      </c>
      <c r="B796" s="340">
        <v>46287</v>
      </c>
      <c r="C796" s="181">
        <v>51237</v>
      </c>
      <c r="D796" s="30">
        <v>46287</v>
      </c>
      <c r="E796" s="30">
        <v>46286</v>
      </c>
      <c r="F796" s="30">
        <v>46295</v>
      </c>
      <c r="G796" s="37">
        <v>4420233785</v>
      </c>
      <c r="H796" s="37" t="s">
        <v>373</v>
      </c>
      <c r="I796" s="37">
        <v>9040044191</v>
      </c>
      <c r="J796" s="37" t="s">
        <v>187</v>
      </c>
      <c r="K796" s="325" t="s">
        <v>188</v>
      </c>
      <c r="L796" s="181">
        <v>5</v>
      </c>
      <c r="M796" s="181" t="s">
        <v>375</v>
      </c>
      <c r="N796" s="37" t="s">
        <v>1285</v>
      </c>
      <c r="O796" s="31">
        <f>IF(F796&gt;0,F796-AB796,"")</f>
        <v>-12</v>
      </c>
      <c r="P796" s="37" t="str">
        <f>IF(F796&gt;0,IF(AB796="","PLANNING SUPPLY",IF(AB796&lt;=F796,"ONTIME DELIVERY","DELAY")),"")</f>
        <v>DELAY</v>
      </c>
      <c r="Q796" s="181" t="str">
        <f>IFERROR(IF(J796&gt;0,VLOOKUP(J796,#REF!,MATCH($Q$6,#REF!,0),0),""),"")</f>
        <v/>
      </c>
      <c r="R796" s="181" t="str">
        <f>IFERROR(IF(J796&gt;0,VLOOKUP(J796,#REF!,MATCH($R$6,#REF!,0),0),""),"")</f>
        <v/>
      </c>
      <c r="S796" s="181" t="e">
        <f>IF(I799&gt;0,Q796+R796,"")</f>
        <v>#VALUE!</v>
      </c>
      <c r="T796" s="181"/>
      <c r="U796" s="181"/>
      <c r="V796" s="37"/>
      <c r="W796" s="181" t="e">
        <f>IF(I799&gt;0,IF(S796&gt;L796,"READY STOCK",IF(S796=0,"OUT OF STOCK",IF(S796&lt;L796,"LOW STOCK",""))),"")</f>
        <v>#VALUE!</v>
      </c>
      <c r="X796" s="38"/>
      <c r="Y796" s="38"/>
      <c r="Z796" s="38"/>
      <c r="AA796" s="38"/>
      <c r="AB796" s="50">
        <v>46307</v>
      </c>
      <c r="AC796" s="181">
        <v>34953</v>
      </c>
      <c r="AD796" s="51">
        <v>5</v>
      </c>
      <c r="AE796" s="37" t="s">
        <v>387</v>
      </c>
      <c r="AF796" s="37" t="s">
        <v>381</v>
      </c>
      <c r="AG796" s="33" t="str">
        <f>IF(G796&gt;0,IF(AD796&gt;0,IF(AD796=0,"Waiting",IF(AD796&lt;L796,"Partial",IF(AD796=L796,"Full Supply",IF(AD796&gt;L796,"Over Shared")))),"Waiting"),"")</f>
        <v>Full Supply</v>
      </c>
      <c r="AH796" s="37"/>
      <c r="AI796" s="37"/>
      <c r="AJ796" s="181"/>
      <c r="AK796" s="37"/>
      <c r="AL796" s="37"/>
      <c r="AM796" s="181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181">
        <f>L796-AD796</f>
        <v>0</v>
      </c>
    </row>
    <row r="797" spans="1:52" ht="15.5" customHeight="1">
      <c r="A797" s="360" t="s">
        <v>372</v>
      </c>
      <c r="B797" s="340">
        <v>46287</v>
      </c>
      <c r="C797" s="181">
        <v>51238</v>
      </c>
      <c r="D797" s="30">
        <v>46287</v>
      </c>
      <c r="E797" s="30">
        <v>46286</v>
      </c>
      <c r="F797" s="30">
        <v>46293</v>
      </c>
      <c r="G797" s="37">
        <v>4420233716</v>
      </c>
      <c r="H797" s="37" t="s">
        <v>373</v>
      </c>
      <c r="I797" s="37">
        <v>9040017824</v>
      </c>
      <c r="J797" s="37" t="s">
        <v>150</v>
      </c>
      <c r="K797" s="325" t="s">
        <v>151</v>
      </c>
      <c r="L797" s="181">
        <v>2</v>
      </c>
      <c r="M797" s="181" t="s">
        <v>375</v>
      </c>
      <c r="N797" s="37" t="s">
        <v>400</v>
      </c>
      <c r="O797" s="31">
        <f>IF(F797&gt;0,F797-AB797,"")</f>
        <v>-14</v>
      </c>
      <c r="P797" s="37" t="str">
        <f>IF(F797&gt;0,IF(AB797="","PLANNING SUPPLY",IF(AB797&lt;=F797,"ONTIME DELIVERY","DELAY")),"")</f>
        <v>DELAY</v>
      </c>
      <c r="Q797" s="181" t="str">
        <f>IFERROR(IF(J797&gt;0,VLOOKUP(J797,#REF!,MATCH($Q$6,#REF!,0),0),""),"")</f>
        <v/>
      </c>
      <c r="R797" s="181" t="str">
        <f>IFERROR(IF(J797&gt;0,VLOOKUP(J797,#REF!,MATCH($R$6,#REF!,0),0),""),"")</f>
        <v/>
      </c>
      <c r="S797" s="181" t="e">
        <f>IF(I800&gt;0,Q797+R797,"")</f>
        <v>#VALUE!</v>
      </c>
      <c r="T797" s="181"/>
      <c r="U797" s="181"/>
      <c r="V797" s="37"/>
      <c r="W797" s="181" t="e">
        <f>IF(I800&gt;0,IF(S797&gt;L797,"READY STOCK",IF(S797=0,"OUT OF STOCK",IF(S797&lt;L797,"LOW STOCK",""))),"")</f>
        <v>#VALUE!</v>
      </c>
      <c r="X797" s="38"/>
      <c r="Y797" s="38"/>
      <c r="Z797" s="38"/>
      <c r="AA797" s="38"/>
      <c r="AB797" s="50">
        <v>46307</v>
      </c>
      <c r="AC797" s="181">
        <v>34952</v>
      </c>
      <c r="AD797" s="51">
        <v>2</v>
      </c>
      <c r="AE797" s="37" t="s">
        <v>387</v>
      </c>
      <c r="AF797" s="37" t="s">
        <v>381</v>
      </c>
      <c r="AG797" s="33" t="str">
        <f>IF(G797&gt;0,IF(AD797&gt;0,IF(AD797=0,"Waiting",IF(AD797&lt;L797,"Partial",IF(AD797=L797,"Full Supply",IF(AD797&gt;L797,"Over Shared")))),"Waiting"),"")</f>
        <v>Full Supply</v>
      </c>
      <c r="AH797" s="56">
        <v>46296</v>
      </c>
      <c r="AI797" s="37" t="s">
        <v>1325</v>
      </c>
      <c r="AJ797" s="181">
        <v>9</v>
      </c>
      <c r="AK797" s="37"/>
      <c r="AL797" s="37"/>
      <c r="AM797" s="181"/>
      <c r="AN797" s="216"/>
      <c r="AO797" s="232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181">
        <f>L797-AD797</f>
        <v>0</v>
      </c>
    </row>
    <row r="798" spans="1:52" ht="15.5" customHeight="1">
      <c r="A798" s="360" t="s">
        <v>372</v>
      </c>
      <c r="B798" s="340">
        <v>46287</v>
      </c>
      <c r="C798" s="181">
        <v>51238</v>
      </c>
      <c r="D798" s="30">
        <v>46287</v>
      </c>
      <c r="E798" s="30">
        <v>46286</v>
      </c>
      <c r="F798" s="30">
        <v>46293</v>
      </c>
      <c r="G798" s="37">
        <v>4420233716</v>
      </c>
      <c r="H798" s="37" t="s">
        <v>373</v>
      </c>
      <c r="I798" s="37">
        <v>9040055051</v>
      </c>
      <c r="J798" s="212" t="s">
        <v>10</v>
      </c>
      <c r="K798" s="325" t="s">
        <v>149</v>
      </c>
      <c r="L798" s="181">
        <v>23</v>
      </c>
      <c r="M798" s="181" t="s">
        <v>375</v>
      </c>
      <c r="N798" s="37" t="s">
        <v>400</v>
      </c>
      <c r="O798" s="31">
        <f>IF(F798&gt;0,F798-AB798,"")</f>
        <v>-15</v>
      </c>
      <c r="P798" s="37" t="str">
        <f>IF(F798&gt;0,IF(AB798="","PLANNING SUPPLY",IF(AB798&lt;=F798,"ONTIME DELIVERY","DELAY")),"")</f>
        <v>DELAY</v>
      </c>
      <c r="Q798" s="181" t="str">
        <f>IFERROR(IF(J798&gt;0,VLOOKUP(J798,#REF!,MATCH($Q$6,#REF!,0),0),""),"")</f>
        <v/>
      </c>
      <c r="R798" s="181" t="str">
        <f>IFERROR(IF(J798&gt;0,VLOOKUP(J798,#REF!,MATCH($R$6,#REF!,0),0),""),"")</f>
        <v/>
      </c>
      <c r="S798" s="181" t="e">
        <f>IF(I801&gt;0,Q798+R798,"")</f>
        <v>#VALUE!</v>
      </c>
      <c r="T798" s="181"/>
      <c r="U798" s="181"/>
      <c r="V798" s="37"/>
      <c r="W798" s="181" t="e">
        <f>IF(I801&gt;0,IF(S798&gt;L798,"READY STOCK",IF(S798=0,"OUT OF STOCK",IF(S798&lt;L798,"LOW STOCK",""))),"")</f>
        <v>#VALUE!</v>
      </c>
      <c r="X798" s="38"/>
      <c r="Y798" s="38"/>
      <c r="Z798" s="38"/>
      <c r="AA798" s="38"/>
      <c r="AB798" s="50">
        <v>46308</v>
      </c>
      <c r="AC798" s="246">
        <v>35006</v>
      </c>
      <c r="AD798" s="51">
        <v>10</v>
      </c>
      <c r="AE798" s="37" t="s">
        <v>387</v>
      </c>
      <c r="AF798" s="37" t="s">
        <v>381</v>
      </c>
      <c r="AG798" s="33" t="str">
        <f>IF(G798&gt;0,IF(AD798&gt;0,IF(AD798=0,"Waiting",IF(AD798&lt;L798,"Partial",IF(AD798=L798,"Full Supply",IF(AD798&gt;L798,"Over Shared")))),"Waiting"),"")</f>
        <v>Partial</v>
      </c>
      <c r="AH798" s="56">
        <v>46294</v>
      </c>
      <c r="AI798" s="37" t="s">
        <v>1311</v>
      </c>
      <c r="AJ798" s="181">
        <v>43</v>
      </c>
      <c r="AK798" s="40">
        <v>26456</v>
      </c>
      <c r="AL798" s="42">
        <v>46294</v>
      </c>
      <c r="AM798" s="181">
        <v>43</v>
      </c>
      <c r="AN798" s="37"/>
      <c r="AO798" s="41">
        <v>46295</v>
      </c>
      <c r="AP798" s="37"/>
      <c r="AQ798" s="37"/>
      <c r="AR798" s="37"/>
      <c r="AS798" s="37"/>
      <c r="AT798" s="37"/>
      <c r="AU798" s="36" t="str">
        <f>IF(AR798=0,"Waiting",IF(AR798&lt;AH798,"Kurang",IF(AR798=AH798,"Sesuai",IF(AR798&gt;AH798,"Over Shared"))))</f>
        <v>Waiting</v>
      </c>
      <c r="AV798" s="37"/>
      <c r="AW798" s="37"/>
      <c r="AX798" s="37"/>
      <c r="AY798" s="37"/>
      <c r="AZ798" s="181">
        <f>L798-AD798</f>
        <v>13</v>
      </c>
    </row>
    <row r="799" spans="1:52" ht="15.5" customHeight="1">
      <c r="A799" s="360" t="s">
        <v>372</v>
      </c>
      <c r="B799" s="340">
        <v>46287</v>
      </c>
      <c r="C799" s="181">
        <v>51238</v>
      </c>
      <c r="D799" s="30">
        <v>46287</v>
      </c>
      <c r="E799" s="30">
        <v>46286</v>
      </c>
      <c r="F799" s="30">
        <v>46293</v>
      </c>
      <c r="G799" s="37">
        <v>4420233716</v>
      </c>
      <c r="H799" s="37" t="s">
        <v>373</v>
      </c>
      <c r="I799" s="37">
        <v>9040067000</v>
      </c>
      <c r="J799" s="37" t="s">
        <v>157</v>
      </c>
      <c r="K799" s="325" t="s">
        <v>158</v>
      </c>
      <c r="L799" s="181">
        <v>62</v>
      </c>
      <c r="M799" s="181" t="s">
        <v>375</v>
      </c>
      <c r="N799" s="37" t="s">
        <v>400</v>
      </c>
      <c r="O799" s="31">
        <f>IF(F799&gt;0,F799-AB799,"")</f>
        <v>-1</v>
      </c>
      <c r="P799" s="37" t="str">
        <f>IF(F799&gt;0,IF(AB799="","PLANNING SUPPLY",IF(AB799&lt;=F799,"ONTIME DELIVERY","DELAY")),"")</f>
        <v>DELAY</v>
      </c>
      <c r="Q799" s="181" t="str">
        <f>IFERROR(IF(J799&gt;0,VLOOKUP(J799,#REF!,MATCH($Q$6,#REF!,0),0),""),"")</f>
        <v/>
      </c>
      <c r="R799" s="181" t="str">
        <f>IFERROR(IF(J799&gt;0,VLOOKUP(J799,#REF!,MATCH($R$6,#REF!,0),0),""),"")</f>
        <v/>
      </c>
      <c r="S799" s="181" t="e">
        <f>IF(I802&gt;0,Q799+R799,"")</f>
        <v>#VALUE!</v>
      </c>
      <c r="T799" s="181"/>
      <c r="U799" s="181"/>
      <c r="V799" s="37"/>
      <c r="W799" s="181" t="e">
        <f>IF(I802&gt;0,IF(S799&gt;L799,"READY STOCK",IF(S799=0,"OUT OF STOCK",IF(S799&lt;L799,"LOW STOCK",""))),"")</f>
        <v>#VALUE!</v>
      </c>
      <c r="X799" s="38"/>
      <c r="Y799" s="38"/>
      <c r="Z799" s="38"/>
      <c r="AA799" s="38"/>
      <c r="AB799" s="50">
        <v>46294</v>
      </c>
      <c r="AC799" s="181">
        <v>34610</v>
      </c>
      <c r="AD799" s="51">
        <v>62</v>
      </c>
      <c r="AE799" s="37" t="s">
        <v>387</v>
      </c>
      <c r="AF799" s="58" t="s">
        <v>381</v>
      </c>
      <c r="AG799" s="33" t="str">
        <f>IF(G799&gt;0,IF(AD799&gt;0,IF(AD799=0,"Waiting",IF(AD799&lt;L799,"Partial",IF(AD799=L799,"Full Supply",IF(AD799&gt;L799,"Over Shared")))),"Waiting"),"")</f>
        <v>Full Supply</v>
      </c>
      <c r="AH799" s="37"/>
      <c r="AI799" s="37"/>
      <c r="AJ799" s="181"/>
      <c r="AK799" s="37"/>
      <c r="AL799" s="37"/>
      <c r="AM799" s="181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181">
        <f>L799-AD799</f>
        <v>0</v>
      </c>
    </row>
    <row r="800" spans="1:52" ht="15.5" customHeight="1">
      <c r="A800" s="360" t="s">
        <v>372</v>
      </c>
      <c r="B800" s="340">
        <v>46287</v>
      </c>
      <c r="C800" s="181">
        <v>51238</v>
      </c>
      <c r="D800" s="30">
        <v>46287</v>
      </c>
      <c r="E800" s="30">
        <v>46286</v>
      </c>
      <c r="F800" s="30">
        <v>46293</v>
      </c>
      <c r="G800" s="37">
        <v>4420233716</v>
      </c>
      <c r="H800" s="37" t="s">
        <v>373</v>
      </c>
      <c r="I800" s="37">
        <v>9040044191</v>
      </c>
      <c r="J800" s="37" t="s">
        <v>187</v>
      </c>
      <c r="K800" s="325" t="s">
        <v>188</v>
      </c>
      <c r="L800" s="181">
        <v>29</v>
      </c>
      <c r="M800" s="181" t="s">
        <v>375</v>
      </c>
      <c r="N800" s="37" t="s">
        <v>400</v>
      </c>
      <c r="O800" s="31">
        <f>IF(F800&gt;0,F800-AB800,"")</f>
        <v>-14</v>
      </c>
      <c r="P800" s="37" t="str">
        <f>IF(F800&gt;0,IF(AB800="","PLANNING SUPPLY",IF(AB800&lt;=F800,"ONTIME DELIVERY","DELAY")),"")</f>
        <v>DELAY</v>
      </c>
      <c r="Q800" s="181" t="str">
        <f>IFERROR(IF(J800&gt;0,VLOOKUP(J800,#REF!,MATCH($Q$6,#REF!,0),0),""),"")</f>
        <v/>
      </c>
      <c r="R800" s="181" t="str">
        <f>IFERROR(IF(J800&gt;0,VLOOKUP(J800,#REF!,MATCH($R$6,#REF!,0),0),""),"")</f>
        <v/>
      </c>
      <c r="S800" s="181" t="e">
        <f>IF(I803&gt;0,Q800+R800,"")</f>
        <v>#VALUE!</v>
      </c>
      <c r="T800" s="181"/>
      <c r="U800" s="181"/>
      <c r="V800" s="37"/>
      <c r="W800" s="181" t="e">
        <f>IF(I803&gt;0,IF(S800&gt;L800,"READY STOCK",IF(S800=0,"OUT OF STOCK",IF(S800&lt;L800,"LOW STOCK",""))),"")</f>
        <v>#VALUE!</v>
      </c>
      <c r="X800" s="38"/>
      <c r="Y800" s="38"/>
      <c r="Z800" s="38"/>
      <c r="AA800" s="38"/>
      <c r="AB800" s="50">
        <v>46307</v>
      </c>
      <c r="AC800" s="181">
        <v>34952</v>
      </c>
      <c r="AD800" s="51">
        <v>29</v>
      </c>
      <c r="AE800" s="37" t="s">
        <v>387</v>
      </c>
      <c r="AF800" s="37" t="s">
        <v>381</v>
      </c>
      <c r="AG800" s="33" t="str">
        <f>IF(G800&gt;0,IF(AD800&gt;0,IF(AD800=0,"Waiting",IF(AD800&lt;L800,"Partial",IF(AD800=L800,"Full Supply",IF(AD800&gt;L800,"Over Shared")))),"Waiting"),"")</f>
        <v>Full Supply</v>
      </c>
      <c r="AH800" s="37"/>
      <c r="AI800" s="37"/>
      <c r="AJ800" s="181"/>
      <c r="AK800" s="37"/>
      <c r="AL800" s="37"/>
      <c r="AM800" s="181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181">
        <f>L800-AD800</f>
        <v>0</v>
      </c>
    </row>
    <row r="801" spans="1:52" ht="15.5" customHeight="1">
      <c r="A801" s="360" t="s">
        <v>372</v>
      </c>
      <c r="B801" s="340">
        <v>46289</v>
      </c>
      <c r="C801" s="181">
        <v>51295</v>
      </c>
      <c r="D801" s="30">
        <v>46289</v>
      </c>
      <c r="E801" s="30">
        <v>46289</v>
      </c>
      <c r="F801" s="30">
        <v>46293</v>
      </c>
      <c r="G801" s="37">
        <v>4420233728</v>
      </c>
      <c r="H801" s="37" t="s">
        <v>373</v>
      </c>
      <c r="I801" s="37">
        <v>9040022707</v>
      </c>
      <c r="J801" s="37" t="s">
        <v>79</v>
      </c>
      <c r="K801" s="325" t="s">
        <v>80</v>
      </c>
      <c r="L801" s="181">
        <v>2</v>
      </c>
      <c r="M801" s="181" t="s">
        <v>375</v>
      </c>
      <c r="N801" s="37" t="s">
        <v>428</v>
      </c>
      <c r="O801" s="31">
        <f>IF(F801&gt;0,F801-AB801,"")</f>
        <v>-1</v>
      </c>
      <c r="P801" s="37" t="str">
        <f>IF(F801&gt;0,IF(AB801="","PLANNING SUPPLY",IF(AB801&lt;=F801,"ONTIME DELIVERY","DELAY")),"")</f>
        <v>DELAY</v>
      </c>
      <c r="Q801" s="181" t="str">
        <f>IFERROR(IF(J801&gt;0,VLOOKUP(J801,#REF!,MATCH($Q$6,#REF!,0),0),""),"")</f>
        <v/>
      </c>
      <c r="R801" s="181" t="str">
        <f>IFERROR(IF(J801&gt;0,VLOOKUP(J801,#REF!,MATCH($R$6,#REF!,0),0),""),"")</f>
        <v/>
      </c>
      <c r="S801" s="181" t="e">
        <f>IF(I804&gt;0,Q801+R801,"")</f>
        <v>#VALUE!</v>
      </c>
      <c r="T801" s="181"/>
      <c r="U801" s="181"/>
      <c r="V801" s="37"/>
      <c r="W801" s="181" t="e">
        <f>IF(I804&gt;0,IF(S801&gt;L801,"READY STOCK",IF(S801=0,"OUT OF STOCK",IF(S801&lt;L801,"LOW STOCK",""))),"")</f>
        <v>#VALUE!</v>
      </c>
      <c r="X801" s="38"/>
      <c r="Y801" s="38"/>
      <c r="Z801" s="38"/>
      <c r="AA801" s="38"/>
      <c r="AB801" s="50">
        <v>46294</v>
      </c>
      <c r="AC801" s="181">
        <v>34609</v>
      </c>
      <c r="AD801" s="51">
        <v>2</v>
      </c>
      <c r="AE801" s="37" t="s">
        <v>387</v>
      </c>
      <c r="AF801" s="37"/>
      <c r="AG801" s="33" t="str">
        <f>IF(G801&gt;0,IF(AD801&gt;0,IF(AD801=0,"Waiting",IF(AD801&lt;L801,"Partial",IF(AD801=L801,"Full Supply",IF(AD801&gt;L801,"Over Shared")))),"Waiting"),"")</f>
        <v>Full Supply</v>
      </c>
      <c r="AH801" s="37"/>
      <c r="AI801" s="37"/>
      <c r="AJ801" s="181"/>
      <c r="AK801" s="37"/>
      <c r="AL801" s="37"/>
      <c r="AM801" s="181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181">
        <f>L801-AD801</f>
        <v>0</v>
      </c>
    </row>
    <row r="802" spans="1:52" ht="15.5" customHeight="1">
      <c r="A802" s="360" t="s">
        <v>372</v>
      </c>
      <c r="B802" s="340">
        <v>46289</v>
      </c>
      <c r="C802" s="181">
        <v>51295</v>
      </c>
      <c r="D802" s="30">
        <v>46289</v>
      </c>
      <c r="E802" s="30">
        <v>46289</v>
      </c>
      <c r="F802" s="30">
        <v>46293</v>
      </c>
      <c r="G802" s="37">
        <v>4420233728</v>
      </c>
      <c r="H802" s="37" t="s">
        <v>373</v>
      </c>
      <c r="I802" s="37">
        <v>9040040588</v>
      </c>
      <c r="J802" s="37" t="s">
        <v>76</v>
      </c>
      <c r="K802" s="325" t="s">
        <v>77</v>
      </c>
      <c r="L802" s="181">
        <v>50</v>
      </c>
      <c r="M802" s="181" t="s">
        <v>375</v>
      </c>
      <c r="N802" s="37" t="s">
        <v>428</v>
      </c>
      <c r="O802" s="31">
        <f>IF(F802&gt;0,F802-AB802,"")</f>
        <v>-1</v>
      </c>
      <c r="P802" s="37" t="str">
        <f>IF(F802&gt;0,IF(AB802="","PLANNING SUPPLY",IF(AB802&lt;=F802,"ONTIME DELIVERY","DELAY")),"")</f>
        <v>DELAY</v>
      </c>
      <c r="Q802" s="181" t="str">
        <f>IFERROR(IF(J802&gt;0,VLOOKUP(J802,#REF!,MATCH($Q$6,#REF!,0),0),""),"")</f>
        <v/>
      </c>
      <c r="R802" s="181" t="str">
        <f>IFERROR(IF(J802&gt;0,VLOOKUP(J802,#REF!,MATCH($R$6,#REF!,0),0),""),"")</f>
        <v/>
      </c>
      <c r="S802" s="181" t="e">
        <f>IF(I805&gt;0,Q802+R802,"")</f>
        <v>#VALUE!</v>
      </c>
      <c r="T802" s="181"/>
      <c r="U802" s="181"/>
      <c r="V802" s="37"/>
      <c r="W802" s="181" t="e">
        <f>IF(I805&gt;0,IF(S802&gt;L802,"READY STOCK",IF(S802=0,"OUT OF STOCK",IF(S802&lt;L802,"LOW STOCK",""))),"")</f>
        <v>#VALUE!</v>
      </c>
      <c r="X802" s="38"/>
      <c r="Y802" s="38"/>
      <c r="Z802" s="38"/>
      <c r="AA802" s="38"/>
      <c r="AB802" s="50">
        <v>46294</v>
      </c>
      <c r="AC802" s="181">
        <v>34606</v>
      </c>
      <c r="AD802" s="51">
        <v>50</v>
      </c>
      <c r="AE802" s="37" t="s">
        <v>387</v>
      </c>
      <c r="AF802" s="37" t="s">
        <v>381</v>
      </c>
      <c r="AG802" s="33" t="str">
        <f>IF(G802&gt;0,IF(AD802&gt;0,IF(AD802=0,"Waiting",IF(AD802&lt;L802,"Partial",IF(AD802=L802,"Full Supply",IF(AD802&gt;L802,"Over Shared")))),"Waiting"),"")</f>
        <v>Full Supply</v>
      </c>
      <c r="AH802" s="37"/>
      <c r="AI802" s="37"/>
      <c r="AJ802" s="181"/>
      <c r="AK802" s="37"/>
      <c r="AL802" s="37"/>
      <c r="AM802" s="181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181">
        <f>L802-AD802</f>
        <v>0</v>
      </c>
    </row>
    <row r="803" spans="1:52" ht="15.5" customHeight="1">
      <c r="A803" s="360" t="s">
        <v>372</v>
      </c>
      <c r="B803" s="340">
        <v>46289</v>
      </c>
      <c r="C803" s="181">
        <v>51295</v>
      </c>
      <c r="D803" s="30">
        <v>46289</v>
      </c>
      <c r="E803" s="30">
        <v>46289</v>
      </c>
      <c r="F803" s="30">
        <v>46293</v>
      </c>
      <c r="G803" s="37">
        <v>4420233728</v>
      </c>
      <c r="H803" s="37" t="s">
        <v>373</v>
      </c>
      <c r="I803" s="37">
        <v>9040040933</v>
      </c>
      <c r="J803" s="37" t="s">
        <v>295</v>
      </c>
      <c r="K803" s="325" t="s">
        <v>296</v>
      </c>
      <c r="L803" s="181">
        <v>4</v>
      </c>
      <c r="M803" s="181" t="s">
        <v>375</v>
      </c>
      <c r="N803" s="37" t="s">
        <v>428</v>
      </c>
      <c r="O803" s="31">
        <f>IF(F803&gt;0,F803-AB803,"")</f>
        <v>-11</v>
      </c>
      <c r="P803" s="37" t="str">
        <f>IF(F803&gt;0,IF(AB803="","PLANNING SUPPLY",IF(AB803&lt;=F803,"ONTIME DELIVERY","DELAY")),"")</f>
        <v>DELAY</v>
      </c>
      <c r="Q803" s="181" t="str">
        <f>IFERROR(IF(J803&gt;0,VLOOKUP(J803,#REF!,MATCH($Q$6,#REF!,0),0),""),"")</f>
        <v/>
      </c>
      <c r="R803" s="181" t="str">
        <f>IFERROR(IF(J803&gt;0,VLOOKUP(J803,#REF!,MATCH($R$6,#REF!,0),0),""),"")</f>
        <v/>
      </c>
      <c r="S803" s="181" t="e">
        <f>IF(I806&gt;0,Q803+R803,"")</f>
        <v>#VALUE!</v>
      </c>
      <c r="T803" s="181"/>
      <c r="U803" s="181"/>
      <c r="V803" s="37"/>
      <c r="W803" s="181" t="e">
        <f>IF(I806&gt;0,IF(S803&gt;L803,"READY STOCK",IF(S803=0,"OUT OF STOCK",IF(S803&lt;L803,"LOW STOCK",""))),"")</f>
        <v>#VALUE!</v>
      </c>
      <c r="X803" s="38"/>
      <c r="Y803" s="38"/>
      <c r="Z803" s="38"/>
      <c r="AA803" s="38"/>
      <c r="AB803" s="57">
        <v>46304</v>
      </c>
      <c r="AC803" s="181">
        <v>34652</v>
      </c>
      <c r="AD803" s="51">
        <v>4</v>
      </c>
      <c r="AE803" s="37" t="s">
        <v>387</v>
      </c>
      <c r="AF803" s="37" t="s">
        <v>381</v>
      </c>
      <c r="AG803" s="33" t="str">
        <f>IF(G803&gt;0,IF(AD803&gt;0,IF(AD803=0,"Waiting",IF(AD803&lt;L803,"Partial",IF(AD803=L803,"Full Supply",IF(AD803&gt;L803,"Over Shared")))),"Waiting"),"")</f>
        <v>Full Supply</v>
      </c>
      <c r="AH803" s="37"/>
      <c r="AI803" s="37"/>
      <c r="AJ803" s="181"/>
      <c r="AK803" s="37"/>
      <c r="AL803" s="37"/>
      <c r="AM803" s="181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181">
        <f>L803-AD803</f>
        <v>0</v>
      </c>
    </row>
    <row r="804" spans="1:52" ht="15.5" customHeight="1">
      <c r="A804" s="360" t="s">
        <v>372</v>
      </c>
      <c r="B804" s="340">
        <v>46289</v>
      </c>
      <c r="C804" s="181">
        <v>51295</v>
      </c>
      <c r="D804" s="30">
        <v>46289</v>
      </c>
      <c r="E804" s="30">
        <v>46289</v>
      </c>
      <c r="F804" s="30">
        <v>46293</v>
      </c>
      <c r="G804" s="37">
        <v>4420233728</v>
      </c>
      <c r="H804" s="37" t="s">
        <v>373</v>
      </c>
      <c r="I804" s="37">
        <v>9040044191</v>
      </c>
      <c r="J804" s="37" t="s">
        <v>187</v>
      </c>
      <c r="K804" s="325" t="s">
        <v>188</v>
      </c>
      <c r="L804" s="181">
        <v>26</v>
      </c>
      <c r="M804" s="181" t="s">
        <v>375</v>
      </c>
      <c r="N804" s="37" t="s">
        <v>428</v>
      </c>
      <c r="O804" s="31">
        <f>IF(F804&gt;0,F804-AB804,"")</f>
        <v>-1</v>
      </c>
      <c r="P804" s="37" t="str">
        <f>IF(F804&gt;0,IF(AB804="","PLANNING SUPPLY",IF(AB804&lt;=F804,"ONTIME DELIVERY","DELAY")),"")</f>
        <v>DELAY</v>
      </c>
      <c r="Q804" s="181" t="str">
        <f>IFERROR(IF(J804&gt;0,VLOOKUP(J804,#REF!,MATCH($Q$6,#REF!,0),0),""),"")</f>
        <v/>
      </c>
      <c r="R804" s="181" t="str">
        <f>IFERROR(IF(J804&gt;0,VLOOKUP(J804,#REF!,MATCH($R$6,#REF!,0),0),""),"")</f>
        <v/>
      </c>
      <c r="S804" s="181" t="e">
        <f>IF(I807&gt;0,Q804+R804,"")</f>
        <v>#VALUE!</v>
      </c>
      <c r="T804" s="181"/>
      <c r="U804" s="181"/>
      <c r="V804" s="37"/>
      <c r="W804" s="181" t="e">
        <f>IF(I807&gt;0,IF(S804&gt;L804,"READY STOCK",IF(S804=0,"OUT OF STOCK",IF(S804&lt;L804,"LOW STOCK",""))),"")</f>
        <v>#VALUE!</v>
      </c>
      <c r="X804" s="38"/>
      <c r="Y804" s="38"/>
      <c r="Z804" s="38"/>
      <c r="AA804" s="38"/>
      <c r="AB804" s="50">
        <v>46294</v>
      </c>
      <c r="AC804" s="181">
        <v>34618</v>
      </c>
      <c r="AD804" s="51">
        <v>26</v>
      </c>
      <c r="AE804" s="37" t="s">
        <v>387</v>
      </c>
      <c r="AF804" s="37"/>
      <c r="AG804" s="33" t="str">
        <f>IF(G804&gt;0,IF(AD804&gt;0,IF(AD804=0,"Waiting",IF(AD804&lt;L804,"Partial",IF(AD804=L804,"Full Supply",IF(AD804&gt;L804,"Over Shared")))),"Waiting"),"")</f>
        <v>Full Supply</v>
      </c>
      <c r="AH804" s="37"/>
      <c r="AI804" s="37"/>
      <c r="AJ804" s="181"/>
      <c r="AK804" s="37"/>
      <c r="AL804" s="37"/>
      <c r="AM804" s="181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181">
        <f>L804-AD804</f>
        <v>0</v>
      </c>
    </row>
    <row r="805" spans="1:52" ht="15.5" customHeight="1">
      <c r="A805" s="360" t="s">
        <v>372</v>
      </c>
      <c r="B805" s="340">
        <v>46289</v>
      </c>
      <c r="C805" s="181">
        <v>51295</v>
      </c>
      <c r="D805" s="30">
        <v>46289</v>
      </c>
      <c r="E805" s="30">
        <v>46289</v>
      </c>
      <c r="F805" s="30">
        <v>46293</v>
      </c>
      <c r="G805" s="37">
        <v>4420233728</v>
      </c>
      <c r="H805" s="37" t="s">
        <v>373</v>
      </c>
      <c r="I805" s="37">
        <v>9040044349</v>
      </c>
      <c r="J805" s="37" t="s">
        <v>157</v>
      </c>
      <c r="K805" s="325" t="s">
        <v>158</v>
      </c>
      <c r="L805" s="181">
        <v>110</v>
      </c>
      <c r="M805" s="181" t="s">
        <v>375</v>
      </c>
      <c r="N805" s="37" t="s">
        <v>428</v>
      </c>
      <c r="O805" s="31">
        <f>IF(F805&gt;0,F805-AB805,"")</f>
        <v>-1</v>
      </c>
      <c r="P805" s="37" t="str">
        <f>IF(F805&gt;0,IF(AB805="","PLANNING SUPPLY",IF(AB805&lt;=F805,"ONTIME DELIVERY","DELAY")),"")</f>
        <v>DELAY</v>
      </c>
      <c r="Q805" s="181" t="str">
        <f>IFERROR(IF(J805&gt;0,VLOOKUP(J805,#REF!,MATCH($Q$6,#REF!,0),0),""),"")</f>
        <v/>
      </c>
      <c r="R805" s="181" t="str">
        <f>IFERROR(IF(J805&gt;0,VLOOKUP(J805,#REF!,MATCH($R$6,#REF!,0),0),""),"")</f>
        <v/>
      </c>
      <c r="S805" s="181" t="e">
        <f>IF(I808&gt;0,Q805+R805,"")</f>
        <v>#VALUE!</v>
      </c>
      <c r="T805" s="181"/>
      <c r="U805" s="181"/>
      <c r="V805" s="37"/>
      <c r="W805" s="181" t="e">
        <f>IF(I808&gt;0,IF(S805&gt;L805,"READY STOCK",IF(S805=0,"OUT OF STOCK",IF(S805&lt;L805,"LOW STOCK",""))),"")</f>
        <v>#VALUE!</v>
      </c>
      <c r="X805" s="38"/>
      <c r="Y805" s="38"/>
      <c r="Z805" s="38"/>
      <c r="AA805" s="38"/>
      <c r="AB805" s="50">
        <v>46294</v>
      </c>
      <c r="AC805" s="181">
        <v>34611</v>
      </c>
      <c r="AD805" s="51">
        <v>110</v>
      </c>
      <c r="AE805" s="37" t="s">
        <v>387</v>
      </c>
      <c r="AF805" s="37"/>
      <c r="AG805" s="33" t="str">
        <f>IF(G805&gt;0,IF(AD805&gt;0,IF(AD805=0,"Waiting",IF(AD805&lt;L805,"Partial",IF(AD805=L805,"Full Supply",IF(AD805&gt;L805,"Over Shared")))),"Waiting"),"")</f>
        <v>Full Supply</v>
      </c>
      <c r="AH805" s="37"/>
      <c r="AI805" s="37"/>
      <c r="AJ805" s="181"/>
      <c r="AK805" s="37"/>
      <c r="AL805" s="37"/>
      <c r="AM805" s="181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181">
        <f>L805-AD805</f>
        <v>0</v>
      </c>
    </row>
    <row r="806" spans="1:52" ht="15.5" customHeight="1">
      <c r="A806" s="360" t="s">
        <v>372</v>
      </c>
      <c r="B806" s="340">
        <v>46290</v>
      </c>
      <c r="C806" s="181">
        <v>51338</v>
      </c>
      <c r="D806" s="30">
        <v>46289</v>
      </c>
      <c r="E806" s="30">
        <v>46288</v>
      </c>
      <c r="F806" s="30">
        <v>46305</v>
      </c>
      <c r="G806" s="37">
        <v>4420233915</v>
      </c>
      <c r="H806" s="37" t="s">
        <v>373</v>
      </c>
      <c r="I806" s="37">
        <v>9040028402</v>
      </c>
      <c r="J806" s="37" t="s">
        <v>133</v>
      </c>
      <c r="K806" s="325" t="s">
        <v>134</v>
      </c>
      <c r="L806" s="181">
        <v>1</v>
      </c>
      <c r="M806" s="181" t="s">
        <v>375</v>
      </c>
      <c r="N806" s="37" t="s">
        <v>940</v>
      </c>
      <c r="O806" s="31">
        <f>IF(F806&gt;0,F806-AB806,"")</f>
        <v>-3</v>
      </c>
      <c r="P806" s="37" t="str">
        <f>IF(F806&gt;0,IF(AB806="","PLANNING SUPPLY",IF(AB806&lt;=F806,"ONTIME DELIVERY","DELAY")),"")</f>
        <v>DELAY</v>
      </c>
      <c r="Q806" s="181" t="str">
        <f>IFERROR(IF(J806&gt;0,VLOOKUP(J806,#REF!,MATCH($Q$6,#REF!,0),0),""),"")</f>
        <v/>
      </c>
      <c r="R806" s="181" t="str">
        <f>IFERROR(IF(J806&gt;0,VLOOKUP(J806,#REF!,MATCH($R$6,#REF!,0),0),""),"")</f>
        <v/>
      </c>
      <c r="S806" s="181" t="e">
        <f>IF(I809&gt;0,Q806+R806,"")</f>
        <v>#VALUE!</v>
      </c>
      <c r="T806" s="181"/>
      <c r="U806" s="181"/>
      <c r="V806" s="37"/>
      <c r="W806" s="181" t="e">
        <f>IF(I809&gt;0,IF(S806&gt;L806,"READY STOCK",IF(S806=0,"OUT OF STOCK",IF(S806&lt;L806,"LOW STOCK",""))),"")</f>
        <v>#VALUE!</v>
      </c>
      <c r="X806" s="38"/>
      <c r="Y806" s="38"/>
      <c r="Z806" s="38"/>
      <c r="AA806" s="38"/>
      <c r="AB806" s="57">
        <v>46308</v>
      </c>
      <c r="AC806" s="246">
        <v>34974</v>
      </c>
      <c r="AD806" s="53">
        <v>1</v>
      </c>
      <c r="AE806" s="58" t="s">
        <v>387</v>
      </c>
      <c r="AF806" s="58" t="s">
        <v>381</v>
      </c>
      <c r="AG806" s="33" t="str">
        <f>IF(G806&gt;0,IF(AD806&gt;0,IF(AD806=0,"Waiting",IF(AD806&lt;L806,"Partial",IF(AD806=L806,"Full Supply",IF(AD806&gt;L806,"Over Shared")))),"Waiting"),"")</f>
        <v>Full Supply</v>
      </c>
      <c r="AH806" s="56">
        <v>46290</v>
      </c>
      <c r="AI806" s="37" t="s">
        <v>1345</v>
      </c>
      <c r="AJ806" s="181">
        <v>3</v>
      </c>
      <c r="AK806" s="181">
        <v>26478</v>
      </c>
      <c r="AL806" s="215">
        <v>46296</v>
      </c>
      <c r="AM806" s="181">
        <v>3</v>
      </c>
      <c r="AN806" s="37" t="s">
        <v>1346</v>
      </c>
      <c r="AO806" s="232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181">
        <f>L806-AD806</f>
        <v>0</v>
      </c>
    </row>
    <row r="807" spans="1:52" ht="15.5" customHeight="1">
      <c r="A807" s="360" t="s">
        <v>372</v>
      </c>
      <c r="B807" s="340">
        <v>46290</v>
      </c>
      <c r="C807" s="181">
        <v>51342</v>
      </c>
      <c r="D807" s="30">
        <v>46290</v>
      </c>
      <c r="E807" s="30">
        <v>46288</v>
      </c>
      <c r="F807" s="30">
        <v>46308</v>
      </c>
      <c r="G807" s="37">
        <v>4420233883</v>
      </c>
      <c r="H807" s="37" t="s">
        <v>373</v>
      </c>
      <c r="I807" s="37">
        <v>9040014955</v>
      </c>
      <c r="J807" s="37" t="s">
        <v>27</v>
      </c>
      <c r="K807" s="325" t="s">
        <v>28</v>
      </c>
      <c r="L807" s="181">
        <v>4</v>
      </c>
      <c r="M807" s="181" t="s">
        <v>375</v>
      </c>
      <c r="N807" s="37" t="s">
        <v>451</v>
      </c>
      <c r="O807" s="31">
        <f>IF(F807&gt;0,F807-AB807,"")</f>
        <v>-6</v>
      </c>
      <c r="P807" s="37" t="str">
        <f>IF(F807&gt;0,IF(AB807="","PLANNING SUPPLY",IF(AB807&lt;=F807,"ONTIME DELIVERY","DELAY")),"")</f>
        <v>DELAY</v>
      </c>
      <c r="Q807" s="181" t="str">
        <f>IFERROR(IF(J807&gt;0,VLOOKUP(J807,#REF!,MATCH($Q$6,#REF!,0),0),""),"")</f>
        <v/>
      </c>
      <c r="R807" s="181" t="str">
        <f>IFERROR(IF(J807&gt;0,VLOOKUP(J807,#REF!,MATCH($R$6,#REF!,0),0),""),"")</f>
        <v/>
      </c>
      <c r="S807" s="181" t="e">
        <f>IF(I810&gt;0,Q807+R807,"")</f>
        <v>#VALUE!</v>
      </c>
      <c r="T807" s="181"/>
      <c r="U807" s="181"/>
      <c r="V807" s="37"/>
      <c r="W807" s="181" t="e">
        <f>IF(I810&gt;0,IF(S807&gt;L807,"READY STOCK",IF(S807=0,"OUT OF STOCK",IF(S807&lt;L807,"LOW STOCK",""))),"")</f>
        <v>#VALUE!</v>
      </c>
      <c r="X807" s="38"/>
      <c r="Y807" s="38"/>
      <c r="Z807" s="38"/>
      <c r="AA807" s="38"/>
      <c r="AB807" s="50">
        <v>46314</v>
      </c>
      <c r="AC807" s="44" t="s">
        <v>1347</v>
      </c>
      <c r="AD807" s="51">
        <v>4</v>
      </c>
      <c r="AE807" s="37" t="s">
        <v>387</v>
      </c>
      <c r="AF807" s="37" t="s">
        <v>381</v>
      </c>
      <c r="AG807" s="33" t="str">
        <f>IF(G807&gt;0,IF(AD807&gt;0,IF(AD807=0,"Waiting",IF(AD807&lt;L807,"Partial",IF(AD807=L807,"Full Supply",IF(AD807&gt;L807,"Over Shared")))),"Waiting"),"")</f>
        <v>Full Supply</v>
      </c>
      <c r="AH807" s="37"/>
      <c r="AI807" s="37"/>
      <c r="AJ807" s="181"/>
      <c r="AK807" s="37"/>
      <c r="AL807" s="37"/>
      <c r="AM807" s="181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181">
        <f>L807-AD807</f>
        <v>0</v>
      </c>
    </row>
    <row r="808" spans="1:52" ht="15.5" customHeight="1">
      <c r="A808" s="360" t="s">
        <v>372</v>
      </c>
      <c r="B808" s="340">
        <v>46290</v>
      </c>
      <c r="C808" s="181">
        <v>51342</v>
      </c>
      <c r="D808" s="30">
        <v>46290</v>
      </c>
      <c r="E808" s="30">
        <v>46288</v>
      </c>
      <c r="F808" s="30">
        <v>46308</v>
      </c>
      <c r="G808" s="37">
        <v>4420233883</v>
      </c>
      <c r="H808" s="37" t="s">
        <v>373</v>
      </c>
      <c r="I808" s="37">
        <v>9040019465</v>
      </c>
      <c r="J808" s="37" t="s">
        <v>27</v>
      </c>
      <c r="K808" s="325" t="s">
        <v>28</v>
      </c>
      <c r="L808" s="181">
        <v>8</v>
      </c>
      <c r="M808" s="181" t="s">
        <v>375</v>
      </c>
      <c r="N808" s="37" t="s">
        <v>451</v>
      </c>
      <c r="O808" s="31">
        <f>IF(F808&gt;0,F808-AB808,"")</f>
        <v>46308</v>
      </c>
      <c r="P808" s="37" t="str">
        <f>IF(F808&gt;0,IF(AB808="","PLANNING SUPPLY",IF(AB808&lt;=F808,"ONTIME DELIVERY","DELAY")),"")</f>
        <v>PLANNING SUPPLY</v>
      </c>
      <c r="Q808" s="181" t="str">
        <f>IFERROR(IF(J808&gt;0,VLOOKUP(J808,#REF!,MATCH($Q$6,#REF!,0),0),""),"")</f>
        <v/>
      </c>
      <c r="R808" s="181" t="str">
        <f>IFERROR(IF(J808&gt;0,VLOOKUP(J808,#REF!,MATCH($R$6,#REF!,0),0),""),"")</f>
        <v/>
      </c>
      <c r="S808" s="181" t="e">
        <f>IF(I811&gt;0,Q808+R808,"")</f>
        <v>#VALUE!</v>
      </c>
      <c r="T808" s="181"/>
      <c r="U808" s="181"/>
      <c r="V808" s="37"/>
      <c r="W808" s="181" t="e">
        <f>IF(I811&gt;0,IF(S808&gt;L808,"READY STOCK",IF(S808=0,"OUT OF STOCK",IF(S808&lt;L808,"LOW STOCK",""))),"")</f>
        <v>#VALUE!</v>
      </c>
      <c r="X808" s="38"/>
      <c r="Y808" s="38"/>
      <c r="Z808" s="38"/>
      <c r="AA808" s="38"/>
      <c r="AB808" s="50"/>
      <c r="AC808" s="181"/>
      <c r="AD808" s="51"/>
      <c r="AE808" s="37"/>
      <c r="AF808" s="37"/>
      <c r="AG808" s="33" t="str">
        <f>IF(G808&gt;0,IF(AD808&gt;0,IF(AD808=0,"Waiting",IF(AD808&lt;L808,"Partial",IF(AD808=L808,"Full Supply",IF(AD808&gt;L808,"Over Shared")))),"Waiting"),"")</f>
        <v>Waiting</v>
      </c>
      <c r="AH808" s="37"/>
      <c r="AI808" s="37"/>
      <c r="AJ808" s="181"/>
      <c r="AK808" s="37"/>
      <c r="AL808" s="37"/>
      <c r="AM808" s="181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181">
        <f>L808-AD808</f>
        <v>8</v>
      </c>
    </row>
    <row r="809" spans="1:52" ht="15.5" customHeight="1">
      <c r="A809" s="360" t="s">
        <v>372</v>
      </c>
      <c r="B809" s="340">
        <v>46290</v>
      </c>
      <c r="C809" s="181">
        <v>51343</v>
      </c>
      <c r="D809" s="30">
        <v>46290</v>
      </c>
      <c r="E809" s="30">
        <v>46287</v>
      </c>
      <c r="F809" s="30">
        <v>46310</v>
      </c>
      <c r="G809" s="37">
        <v>4420233832</v>
      </c>
      <c r="H809" s="37" t="s">
        <v>373</v>
      </c>
      <c r="I809" s="37">
        <v>9040017584</v>
      </c>
      <c r="J809" s="37" t="s">
        <v>37</v>
      </c>
      <c r="K809" s="325" t="s">
        <v>38</v>
      </c>
      <c r="L809" s="181">
        <v>6</v>
      </c>
      <c r="M809" s="181" t="s">
        <v>375</v>
      </c>
      <c r="N809" s="37" t="s">
        <v>399</v>
      </c>
      <c r="O809" s="31">
        <f>IF(F809&gt;0,F809-AB809,"")</f>
        <v>10</v>
      </c>
      <c r="P809" s="37" t="str">
        <f>IF(F809&gt;0,IF(AB809="","PLANNING SUPPLY",IF(AB809&lt;=F809,"ONTIME DELIVERY","DELAY")),"")</f>
        <v>ONTIME DELIVERY</v>
      </c>
      <c r="Q809" s="181" t="str">
        <f>IFERROR(IF(J809&gt;0,VLOOKUP(J809,#REF!,MATCH($Q$6,#REF!,0),0),""),"")</f>
        <v/>
      </c>
      <c r="R809" s="181" t="str">
        <f>IFERROR(IF(J809&gt;0,VLOOKUP(J809,#REF!,MATCH($R$6,#REF!,0),0),""),"")</f>
        <v/>
      </c>
      <c r="S809" s="181" t="e">
        <f>IF(I812&gt;0,Q809+R809,"")</f>
        <v>#VALUE!</v>
      </c>
      <c r="T809" s="181"/>
      <c r="U809" s="181"/>
      <c r="V809" s="37"/>
      <c r="W809" s="181" t="e">
        <f>IF(I812&gt;0,IF(S809&gt;L809,"READY STOCK",IF(S809=0,"OUT OF STOCK",IF(S809&lt;L809,"LOW STOCK",""))),"")</f>
        <v>#VALUE!</v>
      </c>
      <c r="X809" s="38"/>
      <c r="Y809" s="38"/>
      <c r="Z809" s="38"/>
      <c r="AA809" s="38"/>
      <c r="AB809" s="50">
        <v>46300</v>
      </c>
      <c r="AC809" s="44">
        <v>34740</v>
      </c>
      <c r="AD809" s="51">
        <v>6</v>
      </c>
      <c r="AE809" s="37" t="s">
        <v>387</v>
      </c>
      <c r="AF809" s="37" t="s">
        <v>381</v>
      </c>
      <c r="AG809" s="33" t="str">
        <f>IF(G809&gt;0,IF(AD809&gt;0,IF(AD809=0,"Waiting",IF(AD809&lt;L809,"Partial",IF(AD809=L809,"Full Supply",IF(AD809&gt;L809,"Over Shared")))),"Waiting"),"")</f>
        <v>Full Supply</v>
      </c>
      <c r="AH809" s="37"/>
      <c r="AI809" s="37"/>
      <c r="AJ809" s="181"/>
      <c r="AK809" s="37"/>
      <c r="AL809" s="37"/>
      <c r="AM809" s="181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181">
        <f>L809-AD809</f>
        <v>0</v>
      </c>
    </row>
    <row r="810" spans="1:52" ht="15.5" customHeight="1">
      <c r="A810" s="360" t="s">
        <v>372</v>
      </c>
      <c r="B810" s="340">
        <v>46290</v>
      </c>
      <c r="C810" s="181">
        <v>51344</v>
      </c>
      <c r="D810" s="30">
        <v>46290</v>
      </c>
      <c r="E810" s="30">
        <v>46286</v>
      </c>
      <c r="F810" s="30">
        <v>46310</v>
      </c>
      <c r="G810" s="37">
        <v>4420233752</v>
      </c>
      <c r="H810" s="37" t="s">
        <v>373</v>
      </c>
      <c r="I810" s="37">
        <v>9040022848</v>
      </c>
      <c r="J810" s="37" t="s">
        <v>27</v>
      </c>
      <c r="K810" s="325" t="s">
        <v>28</v>
      </c>
      <c r="L810" s="181">
        <v>1</v>
      </c>
      <c r="M810" s="181" t="s">
        <v>375</v>
      </c>
      <c r="N810" s="37" t="s">
        <v>382</v>
      </c>
      <c r="O810" s="31">
        <f>IF(F810&gt;0,F810-AB810,"")</f>
        <v>-4</v>
      </c>
      <c r="P810" s="37" t="str">
        <f>IF(F810&gt;0,IF(AB810="","PLANNING SUPPLY",IF(AB810&lt;=F810,"ONTIME DELIVERY","DELAY")),"")</f>
        <v>DELAY</v>
      </c>
      <c r="Q810" s="181" t="str">
        <f>IFERROR(IF(J810&gt;0,VLOOKUP(J810,#REF!,MATCH($Q$6,#REF!,0),0),""),"")</f>
        <v/>
      </c>
      <c r="R810" s="181" t="str">
        <f>IFERROR(IF(J810&gt;0,VLOOKUP(J810,#REF!,MATCH($R$6,#REF!,0),0),""),"")</f>
        <v/>
      </c>
      <c r="S810" s="181" t="e">
        <f>IF(I813&gt;0,Q810+R810,"")</f>
        <v>#VALUE!</v>
      </c>
      <c r="T810" s="181"/>
      <c r="U810" s="181"/>
      <c r="V810" s="37"/>
      <c r="W810" s="181" t="e">
        <f>IF(I813&gt;0,IF(S810&gt;L810,"READY STOCK",IF(S810=0,"OUT OF STOCK",IF(S810&lt;L810,"LOW STOCK",""))),"")</f>
        <v>#VALUE!</v>
      </c>
      <c r="X810" s="38"/>
      <c r="Y810" s="38"/>
      <c r="Z810" s="38"/>
      <c r="AA810" s="38"/>
      <c r="AB810" s="50">
        <v>46314</v>
      </c>
      <c r="AC810" s="44" t="s">
        <v>1348</v>
      </c>
      <c r="AD810" s="51">
        <v>1</v>
      </c>
      <c r="AE810" s="37" t="s">
        <v>387</v>
      </c>
      <c r="AF810" s="37" t="s">
        <v>381</v>
      </c>
      <c r="AG810" s="33" t="str">
        <f>IF(G810&gt;0,IF(AD810&gt;0,IF(AD810=0,"Waiting",IF(AD810&lt;L810,"Partial",IF(AD810=L810,"Full Supply",IF(AD810&gt;L810,"Over Shared")))),"Waiting"),"")</f>
        <v>Full Supply</v>
      </c>
      <c r="AH810" s="37"/>
      <c r="AI810" s="37"/>
      <c r="AJ810" s="181"/>
      <c r="AK810" s="37"/>
      <c r="AL810" s="37"/>
      <c r="AM810" s="181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181">
        <f>L810-AD810</f>
        <v>0</v>
      </c>
    </row>
    <row r="811" spans="1:52" ht="15.5" customHeight="1">
      <c r="A811" s="360" t="s">
        <v>372</v>
      </c>
      <c r="B811" s="340">
        <v>46290</v>
      </c>
      <c r="C811" s="181">
        <v>51344</v>
      </c>
      <c r="D811" s="30">
        <v>46290</v>
      </c>
      <c r="E811" s="30">
        <v>46286</v>
      </c>
      <c r="F811" s="30">
        <v>46310</v>
      </c>
      <c r="G811" s="37">
        <v>4420233752</v>
      </c>
      <c r="H811" s="37" t="s">
        <v>373</v>
      </c>
      <c r="I811" s="37">
        <v>9040028402</v>
      </c>
      <c r="J811" s="37" t="s">
        <v>133</v>
      </c>
      <c r="K811" s="325" t="s">
        <v>134</v>
      </c>
      <c r="L811" s="181">
        <v>2</v>
      </c>
      <c r="M811" s="181" t="s">
        <v>375</v>
      </c>
      <c r="N811" s="37" t="s">
        <v>382</v>
      </c>
      <c r="O811" s="31">
        <f>IF(F811&gt;0,F811-AB811,"")</f>
        <v>2</v>
      </c>
      <c r="P811" s="37" t="str">
        <f>IF(F811&gt;0,IF(AB811="","PLANNING SUPPLY",IF(AB811&lt;=F811,"ONTIME DELIVERY","DELAY")),"")</f>
        <v>ONTIME DELIVERY</v>
      </c>
      <c r="Q811" s="181" t="str">
        <f>IFERROR(IF(J811&gt;0,VLOOKUP(J811,#REF!,MATCH($Q$6,#REF!,0),0),""),"")</f>
        <v/>
      </c>
      <c r="R811" s="181" t="str">
        <f>IFERROR(IF(J811&gt;0,VLOOKUP(J811,#REF!,MATCH($R$6,#REF!,0),0),""),"")</f>
        <v/>
      </c>
      <c r="S811" s="181" t="e">
        <f>IF(I814&gt;0,Q811+R811,"")</f>
        <v>#VALUE!</v>
      </c>
      <c r="T811" s="181"/>
      <c r="U811" s="181"/>
      <c r="V811" s="37"/>
      <c r="W811" s="181" t="e">
        <f>IF(I814&gt;0,IF(S811&gt;L811,"READY STOCK",IF(S811=0,"OUT OF STOCK",IF(S811&lt;L811,"LOW STOCK",""))),"")</f>
        <v>#VALUE!</v>
      </c>
      <c r="X811" s="38"/>
      <c r="Y811" s="38"/>
      <c r="Z811" s="38"/>
      <c r="AA811" s="38"/>
      <c r="AB811" s="50">
        <v>46308</v>
      </c>
      <c r="AC811" s="246">
        <v>34989</v>
      </c>
      <c r="AD811" s="51">
        <v>2</v>
      </c>
      <c r="AE811" s="37" t="s">
        <v>387</v>
      </c>
      <c r="AF811" s="37" t="s">
        <v>381</v>
      </c>
      <c r="AG811" s="33" t="str">
        <f>IF(G811&gt;0,IF(AD811&gt;0,IF(AD811=0,"Waiting",IF(AD811&lt;L811,"Partial",IF(AD811=L811,"Full Supply",IF(AD811&gt;L811,"Over Shared")))),"Waiting"),"")</f>
        <v>Full Supply</v>
      </c>
      <c r="AH811" s="56">
        <v>46290</v>
      </c>
      <c r="AI811" s="37" t="s">
        <v>1345</v>
      </c>
      <c r="AJ811" s="181">
        <v>3</v>
      </c>
      <c r="AK811" s="181">
        <v>26478</v>
      </c>
      <c r="AL811" s="215">
        <v>46296</v>
      </c>
      <c r="AM811" s="181">
        <v>3</v>
      </c>
      <c r="AN811" s="37" t="s">
        <v>1346</v>
      </c>
      <c r="AO811" s="232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181">
        <f>L811-AD811</f>
        <v>0</v>
      </c>
    </row>
    <row r="812" spans="1:52" ht="15.5" customHeight="1">
      <c r="A812" s="360" t="s">
        <v>372</v>
      </c>
      <c r="B812" s="340">
        <v>46290</v>
      </c>
      <c r="C812" s="181">
        <v>51344</v>
      </c>
      <c r="D812" s="30">
        <v>46290</v>
      </c>
      <c r="E812" s="30">
        <v>46286</v>
      </c>
      <c r="F812" s="30">
        <v>46310</v>
      </c>
      <c r="G812" s="37">
        <v>4420233752</v>
      </c>
      <c r="H812" s="37" t="s">
        <v>373</v>
      </c>
      <c r="I812" s="37">
        <v>9040037431</v>
      </c>
      <c r="J812" s="37" t="s">
        <v>102</v>
      </c>
      <c r="K812" s="325" t="s">
        <v>103</v>
      </c>
      <c r="L812" s="181">
        <v>1</v>
      </c>
      <c r="M812" s="181" t="s">
        <v>375</v>
      </c>
      <c r="N812" s="37" t="s">
        <v>382</v>
      </c>
      <c r="O812" s="31">
        <f>IF(F812&gt;0,F812-AB812,"")</f>
        <v>46310</v>
      </c>
      <c r="P812" s="37" t="str">
        <f>IF(F812&gt;0,IF(AB812="","PLANNING SUPPLY",IF(AB812&lt;=F812,"ONTIME DELIVERY","DELAY")),"")</f>
        <v>PLANNING SUPPLY</v>
      </c>
      <c r="Q812" s="181" t="str">
        <f>IFERROR(IF(J812&gt;0,VLOOKUP(J812,#REF!,MATCH($Q$6,#REF!,0),0),""),"")</f>
        <v/>
      </c>
      <c r="R812" s="181" t="str">
        <f>IFERROR(IF(J812&gt;0,VLOOKUP(J812,#REF!,MATCH($R$6,#REF!,0),0),""),"")</f>
        <v/>
      </c>
      <c r="S812" s="181" t="e">
        <f>IF(I815&gt;0,Q812+R812,"")</f>
        <v>#VALUE!</v>
      </c>
      <c r="T812" s="181"/>
      <c r="U812" s="181"/>
      <c r="V812" s="37"/>
      <c r="W812" s="181" t="e">
        <f>IF(I815&gt;0,IF(S812&gt;L812,"READY STOCK",IF(S812=0,"OUT OF STOCK",IF(S812&lt;L812,"LOW STOCK",""))),"")</f>
        <v>#VALUE!</v>
      </c>
      <c r="X812" s="38"/>
      <c r="Y812" s="38"/>
      <c r="Z812" s="38"/>
      <c r="AA812" s="38"/>
      <c r="AB812" s="50"/>
      <c r="AC812" s="181"/>
      <c r="AD812" s="51"/>
      <c r="AE812" s="37"/>
      <c r="AF812" s="37"/>
      <c r="AG812" s="33" t="str">
        <f>IF(G812&gt;0,IF(AD812&gt;0,IF(AD812=0,"Waiting",IF(AD812&lt;L812,"Partial",IF(AD812=L812,"Full Supply",IF(AD812&gt;L812,"Over Shared")))),"Waiting"),"")</f>
        <v>Waiting</v>
      </c>
      <c r="AH812" s="56">
        <v>46290</v>
      </c>
      <c r="AI812" s="37" t="s">
        <v>1345</v>
      </c>
      <c r="AJ812" s="181">
        <v>1</v>
      </c>
      <c r="AK812" s="181">
        <v>26482</v>
      </c>
      <c r="AL812" s="215">
        <v>46296</v>
      </c>
      <c r="AM812" s="181">
        <v>1</v>
      </c>
      <c r="AN812" s="37"/>
      <c r="AO812" s="46">
        <v>46296</v>
      </c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181">
        <f>L812-AD812</f>
        <v>1</v>
      </c>
    </row>
    <row r="813" spans="1:52" ht="15.5" customHeight="1">
      <c r="A813" s="360" t="s">
        <v>372</v>
      </c>
      <c r="B813" s="340">
        <v>46290</v>
      </c>
      <c r="C813" s="181">
        <v>51344</v>
      </c>
      <c r="D813" s="30">
        <v>46290</v>
      </c>
      <c r="E813" s="30">
        <v>46286</v>
      </c>
      <c r="F813" s="30">
        <v>46310</v>
      </c>
      <c r="G813" s="37">
        <v>4420233752</v>
      </c>
      <c r="H813" s="37" t="s">
        <v>373</v>
      </c>
      <c r="I813" s="37">
        <v>9040056135</v>
      </c>
      <c r="J813" s="37" t="s">
        <v>139</v>
      </c>
      <c r="K813" s="325" t="s">
        <v>140</v>
      </c>
      <c r="L813" s="181">
        <v>1</v>
      </c>
      <c r="M813" s="181" t="s">
        <v>375</v>
      </c>
      <c r="N813" s="37" t="s">
        <v>382</v>
      </c>
      <c r="O813" s="31">
        <f>IF(F813&gt;0,F813-AB813,"")</f>
        <v>46310</v>
      </c>
      <c r="P813" s="37" t="str">
        <f>IF(F813&gt;0,IF(AB813="","PLANNING SUPPLY",IF(AB813&lt;=F813,"ONTIME DELIVERY","DELAY")),"")</f>
        <v>PLANNING SUPPLY</v>
      </c>
      <c r="Q813" s="181" t="str">
        <f>IFERROR(IF(J813&gt;0,VLOOKUP(J813,#REF!,MATCH($Q$6,#REF!,0),0),""),"")</f>
        <v/>
      </c>
      <c r="R813" s="181" t="str">
        <f>IFERROR(IF(J813&gt;0,VLOOKUP(J813,#REF!,MATCH($R$6,#REF!,0),0),""),"")</f>
        <v/>
      </c>
      <c r="S813" s="181" t="e">
        <f>IF(I816&gt;0,Q813+R813,"")</f>
        <v>#VALUE!</v>
      </c>
      <c r="T813" s="181"/>
      <c r="U813" s="181"/>
      <c r="V813" s="37"/>
      <c r="W813" s="181" t="e">
        <f>IF(I816&gt;0,IF(S813&gt;L813,"READY STOCK",IF(S813=0,"OUT OF STOCK",IF(S813&lt;L813,"LOW STOCK",""))),"")</f>
        <v>#VALUE!</v>
      </c>
      <c r="X813" s="38"/>
      <c r="Y813" s="38"/>
      <c r="Z813" s="38"/>
      <c r="AA813" s="38"/>
      <c r="AB813" s="50"/>
      <c r="AC813" s="181"/>
      <c r="AD813" s="51"/>
      <c r="AE813" s="37"/>
      <c r="AF813" s="37"/>
      <c r="AG813" s="33" t="str">
        <f>IF(G813&gt;0,IF(AD813&gt;0,IF(AD813=0,"Waiting",IF(AD813&lt;L813,"Partial",IF(AD813=L813,"Full Supply",IF(AD813&gt;L813,"Over Shared")))),"Waiting"),"")</f>
        <v>Waiting</v>
      </c>
      <c r="AH813" s="56">
        <v>46290</v>
      </c>
      <c r="AI813" s="37" t="s">
        <v>1345</v>
      </c>
      <c r="AJ813" s="181">
        <v>1</v>
      </c>
      <c r="AK813" s="181"/>
      <c r="AL813" s="181"/>
      <c r="AM813" s="181"/>
      <c r="AN813" s="216"/>
      <c r="AO813" s="232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181">
        <f>L813-AD813</f>
        <v>1</v>
      </c>
    </row>
    <row r="814" spans="1:52" ht="15.5" customHeight="1">
      <c r="A814" s="360" t="s">
        <v>372</v>
      </c>
      <c r="B814" s="340">
        <v>46290</v>
      </c>
      <c r="C814" s="181">
        <v>51344</v>
      </c>
      <c r="D814" s="30">
        <v>46290</v>
      </c>
      <c r="E814" s="30">
        <v>46286</v>
      </c>
      <c r="F814" s="30">
        <v>46310</v>
      </c>
      <c r="G814" s="37">
        <v>4420233752</v>
      </c>
      <c r="H814" s="37" t="s">
        <v>373</v>
      </c>
      <c r="I814" s="37">
        <v>9040060831</v>
      </c>
      <c r="J814" s="37" t="s">
        <v>280</v>
      </c>
      <c r="K814" s="325" t="s">
        <v>281</v>
      </c>
      <c r="L814" s="181">
        <v>10</v>
      </c>
      <c r="M814" s="181" t="s">
        <v>421</v>
      </c>
      <c r="N814" s="37" t="s">
        <v>382</v>
      </c>
      <c r="O814" s="31">
        <f>IF(F814&gt;0,F814-AB814,"")</f>
        <v>15</v>
      </c>
      <c r="P814" s="37" t="str">
        <f>IF(F814&gt;0,IF(AB814="","PLANNING SUPPLY",IF(AB814&lt;=F814,"ONTIME DELIVERY","DELAY")),"")</f>
        <v>ONTIME DELIVERY</v>
      </c>
      <c r="Q814" s="181" t="str">
        <f>IFERROR(IF(J814&gt;0,VLOOKUP(J814,#REF!,MATCH($Q$6,#REF!,0),0),""),"")</f>
        <v/>
      </c>
      <c r="R814" s="181" t="str">
        <f>IFERROR(IF(J814&gt;0,VLOOKUP(J814,#REF!,MATCH($R$6,#REF!,0),0),""),"")</f>
        <v/>
      </c>
      <c r="S814" s="181" t="e">
        <f>IF(I817&gt;0,Q814+R814,"")</f>
        <v>#VALUE!</v>
      </c>
      <c r="T814" s="181"/>
      <c r="U814" s="181"/>
      <c r="V814" s="37"/>
      <c r="W814" s="181" t="e">
        <f>IF(I817&gt;0,IF(S814&gt;L814,"READY STOCK",IF(S814=0,"OUT OF STOCK",IF(S814&lt;L814,"LOW STOCK",""))),"")</f>
        <v>#VALUE!</v>
      </c>
      <c r="X814" s="38"/>
      <c r="Y814" s="38"/>
      <c r="Z814" s="38"/>
      <c r="AA814" s="38"/>
      <c r="AB814" s="50">
        <v>46295</v>
      </c>
      <c r="AC814" s="181">
        <v>34650</v>
      </c>
      <c r="AD814" s="51">
        <v>10</v>
      </c>
      <c r="AE814" s="37" t="s">
        <v>387</v>
      </c>
      <c r="AF814" s="37" t="s">
        <v>381</v>
      </c>
      <c r="AG814" s="33" t="str">
        <f>IF(G814&gt;0,IF(AD814&gt;0,IF(AD814=0,"Waiting",IF(AD814&lt;L814,"Partial",IF(AD814=L814,"Full Supply",IF(AD814&gt;L814,"Over Shared")))),"Waiting"),"")</f>
        <v>Full Supply</v>
      </c>
      <c r="AH814" s="56">
        <v>46290</v>
      </c>
      <c r="AI814" s="37" t="s">
        <v>1345</v>
      </c>
      <c r="AJ814" s="181">
        <v>10</v>
      </c>
      <c r="AK814" s="181">
        <v>26483</v>
      </c>
      <c r="AL814" s="215">
        <v>46296</v>
      </c>
      <c r="AM814" s="181">
        <v>10</v>
      </c>
      <c r="AN814" s="37"/>
      <c r="AO814" s="239">
        <v>46297</v>
      </c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181">
        <f>L814-AD814</f>
        <v>0</v>
      </c>
    </row>
    <row r="815" spans="1:52" ht="15.5" customHeight="1">
      <c r="A815" s="360" t="s">
        <v>372</v>
      </c>
      <c r="B815" s="340">
        <v>46290</v>
      </c>
      <c r="C815" s="181">
        <v>51344</v>
      </c>
      <c r="D815" s="30">
        <v>46290</v>
      </c>
      <c r="E815" s="30">
        <v>46286</v>
      </c>
      <c r="F815" s="30">
        <v>46310</v>
      </c>
      <c r="G815" s="37">
        <v>4420233752</v>
      </c>
      <c r="H815" s="37" t="s">
        <v>373</v>
      </c>
      <c r="I815" s="37">
        <v>9040073265</v>
      </c>
      <c r="J815" s="37" t="s">
        <v>135</v>
      </c>
      <c r="K815" s="325" t="s">
        <v>136</v>
      </c>
      <c r="L815" s="181">
        <v>1</v>
      </c>
      <c r="M815" s="181" t="s">
        <v>375</v>
      </c>
      <c r="N815" s="37" t="s">
        <v>382</v>
      </c>
      <c r="O815" s="31">
        <f>IF(F815&gt;0,F815-AB815,"")</f>
        <v>-4</v>
      </c>
      <c r="P815" s="37" t="str">
        <f>IF(F815&gt;0,IF(AB815="","PLANNING SUPPLY",IF(AB815&lt;=F815,"ONTIME DELIVERY","DELAY")),"")</f>
        <v>DELAY</v>
      </c>
      <c r="Q815" s="181" t="str">
        <f>IFERROR(IF(J815&gt;0,VLOOKUP(J815,#REF!,MATCH($Q$6,#REF!,0),0),""),"")</f>
        <v/>
      </c>
      <c r="R815" s="181" t="str">
        <f>IFERROR(IF(J815&gt;0,VLOOKUP(J815,#REF!,MATCH($R$6,#REF!,0),0),""),"")</f>
        <v/>
      </c>
      <c r="S815" s="181" t="e">
        <f>IF(I818&gt;0,Q815+R815,"")</f>
        <v>#VALUE!</v>
      </c>
      <c r="T815" s="181"/>
      <c r="U815" s="181"/>
      <c r="V815" s="37"/>
      <c r="W815" s="181" t="e">
        <f>IF(I818&gt;0,IF(S815&gt;L815,"READY STOCK",IF(S815=0,"OUT OF STOCK",IF(S815&lt;L815,"LOW STOCK",""))),"")</f>
        <v>#VALUE!</v>
      </c>
      <c r="X815" s="38"/>
      <c r="Y815" s="38"/>
      <c r="Z815" s="38"/>
      <c r="AA815" s="38"/>
      <c r="AB815" s="50">
        <v>46314</v>
      </c>
      <c r="AC815" s="44" t="s">
        <v>1348</v>
      </c>
      <c r="AD815" s="51">
        <v>1</v>
      </c>
      <c r="AE815" s="37" t="s">
        <v>387</v>
      </c>
      <c r="AF815" s="37" t="s">
        <v>381</v>
      </c>
      <c r="AG815" s="33" t="str">
        <f>IF(G815&gt;0,IF(AD815&gt;0,IF(AD815=0,"Waiting",IF(AD815&lt;L815,"Partial",IF(AD815=L815,"Full Supply",IF(AD815&gt;L815,"Over Shared")))),"Waiting"),"")</f>
        <v>Full Supply</v>
      </c>
      <c r="AH815" s="56">
        <v>46290</v>
      </c>
      <c r="AI815" s="37" t="s">
        <v>1345</v>
      </c>
      <c r="AJ815" s="181">
        <v>1</v>
      </c>
      <c r="AK815" s="40">
        <v>26500</v>
      </c>
      <c r="AL815" s="42">
        <v>46295</v>
      </c>
      <c r="AM815" s="181">
        <v>1</v>
      </c>
      <c r="AN815" s="37"/>
      <c r="AO815" s="211">
        <v>46297</v>
      </c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181">
        <f>L815-AD815</f>
        <v>0</v>
      </c>
    </row>
    <row r="816" spans="1:52" ht="15.5" customHeight="1">
      <c r="A816" s="360" t="s">
        <v>372</v>
      </c>
      <c r="B816" s="340">
        <v>46290</v>
      </c>
      <c r="C816" s="181">
        <v>51344</v>
      </c>
      <c r="D816" s="30">
        <v>46290</v>
      </c>
      <c r="E816" s="30">
        <v>46286</v>
      </c>
      <c r="F816" s="30">
        <v>46310</v>
      </c>
      <c r="G816" s="37">
        <v>4420233752</v>
      </c>
      <c r="H816" s="37" t="s">
        <v>373</v>
      </c>
      <c r="I816" s="37">
        <v>9040073267</v>
      </c>
      <c r="J816" s="37" t="s">
        <v>83</v>
      </c>
      <c r="K816" s="325" t="s">
        <v>84</v>
      </c>
      <c r="L816" s="181">
        <v>1</v>
      </c>
      <c r="M816" s="181" t="s">
        <v>375</v>
      </c>
      <c r="N816" s="37" t="s">
        <v>382</v>
      </c>
      <c r="O816" s="31">
        <f>IF(F816&gt;0,F816-AB816,"")</f>
        <v>2</v>
      </c>
      <c r="P816" s="37" t="str">
        <f>IF(F816&gt;0,IF(AB816="","PLANNING SUPPLY",IF(AB816&lt;=F816,"ONTIME DELIVERY","DELAY")),"")</f>
        <v>ONTIME DELIVERY</v>
      </c>
      <c r="Q816" s="181" t="str">
        <f>IFERROR(IF(J816&gt;0,VLOOKUP(J816,#REF!,MATCH($Q$6,#REF!,0),0),""),"")</f>
        <v/>
      </c>
      <c r="R816" s="181" t="str">
        <f>IFERROR(IF(J816&gt;0,VLOOKUP(J816,#REF!,MATCH($R$6,#REF!,0),0),""),"")</f>
        <v/>
      </c>
      <c r="S816" s="181" t="e">
        <f>IF(I819&gt;0,Q816+R816,"")</f>
        <v>#VALUE!</v>
      </c>
      <c r="T816" s="181"/>
      <c r="U816" s="181"/>
      <c r="V816" s="37"/>
      <c r="W816" s="181" t="e">
        <f>IF(I819&gt;0,IF(S816&gt;L816,"READY STOCK",IF(S816=0,"OUT OF STOCK",IF(S816&lt;L816,"LOW STOCK",""))),"")</f>
        <v>#VALUE!</v>
      </c>
      <c r="X816" s="38"/>
      <c r="Y816" s="38"/>
      <c r="Z816" s="38"/>
      <c r="AA816" s="38"/>
      <c r="AB816" s="50">
        <v>46308</v>
      </c>
      <c r="AC816" s="246">
        <v>34989</v>
      </c>
      <c r="AD816" s="51">
        <v>1</v>
      </c>
      <c r="AE816" s="37" t="s">
        <v>387</v>
      </c>
      <c r="AF816" s="37" t="s">
        <v>381</v>
      </c>
      <c r="AG816" s="33" t="str">
        <f>IF(G816&gt;0,IF(AD816&gt;0,IF(AD816=0,"Waiting",IF(AD816&lt;L816,"Partial",IF(AD816=L816,"Full Supply",IF(AD816&gt;L816,"Over Shared")))),"Waiting"),"")</f>
        <v>Full Supply</v>
      </c>
      <c r="AH816" s="56">
        <v>46290</v>
      </c>
      <c r="AI816" s="37" t="s">
        <v>1345</v>
      </c>
      <c r="AJ816" s="181">
        <v>1</v>
      </c>
      <c r="AK816" s="181">
        <v>26482</v>
      </c>
      <c r="AL816" s="215">
        <v>46296</v>
      </c>
      <c r="AM816" s="181">
        <v>1</v>
      </c>
      <c r="AN816" s="37"/>
      <c r="AO816" s="46">
        <v>46296</v>
      </c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181">
        <f>L816-AD816</f>
        <v>0</v>
      </c>
    </row>
    <row r="817" spans="1:52" ht="15.5" customHeight="1">
      <c r="A817" s="360" t="s">
        <v>372</v>
      </c>
      <c r="B817" s="340">
        <v>46290</v>
      </c>
      <c r="C817" s="181">
        <v>51344</v>
      </c>
      <c r="D817" s="30">
        <v>46290</v>
      </c>
      <c r="E817" s="30">
        <v>46286</v>
      </c>
      <c r="F817" s="30">
        <v>46310</v>
      </c>
      <c r="G817" s="37">
        <v>4420233752</v>
      </c>
      <c r="H817" s="37" t="s">
        <v>373</v>
      </c>
      <c r="I817" s="37">
        <v>9040107088</v>
      </c>
      <c r="J817" s="37" t="s">
        <v>114</v>
      </c>
      <c r="K817" s="325" t="s">
        <v>115</v>
      </c>
      <c r="L817" s="181">
        <v>15</v>
      </c>
      <c r="M817" s="181" t="s">
        <v>375</v>
      </c>
      <c r="N817" s="37" t="s">
        <v>382</v>
      </c>
      <c r="O817" s="31">
        <f>IF(F817&gt;0,F817-AB817,"")</f>
        <v>2</v>
      </c>
      <c r="P817" s="37" t="str">
        <f>IF(F817&gt;0,IF(AB817="","PLANNING SUPPLY",IF(AB817&lt;=F817,"ONTIME DELIVERY","DELAY")),"")</f>
        <v>ONTIME DELIVERY</v>
      </c>
      <c r="Q817" s="181" t="str">
        <f>IFERROR(IF(J817&gt;0,VLOOKUP(J817,#REF!,MATCH($Q$6,#REF!,0),0),""),"")</f>
        <v/>
      </c>
      <c r="R817" s="181" t="str">
        <f>IFERROR(IF(J817&gt;0,VLOOKUP(J817,#REF!,MATCH($R$6,#REF!,0),0),""),"")</f>
        <v/>
      </c>
      <c r="S817" s="181" t="e">
        <f>IF(I820&gt;0,Q817+R817,"")</f>
        <v>#VALUE!</v>
      </c>
      <c r="T817" s="181"/>
      <c r="U817" s="181"/>
      <c r="V817" s="37"/>
      <c r="W817" s="181" t="e">
        <f>IF(I820&gt;0,IF(S817&gt;L817,"READY STOCK",IF(S817=0,"OUT OF STOCK",IF(S817&lt;L817,"LOW STOCK",""))),"")</f>
        <v>#VALUE!</v>
      </c>
      <c r="X817" s="38"/>
      <c r="Y817" s="38"/>
      <c r="Z817" s="38"/>
      <c r="AA817" s="38"/>
      <c r="AB817" s="50">
        <v>46308</v>
      </c>
      <c r="AC817" s="246">
        <v>34989</v>
      </c>
      <c r="AD817" s="51">
        <v>15</v>
      </c>
      <c r="AE817" s="37" t="s">
        <v>387</v>
      </c>
      <c r="AF817" s="37" t="s">
        <v>381</v>
      </c>
      <c r="AG817" s="33" t="str">
        <f>IF(G817&gt;0,IF(AD817&gt;0,IF(AD817=0,"Waiting",IF(AD817&lt;L817,"Partial",IF(AD817=L817,"Full Supply",IF(AD817&gt;L817,"Over Shared")))),"Waiting"),"")</f>
        <v>Full Supply</v>
      </c>
      <c r="AH817" s="56">
        <v>46290</v>
      </c>
      <c r="AI817" s="37" t="s">
        <v>1345</v>
      </c>
      <c r="AJ817" s="181">
        <v>15</v>
      </c>
      <c r="AK817" s="181">
        <v>26482</v>
      </c>
      <c r="AL817" s="215">
        <v>46296</v>
      </c>
      <c r="AM817" s="181">
        <v>15</v>
      </c>
      <c r="AN817" s="37"/>
      <c r="AO817" s="46">
        <v>46296</v>
      </c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181">
        <f>L817-AD817</f>
        <v>0</v>
      </c>
    </row>
    <row r="818" spans="1:52" ht="15.5" customHeight="1">
      <c r="A818" s="360" t="s">
        <v>372</v>
      </c>
      <c r="B818" s="340">
        <v>46290</v>
      </c>
      <c r="C818" s="181">
        <v>51344</v>
      </c>
      <c r="D818" s="30">
        <v>46290</v>
      </c>
      <c r="E818" s="30">
        <v>46286</v>
      </c>
      <c r="F818" s="30">
        <v>46310</v>
      </c>
      <c r="G818" s="37">
        <v>4420233752</v>
      </c>
      <c r="H818" s="37" t="s">
        <v>373</v>
      </c>
      <c r="I818" s="37">
        <v>9040126434</v>
      </c>
      <c r="J818" s="37" t="s">
        <v>243</v>
      </c>
      <c r="K818" s="325" t="s">
        <v>244</v>
      </c>
      <c r="L818" s="181">
        <v>20</v>
      </c>
      <c r="M818" s="181" t="s">
        <v>458</v>
      </c>
      <c r="N818" s="37" t="s">
        <v>382</v>
      </c>
      <c r="O818" s="31">
        <f>IF(F818&gt;0,F818-AB818,"")</f>
        <v>46310</v>
      </c>
      <c r="P818" s="37" t="str">
        <f>IF(F818&gt;0,IF(AB818="","PLANNING SUPPLY",IF(AB818&lt;=F818,"ONTIME DELIVERY","DELAY")),"")</f>
        <v>PLANNING SUPPLY</v>
      </c>
      <c r="Q818" s="181" t="str">
        <f>IFERROR(IF(J818&gt;0,VLOOKUP(J818,#REF!,MATCH($Q$6,#REF!,0),0),""),"")</f>
        <v/>
      </c>
      <c r="R818" s="181" t="str">
        <f>IFERROR(IF(J818&gt;0,VLOOKUP(J818,#REF!,MATCH($R$6,#REF!,0),0),""),"")</f>
        <v/>
      </c>
      <c r="S818" s="181" t="e">
        <f>IF(I821&gt;0,Q818+R818,"")</f>
        <v>#VALUE!</v>
      </c>
      <c r="T818" s="181"/>
      <c r="U818" s="181"/>
      <c r="V818" s="37"/>
      <c r="W818" s="181" t="e">
        <f>IF(I821&gt;0,IF(S818&gt;L818,"READY STOCK",IF(S818=0,"OUT OF STOCK",IF(S818&lt;L818,"LOW STOCK",""))),"")</f>
        <v>#VALUE!</v>
      </c>
      <c r="X818" s="38"/>
      <c r="Y818" s="38"/>
      <c r="Z818" s="38"/>
      <c r="AA818" s="38"/>
      <c r="AB818" s="50"/>
      <c r="AC818" s="181"/>
      <c r="AD818" s="51"/>
      <c r="AE818" s="37"/>
      <c r="AF818" s="37"/>
      <c r="AG818" s="33" t="str">
        <f>IF(G818&gt;0,IF(AD818&gt;0,IF(AD818=0,"Waiting",IF(AD818&lt;L818,"Partial",IF(AD818=L818,"Full Supply",IF(AD818&gt;L818,"Over Shared")))),"Waiting"),"")</f>
        <v>Waiting</v>
      </c>
      <c r="AH818" s="56">
        <v>46290</v>
      </c>
      <c r="AI818" s="37" t="s">
        <v>1345</v>
      </c>
      <c r="AJ818" s="181">
        <v>20</v>
      </c>
      <c r="AK818" s="181"/>
      <c r="AL818" s="181"/>
      <c r="AM818" s="181"/>
      <c r="AN818" s="216"/>
      <c r="AO818" s="232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181">
        <f>L818-AD818</f>
        <v>20</v>
      </c>
    </row>
    <row r="819" spans="1:52" ht="15.5" customHeight="1">
      <c r="A819" s="360" t="s">
        <v>372</v>
      </c>
      <c r="B819" s="340">
        <v>46290</v>
      </c>
      <c r="C819" s="181">
        <v>51344</v>
      </c>
      <c r="D819" s="30">
        <v>46290</v>
      </c>
      <c r="E819" s="30">
        <v>46286</v>
      </c>
      <c r="F819" s="30">
        <v>46310</v>
      </c>
      <c r="G819" s="37">
        <v>4420233752</v>
      </c>
      <c r="H819" s="37" t="s">
        <v>373</v>
      </c>
      <c r="I819" s="37">
        <v>9040126455</v>
      </c>
      <c r="J819" s="37" t="s">
        <v>141</v>
      </c>
      <c r="K819" s="325" t="s">
        <v>142</v>
      </c>
      <c r="L819" s="181">
        <v>10</v>
      </c>
      <c r="M819" s="181" t="s">
        <v>375</v>
      </c>
      <c r="N819" s="37" t="s">
        <v>382</v>
      </c>
      <c r="O819" s="31">
        <f>IF(F819&gt;0,F819-AB819,"")</f>
        <v>2</v>
      </c>
      <c r="P819" s="37" t="str">
        <f>IF(F819&gt;0,IF(AB819="","PLANNING SUPPLY",IF(AB819&lt;=F819,"ONTIME DELIVERY","DELAY")),"")</f>
        <v>ONTIME DELIVERY</v>
      </c>
      <c r="Q819" s="181" t="str">
        <f>IFERROR(IF(J819&gt;0,VLOOKUP(J819,#REF!,MATCH($Q$6,#REF!,0),0),""),"")</f>
        <v/>
      </c>
      <c r="R819" s="181" t="str">
        <f>IFERROR(IF(J819&gt;0,VLOOKUP(J819,#REF!,MATCH($R$6,#REF!,0),0),""),"")</f>
        <v/>
      </c>
      <c r="S819" s="181" t="e">
        <f>IF(I822&gt;0,Q819+R819,"")</f>
        <v>#VALUE!</v>
      </c>
      <c r="T819" s="181"/>
      <c r="U819" s="181"/>
      <c r="V819" s="37"/>
      <c r="W819" s="181" t="e">
        <f>IF(I822&gt;0,IF(S819&gt;L819,"READY STOCK",IF(S819=0,"OUT OF STOCK",IF(S819&lt;L819,"LOW STOCK",""))),"")</f>
        <v>#VALUE!</v>
      </c>
      <c r="X819" s="38"/>
      <c r="Y819" s="38"/>
      <c r="Z819" s="38"/>
      <c r="AA819" s="38"/>
      <c r="AB819" s="50">
        <v>46308</v>
      </c>
      <c r="AC819" s="246">
        <v>34989</v>
      </c>
      <c r="AD819" s="51">
        <v>10</v>
      </c>
      <c r="AE819" s="37" t="s">
        <v>387</v>
      </c>
      <c r="AF819" s="37" t="s">
        <v>381</v>
      </c>
      <c r="AG819" s="33" t="str">
        <f>IF(G819&gt;0,IF(AD819&gt;0,IF(AD819=0,"Waiting",IF(AD819&lt;L819,"Partial",IF(AD819=L819,"Full Supply",IF(AD819&gt;L819,"Over Shared")))),"Waiting"),"")</f>
        <v>Full Supply</v>
      </c>
      <c r="AH819" s="56">
        <v>46290</v>
      </c>
      <c r="AI819" s="37" t="s">
        <v>1345</v>
      </c>
      <c r="AJ819" s="181">
        <v>10</v>
      </c>
      <c r="AK819" s="181">
        <v>26482</v>
      </c>
      <c r="AL819" s="215">
        <v>46296</v>
      </c>
      <c r="AM819" s="181">
        <v>10</v>
      </c>
      <c r="AN819" s="37"/>
      <c r="AO819" s="46">
        <v>46296</v>
      </c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181">
        <f>L819-AD819</f>
        <v>0</v>
      </c>
    </row>
    <row r="820" spans="1:52" ht="15.5" customHeight="1">
      <c r="A820" s="360" t="s">
        <v>372</v>
      </c>
      <c r="B820" s="340">
        <v>46290</v>
      </c>
      <c r="C820" s="181">
        <v>51344</v>
      </c>
      <c r="D820" s="30">
        <v>46290</v>
      </c>
      <c r="E820" s="30">
        <v>46286</v>
      </c>
      <c r="F820" s="30">
        <v>46310</v>
      </c>
      <c r="G820" s="37">
        <v>4420233752</v>
      </c>
      <c r="H820" s="37" t="s">
        <v>373</v>
      </c>
      <c r="I820" s="37">
        <v>9040126458</v>
      </c>
      <c r="J820" s="37" t="s">
        <v>217</v>
      </c>
      <c r="K820" s="325" t="s">
        <v>218</v>
      </c>
      <c r="L820" s="181">
        <v>1</v>
      </c>
      <c r="M820" s="181" t="s">
        <v>446</v>
      </c>
      <c r="N820" s="37" t="s">
        <v>382</v>
      </c>
      <c r="O820" s="31">
        <f>IF(F820&gt;0,F820-AB820,"")</f>
        <v>46310</v>
      </c>
      <c r="P820" s="37" t="str">
        <f>IF(F820&gt;0,IF(AB820="","PLANNING SUPPLY",IF(AB820&lt;=F820,"ONTIME DELIVERY","DELAY")),"")</f>
        <v>PLANNING SUPPLY</v>
      </c>
      <c r="Q820" s="181" t="str">
        <f>IFERROR(IF(J820&gt;0,VLOOKUP(J820,#REF!,MATCH($Q$6,#REF!,0),0),""),"")</f>
        <v/>
      </c>
      <c r="R820" s="181" t="str">
        <f>IFERROR(IF(J820&gt;0,VLOOKUP(J820,#REF!,MATCH($R$6,#REF!,0),0),""),"")</f>
        <v/>
      </c>
      <c r="S820" s="181" t="e">
        <f>IF(I823&gt;0,Q820+R820,"")</f>
        <v>#VALUE!</v>
      </c>
      <c r="T820" s="181"/>
      <c r="U820" s="181"/>
      <c r="V820" s="37"/>
      <c r="W820" s="181" t="e">
        <f>IF(I823&gt;0,IF(S820&gt;L820,"READY STOCK",IF(S820=0,"OUT OF STOCK",IF(S820&lt;L820,"LOW STOCK",""))),"")</f>
        <v>#VALUE!</v>
      </c>
      <c r="X820" s="38"/>
      <c r="Y820" s="38"/>
      <c r="Z820" s="38"/>
      <c r="AA820" s="38"/>
      <c r="AB820" s="50"/>
      <c r="AC820" s="181"/>
      <c r="AD820" s="51"/>
      <c r="AE820" s="37"/>
      <c r="AF820" s="37"/>
      <c r="AG820" s="33" t="str">
        <f>IF(G820&gt;0,IF(AD820&gt;0,IF(AD820=0,"Waiting",IF(AD820&lt;L820,"Partial",IF(AD820=L820,"Full Supply",IF(AD820&gt;L820,"Over Shared")))),"Waiting"),"")</f>
        <v>Waiting</v>
      </c>
      <c r="AH820" s="56">
        <v>46290</v>
      </c>
      <c r="AI820" s="37" t="s">
        <v>1345</v>
      </c>
      <c r="AJ820" s="181">
        <v>1</v>
      </c>
      <c r="AK820" s="181"/>
      <c r="AL820" s="181"/>
      <c r="AM820" s="181"/>
      <c r="AN820" s="216"/>
      <c r="AO820" s="232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181">
        <f>L820-AD820</f>
        <v>1</v>
      </c>
    </row>
    <row r="821" spans="1:52" ht="15.5" customHeight="1">
      <c r="A821" s="360" t="s">
        <v>372</v>
      </c>
      <c r="B821" s="340">
        <v>46290</v>
      </c>
      <c r="C821" s="181">
        <v>51344</v>
      </c>
      <c r="D821" s="30">
        <v>46290</v>
      </c>
      <c r="E821" s="30">
        <v>46286</v>
      </c>
      <c r="F821" s="30">
        <v>46310</v>
      </c>
      <c r="G821" s="37">
        <v>4420233752</v>
      </c>
      <c r="H821" s="37" t="s">
        <v>373</v>
      </c>
      <c r="I821" s="37">
        <v>9040126460</v>
      </c>
      <c r="J821" s="37" t="s">
        <v>131</v>
      </c>
      <c r="K821" s="325" t="s">
        <v>132</v>
      </c>
      <c r="L821" s="181">
        <v>10</v>
      </c>
      <c r="M821" s="181" t="s">
        <v>375</v>
      </c>
      <c r="N821" s="37" t="s">
        <v>382</v>
      </c>
      <c r="O821" s="31">
        <f>IF(F821&gt;0,F821-AB821,"")</f>
        <v>-4</v>
      </c>
      <c r="P821" s="37" t="str">
        <f>IF(F821&gt;0,IF(AB821="","PLANNING SUPPLY",IF(AB821&lt;=F821,"ONTIME DELIVERY","DELAY")),"")</f>
        <v>DELAY</v>
      </c>
      <c r="Q821" s="181" t="str">
        <f>IFERROR(IF(J821&gt;0,VLOOKUP(J821,#REF!,MATCH($Q$6,#REF!,0),0),""),"")</f>
        <v/>
      </c>
      <c r="R821" s="181" t="str">
        <f>IFERROR(IF(J821&gt;0,VLOOKUP(J821,#REF!,MATCH($R$6,#REF!,0),0),""),"")</f>
        <v/>
      </c>
      <c r="S821" s="181" t="e">
        <f>IF(I824&gt;0,Q821+R821,"")</f>
        <v>#VALUE!</v>
      </c>
      <c r="T821" s="181"/>
      <c r="U821" s="181"/>
      <c r="V821" s="37"/>
      <c r="W821" s="181" t="e">
        <f>IF(I824&gt;0,IF(S821&gt;L821,"READY STOCK",IF(S821=0,"OUT OF STOCK",IF(S821&lt;L821,"LOW STOCK",""))),"")</f>
        <v>#VALUE!</v>
      </c>
      <c r="X821" s="38"/>
      <c r="Y821" s="38"/>
      <c r="Z821" s="38"/>
      <c r="AA821" s="38"/>
      <c r="AB821" s="50">
        <v>46314</v>
      </c>
      <c r="AC821" s="44" t="s">
        <v>1348</v>
      </c>
      <c r="AD821" s="51">
        <v>10</v>
      </c>
      <c r="AE821" s="37" t="s">
        <v>387</v>
      </c>
      <c r="AF821" s="37" t="s">
        <v>381</v>
      </c>
      <c r="AG821" s="33" t="str">
        <f>IF(G821&gt;0,IF(AD821&gt;0,IF(AD821=0,"Waiting",IF(AD821&lt;L821,"Partial",IF(AD821=L821,"Full Supply",IF(AD821&gt;L821,"Over Shared")))),"Waiting"),"")</f>
        <v>Full Supply</v>
      </c>
      <c r="AH821" s="56">
        <v>46290</v>
      </c>
      <c r="AI821" s="37" t="s">
        <v>1345</v>
      </c>
      <c r="AJ821" s="181">
        <v>10</v>
      </c>
      <c r="AK821" s="181"/>
      <c r="AL821" s="181"/>
      <c r="AM821" s="181"/>
      <c r="AN821" s="216"/>
      <c r="AO821" s="46">
        <v>46296</v>
      </c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181">
        <f>L821-AD821</f>
        <v>0</v>
      </c>
    </row>
    <row r="822" spans="1:52" ht="15.5" customHeight="1">
      <c r="A822" s="360" t="s">
        <v>372</v>
      </c>
      <c r="B822" s="340">
        <v>46290</v>
      </c>
      <c r="C822" s="181">
        <v>51344</v>
      </c>
      <c r="D822" s="30">
        <v>46290</v>
      </c>
      <c r="E822" s="30">
        <v>46286</v>
      </c>
      <c r="F822" s="30">
        <v>46310</v>
      </c>
      <c r="G822" s="37">
        <v>4420233752</v>
      </c>
      <c r="H822" s="37" t="s">
        <v>373</v>
      </c>
      <c r="I822" s="37">
        <v>9040126461</v>
      </c>
      <c r="J822" s="37" t="s">
        <v>116</v>
      </c>
      <c r="K822" s="325" t="s">
        <v>117</v>
      </c>
      <c r="L822" s="181">
        <v>10</v>
      </c>
      <c r="M822" s="181" t="s">
        <v>375</v>
      </c>
      <c r="N822" s="37" t="s">
        <v>382</v>
      </c>
      <c r="O822" s="31">
        <f>IF(F822&gt;0,F822-AB822,"")</f>
        <v>-4</v>
      </c>
      <c r="P822" s="37" t="str">
        <f>IF(F822&gt;0,IF(AB822="","PLANNING SUPPLY",IF(AB822&lt;=F822,"ONTIME DELIVERY","DELAY")),"")</f>
        <v>DELAY</v>
      </c>
      <c r="Q822" s="181" t="str">
        <f>IFERROR(IF(J822&gt;0,VLOOKUP(J822,#REF!,MATCH($Q$6,#REF!,0),0),""),"")</f>
        <v/>
      </c>
      <c r="R822" s="181" t="str">
        <f>IFERROR(IF(J822&gt;0,VLOOKUP(J822,#REF!,MATCH($R$6,#REF!,0),0),""),"")</f>
        <v/>
      </c>
      <c r="S822" s="181" t="e">
        <f>IF(I825&gt;0,Q822+R822,"")</f>
        <v>#VALUE!</v>
      </c>
      <c r="T822" s="181"/>
      <c r="U822" s="181"/>
      <c r="V822" s="37"/>
      <c r="W822" s="181" t="e">
        <f>IF(I825&gt;0,IF(S822&gt;L822,"READY STOCK",IF(S822=0,"OUT OF STOCK",IF(S822&lt;L822,"LOW STOCK",""))),"")</f>
        <v>#VALUE!</v>
      </c>
      <c r="X822" s="38"/>
      <c r="Y822" s="38"/>
      <c r="Z822" s="38"/>
      <c r="AA822" s="38"/>
      <c r="AB822" s="50">
        <v>46314</v>
      </c>
      <c r="AC822" s="44" t="s">
        <v>1348</v>
      </c>
      <c r="AD822" s="51">
        <v>10</v>
      </c>
      <c r="AE822" s="37" t="s">
        <v>387</v>
      </c>
      <c r="AF822" s="37" t="s">
        <v>381</v>
      </c>
      <c r="AG822" s="33" t="str">
        <f>IF(G822&gt;0,IF(AD822&gt;0,IF(AD822=0,"Waiting",IF(AD822&lt;L822,"Partial",IF(AD822=L822,"Full Supply",IF(AD822&gt;L822,"Over Shared")))),"Waiting"),"")</f>
        <v>Full Supply</v>
      </c>
      <c r="AH822" s="56">
        <v>46290</v>
      </c>
      <c r="AI822" s="37" t="s">
        <v>1345</v>
      </c>
      <c r="AJ822" s="181">
        <v>20</v>
      </c>
      <c r="AK822" s="181"/>
      <c r="AL822" s="181"/>
      <c r="AM822" s="181"/>
      <c r="AN822" s="216"/>
      <c r="AO822" s="46">
        <v>46296</v>
      </c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181">
        <f>L822-AD822</f>
        <v>0</v>
      </c>
    </row>
    <row r="823" spans="1:52" ht="15.5" customHeight="1">
      <c r="A823" s="360" t="s">
        <v>372</v>
      </c>
      <c r="B823" s="340">
        <v>46290</v>
      </c>
      <c r="C823" s="181">
        <v>51344</v>
      </c>
      <c r="D823" s="30">
        <v>46290</v>
      </c>
      <c r="E823" s="30">
        <v>46286</v>
      </c>
      <c r="F823" s="30">
        <v>46310</v>
      </c>
      <c r="G823" s="37">
        <v>4420233752</v>
      </c>
      <c r="H823" s="37" t="s">
        <v>373</v>
      </c>
      <c r="I823" s="37">
        <v>9040126462</v>
      </c>
      <c r="J823" s="37" t="s">
        <v>118</v>
      </c>
      <c r="K823" s="325" t="s">
        <v>119</v>
      </c>
      <c r="L823" s="181">
        <v>10</v>
      </c>
      <c r="M823" s="181" t="s">
        <v>375</v>
      </c>
      <c r="N823" s="37" t="s">
        <v>382</v>
      </c>
      <c r="O823" s="31">
        <f>IF(F823&gt;0,F823-AB823,"")</f>
        <v>-4</v>
      </c>
      <c r="P823" s="37" t="str">
        <f>IF(F823&gt;0,IF(AB823="","PLANNING SUPPLY",IF(AB823&lt;=F823,"ONTIME DELIVERY","DELAY")),"")</f>
        <v>DELAY</v>
      </c>
      <c r="Q823" s="181" t="str">
        <f>IFERROR(IF(J823&gt;0,VLOOKUP(J823,#REF!,MATCH($Q$6,#REF!,0),0),""),"")</f>
        <v/>
      </c>
      <c r="R823" s="181" t="str">
        <f>IFERROR(IF(J823&gt;0,VLOOKUP(J823,#REF!,MATCH($R$6,#REF!,0),0),""),"")</f>
        <v/>
      </c>
      <c r="S823" s="181" t="e">
        <f>IF(I826&gt;0,Q823+R823,"")</f>
        <v>#VALUE!</v>
      </c>
      <c r="T823" s="181"/>
      <c r="U823" s="181"/>
      <c r="V823" s="37"/>
      <c r="W823" s="181" t="e">
        <f>IF(I826&gt;0,IF(S823&gt;L823,"READY STOCK",IF(S823=0,"OUT OF STOCK",IF(S823&lt;L823,"LOW STOCK",""))),"")</f>
        <v>#VALUE!</v>
      </c>
      <c r="X823" s="38"/>
      <c r="Y823" s="38"/>
      <c r="Z823" s="38"/>
      <c r="AA823" s="38"/>
      <c r="AB823" s="50">
        <v>46314</v>
      </c>
      <c r="AC823" s="44" t="s">
        <v>1348</v>
      </c>
      <c r="AD823" s="51">
        <v>10</v>
      </c>
      <c r="AE823" s="37" t="s">
        <v>387</v>
      </c>
      <c r="AF823" s="37" t="s">
        <v>381</v>
      </c>
      <c r="AG823" s="33" t="str">
        <f>IF(G823&gt;0,IF(AD823&gt;0,IF(AD823=0,"Waiting",IF(AD823&lt;L823,"Partial",IF(AD823=L823,"Full Supply",IF(AD823&gt;L823,"Over Shared")))),"Waiting"),"")</f>
        <v>Full Supply</v>
      </c>
      <c r="AH823" s="56">
        <v>46290</v>
      </c>
      <c r="AI823" s="37" t="s">
        <v>1345</v>
      </c>
      <c r="AJ823" s="181">
        <v>20</v>
      </c>
      <c r="AK823" s="181"/>
      <c r="AL823" s="181"/>
      <c r="AM823" s="181"/>
      <c r="AN823" s="216"/>
      <c r="AO823" s="46">
        <v>46296</v>
      </c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181">
        <f>L823-AD823</f>
        <v>0</v>
      </c>
    </row>
    <row r="824" spans="1:52" ht="15.5" customHeight="1">
      <c r="A824" s="360" t="s">
        <v>372</v>
      </c>
      <c r="B824" s="340">
        <v>46290</v>
      </c>
      <c r="C824" s="181">
        <v>51344</v>
      </c>
      <c r="D824" s="30">
        <v>46290</v>
      </c>
      <c r="E824" s="30">
        <v>46286</v>
      </c>
      <c r="F824" s="30">
        <v>46310</v>
      </c>
      <c r="G824" s="37">
        <v>4420233752</v>
      </c>
      <c r="H824" s="37" t="s">
        <v>373</v>
      </c>
      <c r="I824" s="37">
        <v>9040126464</v>
      </c>
      <c r="J824" s="37" t="s">
        <v>137</v>
      </c>
      <c r="K824" s="325" t="s">
        <v>138</v>
      </c>
      <c r="L824" s="181">
        <v>6</v>
      </c>
      <c r="M824" s="181" t="s">
        <v>375</v>
      </c>
      <c r="N824" s="37" t="s">
        <v>382</v>
      </c>
      <c r="O824" s="31">
        <f>IF(F824&gt;0,F824-AB824,"")</f>
        <v>2</v>
      </c>
      <c r="P824" s="37" t="str">
        <f>IF(F824&gt;0,IF(AB824="","PLANNING SUPPLY",IF(AB824&lt;=F824,"ONTIME DELIVERY","DELAY")),"")</f>
        <v>ONTIME DELIVERY</v>
      </c>
      <c r="Q824" s="181" t="str">
        <f>IFERROR(IF(J824&gt;0,VLOOKUP(J824,#REF!,MATCH($Q$6,#REF!,0),0),""),"")</f>
        <v/>
      </c>
      <c r="R824" s="181" t="str">
        <f>IFERROR(IF(J824&gt;0,VLOOKUP(J824,#REF!,MATCH($R$6,#REF!,0),0),""),"")</f>
        <v/>
      </c>
      <c r="S824" s="181" t="e">
        <f>IF(I827&gt;0,Q824+R824,"")</f>
        <v>#VALUE!</v>
      </c>
      <c r="T824" s="181"/>
      <c r="U824" s="181"/>
      <c r="V824" s="37"/>
      <c r="W824" s="181" t="e">
        <f>IF(I827&gt;0,IF(S824&gt;L824,"READY STOCK",IF(S824=0,"OUT OF STOCK",IF(S824&lt;L824,"LOW STOCK",""))),"")</f>
        <v>#VALUE!</v>
      </c>
      <c r="X824" s="38"/>
      <c r="Y824" s="38"/>
      <c r="Z824" s="38"/>
      <c r="AA824" s="38"/>
      <c r="AB824" s="50">
        <v>46308</v>
      </c>
      <c r="AC824" s="246">
        <v>34989</v>
      </c>
      <c r="AD824" s="51">
        <v>6</v>
      </c>
      <c r="AE824" s="37" t="s">
        <v>387</v>
      </c>
      <c r="AF824" s="37" t="s">
        <v>381</v>
      </c>
      <c r="AG824" s="33" t="str">
        <f>IF(G824&gt;0,IF(AD824&gt;0,IF(AD824=0,"Waiting",IF(AD824&lt;L824,"Partial",IF(AD824=L824,"Full Supply",IF(AD824&gt;L824,"Over Shared")))),"Waiting"),"")</f>
        <v>Full Supply</v>
      </c>
      <c r="AH824" s="56">
        <v>46290</v>
      </c>
      <c r="AI824" s="37" t="s">
        <v>1345</v>
      </c>
      <c r="AJ824" s="181">
        <v>6</v>
      </c>
      <c r="AK824" s="181">
        <v>26482</v>
      </c>
      <c r="AL824" s="215">
        <v>46296</v>
      </c>
      <c r="AM824" s="181">
        <v>6</v>
      </c>
      <c r="AN824" s="37"/>
      <c r="AO824" s="46">
        <v>46296</v>
      </c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181">
        <f>L824-AD824</f>
        <v>0</v>
      </c>
    </row>
    <row r="825" spans="1:52" ht="15.5" customHeight="1">
      <c r="A825" s="360" t="s">
        <v>372</v>
      </c>
      <c r="B825" s="340">
        <v>46290</v>
      </c>
      <c r="C825" s="181">
        <v>51344</v>
      </c>
      <c r="D825" s="30">
        <v>46290</v>
      </c>
      <c r="E825" s="30">
        <v>46286</v>
      </c>
      <c r="F825" s="30">
        <v>46310</v>
      </c>
      <c r="G825" s="37">
        <v>4420233752</v>
      </c>
      <c r="H825" s="37" t="s">
        <v>373</v>
      </c>
      <c r="I825" s="37">
        <v>9040126471</v>
      </c>
      <c r="J825" s="37" t="s">
        <v>81</v>
      </c>
      <c r="K825" s="325" t="s">
        <v>82</v>
      </c>
      <c r="L825" s="181">
        <v>1</v>
      </c>
      <c r="M825" s="181" t="s">
        <v>429</v>
      </c>
      <c r="N825" s="37" t="s">
        <v>382</v>
      </c>
      <c r="O825" s="31">
        <f>IF(F825&gt;0,F825-AB825,"")</f>
        <v>46310</v>
      </c>
      <c r="P825" s="37" t="str">
        <f>IF(F825&gt;0,IF(AB825="","PLANNING SUPPLY",IF(AB825&lt;=F825,"ONTIME DELIVERY","DELAY")),"")</f>
        <v>PLANNING SUPPLY</v>
      </c>
      <c r="Q825" s="181" t="str">
        <f>IFERROR(IF(J825&gt;0,VLOOKUP(J825,#REF!,MATCH($Q$6,#REF!,0),0),""),"")</f>
        <v/>
      </c>
      <c r="R825" s="181" t="str">
        <f>IFERROR(IF(J825&gt;0,VLOOKUP(J825,#REF!,MATCH($R$6,#REF!,0),0),""),"")</f>
        <v/>
      </c>
      <c r="S825" s="181" t="e">
        <f>IF(I828&gt;0,Q825+R825,"")</f>
        <v>#VALUE!</v>
      </c>
      <c r="T825" s="181"/>
      <c r="U825" s="181"/>
      <c r="V825" s="37"/>
      <c r="W825" s="181" t="e">
        <f>IF(I828&gt;0,IF(S825&gt;L825,"READY STOCK",IF(S825=0,"OUT OF STOCK",IF(S825&lt;L825,"LOW STOCK",""))),"")</f>
        <v>#VALUE!</v>
      </c>
      <c r="X825" s="38"/>
      <c r="Y825" s="38"/>
      <c r="Z825" s="38"/>
      <c r="AA825" s="38"/>
      <c r="AB825" s="50"/>
      <c r="AC825" s="181"/>
      <c r="AD825" s="51"/>
      <c r="AE825" s="37"/>
      <c r="AF825" s="37"/>
      <c r="AG825" s="33" t="str">
        <f>IF(G825&gt;0,IF(AD825&gt;0,IF(AD825=0,"Waiting",IF(AD825&lt;L825,"Partial",IF(AD825=L825,"Full Supply",IF(AD825&gt;L825,"Over Shared")))),"Waiting"),"")</f>
        <v>Waiting</v>
      </c>
      <c r="AH825" s="56">
        <v>46290</v>
      </c>
      <c r="AI825" s="37" t="s">
        <v>1345</v>
      </c>
      <c r="AJ825" s="181">
        <v>1</v>
      </c>
      <c r="AK825" s="181"/>
      <c r="AL825" s="181"/>
      <c r="AM825" s="181"/>
      <c r="AN825" s="216"/>
      <c r="AO825" s="232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181">
        <f>L825-AD825</f>
        <v>1</v>
      </c>
    </row>
    <row r="826" spans="1:52" ht="15.5" customHeight="1">
      <c r="A826" s="360" t="s">
        <v>372</v>
      </c>
      <c r="B826" s="340">
        <v>46293</v>
      </c>
      <c r="C826" s="181">
        <v>51461</v>
      </c>
      <c r="D826" s="30">
        <v>46293</v>
      </c>
      <c r="E826" s="30">
        <v>46289</v>
      </c>
      <c r="F826" s="30">
        <v>46325</v>
      </c>
      <c r="G826" s="37">
        <v>4420234010</v>
      </c>
      <c r="H826" s="37" t="s">
        <v>373</v>
      </c>
      <c r="I826" s="37">
        <v>9040012343</v>
      </c>
      <c r="J826" s="37" t="s">
        <v>303</v>
      </c>
      <c r="K826" s="325" t="s">
        <v>304</v>
      </c>
      <c r="L826" s="181">
        <v>12</v>
      </c>
      <c r="M826" s="181" t="s">
        <v>375</v>
      </c>
      <c r="N826" s="37" t="s">
        <v>482</v>
      </c>
      <c r="O826" s="31">
        <f>IF(F826&gt;0,F826-AB826,"")</f>
        <v>17</v>
      </c>
      <c r="P826" s="37" t="str">
        <f>IF(F826&gt;0,IF(AB826="","PLANNING SUPPLY",IF(AB826&lt;=F826,"ONTIME DELIVERY","DELAY")),"")</f>
        <v>ONTIME DELIVERY</v>
      </c>
      <c r="Q826" s="181" t="str">
        <f>IFERROR(IF(J826&gt;0,VLOOKUP(J826,#REF!,MATCH($Q$6,#REF!,0),0),""),"")</f>
        <v/>
      </c>
      <c r="R826" s="181" t="str">
        <f>IFERROR(IF(J826&gt;0,VLOOKUP(J826,#REF!,MATCH($R$6,#REF!,0),0),""),"")</f>
        <v/>
      </c>
      <c r="S826" s="181" t="e">
        <f>IF(I829&gt;0,Q826+R826,"")</f>
        <v>#VALUE!</v>
      </c>
      <c r="T826" s="181"/>
      <c r="U826" s="181"/>
      <c r="V826" s="37"/>
      <c r="W826" s="181" t="e">
        <f>IF(I829&gt;0,IF(S826&gt;L826,"READY STOCK",IF(S826=0,"OUT OF STOCK",IF(S826&lt;L826,"LOW STOCK",""))),"")</f>
        <v>#VALUE!</v>
      </c>
      <c r="X826" s="38"/>
      <c r="Y826" s="38"/>
      <c r="Z826" s="38"/>
      <c r="AA826" s="38"/>
      <c r="AB826" s="57">
        <v>46308</v>
      </c>
      <c r="AC826" s="246">
        <v>34973</v>
      </c>
      <c r="AD826" s="53">
        <v>12</v>
      </c>
      <c r="AE826" s="58" t="s">
        <v>387</v>
      </c>
      <c r="AF826" s="58" t="s">
        <v>381</v>
      </c>
      <c r="AG826" s="33" t="str">
        <f>IF(G826&gt;0,IF(AD826&gt;0,IF(AD826=0,"Waiting",IF(AD826&lt;L826,"Partial",IF(AD826=L826,"Full Supply",IF(AD826&gt;L826,"Over Shared")))),"Waiting"),"")</f>
        <v>Full Supply</v>
      </c>
      <c r="AH826" s="37"/>
      <c r="AI826" s="37" t="s">
        <v>1312</v>
      </c>
      <c r="AJ826" s="181">
        <v>27</v>
      </c>
      <c r="AK826" s="37"/>
      <c r="AL826" s="37"/>
      <c r="AM826" s="181"/>
      <c r="AN826" s="216"/>
      <c r="AO826" s="232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181">
        <f>L826-AD826</f>
        <v>0</v>
      </c>
    </row>
    <row r="827" spans="1:52" ht="15.5" customHeight="1">
      <c r="A827" s="360" t="s">
        <v>372</v>
      </c>
      <c r="B827" s="340">
        <v>46293</v>
      </c>
      <c r="C827" s="181">
        <v>51461</v>
      </c>
      <c r="D827" s="30">
        <v>46293</v>
      </c>
      <c r="E827" s="30">
        <v>46289</v>
      </c>
      <c r="F827" s="30">
        <v>46325</v>
      </c>
      <c r="G827" s="37">
        <v>4420234010</v>
      </c>
      <c r="H827" s="37" t="s">
        <v>373</v>
      </c>
      <c r="I827" s="37">
        <v>9040031134</v>
      </c>
      <c r="J827" s="37" t="s">
        <v>254</v>
      </c>
      <c r="K827" s="325" t="s">
        <v>255</v>
      </c>
      <c r="L827" s="181">
        <v>20</v>
      </c>
      <c r="M827" s="181" t="s">
        <v>375</v>
      </c>
      <c r="N827" s="37" t="s">
        <v>482</v>
      </c>
      <c r="O827" s="31">
        <f>IF(F827&gt;0,F827-AB827,"")</f>
        <v>25</v>
      </c>
      <c r="P827" s="37" t="str">
        <f>IF(F827&gt;0,IF(AB827="","PLANNING SUPPLY",IF(AB827&lt;=F827,"ONTIME DELIVERY","DELAY")),"")</f>
        <v>ONTIME DELIVERY</v>
      </c>
      <c r="Q827" s="181" t="str">
        <f>IFERROR(IF(J827&gt;0,VLOOKUP(J827,#REF!,MATCH($Q$6,#REF!,0),0),""),"")</f>
        <v/>
      </c>
      <c r="R827" s="181" t="str">
        <f>IFERROR(IF(J827&gt;0,VLOOKUP(J827,#REF!,MATCH($R$6,#REF!,0),0),""),"")</f>
        <v/>
      </c>
      <c r="S827" s="181" t="e">
        <f>IF(I830&gt;0,Q827+R827,"")</f>
        <v>#VALUE!</v>
      </c>
      <c r="T827" s="181"/>
      <c r="U827" s="181"/>
      <c r="V827" s="37"/>
      <c r="W827" s="181" t="e">
        <f>IF(I830&gt;0,IF(S827&gt;L827,"READY STOCK",IF(S827=0,"OUT OF STOCK",IF(S827&lt;L827,"LOW STOCK",""))),"")</f>
        <v>#VALUE!</v>
      </c>
      <c r="X827" s="38"/>
      <c r="Y827" s="38"/>
      <c r="Z827" s="38"/>
      <c r="AA827" s="38"/>
      <c r="AB827" s="50">
        <v>46300</v>
      </c>
      <c r="AC827" s="44">
        <v>34744</v>
      </c>
      <c r="AD827" s="51">
        <v>20</v>
      </c>
      <c r="AE827" s="37" t="s">
        <v>387</v>
      </c>
      <c r="AF827" s="37" t="s">
        <v>381</v>
      </c>
      <c r="AG827" s="33" t="str">
        <f>IF(G827&gt;0,IF(AD827&gt;0,IF(AD827=0,"Waiting",IF(AD827&lt;L827,"Partial",IF(AD827=L827,"Full Supply",IF(AD827&gt;L827,"Over Shared")))),"Waiting"),"")</f>
        <v>Full Supply</v>
      </c>
      <c r="AH827" s="37"/>
      <c r="AI827" s="37"/>
      <c r="AJ827" s="181"/>
      <c r="AK827" s="37"/>
      <c r="AL827" s="37"/>
      <c r="AM827" s="181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181">
        <f>L827-AD827</f>
        <v>0</v>
      </c>
    </row>
    <row r="828" spans="1:52" ht="15.5" customHeight="1">
      <c r="A828" s="360" t="s">
        <v>372</v>
      </c>
      <c r="B828" s="340">
        <v>46293</v>
      </c>
      <c r="C828" s="181">
        <v>51461</v>
      </c>
      <c r="D828" s="30">
        <v>46293</v>
      </c>
      <c r="E828" s="30">
        <v>46289</v>
      </c>
      <c r="F828" s="30">
        <v>46325</v>
      </c>
      <c r="G828" s="37">
        <v>4420234010</v>
      </c>
      <c r="H828" s="37" t="s">
        <v>373</v>
      </c>
      <c r="I828" s="37">
        <v>9040040924</v>
      </c>
      <c r="J828" s="37" t="s">
        <v>10</v>
      </c>
      <c r="K828" s="325" t="s">
        <v>149</v>
      </c>
      <c r="L828" s="181">
        <v>4</v>
      </c>
      <c r="M828" s="181" t="s">
        <v>375</v>
      </c>
      <c r="N828" s="37" t="s">
        <v>482</v>
      </c>
      <c r="O828" s="31">
        <f>IF(F828&gt;0,F828-AB828,"")</f>
        <v>17</v>
      </c>
      <c r="P828" s="37" t="str">
        <f>IF(F828&gt;0,IF(AB828="","PLANNING SUPPLY",IF(AB828&lt;=F828,"ONTIME DELIVERY","DELAY")),"")</f>
        <v>ONTIME DELIVERY</v>
      </c>
      <c r="Q828" s="181" t="str">
        <f>IFERROR(IF(J828&gt;0,VLOOKUP(J828,#REF!,MATCH($Q$6,#REF!,0),0),""),"")</f>
        <v/>
      </c>
      <c r="R828" s="181" t="str">
        <f>IFERROR(IF(J828&gt;0,VLOOKUP(J828,#REF!,MATCH($R$6,#REF!,0),0),""),"")</f>
        <v/>
      </c>
      <c r="S828" s="181" t="e">
        <f>IF(I831&gt;0,Q828+R828,"")</f>
        <v>#VALUE!</v>
      </c>
      <c r="T828" s="181"/>
      <c r="U828" s="181"/>
      <c r="V828" s="37"/>
      <c r="W828" s="181" t="e">
        <f>IF(I831&gt;0,IF(S828&gt;L828,"READY STOCK",IF(S828=0,"OUT OF STOCK",IF(S828&lt;L828,"LOW STOCK",""))),"")</f>
        <v>#VALUE!</v>
      </c>
      <c r="X828" s="38"/>
      <c r="Y828" s="38"/>
      <c r="Z828" s="38"/>
      <c r="AA828" s="38"/>
      <c r="AB828" s="57">
        <v>46308</v>
      </c>
      <c r="AC828" s="246">
        <v>35008</v>
      </c>
      <c r="AD828" s="53">
        <v>4</v>
      </c>
      <c r="AE828" s="58" t="s">
        <v>387</v>
      </c>
      <c r="AF828" s="58" t="s">
        <v>381</v>
      </c>
      <c r="AG828" s="33" t="str">
        <f>IF(G828&gt;0,IF(AD828&gt;0,IF(AD828=0,"Waiting",IF(AD828&lt;L828,"Partial",IF(AD828=L828,"Full Supply",IF(AD828&gt;L828,"Over Shared")))),"Waiting"),"")</f>
        <v>Full Supply</v>
      </c>
      <c r="AH828" s="56">
        <v>46294</v>
      </c>
      <c r="AI828" s="37" t="s">
        <v>1311</v>
      </c>
      <c r="AJ828" s="181">
        <v>43</v>
      </c>
      <c r="AK828" s="40">
        <v>26456</v>
      </c>
      <c r="AL828" s="42">
        <v>46294</v>
      </c>
      <c r="AM828" s="181">
        <v>43</v>
      </c>
      <c r="AN828" s="37"/>
      <c r="AO828" s="41">
        <v>46295</v>
      </c>
      <c r="AP828" s="37"/>
      <c r="AQ828" s="37"/>
      <c r="AR828" s="37"/>
      <c r="AS828" s="37"/>
      <c r="AT828" s="37"/>
      <c r="AU828" s="36" t="str">
        <f>IF(AR828=0,"Waiting",IF(AR828&lt;AH828,"Kurang",IF(AR828=AH828,"Sesuai",IF(AR828&gt;AH828,"Over Shared"))))</f>
        <v>Waiting</v>
      </c>
      <c r="AV828" s="37"/>
      <c r="AW828" s="37"/>
      <c r="AX828" s="37"/>
      <c r="AY828" s="37"/>
      <c r="AZ828" s="181">
        <f>L828-AD828</f>
        <v>0</v>
      </c>
    </row>
    <row r="829" spans="1:52" ht="15.5" customHeight="1">
      <c r="A829" s="360" t="s">
        <v>372</v>
      </c>
      <c r="B829" s="340">
        <v>46293</v>
      </c>
      <c r="C829" s="181">
        <v>51461</v>
      </c>
      <c r="D829" s="30">
        <v>46293</v>
      </c>
      <c r="E829" s="30">
        <v>46289</v>
      </c>
      <c r="F829" s="30">
        <v>46325</v>
      </c>
      <c r="G829" s="37">
        <v>4420234010</v>
      </c>
      <c r="H829" s="37" t="s">
        <v>373</v>
      </c>
      <c r="I829" s="37">
        <v>9040045070</v>
      </c>
      <c r="J829" s="37" t="s">
        <v>221</v>
      </c>
      <c r="K829" s="325" t="s">
        <v>222</v>
      </c>
      <c r="L829" s="181">
        <v>2</v>
      </c>
      <c r="M829" s="181" t="s">
        <v>389</v>
      </c>
      <c r="N829" s="37" t="s">
        <v>482</v>
      </c>
      <c r="O829" s="31">
        <f>IF(F829&gt;0,F829-AB829,"")</f>
        <v>11</v>
      </c>
      <c r="P829" s="37" t="str">
        <f>IF(F829&gt;0,IF(AB829="","PLANNING SUPPLY",IF(AB829&lt;=F829,"ONTIME DELIVERY","DELAY")),"")</f>
        <v>ONTIME DELIVERY</v>
      </c>
      <c r="Q829" s="181" t="str">
        <f>IFERROR(IF(J829&gt;0,VLOOKUP(J829,#REF!,MATCH($Q$6,#REF!,0),0),""),"")</f>
        <v/>
      </c>
      <c r="R829" s="181" t="str">
        <f>IFERROR(IF(J829&gt;0,VLOOKUP(J829,#REF!,MATCH($R$6,#REF!,0),0),""),"")</f>
        <v/>
      </c>
      <c r="S829" s="181" t="e">
        <f>IF(I832&gt;0,Q829+R829,"")</f>
        <v>#VALUE!</v>
      </c>
      <c r="T829" s="181"/>
      <c r="U829" s="181"/>
      <c r="V829" s="37"/>
      <c r="W829" s="181" t="e">
        <f>IF(I832&gt;0,IF(S829&gt;L829,"READY STOCK",IF(S829=0,"OUT OF STOCK",IF(S829&lt;L829,"LOW STOCK",""))),"")</f>
        <v>#VALUE!</v>
      </c>
      <c r="X829" s="38"/>
      <c r="Y829" s="38"/>
      <c r="Z829" s="38"/>
      <c r="AA829" s="38"/>
      <c r="AB829" s="50">
        <v>46314</v>
      </c>
      <c r="AC829" s="44" t="s">
        <v>1349</v>
      </c>
      <c r="AD829" s="51">
        <v>2</v>
      </c>
      <c r="AE829" s="37" t="s">
        <v>387</v>
      </c>
      <c r="AF829" s="37" t="s">
        <v>381</v>
      </c>
      <c r="AG829" s="33" t="str">
        <f>IF(G829&gt;0,IF(AD829&gt;0,IF(AD829=0,"Waiting",IF(AD829&lt;L829,"Partial",IF(AD829=L829,"Full Supply",IF(AD829&gt;L829,"Over Shared")))),"Waiting"),"")</f>
        <v>Full Supply</v>
      </c>
      <c r="AH829" s="37"/>
      <c r="AI829" s="37"/>
      <c r="AJ829" s="181"/>
      <c r="AK829" s="37"/>
      <c r="AL829" s="37"/>
      <c r="AM829" s="181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181">
        <f>L829-AD829</f>
        <v>0</v>
      </c>
    </row>
    <row r="830" spans="1:52" ht="15.5" customHeight="1">
      <c r="A830" s="360" t="s">
        <v>372</v>
      </c>
      <c r="B830" s="340">
        <v>46293</v>
      </c>
      <c r="C830" s="181">
        <v>51461</v>
      </c>
      <c r="D830" s="30">
        <v>46293</v>
      </c>
      <c r="E830" s="30">
        <v>46289</v>
      </c>
      <c r="F830" s="30">
        <v>46325</v>
      </c>
      <c r="G830" s="37">
        <v>4420234010</v>
      </c>
      <c r="H830" s="37" t="s">
        <v>373</v>
      </c>
      <c r="I830" s="37">
        <v>9040040924</v>
      </c>
      <c r="J830" s="37" t="s">
        <v>10</v>
      </c>
      <c r="K830" s="325" t="s">
        <v>149</v>
      </c>
      <c r="L830" s="181">
        <v>6</v>
      </c>
      <c r="M830" s="181" t="s">
        <v>375</v>
      </c>
      <c r="N830" s="37" t="s">
        <v>482</v>
      </c>
      <c r="O830" s="31">
        <f>IF(F830&gt;0,F830-AB830,"")</f>
        <v>17</v>
      </c>
      <c r="P830" s="37" t="str">
        <f>IF(F830&gt;0,IF(AB830="","PLANNING SUPPLY",IF(AB830&lt;=F830,"ONTIME DELIVERY","DELAY")),"")</f>
        <v>ONTIME DELIVERY</v>
      </c>
      <c r="Q830" s="181" t="str">
        <f>IFERROR(IF(J830&gt;0,VLOOKUP(J830,#REF!,MATCH($Q$6,#REF!,0),0),""),"")</f>
        <v/>
      </c>
      <c r="R830" s="181" t="str">
        <f>IFERROR(IF(J830&gt;0,VLOOKUP(J830,#REF!,MATCH($R$6,#REF!,0),0),""),"")</f>
        <v/>
      </c>
      <c r="S830" s="181" t="e">
        <f>IF(I833&gt;0,Q830+R830,"")</f>
        <v>#VALUE!</v>
      </c>
      <c r="T830" s="181"/>
      <c r="U830" s="181"/>
      <c r="V830" s="37"/>
      <c r="W830" s="181" t="e">
        <f>IF(I833&gt;0,IF(S830&gt;L830,"READY STOCK",IF(S830=0,"OUT OF STOCK",IF(S830&lt;L830,"LOW STOCK",""))),"")</f>
        <v>#VALUE!</v>
      </c>
      <c r="X830" s="38"/>
      <c r="Y830" s="38"/>
      <c r="Z830" s="38"/>
      <c r="AA830" s="38"/>
      <c r="AB830" s="57">
        <v>46308</v>
      </c>
      <c r="AC830" s="246">
        <v>35008</v>
      </c>
      <c r="AD830" s="53">
        <v>6</v>
      </c>
      <c r="AE830" s="58" t="s">
        <v>387</v>
      </c>
      <c r="AF830" s="58" t="s">
        <v>381</v>
      </c>
      <c r="AG830" s="33" t="str">
        <f>IF(G830&gt;0,IF(AD830&gt;0,IF(AD830=0,"Waiting",IF(AD830&lt;L830,"Partial",IF(AD830=L830,"Full Supply",IF(AD830&gt;L830,"Over Shared")))),"Waiting"),"")</f>
        <v>Full Supply</v>
      </c>
      <c r="AH830" s="56">
        <v>46294</v>
      </c>
      <c r="AI830" s="37" t="s">
        <v>1311</v>
      </c>
      <c r="AJ830" s="181">
        <v>43</v>
      </c>
      <c r="AK830" s="40">
        <v>26456</v>
      </c>
      <c r="AL830" s="42">
        <v>46294</v>
      </c>
      <c r="AM830" s="181">
        <v>43</v>
      </c>
      <c r="AN830" s="37"/>
      <c r="AO830" s="41">
        <v>46295</v>
      </c>
      <c r="AP830" s="37"/>
      <c r="AQ830" s="37"/>
      <c r="AR830" s="37"/>
      <c r="AS830" s="37"/>
      <c r="AT830" s="37"/>
      <c r="AU830" s="36" t="str">
        <f>IF(AR830=0,"Waiting",IF(AR830&lt;AH830,"Kurang",IF(AR830=AH830,"Sesuai",IF(AR830&gt;AH830,"Over Shared"))))</f>
        <v>Waiting</v>
      </c>
      <c r="AV830" s="37"/>
      <c r="AW830" s="37"/>
      <c r="AX830" s="37"/>
      <c r="AY830" s="37"/>
      <c r="AZ830" s="181">
        <f>L830-AD830</f>
        <v>0</v>
      </c>
    </row>
    <row r="831" spans="1:52" ht="15.5" customHeight="1">
      <c r="A831" s="360" t="s">
        <v>372</v>
      </c>
      <c r="B831" s="340">
        <v>46293</v>
      </c>
      <c r="C831" s="181">
        <v>51461</v>
      </c>
      <c r="D831" s="30">
        <v>46293</v>
      </c>
      <c r="E831" s="30">
        <v>46289</v>
      </c>
      <c r="F831" s="30">
        <v>46325</v>
      </c>
      <c r="G831" s="37">
        <v>4420234010</v>
      </c>
      <c r="H831" s="37" t="s">
        <v>373</v>
      </c>
      <c r="I831" s="37">
        <v>9040017179</v>
      </c>
      <c r="J831" s="37" t="s">
        <v>91</v>
      </c>
      <c r="K831" s="325" t="s">
        <v>92</v>
      </c>
      <c r="L831" s="181">
        <v>2</v>
      </c>
      <c r="M831" s="181" t="s">
        <v>375</v>
      </c>
      <c r="N831" s="37" t="s">
        <v>482</v>
      </c>
      <c r="O831" s="31">
        <f>IF(F831&gt;0,F831-AB831,"")</f>
        <v>25</v>
      </c>
      <c r="P831" s="37" t="str">
        <f>IF(F831&gt;0,IF(AB831="","PLANNING SUPPLY",IF(AB831&lt;=F831,"ONTIME DELIVERY","DELAY")),"")</f>
        <v>ONTIME DELIVERY</v>
      </c>
      <c r="Q831" s="181" t="str">
        <f>IFERROR(IF(J831&gt;0,VLOOKUP(J831,#REF!,MATCH($Q$6,#REF!,0),0),""),"")</f>
        <v/>
      </c>
      <c r="R831" s="181" t="str">
        <f>IFERROR(IF(J831&gt;0,VLOOKUP(J831,#REF!,MATCH($R$6,#REF!,0),0),""),"")</f>
        <v/>
      </c>
      <c r="S831" s="181" t="e">
        <f>IF(I834&gt;0,Q831+R831,"")</f>
        <v>#VALUE!</v>
      </c>
      <c r="T831" s="181"/>
      <c r="U831" s="181"/>
      <c r="V831" s="37"/>
      <c r="W831" s="181" t="e">
        <f>IF(I834&gt;0,IF(S831&gt;L831,"READY STOCK",IF(S831=0,"OUT OF STOCK",IF(S831&lt;L831,"LOW STOCK",""))),"")</f>
        <v>#VALUE!</v>
      </c>
      <c r="X831" s="38"/>
      <c r="Y831" s="38"/>
      <c r="Z831" s="38"/>
      <c r="AA831" s="38"/>
      <c r="AB831" s="50">
        <v>46300</v>
      </c>
      <c r="AC831" s="44">
        <v>34744</v>
      </c>
      <c r="AD831" s="51">
        <v>2</v>
      </c>
      <c r="AE831" s="37" t="s">
        <v>387</v>
      </c>
      <c r="AF831" s="37" t="s">
        <v>381</v>
      </c>
      <c r="AG831" s="33" t="str">
        <f>IF(G831&gt;0,IF(AD831&gt;0,IF(AD831=0,"Waiting",IF(AD831&lt;L831,"Partial",IF(AD831=L831,"Full Supply",IF(AD831&gt;L831,"Over Shared")))),"Waiting"),"")</f>
        <v>Full Supply</v>
      </c>
      <c r="AH831" s="37"/>
      <c r="AI831" s="37"/>
      <c r="AJ831" s="181"/>
      <c r="AK831" s="37"/>
      <c r="AL831" s="37"/>
      <c r="AM831" s="181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181">
        <f>L831-AD831</f>
        <v>0</v>
      </c>
    </row>
    <row r="832" spans="1:52" ht="15.5" customHeight="1">
      <c r="A832" s="360" t="s">
        <v>372</v>
      </c>
      <c r="B832" s="340">
        <v>46293</v>
      </c>
      <c r="C832" s="181">
        <v>51461</v>
      </c>
      <c r="D832" s="30">
        <v>46293</v>
      </c>
      <c r="E832" s="30">
        <v>46289</v>
      </c>
      <c r="F832" s="30">
        <v>46325</v>
      </c>
      <c r="G832" s="37">
        <v>4420234010</v>
      </c>
      <c r="H832" s="37" t="s">
        <v>373</v>
      </c>
      <c r="I832" s="37">
        <v>9040018351</v>
      </c>
      <c r="J832" s="37" t="s">
        <v>147</v>
      </c>
      <c r="K832" s="325" t="s">
        <v>148</v>
      </c>
      <c r="L832" s="181">
        <v>2</v>
      </c>
      <c r="M832" s="181" t="s">
        <v>478</v>
      </c>
      <c r="N832" s="37" t="s">
        <v>482</v>
      </c>
      <c r="O832" s="31">
        <f>IF(F832&gt;0,F832-AB832,"")</f>
        <v>46325</v>
      </c>
      <c r="P832" s="37" t="str">
        <f>IF(F832&gt;0,IF(AB832="","PLANNING SUPPLY",IF(AB832&lt;=F832,"ONTIME DELIVERY","DELAY")),"")</f>
        <v>PLANNING SUPPLY</v>
      </c>
      <c r="Q832" s="181" t="str">
        <f>IFERROR(IF(J832&gt;0,VLOOKUP(J832,#REF!,MATCH($Q$6,#REF!,0),0),""),"")</f>
        <v/>
      </c>
      <c r="R832" s="181" t="str">
        <f>IFERROR(IF(J832&gt;0,VLOOKUP(J832,#REF!,MATCH($R$6,#REF!,0),0),""),"")</f>
        <v/>
      </c>
      <c r="S832" s="181" t="e">
        <f>IF(I835&gt;0,Q832+R832,"")</f>
        <v>#VALUE!</v>
      </c>
      <c r="T832" s="181"/>
      <c r="U832" s="181"/>
      <c r="V832" s="37"/>
      <c r="W832" s="181" t="e">
        <f>IF(I835&gt;0,IF(S832&gt;L832,"READY STOCK",IF(S832=0,"OUT OF STOCK",IF(S832&lt;L832,"LOW STOCK",""))),"")</f>
        <v>#VALUE!</v>
      </c>
      <c r="X832" s="38"/>
      <c r="Y832" s="38"/>
      <c r="Z832" s="38"/>
      <c r="AA832" s="38"/>
      <c r="AB832" s="50"/>
      <c r="AC832" s="181"/>
      <c r="AD832" s="51"/>
      <c r="AE832" s="37"/>
      <c r="AF832" s="37"/>
      <c r="AG832" s="33" t="str">
        <f>IF(G832&gt;0,IF(AD832&gt;0,IF(AD832=0,"Waiting",IF(AD832&lt;L832,"Partial",IF(AD832=L832,"Full Supply",IF(AD832&gt;L832,"Over Shared")))),"Waiting"),"")</f>
        <v>Waiting</v>
      </c>
      <c r="AH832" s="56">
        <v>46265</v>
      </c>
      <c r="AI832" s="37" t="s">
        <v>1317</v>
      </c>
      <c r="AJ832" s="181">
        <v>50</v>
      </c>
      <c r="AK832" s="37"/>
      <c r="AL832" s="37"/>
      <c r="AM832" s="181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181">
        <f>L832-AD832</f>
        <v>2</v>
      </c>
    </row>
    <row r="833" spans="1:52" ht="15.5" customHeight="1">
      <c r="A833" s="360" t="s">
        <v>372</v>
      </c>
      <c r="B833" s="340">
        <v>46293</v>
      </c>
      <c r="C833" s="181">
        <v>51461</v>
      </c>
      <c r="D833" s="30">
        <v>46293</v>
      </c>
      <c r="E833" s="30">
        <v>46289</v>
      </c>
      <c r="F833" s="30">
        <v>46325</v>
      </c>
      <c r="G833" s="37">
        <v>4420234010</v>
      </c>
      <c r="H833" s="37" t="s">
        <v>373</v>
      </c>
      <c r="I833" s="37">
        <v>9040044154</v>
      </c>
      <c r="J833" s="37" t="s">
        <v>301</v>
      </c>
      <c r="K833" s="325" t="s">
        <v>302</v>
      </c>
      <c r="L833" s="181">
        <v>10</v>
      </c>
      <c r="M833" s="181" t="s">
        <v>375</v>
      </c>
      <c r="N833" s="37" t="s">
        <v>482</v>
      </c>
      <c r="O833" s="31">
        <f>IF(F833&gt;0,F833-AB833,"")</f>
        <v>11</v>
      </c>
      <c r="P833" s="37" t="str">
        <f>IF(F833&gt;0,IF(AB833="","PLANNING SUPPLY",IF(AB833&lt;=F833,"ONTIME DELIVERY","DELAY")),"")</f>
        <v>ONTIME DELIVERY</v>
      </c>
      <c r="Q833" s="181" t="str">
        <f>IFERROR(IF(J833&gt;0,VLOOKUP(J833,#REF!,MATCH($Q$6,#REF!,0),0),""),"")</f>
        <v/>
      </c>
      <c r="R833" s="181" t="str">
        <f>IFERROR(IF(J833&gt;0,VLOOKUP(J833,#REF!,MATCH($R$6,#REF!,0),0),""),"")</f>
        <v/>
      </c>
      <c r="S833" s="181" t="e">
        <f>IF(I836&gt;0,Q833+R833,"")</f>
        <v>#VALUE!</v>
      </c>
      <c r="T833" s="181"/>
      <c r="U833" s="181"/>
      <c r="V833" s="37"/>
      <c r="W833" s="181" t="e">
        <f>IF(I836&gt;0,IF(S833&gt;L833,"READY STOCK",IF(S833=0,"OUT OF STOCK",IF(S833&lt;L833,"LOW STOCK",""))),"")</f>
        <v>#VALUE!</v>
      </c>
      <c r="X833" s="38"/>
      <c r="Y833" s="38"/>
      <c r="Z833" s="38"/>
      <c r="AA833" s="38"/>
      <c r="AB833" s="50">
        <v>46314</v>
      </c>
      <c r="AC833" s="44" t="s">
        <v>1350</v>
      </c>
      <c r="AD833" s="51">
        <f>8+2</f>
        <v>10</v>
      </c>
      <c r="AE833" s="37" t="s">
        <v>387</v>
      </c>
      <c r="AF833" s="37" t="s">
        <v>381</v>
      </c>
      <c r="AG833" s="33" t="str">
        <f>IF(G833&gt;0,IF(AD833&gt;0,IF(AD833=0,"Waiting",IF(AD833&lt;L833,"Partial",IF(AD833=L833,"Full Supply",IF(AD833&gt;L833,"Over Shared")))),"Waiting"),"")</f>
        <v>Full Supply</v>
      </c>
      <c r="AH833" s="56">
        <v>46282</v>
      </c>
      <c r="AI833" s="37" t="s">
        <v>1303</v>
      </c>
      <c r="AJ833" s="181">
        <v>30</v>
      </c>
      <c r="AK833" s="37"/>
      <c r="AL833" s="37"/>
      <c r="AM833" s="181"/>
      <c r="AN833" s="216"/>
      <c r="AO833" s="232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181">
        <f>L833-AD833</f>
        <v>0</v>
      </c>
    </row>
    <row r="834" spans="1:52" ht="15.5" customHeight="1">
      <c r="A834" s="360" t="s">
        <v>372</v>
      </c>
      <c r="B834" s="340">
        <v>46293</v>
      </c>
      <c r="C834" s="181">
        <v>51461</v>
      </c>
      <c r="D834" s="30">
        <v>46293</v>
      </c>
      <c r="E834" s="30">
        <v>46289</v>
      </c>
      <c r="F834" s="30">
        <v>46325</v>
      </c>
      <c r="G834" s="37">
        <v>4420234010</v>
      </c>
      <c r="H834" s="37" t="s">
        <v>373</v>
      </c>
      <c r="I834" s="37">
        <v>9040044285</v>
      </c>
      <c r="J834" s="37" t="s">
        <v>100</v>
      </c>
      <c r="K834" s="325" t="s">
        <v>101</v>
      </c>
      <c r="L834" s="181">
        <v>20</v>
      </c>
      <c r="M834" s="181" t="s">
        <v>478</v>
      </c>
      <c r="N834" s="37" t="s">
        <v>482</v>
      </c>
      <c r="O834" s="31">
        <f>IF(F834&gt;0,F834-AB834,"")</f>
        <v>46325</v>
      </c>
      <c r="P834" s="37" t="str">
        <f>IF(F834&gt;0,IF(AB834="","PLANNING SUPPLY",IF(AB834&lt;=F834,"ONTIME DELIVERY","DELAY")),"")</f>
        <v>PLANNING SUPPLY</v>
      </c>
      <c r="Q834" s="181" t="str">
        <f>IFERROR(IF(J834&gt;0,VLOOKUP(J834,#REF!,MATCH($Q$6,#REF!,0),0),""),"")</f>
        <v/>
      </c>
      <c r="R834" s="181" t="str">
        <f>IFERROR(IF(J834&gt;0,VLOOKUP(J834,#REF!,MATCH($R$6,#REF!,0),0),""),"")</f>
        <v/>
      </c>
      <c r="S834" s="181" t="e">
        <f>IF(I837&gt;0,Q834+R834,"")</f>
        <v>#VALUE!</v>
      </c>
      <c r="T834" s="181"/>
      <c r="U834" s="181"/>
      <c r="V834" s="37"/>
      <c r="W834" s="181" t="e">
        <f>IF(I837&gt;0,IF(S834&gt;L834,"READY STOCK",IF(S834=0,"OUT OF STOCK",IF(S834&lt;L834,"LOW STOCK",""))),"")</f>
        <v>#VALUE!</v>
      </c>
      <c r="X834" s="38"/>
      <c r="Y834" s="38"/>
      <c r="Z834" s="38"/>
      <c r="AA834" s="38"/>
      <c r="AB834" s="50"/>
      <c r="AC834" s="181"/>
      <c r="AD834" s="51"/>
      <c r="AE834" s="37"/>
      <c r="AF834" s="37"/>
      <c r="AG834" s="33" t="str">
        <f>IF(G834&gt;0,IF(AD834&gt;0,IF(AD834=0,"Waiting",IF(AD834&lt;L834,"Partial",IF(AD834=L834,"Full Supply",IF(AD834&gt;L834,"Over Shared")))),"Waiting"),"")</f>
        <v>Waiting</v>
      </c>
      <c r="AH834" s="56">
        <v>46294</v>
      </c>
      <c r="AI834" s="37" t="s">
        <v>1311</v>
      </c>
      <c r="AJ834" s="181">
        <v>25</v>
      </c>
      <c r="AK834" s="181">
        <v>26178</v>
      </c>
      <c r="AL834" s="240">
        <v>46269</v>
      </c>
      <c r="AM834" s="181">
        <v>25</v>
      </c>
      <c r="AN834" s="37"/>
      <c r="AO834" s="46">
        <v>46298</v>
      </c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181">
        <f>L834-AD834</f>
        <v>20</v>
      </c>
    </row>
    <row r="835" spans="1:52" ht="15.5" customHeight="1">
      <c r="A835" s="360" t="s">
        <v>372</v>
      </c>
      <c r="B835" s="340">
        <v>46293</v>
      </c>
      <c r="C835" s="181">
        <v>51465</v>
      </c>
      <c r="D835" s="30">
        <v>46293</v>
      </c>
      <c r="E835" s="30">
        <v>46291</v>
      </c>
      <c r="F835" s="30">
        <v>46323</v>
      </c>
      <c r="G835" s="37">
        <v>4420234136</v>
      </c>
      <c r="H835" s="37" t="s">
        <v>373</v>
      </c>
      <c r="I835" s="37">
        <v>9040024657</v>
      </c>
      <c r="J835" s="37" t="s">
        <v>252</v>
      </c>
      <c r="K835" s="325" t="s">
        <v>253</v>
      </c>
      <c r="L835" s="181">
        <v>10</v>
      </c>
      <c r="M835" s="181" t="s">
        <v>375</v>
      </c>
      <c r="N835" s="37" t="s">
        <v>408</v>
      </c>
      <c r="O835" s="31">
        <f>IF(F835&gt;0,F835-AB835,"")</f>
        <v>46323</v>
      </c>
      <c r="P835" s="37" t="str">
        <f>IF(F835&gt;0,IF(AB835="","PLANNING SUPPLY",IF(AB835&lt;=F835,"ONTIME DELIVERY","DELAY")),"")</f>
        <v>PLANNING SUPPLY</v>
      </c>
      <c r="Q835" s="181" t="str">
        <f>IFERROR(IF(J835&gt;0,VLOOKUP(J835,#REF!,MATCH($Q$6,#REF!,0),0),""),"")</f>
        <v/>
      </c>
      <c r="R835" s="181" t="str">
        <f>IFERROR(IF(J835&gt;0,VLOOKUP(J835,#REF!,MATCH($R$6,#REF!,0),0),""),"")</f>
        <v/>
      </c>
      <c r="S835" s="181" t="e">
        <f>IF(I838&gt;0,Q835+R835,"")</f>
        <v>#VALUE!</v>
      </c>
      <c r="T835" s="181"/>
      <c r="U835" s="181"/>
      <c r="V835" s="37"/>
      <c r="W835" s="181" t="e">
        <f>IF(I838&gt;0,IF(S835&gt;L835,"READY STOCK",IF(S835=0,"OUT OF STOCK",IF(S835&lt;L835,"LOW STOCK",""))),"")</f>
        <v>#VALUE!</v>
      </c>
      <c r="X835" s="38"/>
      <c r="Y835" s="38"/>
      <c r="Z835" s="38"/>
      <c r="AA835" s="38"/>
      <c r="AB835" s="50"/>
      <c r="AC835" s="44"/>
      <c r="AD835" s="51">
        <v>10</v>
      </c>
      <c r="AE835" s="37" t="s">
        <v>387</v>
      </c>
      <c r="AF835" s="58" t="s">
        <v>1295</v>
      </c>
      <c r="AG835" s="33" t="str">
        <f>IF(G835&gt;0,IF(AD835&gt;0,IF(AD835=0,"Waiting",IF(AD835&lt;L835,"Partial",IF(AD835=L835,"Full Supply",IF(AD835&gt;L835,"Over Shared")))),"Waiting"),"")</f>
        <v>Full Supply</v>
      </c>
      <c r="AH835" s="37"/>
      <c r="AI835" s="37"/>
      <c r="AJ835" s="181"/>
      <c r="AK835" s="37"/>
      <c r="AL835" s="37"/>
      <c r="AM835" s="181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181">
        <f>L835-AD835</f>
        <v>0</v>
      </c>
    </row>
    <row r="836" spans="1:52" ht="15.5" customHeight="1">
      <c r="A836" s="360" t="s">
        <v>372</v>
      </c>
      <c r="B836" s="340">
        <v>46293</v>
      </c>
      <c r="C836" s="181">
        <v>51466</v>
      </c>
      <c r="D836" s="30">
        <v>46293</v>
      </c>
      <c r="E836" s="30">
        <v>46290</v>
      </c>
      <c r="F836" s="30">
        <v>46304</v>
      </c>
      <c r="G836" s="37">
        <v>4420234067</v>
      </c>
      <c r="H836" s="37" t="s">
        <v>373</v>
      </c>
      <c r="I836" s="37">
        <v>9040044494</v>
      </c>
      <c r="J836" s="37" t="s">
        <v>152</v>
      </c>
      <c r="K836" s="325" t="s">
        <v>153</v>
      </c>
      <c r="L836" s="181">
        <v>10</v>
      </c>
      <c r="M836" s="181" t="s">
        <v>375</v>
      </c>
      <c r="N836" s="37" t="s">
        <v>410</v>
      </c>
      <c r="O836" s="31">
        <f>IF(F836&gt;0,F836-AB836,"")</f>
        <v>-3</v>
      </c>
      <c r="P836" s="37" t="str">
        <f>IF(F836&gt;0,IF(AB836="","PLANNING SUPPLY",IF(AB836&lt;=F836,"ONTIME DELIVERY","DELAY")),"")</f>
        <v>DELAY</v>
      </c>
      <c r="Q836" s="181" t="str">
        <f>IFERROR(IF(J836&gt;0,VLOOKUP(J836,#REF!,MATCH($Q$6,#REF!,0),0),""),"")</f>
        <v/>
      </c>
      <c r="R836" s="181" t="str">
        <f>IFERROR(IF(J836&gt;0,VLOOKUP(J836,#REF!,MATCH($R$6,#REF!,0),0),""),"")</f>
        <v/>
      </c>
      <c r="S836" s="181" t="e">
        <f>IF(I839&gt;0,Q836+R836,"")</f>
        <v>#VALUE!</v>
      </c>
      <c r="T836" s="181"/>
      <c r="U836" s="181"/>
      <c r="V836" s="37"/>
      <c r="W836" s="181" t="e">
        <f>IF(I839&gt;0,IF(S836&gt;L836,"READY STOCK",IF(S836=0,"OUT OF STOCK",IF(S836&lt;L836,"LOW STOCK",""))),"")</f>
        <v>#VALUE!</v>
      </c>
      <c r="X836" s="38"/>
      <c r="Y836" s="38"/>
      <c r="Z836" s="38"/>
      <c r="AA836" s="38"/>
      <c r="AB836" s="50">
        <v>46307</v>
      </c>
      <c r="AC836" s="181">
        <v>34944</v>
      </c>
      <c r="AD836" s="51">
        <v>5</v>
      </c>
      <c r="AE836" s="37" t="s">
        <v>387</v>
      </c>
      <c r="AF836" s="37" t="s">
        <v>381</v>
      </c>
      <c r="AG836" s="33" t="str">
        <f>IF(G836&gt;0,IF(AD836&gt;0,IF(AD836=0,"Waiting",IF(AD836&lt;L836,"Partial",IF(AD836=L836,"Full Supply",IF(AD836&gt;L836,"Over Shared")))),"Waiting"),"")</f>
        <v>Partial</v>
      </c>
      <c r="AH836" s="37"/>
      <c r="AI836" s="37"/>
      <c r="AJ836" s="181"/>
      <c r="AK836" s="37"/>
      <c r="AL836" s="37"/>
      <c r="AM836" s="181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181">
        <f>L836-AD836</f>
        <v>5</v>
      </c>
    </row>
    <row r="837" spans="1:52" ht="15.5" customHeight="1">
      <c r="A837" s="360" t="s">
        <v>372</v>
      </c>
      <c r="B837" s="340">
        <v>46296</v>
      </c>
      <c r="C837" s="181">
        <v>51467</v>
      </c>
      <c r="D837" s="30">
        <v>46293</v>
      </c>
      <c r="E837" s="30">
        <v>46289</v>
      </c>
      <c r="F837" s="30">
        <v>46310</v>
      </c>
      <c r="G837" s="37">
        <v>4420234006</v>
      </c>
      <c r="H837" s="37" t="s">
        <v>373</v>
      </c>
      <c r="I837" s="37">
        <v>9040135879</v>
      </c>
      <c r="J837" s="37" t="s">
        <v>123</v>
      </c>
      <c r="K837" s="325" t="s">
        <v>124</v>
      </c>
      <c r="L837" s="181">
        <v>1</v>
      </c>
      <c r="M837" s="181" t="s">
        <v>375</v>
      </c>
      <c r="N837" s="37" t="s">
        <v>431</v>
      </c>
      <c r="O837" s="31">
        <f>IF(F837&gt;0,F837-AB837,"")</f>
        <v>46310</v>
      </c>
      <c r="P837" s="37" t="str">
        <f>IF(F837&gt;0,IF(AB837="","PLANNING SUPPLY",IF(AB837&lt;=F837,"ONTIME DELIVERY","DELAY")),"")</f>
        <v>PLANNING SUPPLY</v>
      </c>
      <c r="Q837" s="181" t="str">
        <f>IFERROR(IF(J837&gt;0,VLOOKUP(J837,#REF!,MATCH($Q$6,#REF!,0),0),""),"")</f>
        <v/>
      </c>
      <c r="R837" s="181" t="str">
        <f>IFERROR(IF(J837&gt;0,VLOOKUP(J837,#REF!,MATCH($R$6,#REF!,0),0),""),"")</f>
        <v/>
      </c>
      <c r="S837" s="181" t="e">
        <f>IF(I840&gt;0,Q837+R837,"")</f>
        <v>#VALUE!</v>
      </c>
      <c r="T837" s="181"/>
      <c r="U837" s="181"/>
      <c r="V837" s="37"/>
      <c r="W837" s="181" t="e">
        <f>IF(I840&gt;0,IF(S837&gt;L837,"READY STOCK",IF(S837=0,"OUT OF STOCK",IF(S837&lt;L837,"LOW STOCK",""))),"")</f>
        <v>#VALUE!</v>
      </c>
      <c r="X837" s="38"/>
      <c r="Y837" s="38"/>
      <c r="Z837" s="38"/>
      <c r="AA837" s="38"/>
      <c r="AB837" s="50"/>
      <c r="AC837" s="181"/>
      <c r="AD837" s="51"/>
      <c r="AE837" s="37"/>
      <c r="AF837" s="37"/>
      <c r="AG837" s="33" t="str">
        <f>IF(G837&gt;0,IF(AD837&gt;0,IF(AD837=0,"Waiting",IF(AD837&lt;L837,"Partial",IF(AD837=L837,"Full Supply",IF(AD837&gt;L837,"Over Shared")))),"Waiting"),"")</f>
        <v>Waiting</v>
      </c>
      <c r="AH837" s="56">
        <v>46295</v>
      </c>
      <c r="AI837" s="37" t="s">
        <v>1357</v>
      </c>
      <c r="AJ837" s="181">
        <v>4</v>
      </c>
      <c r="AK837" s="181"/>
      <c r="AL837" s="181"/>
      <c r="AM837" s="181"/>
      <c r="AN837" s="216"/>
      <c r="AO837" s="232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181">
        <f>L837-AD837</f>
        <v>1</v>
      </c>
    </row>
    <row r="838" spans="1:52" ht="15.5" customHeight="1">
      <c r="A838" s="360" t="s">
        <v>372</v>
      </c>
      <c r="B838" s="340">
        <v>46296</v>
      </c>
      <c r="C838" s="181">
        <v>51467</v>
      </c>
      <c r="D838" s="30">
        <v>46293</v>
      </c>
      <c r="E838" s="30">
        <v>46289</v>
      </c>
      <c r="F838" s="30">
        <v>46310</v>
      </c>
      <c r="G838" s="37">
        <v>4420234006</v>
      </c>
      <c r="H838" s="37" t="s">
        <v>373</v>
      </c>
      <c r="I838" s="37">
        <v>9040032418</v>
      </c>
      <c r="J838" s="37" t="s">
        <v>276</v>
      </c>
      <c r="K838" s="325" t="s">
        <v>277</v>
      </c>
      <c r="L838" s="181">
        <v>2</v>
      </c>
      <c r="M838" s="181" t="s">
        <v>375</v>
      </c>
      <c r="N838" s="37" t="s">
        <v>431</v>
      </c>
      <c r="O838" s="31">
        <f>IF(F838&gt;0,F838-AB838,"")</f>
        <v>2</v>
      </c>
      <c r="P838" s="37" t="str">
        <f>IF(F838&gt;0,IF(AB838="","PLANNING SUPPLY",IF(AB838&lt;=F838,"ONTIME DELIVERY","DELAY")),"")</f>
        <v>ONTIME DELIVERY</v>
      </c>
      <c r="Q838" s="181" t="str">
        <f>IFERROR(IF(J838&gt;0,VLOOKUP(J838,#REF!,MATCH($Q$6,#REF!,0),0),""),"")</f>
        <v/>
      </c>
      <c r="R838" s="181" t="str">
        <f>IFERROR(IF(J838&gt;0,VLOOKUP(J838,#REF!,MATCH($R$6,#REF!,0),0),""),"")</f>
        <v/>
      </c>
      <c r="S838" s="181" t="e">
        <f>IF(I841&gt;0,Q838+R838,"")</f>
        <v>#VALUE!</v>
      </c>
      <c r="T838" s="181"/>
      <c r="U838" s="181"/>
      <c r="V838" s="37"/>
      <c r="W838" s="181" t="e">
        <f>IF(I841&gt;0,IF(S838&gt;L838,"READY STOCK",IF(S838=0,"OUT OF STOCK",IF(S838&lt;L838,"LOW STOCK",""))),"")</f>
        <v>#VALUE!</v>
      </c>
      <c r="X838" s="38"/>
      <c r="Y838" s="38"/>
      <c r="Z838" s="38"/>
      <c r="AA838" s="38"/>
      <c r="AB838" s="50">
        <v>46308</v>
      </c>
      <c r="AC838" s="246">
        <v>34980</v>
      </c>
      <c r="AD838" s="51">
        <v>2</v>
      </c>
      <c r="AE838" s="37" t="s">
        <v>387</v>
      </c>
      <c r="AF838" s="37" t="s">
        <v>381</v>
      </c>
      <c r="AG838" s="33" t="str">
        <f>IF(G838&gt;0,IF(AD838&gt;0,IF(AD838=0,"Waiting",IF(AD838&lt;L838,"Partial",IF(AD838=L838,"Full Supply",IF(AD838&gt;L838,"Over Shared")))),"Waiting"),"")</f>
        <v>Full Supply</v>
      </c>
      <c r="AH838" s="37"/>
      <c r="AI838" s="37"/>
      <c r="AJ838" s="181"/>
      <c r="AK838" s="37"/>
      <c r="AL838" s="37"/>
      <c r="AM838" s="181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181">
        <f>L838-AD838</f>
        <v>0</v>
      </c>
    </row>
    <row r="839" spans="1:52" ht="15.5" customHeight="1">
      <c r="A839" s="360" t="s">
        <v>372</v>
      </c>
      <c r="B839" s="340">
        <v>46296</v>
      </c>
      <c r="C839" s="181">
        <v>51467</v>
      </c>
      <c r="D839" s="30">
        <v>46293</v>
      </c>
      <c r="E839" s="30">
        <v>46289</v>
      </c>
      <c r="F839" s="30">
        <v>46310</v>
      </c>
      <c r="G839" s="37">
        <v>4420234006</v>
      </c>
      <c r="H839" s="37" t="s">
        <v>373</v>
      </c>
      <c r="I839" s="37">
        <v>9040134520</v>
      </c>
      <c r="J839" s="37" t="s">
        <v>129</v>
      </c>
      <c r="K839" s="325" t="s">
        <v>130</v>
      </c>
      <c r="L839" s="181">
        <v>1</v>
      </c>
      <c r="M839" s="181" t="s">
        <v>375</v>
      </c>
      <c r="N839" s="37" t="s">
        <v>431</v>
      </c>
      <c r="O839" s="31">
        <f>IF(F839&gt;0,F839-AB839,"")</f>
        <v>46310</v>
      </c>
      <c r="P839" s="37" t="str">
        <f>IF(F839&gt;0,IF(AB839="","PLANNING SUPPLY",IF(AB839&lt;=F839,"ONTIME DELIVERY","DELAY")),"")</f>
        <v>PLANNING SUPPLY</v>
      </c>
      <c r="Q839" s="181" t="str">
        <f>IFERROR(IF(J839&gt;0,VLOOKUP(J839,#REF!,MATCH($Q$6,#REF!,0),0),""),"")</f>
        <v/>
      </c>
      <c r="R839" s="181" t="str">
        <f>IFERROR(IF(J839&gt;0,VLOOKUP(J839,#REF!,MATCH($R$6,#REF!,0),0),""),"")</f>
        <v/>
      </c>
      <c r="S839" s="181" t="e">
        <f>IF(I842&gt;0,Q839+R839,"")</f>
        <v>#VALUE!</v>
      </c>
      <c r="T839" s="181"/>
      <c r="U839" s="181"/>
      <c r="V839" s="37"/>
      <c r="W839" s="181" t="e">
        <f>IF(I842&gt;0,IF(S839&gt;L839,"READY STOCK",IF(S839=0,"OUT OF STOCK",IF(S839&lt;L839,"LOW STOCK",""))),"")</f>
        <v>#VALUE!</v>
      </c>
      <c r="X839" s="38"/>
      <c r="Y839" s="38"/>
      <c r="Z839" s="38"/>
      <c r="AA839" s="38"/>
      <c r="AB839" s="50"/>
      <c r="AC839" s="181"/>
      <c r="AD839" s="51"/>
      <c r="AE839" s="37"/>
      <c r="AF839" s="37"/>
      <c r="AG839" s="33" t="str">
        <f>IF(G839&gt;0,IF(AD839&gt;0,IF(AD839=0,"Waiting",IF(AD839&lt;L839,"Partial",IF(AD839=L839,"Full Supply",IF(AD839&gt;L839,"Over Shared")))),"Waiting"),"")</f>
        <v>Waiting</v>
      </c>
      <c r="AH839" s="56">
        <v>46282</v>
      </c>
      <c r="AI839" s="37" t="s">
        <v>1362</v>
      </c>
      <c r="AJ839" s="181">
        <v>20</v>
      </c>
      <c r="AK839" s="181">
        <v>26321</v>
      </c>
      <c r="AL839" s="181"/>
      <c r="AM839" s="181">
        <v>20</v>
      </c>
      <c r="AN839" s="37" t="s">
        <v>1363</v>
      </c>
      <c r="AO839" s="232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181">
        <f>L839-AD839</f>
        <v>1</v>
      </c>
    </row>
    <row r="840" spans="1:52" ht="15.5" customHeight="1">
      <c r="A840" s="360" t="s">
        <v>372</v>
      </c>
      <c r="B840" s="340">
        <v>46296</v>
      </c>
      <c r="C840" s="181">
        <v>51467</v>
      </c>
      <c r="D840" s="30">
        <v>46293</v>
      </c>
      <c r="E840" s="30">
        <v>46289</v>
      </c>
      <c r="F840" s="30">
        <v>46310</v>
      </c>
      <c r="G840" s="37">
        <v>4420234006</v>
      </c>
      <c r="H840" s="37" t="s">
        <v>373</v>
      </c>
      <c r="I840" s="37">
        <v>9040130309</v>
      </c>
      <c r="J840" s="37" t="s">
        <v>120</v>
      </c>
      <c r="K840" s="325" t="s">
        <v>121</v>
      </c>
      <c r="L840" s="181">
        <v>1</v>
      </c>
      <c r="M840" s="181" t="s">
        <v>375</v>
      </c>
      <c r="N840" s="37" t="s">
        <v>431</v>
      </c>
      <c r="O840" s="31">
        <f>IF(F840&gt;0,F840-AB840,"")</f>
        <v>46310</v>
      </c>
      <c r="P840" s="37" t="str">
        <f>IF(F840&gt;0,IF(AB840="","PLANNING SUPPLY",IF(AB840&lt;=F840,"ONTIME DELIVERY","DELAY")),"")</f>
        <v>PLANNING SUPPLY</v>
      </c>
      <c r="Q840" s="181" t="str">
        <f>IFERROR(IF(J840&gt;0,VLOOKUP(J840,#REF!,MATCH($Q$6,#REF!,0),0),""),"")</f>
        <v/>
      </c>
      <c r="R840" s="181" t="str">
        <f>IFERROR(IF(J840&gt;0,VLOOKUP(J840,#REF!,MATCH($R$6,#REF!,0),0),""),"")</f>
        <v/>
      </c>
      <c r="S840" s="181" t="e">
        <f>IF(I843&gt;0,Q840+R840,"")</f>
        <v>#VALUE!</v>
      </c>
      <c r="T840" s="181"/>
      <c r="U840" s="181"/>
      <c r="V840" s="37"/>
      <c r="W840" s="181" t="e">
        <f>IF(I843&gt;0,IF(S840&gt;L840,"READY STOCK",IF(S840=0,"OUT OF STOCK",IF(S840&lt;L840,"LOW STOCK",""))),"")</f>
        <v>#VALUE!</v>
      </c>
      <c r="X840" s="38"/>
      <c r="Y840" s="38"/>
      <c r="Z840" s="38"/>
      <c r="AA840" s="38"/>
      <c r="AB840" s="50"/>
      <c r="AC840" s="181"/>
      <c r="AD840" s="51"/>
      <c r="AE840" s="37"/>
      <c r="AF840" s="37"/>
      <c r="AG840" s="33" t="str">
        <f>IF(G840&gt;0,IF(AD840&gt;0,IF(AD840=0,"Waiting",IF(AD840&lt;L840,"Partial",IF(AD840=L840,"Full Supply",IF(AD840&gt;L840,"Over Shared")))),"Waiting"),"")</f>
        <v>Waiting</v>
      </c>
      <c r="AH840" s="56">
        <v>46282</v>
      </c>
      <c r="AI840" s="37" t="s">
        <v>1362</v>
      </c>
      <c r="AJ840" s="181">
        <v>20</v>
      </c>
      <c r="AK840" s="181">
        <v>26321</v>
      </c>
      <c r="AL840" s="215">
        <v>46282</v>
      </c>
      <c r="AM840" s="181">
        <v>20</v>
      </c>
      <c r="AN840" s="37"/>
      <c r="AO840" s="232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181">
        <f>L840-AD840</f>
        <v>1</v>
      </c>
    </row>
    <row r="841" spans="1:52" ht="15.5" customHeight="1">
      <c r="A841" s="360" t="s">
        <v>372</v>
      </c>
      <c r="B841" s="340">
        <v>46296</v>
      </c>
      <c r="C841" s="181">
        <v>51467</v>
      </c>
      <c r="D841" s="30">
        <v>46293</v>
      </c>
      <c r="E841" s="30">
        <v>46289</v>
      </c>
      <c r="F841" s="30">
        <v>46310</v>
      </c>
      <c r="G841" s="37">
        <v>4420234006</v>
      </c>
      <c r="H841" s="37" t="s">
        <v>373</v>
      </c>
      <c r="I841" s="37">
        <v>9040130310</v>
      </c>
      <c r="J841" s="37" t="s">
        <v>120</v>
      </c>
      <c r="K841" s="325" t="s">
        <v>121</v>
      </c>
      <c r="L841" s="181">
        <v>1</v>
      </c>
      <c r="M841" s="181" t="s">
        <v>375</v>
      </c>
      <c r="N841" s="37" t="s">
        <v>431</v>
      </c>
      <c r="O841" s="31">
        <f>IF(F841&gt;0,F841-AB841,"")</f>
        <v>46310</v>
      </c>
      <c r="P841" s="37" t="str">
        <f>IF(F841&gt;0,IF(AB841="","PLANNING SUPPLY",IF(AB841&lt;=F841,"ONTIME DELIVERY","DELAY")),"")</f>
        <v>PLANNING SUPPLY</v>
      </c>
      <c r="Q841" s="181" t="str">
        <f>IFERROR(IF(J841&gt;0,VLOOKUP(J841,#REF!,MATCH($Q$6,#REF!,0),0),""),"")</f>
        <v/>
      </c>
      <c r="R841" s="181" t="str">
        <f>IFERROR(IF(J841&gt;0,VLOOKUP(J841,#REF!,MATCH($R$6,#REF!,0),0),""),"")</f>
        <v/>
      </c>
      <c r="S841" s="181" t="e">
        <f>IF(I844&gt;0,Q841+R841,"")</f>
        <v>#VALUE!</v>
      </c>
      <c r="T841" s="181"/>
      <c r="U841" s="181"/>
      <c r="V841" s="37"/>
      <c r="W841" s="181" t="e">
        <f>IF(I844&gt;0,IF(S841&gt;L841,"READY STOCK",IF(S841=0,"OUT OF STOCK",IF(S841&lt;L841,"LOW STOCK",""))),"")</f>
        <v>#VALUE!</v>
      </c>
      <c r="X841" s="38"/>
      <c r="Y841" s="38"/>
      <c r="Z841" s="38"/>
      <c r="AA841" s="38"/>
      <c r="AB841" s="50"/>
      <c r="AC841" s="181"/>
      <c r="AD841" s="51"/>
      <c r="AE841" s="37"/>
      <c r="AF841" s="37"/>
      <c r="AG841" s="33" t="str">
        <f>IF(G841&gt;0,IF(AD841&gt;0,IF(AD841=0,"Waiting",IF(AD841&lt;L841,"Partial",IF(AD841=L841,"Full Supply",IF(AD841&gt;L841,"Over Shared")))),"Waiting"),"")</f>
        <v>Waiting</v>
      </c>
      <c r="AH841" s="56">
        <v>46282</v>
      </c>
      <c r="AI841" s="37" t="s">
        <v>1362</v>
      </c>
      <c r="AJ841" s="181">
        <v>20</v>
      </c>
      <c r="AK841" s="181">
        <v>26321</v>
      </c>
      <c r="AL841" s="215">
        <v>46282</v>
      </c>
      <c r="AM841" s="181">
        <v>20</v>
      </c>
      <c r="AN841" s="37"/>
      <c r="AO841" s="232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181">
        <f>L841-AD841</f>
        <v>1</v>
      </c>
    </row>
    <row r="842" spans="1:52" ht="15.5" customHeight="1">
      <c r="A842" s="360" t="s">
        <v>372</v>
      </c>
      <c r="B842" s="340">
        <v>46296</v>
      </c>
      <c r="C842" s="181">
        <v>51467</v>
      </c>
      <c r="D842" s="30">
        <v>46293</v>
      </c>
      <c r="E842" s="30">
        <v>46289</v>
      </c>
      <c r="F842" s="30">
        <v>46310</v>
      </c>
      <c r="G842" s="37">
        <v>4420234006</v>
      </c>
      <c r="H842" s="37" t="s">
        <v>373</v>
      </c>
      <c r="I842" s="37">
        <v>9040130311</v>
      </c>
      <c r="J842" s="37" t="s">
        <v>191</v>
      </c>
      <c r="K842" s="325" t="s">
        <v>192</v>
      </c>
      <c r="L842" s="181">
        <v>50</v>
      </c>
      <c r="M842" s="181" t="s">
        <v>375</v>
      </c>
      <c r="N842" s="37" t="s">
        <v>431</v>
      </c>
      <c r="O842" s="31">
        <f>IF(F842&gt;0,F842-AB842,"")</f>
        <v>-4</v>
      </c>
      <c r="P842" s="37" t="str">
        <f>IF(F842&gt;0,IF(AB842="","PLANNING SUPPLY",IF(AB842&lt;=F842,"ONTIME DELIVERY","DELAY")),"")</f>
        <v>DELAY</v>
      </c>
      <c r="Q842" s="181" t="str">
        <f>IFERROR(IF(J842&gt;0,VLOOKUP(J842,#REF!,MATCH($Q$6,#REF!,0),0),""),"")</f>
        <v/>
      </c>
      <c r="R842" s="181" t="str">
        <f>IFERROR(IF(J842&gt;0,VLOOKUP(J842,#REF!,MATCH($R$6,#REF!,0),0),""),"")</f>
        <v/>
      </c>
      <c r="S842" s="181" t="e">
        <f>IF(I845&gt;0,Q842+R842,"")</f>
        <v>#VALUE!</v>
      </c>
      <c r="T842" s="181"/>
      <c r="U842" s="181"/>
      <c r="V842" s="37"/>
      <c r="W842" s="181" t="e">
        <f>IF(I845&gt;0,IF(S842&gt;L842,"READY STOCK",IF(S842=0,"OUT OF STOCK",IF(S842&lt;L842,"LOW STOCK",""))),"")</f>
        <v>#VALUE!</v>
      </c>
      <c r="X842" s="38"/>
      <c r="Y842" s="38"/>
      <c r="Z842" s="38"/>
      <c r="AA842" s="38"/>
      <c r="AB842" s="50">
        <v>46314</v>
      </c>
      <c r="AC842" s="44" t="s">
        <v>1364</v>
      </c>
      <c r="AD842" s="51">
        <v>50</v>
      </c>
      <c r="AE842" s="37" t="s">
        <v>387</v>
      </c>
      <c r="AF842" s="37" t="s">
        <v>381</v>
      </c>
      <c r="AG842" s="33" t="str">
        <f>IF(G842&gt;0,IF(AD842&gt;0,IF(AD842=0,"Waiting",IF(AD842&lt;L842,"Partial",IF(AD842=L842,"Full Supply",IF(AD842&gt;L842,"Over Shared")))),"Waiting"),"")</f>
        <v>Full Supply</v>
      </c>
      <c r="AH842" s="37"/>
      <c r="AI842" s="37"/>
      <c r="AJ842" s="181"/>
      <c r="AK842" s="37"/>
      <c r="AL842" s="37"/>
      <c r="AM842" s="181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181">
        <f>L842-AD842</f>
        <v>0</v>
      </c>
    </row>
    <row r="843" spans="1:52" ht="15.5" customHeight="1">
      <c r="A843" s="360" t="s">
        <v>372</v>
      </c>
      <c r="B843" s="340">
        <v>46296</v>
      </c>
      <c r="C843" s="181">
        <v>51467</v>
      </c>
      <c r="D843" s="30">
        <v>46293</v>
      </c>
      <c r="E843" s="30">
        <v>46289</v>
      </c>
      <c r="F843" s="30">
        <v>46310</v>
      </c>
      <c r="G843" s="37">
        <v>4420234006</v>
      </c>
      <c r="H843" s="37" t="s">
        <v>373</v>
      </c>
      <c r="I843" s="37">
        <v>9040032418</v>
      </c>
      <c r="J843" s="37" t="s">
        <v>276</v>
      </c>
      <c r="K843" s="325" t="s">
        <v>277</v>
      </c>
      <c r="L843" s="181">
        <v>1</v>
      </c>
      <c r="M843" s="181" t="s">
        <v>375</v>
      </c>
      <c r="N843" s="37" t="s">
        <v>431</v>
      </c>
      <c r="O843" s="31">
        <f>IF(F843&gt;0,F843-AB843,"")</f>
        <v>2</v>
      </c>
      <c r="P843" s="37" t="str">
        <f>IF(F843&gt;0,IF(AB843="","PLANNING SUPPLY",IF(AB843&lt;=F843,"ONTIME DELIVERY","DELAY")),"")</f>
        <v>ONTIME DELIVERY</v>
      </c>
      <c r="Q843" s="181" t="str">
        <f>IFERROR(IF(J843&gt;0,VLOOKUP(J843,#REF!,MATCH($Q$6,#REF!,0),0),""),"")</f>
        <v/>
      </c>
      <c r="R843" s="181" t="str">
        <f>IFERROR(IF(J843&gt;0,VLOOKUP(J843,#REF!,MATCH($R$6,#REF!,0),0),""),"")</f>
        <v/>
      </c>
      <c r="S843" s="181" t="e">
        <f>IF(I846&gt;0,Q843+R843,"")</f>
        <v>#VALUE!</v>
      </c>
      <c r="T843" s="181"/>
      <c r="U843" s="181"/>
      <c r="V843" s="37"/>
      <c r="W843" s="181" t="e">
        <f>IF(I846&gt;0,IF(S843&gt;L843,"READY STOCK",IF(S843=0,"OUT OF STOCK",IF(S843&lt;L843,"LOW STOCK",""))),"")</f>
        <v>#VALUE!</v>
      </c>
      <c r="X843" s="38"/>
      <c r="Y843" s="38"/>
      <c r="Z843" s="38"/>
      <c r="AA843" s="38"/>
      <c r="AB843" s="50">
        <v>46308</v>
      </c>
      <c r="AC843" s="246">
        <v>34980</v>
      </c>
      <c r="AD843" s="51">
        <v>1</v>
      </c>
      <c r="AE843" s="37" t="s">
        <v>387</v>
      </c>
      <c r="AF843" s="37" t="s">
        <v>381</v>
      </c>
      <c r="AG843" s="33" t="str">
        <f>IF(G843&gt;0,IF(AD843&gt;0,IF(AD843=0,"Waiting",IF(AD843&lt;L843,"Partial",IF(AD843=L843,"Full Supply",IF(AD843&gt;L843,"Over Shared")))),"Waiting"),"")</f>
        <v>Full Supply</v>
      </c>
      <c r="AH843" s="37"/>
      <c r="AI843" s="37"/>
      <c r="AJ843" s="181"/>
      <c r="AK843" s="37"/>
      <c r="AL843" s="37"/>
      <c r="AM843" s="181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181">
        <f>L843-AD843</f>
        <v>0</v>
      </c>
    </row>
    <row r="844" spans="1:52" ht="15.5" customHeight="1">
      <c r="A844" s="360" t="s">
        <v>372</v>
      </c>
      <c r="B844" s="340">
        <v>46296</v>
      </c>
      <c r="C844" s="181">
        <v>51467</v>
      </c>
      <c r="D844" s="30">
        <v>46293</v>
      </c>
      <c r="E844" s="30">
        <v>46289</v>
      </c>
      <c r="F844" s="30">
        <v>46310</v>
      </c>
      <c r="G844" s="37">
        <v>4420234006</v>
      </c>
      <c r="H844" s="37" t="s">
        <v>373</v>
      </c>
      <c r="I844" s="37">
        <v>9040037223</v>
      </c>
      <c r="J844" s="37" t="s">
        <v>274</v>
      </c>
      <c r="K844" s="325" t="s">
        <v>275</v>
      </c>
      <c r="L844" s="181">
        <v>1</v>
      </c>
      <c r="M844" s="181" t="s">
        <v>375</v>
      </c>
      <c r="N844" s="37" t="s">
        <v>431</v>
      </c>
      <c r="O844" s="31">
        <f>IF(F844&gt;0,F844-AB844,"")</f>
        <v>2</v>
      </c>
      <c r="P844" s="37" t="str">
        <f>IF(F844&gt;0,IF(AB844="","PLANNING SUPPLY",IF(AB844&lt;=F844,"ONTIME DELIVERY","DELAY")),"")</f>
        <v>ONTIME DELIVERY</v>
      </c>
      <c r="Q844" s="181" t="str">
        <f>IFERROR(IF(J844&gt;0,VLOOKUP(J844,#REF!,MATCH($Q$6,#REF!,0),0),""),"")</f>
        <v/>
      </c>
      <c r="R844" s="181" t="str">
        <f>IFERROR(IF(J844&gt;0,VLOOKUP(J844,#REF!,MATCH($R$6,#REF!,0),0),""),"")</f>
        <v/>
      </c>
      <c r="S844" s="181" t="e">
        <f>IF(I847&gt;0,Q844+R844,"")</f>
        <v>#VALUE!</v>
      </c>
      <c r="T844" s="181"/>
      <c r="U844" s="181"/>
      <c r="V844" s="37"/>
      <c r="W844" s="181" t="e">
        <f>IF(I847&gt;0,IF(S844&gt;L844,"READY STOCK",IF(S844=0,"OUT OF STOCK",IF(S844&lt;L844,"LOW STOCK",""))),"")</f>
        <v>#VALUE!</v>
      </c>
      <c r="X844" s="38"/>
      <c r="Y844" s="38"/>
      <c r="Z844" s="38"/>
      <c r="AA844" s="38"/>
      <c r="AB844" s="50">
        <v>46308</v>
      </c>
      <c r="AC844" s="246">
        <v>34980</v>
      </c>
      <c r="AD844" s="51">
        <v>1</v>
      </c>
      <c r="AE844" s="37" t="s">
        <v>387</v>
      </c>
      <c r="AF844" s="37" t="s">
        <v>381</v>
      </c>
      <c r="AG844" s="33" t="str">
        <f>IF(G844&gt;0,IF(AD844&gt;0,IF(AD844=0,"Waiting",IF(AD844&lt;L844,"Partial",IF(AD844=L844,"Full Supply",IF(AD844&gt;L844,"Over Shared")))),"Waiting"),"")</f>
        <v>Full Supply</v>
      </c>
      <c r="AH844" s="37"/>
      <c r="AI844" s="37"/>
      <c r="AJ844" s="181"/>
      <c r="AK844" s="37"/>
      <c r="AL844" s="37"/>
      <c r="AM844" s="181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181">
        <f>L844-AD844</f>
        <v>0</v>
      </c>
    </row>
    <row r="845" spans="1:52" ht="15.5" customHeight="1">
      <c r="A845" s="360" t="s">
        <v>372</v>
      </c>
      <c r="B845" s="340">
        <v>46296</v>
      </c>
      <c r="C845" s="181">
        <v>51467</v>
      </c>
      <c r="D845" s="30">
        <v>46293</v>
      </c>
      <c r="E845" s="30">
        <v>46289</v>
      </c>
      <c r="F845" s="30">
        <v>46310</v>
      </c>
      <c r="G845" s="37">
        <v>4420234006</v>
      </c>
      <c r="H845" s="37" t="s">
        <v>373</v>
      </c>
      <c r="I845" s="37">
        <v>9040130311</v>
      </c>
      <c r="J845" s="37" t="s">
        <v>191</v>
      </c>
      <c r="K845" s="325" t="s">
        <v>192</v>
      </c>
      <c r="L845" s="181">
        <v>58</v>
      </c>
      <c r="M845" s="181" t="s">
        <v>375</v>
      </c>
      <c r="N845" s="37" t="s">
        <v>431</v>
      </c>
      <c r="O845" s="31">
        <f>IF(F845&gt;0,F845-AB845,"")</f>
        <v>-4</v>
      </c>
      <c r="P845" s="37" t="str">
        <f>IF(F845&gt;0,IF(AB845="","PLANNING SUPPLY",IF(AB845&lt;=F845,"ONTIME DELIVERY","DELAY")),"")</f>
        <v>DELAY</v>
      </c>
      <c r="Q845" s="181" t="str">
        <f>IFERROR(IF(J845&gt;0,VLOOKUP(J845,#REF!,MATCH($Q$6,#REF!,0),0),""),"")</f>
        <v/>
      </c>
      <c r="R845" s="181" t="str">
        <f>IFERROR(IF(J845&gt;0,VLOOKUP(J845,#REF!,MATCH($R$6,#REF!,0),0),""),"")</f>
        <v/>
      </c>
      <c r="S845" s="181" t="e">
        <f>IF(I848&gt;0,Q845+R845,"")</f>
        <v>#VALUE!</v>
      </c>
      <c r="T845" s="181"/>
      <c r="U845" s="181"/>
      <c r="V845" s="37"/>
      <c r="W845" s="181" t="e">
        <f>IF(I848&gt;0,IF(S845&gt;L845,"READY STOCK",IF(S845=0,"OUT OF STOCK",IF(S845&lt;L845,"LOW STOCK",""))),"")</f>
        <v>#VALUE!</v>
      </c>
      <c r="X845" s="38"/>
      <c r="Y845" s="38"/>
      <c r="Z845" s="38"/>
      <c r="AA845" s="38"/>
      <c r="AB845" s="50">
        <v>46314</v>
      </c>
      <c r="AC845" s="44" t="s">
        <v>1364</v>
      </c>
      <c r="AD845" s="51">
        <v>58</v>
      </c>
      <c r="AE845" s="37" t="s">
        <v>387</v>
      </c>
      <c r="AF845" s="37" t="s">
        <v>381</v>
      </c>
      <c r="AG845" s="33" t="str">
        <f>IF(G845&gt;0,IF(AD845&gt;0,IF(AD845=0,"Waiting",IF(AD845&lt;L845,"Partial",IF(AD845=L845,"Full Supply",IF(AD845&gt;L845,"Over Shared")))),"Waiting"),"")</f>
        <v>Full Supply</v>
      </c>
      <c r="AH845" s="37"/>
      <c r="AI845" s="37"/>
      <c r="AJ845" s="181"/>
      <c r="AK845" s="37"/>
      <c r="AL845" s="37"/>
      <c r="AM845" s="181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181">
        <f>L845-AD845</f>
        <v>0</v>
      </c>
    </row>
    <row r="846" spans="1:52" ht="15.5" customHeight="1">
      <c r="A846" s="360" t="s">
        <v>372</v>
      </c>
      <c r="B846" s="340">
        <v>46296</v>
      </c>
      <c r="C846" s="181">
        <v>51467</v>
      </c>
      <c r="D846" s="30">
        <v>46293</v>
      </c>
      <c r="E846" s="30">
        <v>46289</v>
      </c>
      <c r="F846" s="30">
        <v>46310</v>
      </c>
      <c r="G846" s="37">
        <v>4420234006</v>
      </c>
      <c r="H846" s="37" t="s">
        <v>373</v>
      </c>
      <c r="I846" s="37">
        <v>9040132279</v>
      </c>
      <c r="J846" s="37" t="s">
        <v>247</v>
      </c>
      <c r="K846" s="325" t="s">
        <v>248</v>
      </c>
      <c r="L846" s="181">
        <v>11</v>
      </c>
      <c r="M846" s="181" t="s">
        <v>375</v>
      </c>
      <c r="N846" s="37" t="s">
        <v>431</v>
      </c>
      <c r="O846" s="31">
        <f>IF(F846&gt;0,F846-AB846,"")</f>
        <v>46310</v>
      </c>
      <c r="P846" s="37" t="str">
        <f>IF(F846&gt;0,IF(AB846="","PLANNING SUPPLY",IF(AB846&lt;=F846,"ONTIME DELIVERY","DELAY")),"")</f>
        <v>PLANNING SUPPLY</v>
      </c>
      <c r="Q846" s="181" t="str">
        <f>IFERROR(IF(J846&gt;0,VLOOKUP(J846,#REF!,MATCH($Q$6,#REF!,0),0),""),"")</f>
        <v/>
      </c>
      <c r="R846" s="181" t="str">
        <f>IFERROR(IF(J846&gt;0,VLOOKUP(J846,#REF!,MATCH($R$6,#REF!,0),0),""),"")</f>
        <v/>
      </c>
      <c r="S846" s="181" t="e">
        <f>IF(I849&gt;0,Q846+R846,"")</f>
        <v>#VALUE!</v>
      </c>
      <c r="T846" s="181"/>
      <c r="U846" s="181"/>
      <c r="V846" s="37"/>
      <c r="W846" s="181" t="e">
        <f>IF(I849&gt;0,IF(S846&gt;L846,"READY STOCK",IF(S846=0,"OUT OF STOCK",IF(S846&lt;L846,"LOW STOCK",""))),"")</f>
        <v>#VALUE!</v>
      </c>
      <c r="X846" s="38"/>
      <c r="Y846" s="38"/>
      <c r="Z846" s="38"/>
      <c r="AA846" s="38"/>
      <c r="AB846" s="50"/>
      <c r="AC846" s="181"/>
      <c r="AD846" s="51"/>
      <c r="AE846" s="37"/>
      <c r="AF846" s="37"/>
      <c r="AG846" s="33" t="str">
        <f>IF(G846&gt;0,IF(AD846&gt;0,IF(AD846=0,"Waiting",IF(AD846&lt;L846,"Partial",IF(AD846=L846,"Full Supply",IF(AD846&gt;L846,"Over Shared")))),"Waiting"),"")</f>
        <v>Waiting</v>
      </c>
      <c r="AH846" s="56">
        <v>46295</v>
      </c>
      <c r="AI846" s="37" t="s">
        <v>1365</v>
      </c>
      <c r="AJ846" s="181">
        <v>30</v>
      </c>
      <c r="AK846" s="40">
        <v>26321</v>
      </c>
      <c r="AL846" s="181"/>
      <c r="AM846" s="40">
        <v>100</v>
      </c>
      <c r="AN846" s="37"/>
      <c r="AO846" s="232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181">
        <f>L846-AD846</f>
        <v>11</v>
      </c>
    </row>
    <row r="847" spans="1:52" ht="15.5" customHeight="1">
      <c r="A847" s="360" t="s">
        <v>372</v>
      </c>
      <c r="B847" s="340">
        <v>46296</v>
      </c>
      <c r="C847" s="181">
        <v>51467</v>
      </c>
      <c r="D847" s="30">
        <v>46293</v>
      </c>
      <c r="E847" s="30">
        <v>46289</v>
      </c>
      <c r="F847" s="30">
        <v>46310</v>
      </c>
      <c r="G847" s="37">
        <v>4420234006</v>
      </c>
      <c r="H847" s="37" t="s">
        <v>373</v>
      </c>
      <c r="I847" s="37">
        <v>9040130311</v>
      </c>
      <c r="J847" s="37" t="s">
        <v>191</v>
      </c>
      <c r="K847" s="325" t="s">
        <v>192</v>
      </c>
      <c r="L847" s="181">
        <v>150</v>
      </c>
      <c r="M847" s="181" t="s">
        <v>375</v>
      </c>
      <c r="N847" s="37" t="s">
        <v>431</v>
      </c>
      <c r="O847" s="31">
        <f>IF(F847&gt;0,F847-AB847,"")</f>
        <v>-4</v>
      </c>
      <c r="P847" s="37" t="str">
        <f>IF(F847&gt;0,IF(AB847="","PLANNING SUPPLY",IF(AB847&lt;=F847,"ONTIME DELIVERY","DELAY")),"")</f>
        <v>DELAY</v>
      </c>
      <c r="Q847" s="181" t="str">
        <f>IFERROR(IF(J847&gt;0,VLOOKUP(J847,#REF!,MATCH($Q$6,#REF!,0),0),""),"")</f>
        <v/>
      </c>
      <c r="R847" s="181" t="str">
        <f>IFERROR(IF(J847&gt;0,VLOOKUP(J847,#REF!,MATCH($R$6,#REF!,0),0),""),"")</f>
        <v/>
      </c>
      <c r="S847" s="181" t="e">
        <f>IF(I850&gt;0,Q847+R847,"")</f>
        <v>#VALUE!</v>
      </c>
      <c r="T847" s="181"/>
      <c r="U847" s="181"/>
      <c r="V847" s="37"/>
      <c r="W847" s="181" t="e">
        <f>IF(I850&gt;0,IF(S847&gt;L847,"READY STOCK",IF(S847=0,"OUT OF STOCK",IF(S847&lt;L847,"LOW STOCK",""))),"")</f>
        <v>#VALUE!</v>
      </c>
      <c r="X847" s="38"/>
      <c r="Y847" s="38"/>
      <c r="Z847" s="38"/>
      <c r="AA847" s="38"/>
      <c r="AB847" s="50">
        <v>46314</v>
      </c>
      <c r="AC847" s="44" t="s">
        <v>1364</v>
      </c>
      <c r="AD847" s="51">
        <v>150</v>
      </c>
      <c r="AE847" s="37" t="s">
        <v>387</v>
      </c>
      <c r="AF847" s="37" t="s">
        <v>381</v>
      </c>
      <c r="AG847" s="33" t="str">
        <f>IF(G847&gt;0,IF(AD847&gt;0,IF(AD847=0,"Waiting",IF(AD847&lt;L847,"Partial",IF(AD847=L847,"Full Supply",IF(AD847&gt;L847,"Over Shared")))),"Waiting"),"")</f>
        <v>Full Supply</v>
      </c>
      <c r="AH847" s="37"/>
      <c r="AI847" s="37"/>
      <c r="AJ847" s="181"/>
      <c r="AK847" s="37"/>
      <c r="AL847" s="37"/>
      <c r="AM847" s="181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181">
        <f>L847-AD847</f>
        <v>0</v>
      </c>
    </row>
    <row r="848" spans="1:52" ht="15.5" customHeight="1">
      <c r="A848" s="360" t="s">
        <v>372</v>
      </c>
      <c r="B848" s="340">
        <v>46296</v>
      </c>
      <c r="C848" s="181">
        <v>51467</v>
      </c>
      <c r="D848" s="30">
        <v>46293</v>
      </c>
      <c r="E848" s="30">
        <v>46289</v>
      </c>
      <c r="F848" s="30">
        <v>46310</v>
      </c>
      <c r="G848" s="37">
        <v>4420234006</v>
      </c>
      <c r="H848" s="37" t="s">
        <v>373</v>
      </c>
      <c r="I848" s="37">
        <v>9040132279</v>
      </c>
      <c r="J848" s="37" t="s">
        <v>247</v>
      </c>
      <c r="K848" s="325" t="s">
        <v>248</v>
      </c>
      <c r="L848" s="181">
        <v>4</v>
      </c>
      <c r="M848" s="181" t="s">
        <v>375</v>
      </c>
      <c r="N848" s="37" t="s">
        <v>431</v>
      </c>
      <c r="O848" s="31">
        <f>IF(F848&gt;0,F848-AB848,"")</f>
        <v>46310</v>
      </c>
      <c r="P848" s="37" t="str">
        <f>IF(F848&gt;0,IF(AB848="","PLANNING SUPPLY",IF(AB848&lt;=F848,"ONTIME DELIVERY","DELAY")),"")</f>
        <v>PLANNING SUPPLY</v>
      </c>
      <c r="Q848" s="181" t="str">
        <f>IFERROR(IF(J848&gt;0,VLOOKUP(J848,#REF!,MATCH($Q$6,#REF!,0),0),""),"")</f>
        <v/>
      </c>
      <c r="R848" s="181" t="str">
        <f>IFERROR(IF(J848&gt;0,VLOOKUP(J848,#REF!,MATCH($R$6,#REF!,0),0),""),"")</f>
        <v/>
      </c>
      <c r="S848" s="181" t="e">
        <f>IF(I851&gt;0,Q848+R848,"")</f>
        <v>#VALUE!</v>
      </c>
      <c r="T848" s="181"/>
      <c r="U848" s="181"/>
      <c r="V848" s="37"/>
      <c r="W848" s="181" t="e">
        <f>IF(I851&gt;0,IF(S848&gt;L848,"READY STOCK",IF(S848=0,"OUT OF STOCK",IF(S848&lt;L848,"LOW STOCK",""))),"")</f>
        <v>#VALUE!</v>
      </c>
      <c r="X848" s="38"/>
      <c r="Y848" s="38"/>
      <c r="Z848" s="38"/>
      <c r="AA848" s="38"/>
      <c r="AB848" s="50"/>
      <c r="AC848" s="181"/>
      <c r="AD848" s="51"/>
      <c r="AE848" s="37"/>
      <c r="AF848" s="37"/>
      <c r="AG848" s="33" t="str">
        <f>IF(G848&gt;0,IF(AD848&gt;0,IF(AD848=0,"Waiting",IF(AD848&lt;L848,"Partial",IF(AD848=L848,"Full Supply",IF(AD848&gt;L848,"Over Shared")))),"Waiting"),"")</f>
        <v>Waiting</v>
      </c>
      <c r="AH848" s="56">
        <v>46295</v>
      </c>
      <c r="AI848" s="37" t="s">
        <v>1365</v>
      </c>
      <c r="AJ848" s="181">
        <v>30</v>
      </c>
      <c r="AK848" s="40">
        <v>26321</v>
      </c>
      <c r="AL848" s="181"/>
      <c r="AM848" s="40">
        <v>100</v>
      </c>
      <c r="AN848" s="37"/>
      <c r="AO848" s="232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181">
        <f>L848-AD848</f>
        <v>4</v>
      </c>
    </row>
    <row r="849" spans="1:52" ht="15.5" customHeight="1">
      <c r="A849" s="360" t="s">
        <v>372</v>
      </c>
      <c r="B849" s="340">
        <v>46296</v>
      </c>
      <c r="C849" s="181">
        <v>51467</v>
      </c>
      <c r="D849" s="30">
        <v>46293</v>
      </c>
      <c r="E849" s="30">
        <v>46289</v>
      </c>
      <c r="F849" s="30">
        <v>46310</v>
      </c>
      <c r="G849" s="37">
        <v>4420234006</v>
      </c>
      <c r="H849" s="37" t="s">
        <v>373</v>
      </c>
      <c r="I849" s="37">
        <v>9040132279</v>
      </c>
      <c r="J849" s="37" t="s">
        <v>247</v>
      </c>
      <c r="K849" s="325" t="s">
        <v>248</v>
      </c>
      <c r="L849" s="181">
        <v>15</v>
      </c>
      <c r="M849" s="181" t="s">
        <v>375</v>
      </c>
      <c r="N849" s="37" t="s">
        <v>431</v>
      </c>
      <c r="O849" s="31">
        <f>IF(F849&gt;0,F849-AB849,"")</f>
        <v>46310</v>
      </c>
      <c r="P849" s="37" t="str">
        <f>IF(F849&gt;0,IF(AB849="","PLANNING SUPPLY",IF(AB849&lt;=F849,"ONTIME DELIVERY","DELAY")),"")</f>
        <v>PLANNING SUPPLY</v>
      </c>
      <c r="Q849" s="181" t="str">
        <f>IFERROR(IF(J849&gt;0,VLOOKUP(J849,#REF!,MATCH($Q$6,#REF!,0),0),""),"")</f>
        <v/>
      </c>
      <c r="R849" s="181" t="str">
        <f>IFERROR(IF(J849&gt;0,VLOOKUP(J849,#REF!,MATCH($R$6,#REF!,0),0),""),"")</f>
        <v/>
      </c>
      <c r="S849" s="181" t="e">
        <f>IF(I852&gt;0,Q849+R849,"")</f>
        <v>#VALUE!</v>
      </c>
      <c r="T849" s="181"/>
      <c r="U849" s="181"/>
      <c r="V849" s="37"/>
      <c r="W849" s="181" t="e">
        <f>IF(I852&gt;0,IF(S849&gt;L849,"READY STOCK",IF(S849=0,"OUT OF STOCK",IF(S849&lt;L849,"LOW STOCK",""))),"")</f>
        <v>#VALUE!</v>
      </c>
      <c r="X849" s="38"/>
      <c r="Y849" s="38"/>
      <c r="Z849" s="38"/>
      <c r="AA849" s="38"/>
      <c r="AB849" s="50"/>
      <c r="AC849" s="181"/>
      <c r="AD849" s="51"/>
      <c r="AE849" s="37"/>
      <c r="AF849" s="37"/>
      <c r="AG849" s="33" t="str">
        <f>IF(G849&gt;0,IF(AD849&gt;0,IF(AD849=0,"Waiting",IF(AD849&lt;L849,"Partial",IF(AD849=L849,"Full Supply",IF(AD849&gt;L849,"Over Shared")))),"Waiting"),"")</f>
        <v>Waiting</v>
      </c>
      <c r="AH849" s="56">
        <v>46295</v>
      </c>
      <c r="AI849" s="37" t="s">
        <v>1365</v>
      </c>
      <c r="AJ849" s="181">
        <v>30</v>
      </c>
      <c r="AK849" s="40">
        <v>26321</v>
      </c>
      <c r="AL849" s="181"/>
      <c r="AM849" s="40">
        <v>100</v>
      </c>
      <c r="AN849" s="37"/>
      <c r="AO849" s="232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181">
        <f>L849-AD849</f>
        <v>15</v>
      </c>
    </row>
    <row r="850" spans="1:52" ht="15.5" customHeight="1">
      <c r="A850" s="360" t="s">
        <v>372</v>
      </c>
      <c r="B850" s="340">
        <v>46296</v>
      </c>
      <c r="C850" s="181">
        <v>51467</v>
      </c>
      <c r="D850" s="30">
        <v>46293</v>
      </c>
      <c r="E850" s="30">
        <v>46289</v>
      </c>
      <c r="F850" s="30">
        <v>46310</v>
      </c>
      <c r="G850" s="37">
        <v>4420234006</v>
      </c>
      <c r="H850" s="37" t="s">
        <v>373</v>
      </c>
      <c r="I850" s="37">
        <v>9040130311</v>
      </c>
      <c r="J850" s="37" t="s">
        <v>191</v>
      </c>
      <c r="K850" s="325" t="s">
        <v>192</v>
      </c>
      <c r="L850" s="181">
        <v>2</v>
      </c>
      <c r="M850" s="181" t="s">
        <v>375</v>
      </c>
      <c r="N850" s="37" t="s">
        <v>431</v>
      </c>
      <c r="O850" s="31">
        <f>IF(F850&gt;0,F850-AB850,"")</f>
        <v>10</v>
      </c>
      <c r="P850" s="37" t="str">
        <f>IF(F850&gt;0,IF(AB850="","PLANNING SUPPLY",IF(AB850&lt;=F850,"ONTIME DELIVERY","DELAY")),"")</f>
        <v>ONTIME DELIVERY</v>
      </c>
      <c r="Q850" s="181" t="str">
        <f>IFERROR(IF(J850&gt;0,VLOOKUP(J850,#REF!,MATCH($Q$6,#REF!,0),0),""),"")</f>
        <v/>
      </c>
      <c r="R850" s="181" t="str">
        <f>IFERROR(IF(J850&gt;0,VLOOKUP(J850,#REF!,MATCH($R$6,#REF!,0),0),""),"")</f>
        <v/>
      </c>
      <c r="S850" s="181" t="e">
        <f>IF(I853&gt;0,Q850+R850,"")</f>
        <v>#VALUE!</v>
      </c>
      <c r="T850" s="181"/>
      <c r="U850" s="181"/>
      <c r="V850" s="37"/>
      <c r="W850" s="181" t="e">
        <f>IF(I853&gt;0,IF(S850&gt;L850,"READY STOCK",IF(S850=0,"OUT OF STOCK",IF(S850&lt;L850,"LOW STOCK",""))),"")</f>
        <v>#VALUE!</v>
      </c>
      <c r="X850" s="38"/>
      <c r="Y850" s="38"/>
      <c r="Z850" s="38"/>
      <c r="AA850" s="38"/>
      <c r="AB850" s="50">
        <v>46300</v>
      </c>
      <c r="AC850" s="44">
        <v>34743</v>
      </c>
      <c r="AD850" s="51">
        <v>2</v>
      </c>
      <c r="AE850" s="37" t="s">
        <v>387</v>
      </c>
      <c r="AF850" s="37" t="s">
        <v>381</v>
      </c>
      <c r="AG850" s="33" t="str">
        <f>IF(G850&gt;0,IF(AD850&gt;0,IF(AD850=0,"Waiting",IF(AD850&lt;L850,"Partial",IF(AD850=L850,"Full Supply",IF(AD850&gt;L850,"Over Shared")))),"Waiting"),"")</f>
        <v>Full Supply</v>
      </c>
      <c r="AH850" s="37"/>
      <c r="AI850" s="37"/>
      <c r="AJ850" s="181"/>
      <c r="AK850" s="37"/>
      <c r="AL850" s="37"/>
      <c r="AM850" s="181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181">
        <f>L850-AD850</f>
        <v>0</v>
      </c>
    </row>
    <row r="851" spans="1:52" ht="15.5" customHeight="1">
      <c r="A851" s="360" t="s">
        <v>372</v>
      </c>
      <c r="B851" s="340">
        <v>46293</v>
      </c>
      <c r="C851" s="181">
        <v>51468</v>
      </c>
      <c r="D851" s="30">
        <v>46293</v>
      </c>
      <c r="E851" s="30">
        <v>46291</v>
      </c>
      <c r="F851" s="30">
        <v>46297</v>
      </c>
      <c r="G851" s="37">
        <v>4420234129</v>
      </c>
      <c r="H851" s="37" t="s">
        <v>373</v>
      </c>
      <c r="I851" s="37">
        <v>9040042762</v>
      </c>
      <c r="J851" s="37" t="s">
        <v>237</v>
      </c>
      <c r="K851" s="325" t="s">
        <v>238</v>
      </c>
      <c r="L851" s="181">
        <v>2</v>
      </c>
      <c r="M851" s="181" t="s">
        <v>389</v>
      </c>
      <c r="N851" s="37" t="s">
        <v>384</v>
      </c>
      <c r="O851" s="31">
        <f>IF(F851&gt;0,F851-AB851,"")</f>
        <v>-17</v>
      </c>
      <c r="P851" s="37" t="str">
        <f>IF(F851&gt;0,IF(AB851="","PLANNING SUPPLY",IF(AB851&lt;=F851,"ONTIME DELIVERY","DELAY")),"")</f>
        <v>DELAY</v>
      </c>
      <c r="Q851" s="181" t="str">
        <f>IFERROR(IF(J851&gt;0,VLOOKUP(J851,#REF!,MATCH($Q$6,#REF!,0),0),""),"")</f>
        <v/>
      </c>
      <c r="R851" s="181" t="str">
        <f>IFERROR(IF(J851&gt;0,VLOOKUP(J851,#REF!,MATCH($R$6,#REF!,0),0),""),"")</f>
        <v/>
      </c>
      <c r="S851" s="181" t="e">
        <f>IF(I854&gt;0,Q851+R851,"")</f>
        <v>#VALUE!</v>
      </c>
      <c r="T851" s="181"/>
      <c r="U851" s="181"/>
      <c r="V851" s="37"/>
      <c r="W851" s="181" t="e">
        <f>IF(I854&gt;0,IF(S851&gt;L851,"READY STOCK",IF(S851=0,"OUT OF STOCK",IF(S851&lt;L851,"LOW STOCK",""))),"")</f>
        <v>#VALUE!</v>
      </c>
      <c r="X851" s="38"/>
      <c r="Y851" s="38"/>
      <c r="Z851" s="38"/>
      <c r="AA851" s="38"/>
      <c r="AB851" s="50">
        <v>46314</v>
      </c>
      <c r="AC851" s="181">
        <v>35100</v>
      </c>
      <c r="AD851" s="51">
        <v>2</v>
      </c>
      <c r="AE851" s="58" t="s">
        <v>387</v>
      </c>
      <c r="AF851" s="58" t="s">
        <v>381</v>
      </c>
      <c r="AG851" s="33" t="str">
        <f>IF(G851&gt;0,IF(AD851&gt;0,IF(AD851=0,"Waiting",IF(AD851&lt;L851,"Partial",IF(AD851=L851,"Full Supply",IF(AD851&gt;L851,"Over Shared")))),"Waiting"),"")</f>
        <v>Full Supply</v>
      </c>
      <c r="AH851" s="56">
        <v>46294</v>
      </c>
      <c r="AI851" s="37" t="s">
        <v>1311</v>
      </c>
      <c r="AJ851" s="181">
        <v>2</v>
      </c>
      <c r="AK851" s="181">
        <v>26467</v>
      </c>
      <c r="AL851" s="240">
        <v>46294</v>
      </c>
      <c r="AM851" s="181">
        <v>2</v>
      </c>
      <c r="AN851" s="37"/>
      <c r="AO851" s="55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181">
        <f>L851-AD851</f>
        <v>0</v>
      </c>
    </row>
    <row r="852" spans="1:52" ht="15.5" customHeight="1">
      <c r="A852" s="360" t="s">
        <v>372</v>
      </c>
      <c r="B852" s="340">
        <v>46293</v>
      </c>
      <c r="C852" s="181">
        <v>51468</v>
      </c>
      <c r="D852" s="30">
        <v>46293</v>
      </c>
      <c r="E852" s="30">
        <v>46291</v>
      </c>
      <c r="F852" s="30">
        <v>46297</v>
      </c>
      <c r="G852" s="37">
        <v>4420234129</v>
      </c>
      <c r="H852" s="37" t="s">
        <v>373</v>
      </c>
      <c r="I852" s="37">
        <v>9040021031</v>
      </c>
      <c r="J852" s="37" t="s">
        <v>201</v>
      </c>
      <c r="K852" s="325" t="s">
        <v>202</v>
      </c>
      <c r="L852" s="181">
        <v>1</v>
      </c>
      <c r="M852" s="181" t="s">
        <v>458</v>
      </c>
      <c r="N852" s="37" t="s">
        <v>384</v>
      </c>
      <c r="O852" s="31">
        <f>IF(F852&gt;0,F852-AB852,"")</f>
        <v>46297</v>
      </c>
      <c r="P852" s="37" t="str">
        <f>IF(F852&gt;0,IF(AB852="","PLANNING SUPPLY",IF(AB852&lt;=F852,"ONTIME DELIVERY","DELAY")),"")</f>
        <v>PLANNING SUPPLY</v>
      </c>
      <c r="Q852" s="181" t="str">
        <f>IFERROR(IF(J852&gt;0,VLOOKUP(J852,#REF!,MATCH($Q$6,#REF!,0),0),""),"")</f>
        <v/>
      </c>
      <c r="R852" s="181" t="str">
        <f>IFERROR(IF(J852&gt;0,VLOOKUP(J852,#REF!,MATCH($R$6,#REF!,0),0),""),"")</f>
        <v/>
      </c>
      <c r="S852" s="181" t="e">
        <f>IF(I855&gt;0,Q852+R852,"")</f>
        <v>#VALUE!</v>
      </c>
      <c r="T852" s="181"/>
      <c r="U852" s="181"/>
      <c r="V852" s="37"/>
      <c r="W852" s="181" t="e">
        <f>IF(I855&gt;0,IF(S852&gt;L852,"READY STOCK",IF(S852=0,"OUT OF STOCK",IF(S852&lt;L852,"LOW STOCK",""))),"")</f>
        <v>#VALUE!</v>
      </c>
      <c r="X852" s="38"/>
      <c r="Y852" s="38"/>
      <c r="Z852" s="38"/>
      <c r="AA852" s="38"/>
      <c r="AB852" s="50"/>
      <c r="AC852" s="181"/>
      <c r="AD852" s="51"/>
      <c r="AE852" s="37"/>
      <c r="AF852" s="37"/>
      <c r="AG852" s="33" t="str">
        <f>IF(G852&gt;0,IF(AD852&gt;0,IF(AD852=0,"Waiting",IF(AD852&lt;L852,"Partial",IF(AD852=L852,"Full Supply",IF(AD852&gt;L852,"Over Shared")))),"Waiting"),"")</f>
        <v>Waiting</v>
      </c>
      <c r="AH852" s="37"/>
      <c r="AI852" s="37"/>
      <c r="AJ852" s="181"/>
      <c r="AK852" s="37"/>
      <c r="AL852" s="37"/>
      <c r="AM852" s="181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181">
        <f>L852-AD852</f>
        <v>1</v>
      </c>
    </row>
    <row r="853" spans="1:52" ht="15.5" customHeight="1">
      <c r="A853" s="360" t="s">
        <v>372</v>
      </c>
      <c r="B853" s="340">
        <v>46293</v>
      </c>
      <c r="C853" s="181">
        <v>51468</v>
      </c>
      <c r="D853" s="30">
        <v>46293</v>
      </c>
      <c r="E853" s="30">
        <v>46291</v>
      </c>
      <c r="F853" s="30">
        <v>46297</v>
      </c>
      <c r="G853" s="37">
        <v>4420234129</v>
      </c>
      <c r="H853" s="37" t="s">
        <v>373</v>
      </c>
      <c r="I853" s="37">
        <v>9040044080</v>
      </c>
      <c r="J853" s="37" t="s">
        <v>70</v>
      </c>
      <c r="K853" s="325" t="s">
        <v>71</v>
      </c>
      <c r="L853" s="181">
        <v>2</v>
      </c>
      <c r="M853" s="181" t="s">
        <v>375</v>
      </c>
      <c r="N853" s="37" t="s">
        <v>384</v>
      </c>
      <c r="O853" s="31">
        <f>IF(F853&gt;0,F853-AB853,"")</f>
        <v>46297</v>
      </c>
      <c r="P853" s="37" t="str">
        <f>IF(F853&gt;0,IF(AB853="","PLANNING SUPPLY",IF(AB853&lt;=F853,"ONTIME DELIVERY","DELAY")),"")</f>
        <v>PLANNING SUPPLY</v>
      </c>
      <c r="Q853" s="181" t="str">
        <f>IFERROR(IF(J853&gt;0,VLOOKUP(J853,#REF!,MATCH($Q$6,#REF!,0),0),""),"")</f>
        <v/>
      </c>
      <c r="R853" s="181" t="str">
        <f>IFERROR(IF(J853&gt;0,VLOOKUP(J853,#REF!,MATCH($R$6,#REF!,0),0),""),"")</f>
        <v/>
      </c>
      <c r="S853" s="181" t="e">
        <f>IF(I856&gt;0,Q853+R853,"")</f>
        <v>#VALUE!</v>
      </c>
      <c r="T853" s="181"/>
      <c r="U853" s="181"/>
      <c r="V853" s="37"/>
      <c r="W853" s="181" t="e">
        <f>IF(I856&gt;0,IF(S853&gt;L853,"READY STOCK",IF(S853=0,"OUT OF STOCK",IF(S853&lt;L853,"LOW STOCK",""))),"")</f>
        <v>#VALUE!</v>
      </c>
      <c r="X853" s="38"/>
      <c r="Y853" s="38"/>
      <c r="Z853" s="38"/>
      <c r="AA853" s="38"/>
      <c r="AB853" s="50"/>
      <c r="AC853" s="181"/>
      <c r="AD853" s="51"/>
      <c r="AE853" s="37"/>
      <c r="AF853" s="37"/>
      <c r="AG853" s="33" t="str">
        <f>IF(G853&gt;0,IF(AD853&gt;0,IF(AD853=0,"Waiting",IF(AD853&lt;L853,"Partial",IF(AD853=L853,"Full Supply",IF(AD853&gt;L853,"Over Shared")))),"Waiting"),"")</f>
        <v>Waiting</v>
      </c>
      <c r="AH853" s="37"/>
      <c r="AI853" s="37"/>
      <c r="AJ853" s="181"/>
      <c r="AK853" s="37"/>
      <c r="AL853" s="37"/>
      <c r="AM853" s="181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181">
        <f>L853-AD853</f>
        <v>2</v>
      </c>
    </row>
    <row r="854" spans="1:52" ht="15.5" customHeight="1">
      <c r="A854" s="360" t="s">
        <v>372</v>
      </c>
      <c r="B854" s="340">
        <v>46293</v>
      </c>
      <c r="C854" s="181">
        <v>51468</v>
      </c>
      <c r="D854" s="30">
        <v>46293</v>
      </c>
      <c r="E854" s="30">
        <v>46291</v>
      </c>
      <c r="F854" s="30">
        <v>46297</v>
      </c>
      <c r="G854" s="37">
        <v>4420234129</v>
      </c>
      <c r="H854" s="37" t="s">
        <v>373</v>
      </c>
      <c r="I854" s="37">
        <v>9040014656</v>
      </c>
      <c r="J854" s="217" t="s">
        <v>205</v>
      </c>
      <c r="K854" s="325" t="s">
        <v>206</v>
      </c>
      <c r="L854" s="181">
        <v>2</v>
      </c>
      <c r="M854" s="181" t="s">
        <v>389</v>
      </c>
      <c r="N854" s="37" t="s">
        <v>384</v>
      </c>
      <c r="O854" s="31">
        <f>IF(F854&gt;0,F854-AB854,"")</f>
        <v>46297</v>
      </c>
      <c r="P854" s="37" t="str">
        <f>IF(F854&gt;0,IF(AB854="","PLANNING SUPPLY",IF(AB854&lt;=F854,"ONTIME DELIVERY","DELAY")),"")</f>
        <v>PLANNING SUPPLY</v>
      </c>
      <c r="Q854" s="181" t="str">
        <f>IFERROR(IF(J854&gt;0,VLOOKUP(J854,#REF!,MATCH($Q$6,#REF!,0),0),""),"")</f>
        <v/>
      </c>
      <c r="R854" s="181" t="str">
        <f>IFERROR(IF(J854&gt;0,VLOOKUP(J854,#REF!,MATCH($R$6,#REF!,0),0),""),"")</f>
        <v/>
      </c>
      <c r="S854" s="181" t="e">
        <f>IF(I857&gt;0,Q854+R854,"")</f>
        <v>#VALUE!</v>
      </c>
      <c r="T854" s="181"/>
      <c r="U854" s="181"/>
      <c r="V854" s="37"/>
      <c r="W854" s="181" t="e">
        <f>IF(I857&gt;0,IF(S854&gt;L854,"READY STOCK",IF(S854=0,"OUT OF STOCK",IF(S854&lt;L854,"LOW STOCK",""))),"")</f>
        <v>#VALUE!</v>
      </c>
      <c r="X854" s="38"/>
      <c r="Y854" s="38"/>
      <c r="Z854" s="38"/>
      <c r="AA854" s="38"/>
      <c r="AB854" s="50"/>
      <c r="AC854" s="181"/>
      <c r="AD854" s="51"/>
      <c r="AE854" s="37"/>
      <c r="AF854" s="37"/>
      <c r="AG854" s="33" t="str">
        <f>IF(G854&gt;0,IF(AD854&gt;0,IF(AD854=0,"Waiting",IF(AD854&lt;L854,"Partial",IF(AD854=L854,"Full Supply",IF(AD854&gt;L854,"Over Shared")))),"Waiting"),"")</f>
        <v>Waiting</v>
      </c>
      <c r="AH854" s="56">
        <v>46294</v>
      </c>
      <c r="AI854" s="37" t="s">
        <v>1311</v>
      </c>
      <c r="AJ854" s="181">
        <v>2</v>
      </c>
      <c r="AK854" s="181">
        <v>26457</v>
      </c>
      <c r="AL854" s="241">
        <v>46294</v>
      </c>
      <c r="AM854" s="181">
        <v>100</v>
      </c>
      <c r="AN854" s="37"/>
      <c r="AO854" s="241">
        <v>46295</v>
      </c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181">
        <f>L854-AD854</f>
        <v>2</v>
      </c>
    </row>
    <row r="855" spans="1:52" ht="15.5" customHeight="1">
      <c r="A855" s="360" t="s">
        <v>372</v>
      </c>
      <c r="B855" s="340">
        <v>46293</v>
      </c>
      <c r="C855" s="181">
        <v>51468</v>
      </c>
      <c r="D855" s="30">
        <v>46293</v>
      </c>
      <c r="E855" s="30">
        <v>46291</v>
      </c>
      <c r="F855" s="30">
        <v>46297</v>
      </c>
      <c r="G855" s="37">
        <v>4420234129</v>
      </c>
      <c r="H855" s="37" t="s">
        <v>373</v>
      </c>
      <c r="I855" s="37">
        <v>9040016582</v>
      </c>
      <c r="J855" s="37" t="s">
        <v>183</v>
      </c>
      <c r="K855" s="325" t="s">
        <v>184</v>
      </c>
      <c r="L855" s="181">
        <v>4</v>
      </c>
      <c r="M855" s="181" t="s">
        <v>375</v>
      </c>
      <c r="N855" s="37" t="s">
        <v>384</v>
      </c>
      <c r="O855" s="31">
        <f>IF(F855&gt;0,F855-AB855,"")</f>
        <v>2</v>
      </c>
      <c r="P855" s="37" t="str">
        <f>IF(F855&gt;0,IF(AB855="","PLANNING SUPPLY",IF(AB855&lt;=F855,"ONTIME DELIVERY","DELAY")),"")</f>
        <v>ONTIME DELIVERY</v>
      </c>
      <c r="Q855" s="181" t="str">
        <f>IFERROR(IF(J855&gt;0,VLOOKUP(J855,#REF!,MATCH($Q$6,#REF!,0),0),""),"")</f>
        <v/>
      </c>
      <c r="R855" s="181" t="str">
        <f>IFERROR(IF(J855&gt;0,VLOOKUP(J855,#REF!,MATCH($R$6,#REF!,0),0),""),"")</f>
        <v/>
      </c>
      <c r="S855" s="181" t="e">
        <f>IF(I858&gt;0,Q855+R855,"")</f>
        <v>#VALUE!</v>
      </c>
      <c r="T855" s="181"/>
      <c r="U855" s="181"/>
      <c r="V855" s="37"/>
      <c r="W855" s="181" t="e">
        <f>IF(I858&gt;0,IF(S855&gt;L855,"READY STOCK",IF(S855=0,"OUT OF STOCK",IF(S855&lt;L855,"LOW STOCK",""))),"")</f>
        <v>#VALUE!</v>
      </c>
      <c r="X855" s="38"/>
      <c r="Y855" s="38"/>
      <c r="Z855" s="38"/>
      <c r="AA855" s="38"/>
      <c r="AB855" s="50">
        <v>46295</v>
      </c>
      <c r="AC855" s="181">
        <v>34649</v>
      </c>
      <c r="AD855" s="51">
        <v>4</v>
      </c>
      <c r="AE855" s="37" t="s">
        <v>387</v>
      </c>
      <c r="AF855" s="37" t="s">
        <v>381</v>
      </c>
      <c r="AG855" s="33" t="str">
        <f>IF(G855&gt;0,IF(AD855&gt;0,IF(AD855=0,"Waiting",IF(AD855&lt;L855,"Partial",IF(AD855=L855,"Full Supply",IF(AD855&gt;L855,"Over Shared")))),"Waiting"),"")</f>
        <v>Full Supply</v>
      </c>
      <c r="AH855" s="37"/>
      <c r="AI855" s="37"/>
      <c r="AJ855" s="181"/>
      <c r="AK855" s="37"/>
      <c r="AL855" s="37"/>
      <c r="AM855" s="181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181">
        <f>L855-AD855</f>
        <v>0</v>
      </c>
    </row>
    <row r="856" spans="1:52" ht="15.5" customHeight="1">
      <c r="A856" s="360" t="s">
        <v>372</v>
      </c>
      <c r="B856" s="340">
        <v>46293</v>
      </c>
      <c r="C856" s="181">
        <v>51468</v>
      </c>
      <c r="D856" s="30">
        <v>46293</v>
      </c>
      <c r="E856" s="30">
        <v>46291</v>
      </c>
      <c r="F856" s="30">
        <v>46297</v>
      </c>
      <c r="G856" s="37">
        <v>4420234129</v>
      </c>
      <c r="H856" s="37" t="s">
        <v>373</v>
      </c>
      <c r="I856" s="37">
        <v>9040040420</v>
      </c>
      <c r="J856" s="37" t="s">
        <v>219</v>
      </c>
      <c r="K856" s="325" t="s">
        <v>220</v>
      </c>
      <c r="L856" s="181">
        <v>7</v>
      </c>
      <c r="M856" s="181" t="s">
        <v>389</v>
      </c>
      <c r="N856" s="37" t="s">
        <v>384</v>
      </c>
      <c r="O856" s="31">
        <f>IF(F856&gt;0,F856-AB856,"")</f>
        <v>-17</v>
      </c>
      <c r="P856" s="37" t="str">
        <f>IF(F856&gt;0,IF(AB856="","PLANNING SUPPLY",IF(AB856&lt;=F856,"ONTIME DELIVERY","DELAY")),"")</f>
        <v>DELAY</v>
      </c>
      <c r="Q856" s="181" t="str">
        <f>IFERROR(IF(J856&gt;0,VLOOKUP(J856,#REF!,MATCH($Q$6,#REF!,0),0),""),"")</f>
        <v/>
      </c>
      <c r="R856" s="181" t="str">
        <f>IFERROR(IF(J856&gt;0,VLOOKUP(J856,#REF!,MATCH($R$6,#REF!,0),0),""),"")</f>
        <v/>
      </c>
      <c r="S856" s="181" t="e">
        <f>IF(I859&gt;0,Q856+R856,"")</f>
        <v>#VALUE!</v>
      </c>
      <c r="T856" s="181"/>
      <c r="U856" s="181"/>
      <c r="V856" s="37"/>
      <c r="W856" s="181" t="e">
        <f>IF(I859&gt;0,IF(S856&gt;L856,"READY STOCK",IF(S856=0,"OUT OF STOCK",IF(S856&lt;L856,"LOW STOCK",""))),"")</f>
        <v>#VALUE!</v>
      </c>
      <c r="X856" s="38"/>
      <c r="Y856" s="38"/>
      <c r="Z856" s="38"/>
      <c r="AA856" s="38"/>
      <c r="AB856" s="50">
        <v>46314</v>
      </c>
      <c r="AC856" s="181">
        <v>35100</v>
      </c>
      <c r="AD856" s="51">
        <v>7</v>
      </c>
      <c r="AE856" s="58" t="s">
        <v>387</v>
      </c>
      <c r="AF856" s="58" t="s">
        <v>381</v>
      </c>
      <c r="AG856" s="33" t="str">
        <f>IF(G856&gt;0,IF(AD856&gt;0,IF(AD856=0,"Waiting",IF(AD856&lt;L856,"Partial",IF(AD856=L856,"Full Supply",IF(AD856&gt;L856,"Over Shared")))),"Waiting"),"")</f>
        <v>Full Supply</v>
      </c>
      <c r="AH856" s="56">
        <v>46294</v>
      </c>
      <c r="AI856" s="37" t="s">
        <v>1311</v>
      </c>
      <c r="AJ856" s="181">
        <v>7</v>
      </c>
      <c r="AK856" s="181">
        <v>26468</v>
      </c>
      <c r="AL856" s="240">
        <v>46294</v>
      </c>
      <c r="AM856" s="181">
        <v>7</v>
      </c>
      <c r="AN856" s="37"/>
      <c r="AO856" s="239">
        <v>46297</v>
      </c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181">
        <f>L856-AD856</f>
        <v>0</v>
      </c>
    </row>
    <row r="857" spans="1:52" ht="15.5" customHeight="1">
      <c r="A857" s="360" t="s">
        <v>372</v>
      </c>
      <c r="B857" s="340">
        <v>46293</v>
      </c>
      <c r="C857" s="181">
        <v>51468</v>
      </c>
      <c r="D857" s="30">
        <v>46293</v>
      </c>
      <c r="E857" s="30">
        <v>46291</v>
      </c>
      <c r="F857" s="30">
        <v>46297</v>
      </c>
      <c r="G857" s="37">
        <v>4420234129</v>
      </c>
      <c r="H857" s="37" t="s">
        <v>373</v>
      </c>
      <c r="I857" s="37">
        <v>9040040531</v>
      </c>
      <c r="J857" s="37" t="s">
        <v>95</v>
      </c>
      <c r="K857" s="325" t="s">
        <v>96</v>
      </c>
      <c r="L857" s="181">
        <v>3</v>
      </c>
      <c r="M857" s="181" t="s">
        <v>375</v>
      </c>
      <c r="N857" s="37" t="s">
        <v>384</v>
      </c>
      <c r="O857" s="31">
        <f>IF(F857&gt;0,F857-AB857,"")</f>
        <v>-11</v>
      </c>
      <c r="P857" s="37" t="str">
        <f>IF(F857&gt;0,IF(AB857="","PLANNING SUPPLY",IF(AB857&lt;=F857,"ONTIME DELIVERY","DELAY")),"")</f>
        <v>DELAY</v>
      </c>
      <c r="Q857" s="181" t="str">
        <f>IFERROR(IF(J857&gt;0,VLOOKUP(J857,#REF!,MATCH($Q$6,#REF!,0),0),""),"")</f>
        <v/>
      </c>
      <c r="R857" s="181" t="str">
        <f>IFERROR(IF(J857&gt;0,VLOOKUP(J857,#REF!,MATCH($R$6,#REF!,0),0),""),"")</f>
        <v/>
      </c>
      <c r="S857" s="181" t="e">
        <f>IF(I860&gt;0,Q857+R857,"")</f>
        <v>#VALUE!</v>
      </c>
      <c r="T857" s="181"/>
      <c r="U857" s="181"/>
      <c r="V857" s="37"/>
      <c r="W857" s="181" t="e">
        <f>IF(I860&gt;0,IF(S857&gt;L857,"READY STOCK",IF(S857=0,"OUT OF STOCK",IF(S857&lt;L857,"LOW STOCK",""))),"")</f>
        <v>#VALUE!</v>
      </c>
      <c r="X857" s="38"/>
      <c r="Y857" s="38"/>
      <c r="Z857" s="38"/>
      <c r="AA857" s="38"/>
      <c r="AB857" s="50">
        <v>46308</v>
      </c>
      <c r="AC857" s="246">
        <v>34978</v>
      </c>
      <c r="AD857" s="51">
        <v>3</v>
      </c>
      <c r="AE857" s="37" t="s">
        <v>387</v>
      </c>
      <c r="AF857" s="37" t="s">
        <v>381</v>
      </c>
      <c r="AG857" s="33" t="str">
        <f>IF(G857&gt;0,IF(AD857&gt;0,IF(AD857=0,"Waiting",IF(AD857&lt;L857,"Partial",IF(AD857=L857,"Full Supply",IF(AD857&gt;L857,"Over Shared")))),"Waiting"),"")</f>
        <v>Full Supply</v>
      </c>
      <c r="AH857" s="37"/>
      <c r="AI857" s="37"/>
      <c r="AJ857" s="181"/>
      <c r="AK857" s="37"/>
      <c r="AL857" s="37"/>
      <c r="AM857" s="181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181">
        <f>L857-AD857</f>
        <v>0</v>
      </c>
    </row>
    <row r="858" spans="1:52" ht="15.5" customHeight="1">
      <c r="A858" s="360" t="s">
        <v>372</v>
      </c>
      <c r="B858" s="340">
        <v>46293</v>
      </c>
      <c r="C858" s="181">
        <v>51468</v>
      </c>
      <c r="D858" s="30">
        <v>46293</v>
      </c>
      <c r="E858" s="30">
        <v>46291</v>
      </c>
      <c r="F858" s="30">
        <v>46297</v>
      </c>
      <c r="G858" s="37">
        <v>4420234129</v>
      </c>
      <c r="H858" s="37" t="s">
        <v>373</v>
      </c>
      <c r="I858" s="37">
        <v>9040040923</v>
      </c>
      <c r="J858" s="37" t="s">
        <v>150</v>
      </c>
      <c r="K858" s="325" t="s">
        <v>151</v>
      </c>
      <c r="L858" s="181">
        <v>3</v>
      </c>
      <c r="M858" s="181" t="s">
        <v>375</v>
      </c>
      <c r="N858" s="37" t="s">
        <v>384</v>
      </c>
      <c r="O858" s="31">
        <f>IF(F858&gt;0,F858-AB858,"")</f>
        <v>-10</v>
      </c>
      <c r="P858" s="37" t="str">
        <f>IF(F858&gt;0,IF(AB858="","PLANNING SUPPLY",IF(AB858&lt;=F858,"ONTIME DELIVERY","DELAY")),"")</f>
        <v>DELAY</v>
      </c>
      <c r="Q858" s="181" t="str">
        <f>IFERROR(IF(J858&gt;0,VLOOKUP(J858,#REF!,MATCH($Q$6,#REF!,0),0),""),"")</f>
        <v/>
      </c>
      <c r="R858" s="181" t="str">
        <f>IFERROR(IF(J858&gt;0,VLOOKUP(J858,#REF!,MATCH($R$6,#REF!,0),0),""),"")</f>
        <v/>
      </c>
      <c r="S858" s="181" t="e">
        <f>IF(I861&gt;0,Q858+R858,"")</f>
        <v>#VALUE!</v>
      </c>
      <c r="T858" s="181"/>
      <c r="U858" s="181"/>
      <c r="V858" s="37"/>
      <c r="W858" s="181" t="e">
        <f>IF(I861&gt;0,IF(S858&gt;L858,"READY STOCK",IF(S858=0,"OUT OF STOCK",IF(S858&lt;L858,"LOW STOCK",""))),"")</f>
        <v>#VALUE!</v>
      </c>
      <c r="X858" s="38"/>
      <c r="Y858" s="38"/>
      <c r="Z858" s="38"/>
      <c r="AA858" s="38"/>
      <c r="AB858" s="50">
        <v>46307</v>
      </c>
      <c r="AC858" s="181">
        <v>34939</v>
      </c>
      <c r="AD858" s="51">
        <v>3</v>
      </c>
      <c r="AE858" s="37" t="s">
        <v>387</v>
      </c>
      <c r="AF858" s="37" t="s">
        <v>381</v>
      </c>
      <c r="AG858" s="33" t="str">
        <f>IF(G858&gt;0,IF(AD858&gt;0,IF(AD858=0,"Waiting",IF(AD858&lt;L858,"Partial",IF(AD858=L858,"Full Supply",IF(AD858&gt;L858,"Over Shared")))),"Waiting"),"")</f>
        <v>Full Supply</v>
      </c>
      <c r="AH858" s="56">
        <v>46296</v>
      </c>
      <c r="AI858" s="37" t="s">
        <v>1351</v>
      </c>
      <c r="AJ858" s="181">
        <v>100</v>
      </c>
      <c r="AK858" s="37"/>
      <c r="AL858" s="37"/>
      <c r="AM858" s="181"/>
      <c r="AN858" s="216"/>
      <c r="AO858" s="232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181">
        <f>L858-AD858</f>
        <v>0</v>
      </c>
    </row>
    <row r="859" spans="1:52" ht="15.5" customHeight="1">
      <c r="A859" s="360" t="s">
        <v>372</v>
      </c>
      <c r="B859" s="340">
        <v>46293</v>
      </c>
      <c r="C859" s="181">
        <v>51468</v>
      </c>
      <c r="D859" s="30">
        <v>46293</v>
      </c>
      <c r="E859" s="30">
        <v>46291</v>
      </c>
      <c r="F859" s="30">
        <v>46297</v>
      </c>
      <c r="G859" s="37">
        <v>4420234129</v>
      </c>
      <c r="H859" s="37" t="s">
        <v>373</v>
      </c>
      <c r="I859" s="37">
        <v>9040054919</v>
      </c>
      <c r="J859" s="37" t="s">
        <v>311</v>
      </c>
      <c r="K859" s="325" t="s">
        <v>312</v>
      </c>
      <c r="L859" s="181">
        <v>4</v>
      </c>
      <c r="M859" s="181" t="s">
        <v>429</v>
      </c>
      <c r="N859" s="37" t="s">
        <v>384</v>
      </c>
      <c r="O859" s="31">
        <f>IF(F859&gt;0,F859-AB859,"")</f>
        <v>-7</v>
      </c>
      <c r="P859" s="37" t="str">
        <f>IF(F859&gt;0,IF(AB859="","PLANNING SUPPLY",IF(AB859&lt;=F859,"ONTIME DELIVERY","DELAY")),"")</f>
        <v>DELAY</v>
      </c>
      <c r="Q859" s="181" t="str">
        <f>IFERROR(IF(J859&gt;0,VLOOKUP(J859,#REF!,MATCH($Q$6,#REF!,0),0),""),"")</f>
        <v/>
      </c>
      <c r="R859" s="181" t="str">
        <f>IFERROR(IF(J859&gt;0,VLOOKUP(J859,#REF!,MATCH($R$6,#REF!,0),0),""),"")</f>
        <v/>
      </c>
      <c r="S859" s="181" t="e">
        <f>IF(I862&gt;0,Q859+R859,"")</f>
        <v>#VALUE!</v>
      </c>
      <c r="T859" s="181"/>
      <c r="U859" s="181"/>
      <c r="V859" s="37"/>
      <c r="W859" s="181" t="e">
        <f>IF(I862&gt;0,IF(S859&gt;L859,"READY STOCK",IF(S859=0,"OUT OF STOCK",IF(S859&lt;L859,"LOW STOCK",""))),"")</f>
        <v>#VALUE!</v>
      </c>
      <c r="X859" s="38"/>
      <c r="Y859" s="38"/>
      <c r="Z859" s="38"/>
      <c r="AA859" s="38"/>
      <c r="AB859" s="57">
        <v>46304</v>
      </c>
      <c r="AC859" s="181">
        <v>34884</v>
      </c>
      <c r="AD859" s="53">
        <v>4</v>
      </c>
      <c r="AE859" s="58" t="s">
        <v>387</v>
      </c>
      <c r="AF859" s="58" t="s">
        <v>381</v>
      </c>
      <c r="AG859" s="33" t="str">
        <f>IF(G859&gt;0,IF(AD859&gt;0,IF(AD859=0,"Waiting",IF(AD859&lt;L859,"Partial",IF(AD859=L859,"Full Supply",IF(AD859&gt;L859,"Over Shared")))),"Waiting"),"")</f>
        <v>Full Supply</v>
      </c>
      <c r="AH859" s="56">
        <v>46294</v>
      </c>
      <c r="AI859" s="37" t="s">
        <v>1311</v>
      </c>
      <c r="AJ859" s="181">
        <v>24</v>
      </c>
      <c r="AK859" s="40">
        <v>26494</v>
      </c>
      <c r="AL859" s="42">
        <v>46295</v>
      </c>
      <c r="AM859" s="40">
        <v>40</v>
      </c>
      <c r="AN859" s="37"/>
      <c r="AO859" s="46">
        <v>46299</v>
      </c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181">
        <f>L859-AD859</f>
        <v>0</v>
      </c>
    </row>
    <row r="860" spans="1:52" ht="15.5" customHeight="1">
      <c r="A860" s="360" t="s">
        <v>372</v>
      </c>
      <c r="B860" s="340">
        <v>46293</v>
      </c>
      <c r="C860" s="181">
        <v>51468</v>
      </c>
      <c r="D860" s="30">
        <v>46293</v>
      </c>
      <c r="E860" s="30">
        <v>46291</v>
      </c>
      <c r="F860" s="30">
        <v>46297</v>
      </c>
      <c r="G860" s="37">
        <v>4420234129</v>
      </c>
      <c r="H860" s="37" t="s">
        <v>373</v>
      </c>
      <c r="I860" s="37">
        <v>9040012343</v>
      </c>
      <c r="J860" s="37" t="s">
        <v>303</v>
      </c>
      <c r="K860" s="325" t="s">
        <v>304</v>
      </c>
      <c r="L860" s="181">
        <v>2</v>
      </c>
      <c r="M860" s="181" t="s">
        <v>375</v>
      </c>
      <c r="N860" s="37" t="s">
        <v>384</v>
      </c>
      <c r="O860" s="31">
        <f>IF(F860&gt;0,F860-AB860,"")</f>
        <v>-17</v>
      </c>
      <c r="P860" s="37" t="str">
        <f>IF(F860&gt;0,IF(AB860="","PLANNING SUPPLY",IF(AB860&lt;=F860,"ONTIME DELIVERY","DELAY")),"")</f>
        <v>DELAY</v>
      </c>
      <c r="Q860" s="181" t="str">
        <f>IFERROR(IF(J860&gt;0,VLOOKUP(J860,#REF!,MATCH($Q$6,#REF!,0),0),""),"")</f>
        <v/>
      </c>
      <c r="R860" s="181" t="str">
        <f>IFERROR(IF(J860&gt;0,VLOOKUP(J860,#REF!,MATCH($R$6,#REF!,0),0),""),"")</f>
        <v/>
      </c>
      <c r="S860" s="181" t="e">
        <f>IF(I863&gt;0,Q860+R860,"")</f>
        <v>#VALUE!</v>
      </c>
      <c r="T860" s="181"/>
      <c r="U860" s="181"/>
      <c r="V860" s="37"/>
      <c r="W860" s="181" t="e">
        <f>IF(I863&gt;0,IF(S860&gt;L860,"READY STOCK",IF(S860=0,"OUT OF STOCK",IF(S860&lt;L860,"LOW STOCK",""))),"")</f>
        <v>#VALUE!</v>
      </c>
      <c r="X860" s="38"/>
      <c r="Y860" s="38"/>
      <c r="Z860" s="38"/>
      <c r="AA860" s="38"/>
      <c r="AB860" s="50">
        <v>46314</v>
      </c>
      <c r="AC860" s="181">
        <v>35100</v>
      </c>
      <c r="AD860" s="51">
        <v>1</v>
      </c>
      <c r="AE860" s="58" t="s">
        <v>387</v>
      </c>
      <c r="AF860" s="58" t="s">
        <v>381</v>
      </c>
      <c r="AG860" s="33" t="str">
        <f>IF(G860&gt;0,IF(AD860&gt;0,IF(AD860=0,"Waiting",IF(AD860&lt;L860,"Partial",IF(AD860=L860,"Full Supply",IF(AD860&gt;L860,"Over Shared")))),"Waiting"),"")</f>
        <v>Partial</v>
      </c>
      <c r="AH860" s="37"/>
      <c r="AI860" s="37" t="s">
        <v>1312</v>
      </c>
      <c r="AJ860" s="181">
        <v>27</v>
      </c>
      <c r="AK860" s="37"/>
      <c r="AL860" s="37"/>
      <c r="AM860" s="181"/>
      <c r="AN860" s="216"/>
      <c r="AO860" s="232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181">
        <f>L860-AD860</f>
        <v>1</v>
      </c>
    </row>
    <row r="861" spans="1:52" ht="15.5" customHeight="1">
      <c r="A861" s="360" t="s">
        <v>372</v>
      </c>
      <c r="B861" s="340">
        <v>46293</v>
      </c>
      <c r="C861" s="181">
        <v>51468</v>
      </c>
      <c r="D861" s="30">
        <v>46293</v>
      </c>
      <c r="E861" s="30">
        <v>46291</v>
      </c>
      <c r="F861" s="30">
        <v>46297</v>
      </c>
      <c r="G861" s="37">
        <v>4420234129</v>
      </c>
      <c r="H861" s="37" t="s">
        <v>373</v>
      </c>
      <c r="I861" s="37">
        <v>9040016343</v>
      </c>
      <c r="J861" s="37" t="s">
        <v>211</v>
      </c>
      <c r="K861" s="325" t="s">
        <v>212</v>
      </c>
      <c r="L861" s="181">
        <v>48</v>
      </c>
      <c r="M861" s="181" t="s">
        <v>429</v>
      </c>
      <c r="N861" s="37" t="s">
        <v>384</v>
      </c>
      <c r="O861" s="31">
        <f>IF(F861&gt;0,F861-AB861,"")</f>
        <v>-17</v>
      </c>
      <c r="P861" s="37" t="str">
        <f>IF(F861&gt;0,IF(AB861="","PLANNING SUPPLY",IF(AB861&lt;=F861,"ONTIME DELIVERY","DELAY")),"")</f>
        <v>DELAY</v>
      </c>
      <c r="Q861" s="181" t="str">
        <f>IFERROR(IF(J861&gt;0,VLOOKUP(J861,#REF!,MATCH($Q$6,#REF!,0),0),""),"")</f>
        <v/>
      </c>
      <c r="R861" s="181" t="str">
        <f>IFERROR(IF(J861&gt;0,VLOOKUP(J861,#REF!,MATCH($R$6,#REF!,0),0),""),"")</f>
        <v/>
      </c>
      <c r="S861" s="181" t="e">
        <f>IF(I864&gt;0,Q861+R861,"")</f>
        <v>#VALUE!</v>
      </c>
      <c r="T861" s="181"/>
      <c r="U861" s="181"/>
      <c r="V861" s="37"/>
      <c r="W861" s="181" t="e">
        <f>IF(I864&gt;0,IF(S861&gt;L861,"READY STOCK",IF(S861=0,"OUT OF STOCK",IF(S861&lt;L861,"LOW STOCK",""))),"")</f>
        <v>#VALUE!</v>
      </c>
      <c r="X861" s="38"/>
      <c r="Y861" s="38"/>
      <c r="Z861" s="38"/>
      <c r="AA861" s="38"/>
      <c r="AB861" s="52">
        <v>46314</v>
      </c>
      <c r="AC861" s="181" t="s">
        <v>1352</v>
      </c>
      <c r="AD861" s="53">
        <f>47+1</f>
        <v>48</v>
      </c>
      <c r="AE861" s="58" t="s">
        <v>387</v>
      </c>
      <c r="AF861" s="58" t="s">
        <v>381</v>
      </c>
      <c r="AG861" s="33" t="str">
        <f>IF(G861&gt;0,IF(AD861&gt;0,IF(AD861=0,"Waiting",IF(AD861&lt;L861,"Partial",IF(AD861=L861,"Full Supply",IF(AD861&gt;L861,"Over Shared")))),"Waiting"),"")</f>
        <v>Full Supply</v>
      </c>
      <c r="AH861" s="56">
        <v>46294</v>
      </c>
      <c r="AI861" s="37" t="s">
        <v>1311</v>
      </c>
      <c r="AJ861" s="181">
        <v>48</v>
      </c>
      <c r="AK861" s="181">
        <v>26471</v>
      </c>
      <c r="AL861" s="240">
        <v>46294</v>
      </c>
      <c r="AM861" s="181">
        <v>48</v>
      </c>
      <c r="AN861" s="37"/>
      <c r="AO861" s="46">
        <v>46296</v>
      </c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181">
        <f>L861-AD861</f>
        <v>0</v>
      </c>
    </row>
    <row r="862" spans="1:52" ht="15.5" customHeight="1">
      <c r="A862" s="360" t="s">
        <v>372</v>
      </c>
      <c r="B862" s="340">
        <v>46293</v>
      </c>
      <c r="C862" s="181">
        <v>51470</v>
      </c>
      <c r="D862" s="30">
        <v>46293</v>
      </c>
      <c r="E862" s="30">
        <v>46290</v>
      </c>
      <c r="F862" s="30">
        <v>46325</v>
      </c>
      <c r="G862" s="37">
        <v>4420234072</v>
      </c>
      <c r="H862" s="37" t="s">
        <v>373</v>
      </c>
      <c r="I862" s="37">
        <v>9040028402</v>
      </c>
      <c r="J862" s="37" t="s">
        <v>133</v>
      </c>
      <c r="K862" s="325" t="s">
        <v>134</v>
      </c>
      <c r="L862" s="181">
        <v>1</v>
      </c>
      <c r="M862" s="181" t="s">
        <v>375</v>
      </c>
      <c r="N862" s="37" t="s">
        <v>382</v>
      </c>
      <c r="O862" s="31">
        <f>IF(F862&gt;0,F862-AB862,"")</f>
        <v>17</v>
      </c>
      <c r="P862" s="37" t="str">
        <f>IF(F862&gt;0,IF(AB862="","PLANNING SUPPLY",IF(AB862&lt;=F862,"ONTIME DELIVERY","DELAY")),"")</f>
        <v>ONTIME DELIVERY</v>
      </c>
      <c r="Q862" s="181" t="str">
        <f>IFERROR(IF(J862&gt;0,VLOOKUP(J862,#REF!,MATCH($Q$6,#REF!,0),0),""),"")</f>
        <v/>
      </c>
      <c r="R862" s="181" t="str">
        <f>IFERROR(IF(J862&gt;0,VLOOKUP(J862,#REF!,MATCH($R$6,#REF!,0),0),""),"")</f>
        <v/>
      </c>
      <c r="S862" s="181" t="e">
        <f>IF(I865&gt;0,Q862+R862,"")</f>
        <v>#VALUE!</v>
      </c>
      <c r="T862" s="181"/>
      <c r="U862" s="181"/>
      <c r="V862" s="37"/>
      <c r="W862" s="181" t="e">
        <f>IF(I865&gt;0,IF(S862&gt;L862,"READY STOCK",IF(S862=0,"OUT OF STOCK",IF(S862&lt;L862,"LOW STOCK",""))),"")</f>
        <v>#VALUE!</v>
      </c>
      <c r="X862" s="38"/>
      <c r="Y862" s="38"/>
      <c r="Z862" s="38"/>
      <c r="AA862" s="38"/>
      <c r="AB862" s="50">
        <v>46308</v>
      </c>
      <c r="AC862" s="246">
        <v>34991</v>
      </c>
      <c r="AD862" s="51">
        <v>1</v>
      </c>
      <c r="AE862" s="37" t="s">
        <v>387</v>
      </c>
      <c r="AF862" s="37" t="s">
        <v>381</v>
      </c>
      <c r="AG862" s="33" t="str">
        <f>IF(G862&gt;0,IF(AD862&gt;0,IF(AD862=0,"Waiting",IF(AD862&lt;L862,"Partial",IF(AD862=L862,"Full Supply",IF(AD862&gt;L862,"Over Shared")))),"Waiting"),"")</f>
        <v>Full Supply</v>
      </c>
      <c r="AH862" s="56">
        <v>46294</v>
      </c>
      <c r="AI862" s="37" t="s">
        <v>1311</v>
      </c>
      <c r="AJ862" s="181">
        <v>1</v>
      </c>
      <c r="AK862" s="181">
        <v>26466</v>
      </c>
      <c r="AL862" s="240">
        <v>46294</v>
      </c>
      <c r="AM862" s="181">
        <v>1</v>
      </c>
      <c r="AN862" s="37" t="s">
        <v>1346</v>
      </c>
      <c r="AO862" s="55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181">
        <f>L862-AD862</f>
        <v>0</v>
      </c>
    </row>
    <row r="863" spans="1:52" ht="15.5" customHeight="1">
      <c r="A863" s="360" t="s">
        <v>372</v>
      </c>
      <c r="B863" s="340">
        <v>46293</v>
      </c>
      <c r="C863" s="181">
        <v>51470</v>
      </c>
      <c r="D863" s="30">
        <v>46293</v>
      </c>
      <c r="E863" s="30">
        <v>46290</v>
      </c>
      <c r="F863" s="30">
        <v>46325</v>
      </c>
      <c r="G863" s="37">
        <v>4420234072</v>
      </c>
      <c r="H863" s="37" t="s">
        <v>373</v>
      </c>
      <c r="I863" s="37">
        <v>9040056135</v>
      </c>
      <c r="J863" s="37" t="s">
        <v>139</v>
      </c>
      <c r="K863" s="325" t="s">
        <v>140</v>
      </c>
      <c r="L863" s="181">
        <v>1</v>
      </c>
      <c r="M863" s="181" t="s">
        <v>375</v>
      </c>
      <c r="N863" s="37" t="s">
        <v>382</v>
      </c>
      <c r="O863" s="31">
        <f>IF(F863&gt;0,F863-AB863,"")</f>
        <v>46325</v>
      </c>
      <c r="P863" s="37" t="str">
        <f>IF(F863&gt;0,IF(AB863="","PLANNING SUPPLY",IF(AB863&lt;=F863,"ONTIME DELIVERY","DELAY")),"")</f>
        <v>PLANNING SUPPLY</v>
      </c>
      <c r="Q863" s="181" t="str">
        <f>IFERROR(IF(J863&gt;0,VLOOKUP(J863,#REF!,MATCH($Q$6,#REF!,0),0),""),"")</f>
        <v/>
      </c>
      <c r="R863" s="181" t="str">
        <f>IFERROR(IF(J863&gt;0,VLOOKUP(J863,#REF!,MATCH($R$6,#REF!,0),0),""),"")</f>
        <v/>
      </c>
      <c r="S863" s="181" t="e">
        <f>IF(I866&gt;0,Q863+R863,"")</f>
        <v>#VALUE!</v>
      </c>
      <c r="T863" s="181"/>
      <c r="U863" s="181"/>
      <c r="V863" s="37"/>
      <c r="W863" s="181" t="e">
        <f>IF(I866&gt;0,IF(S863&gt;L863,"READY STOCK",IF(S863=0,"OUT OF STOCK",IF(S863&lt;L863,"LOW STOCK",""))),"")</f>
        <v>#VALUE!</v>
      </c>
      <c r="X863" s="38"/>
      <c r="Y863" s="38"/>
      <c r="Z863" s="38"/>
      <c r="AA863" s="38"/>
      <c r="AB863" s="50"/>
      <c r="AC863" s="181"/>
      <c r="AD863" s="51"/>
      <c r="AE863" s="37"/>
      <c r="AF863" s="37"/>
      <c r="AG863" s="33" t="str">
        <f>IF(G863&gt;0,IF(AD863&gt;0,IF(AD863=0,"Waiting",IF(AD863&lt;L863,"Partial",IF(AD863=L863,"Full Supply",IF(AD863&gt;L863,"Over Shared")))),"Waiting"),"")</f>
        <v>Waiting</v>
      </c>
      <c r="AH863" s="56">
        <v>46294</v>
      </c>
      <c r="AI863" s="37" t="s">
        <v>1311</v>
      </c>
      <c r="AJ863" s="181">
        <v>1</v>
      </c>
      <c r="AK863" s="181">
        <v>26346</v>
      </c>
      <c r="AL863" s="181"/>
      <c r="AM863" s="181"/>
      <c r="AN863" s="216"/>
      <c r="AO863" s="46">
        <v>46238</v>
      </c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181">
        <f>L863-AD863</f>
        <v>1</v>
      </c>
    </row>
    <row r="864" spans="1:52" ht="15.5" customHeight="1">
      <c r="A864" s="360" t="s">
        <v>372</v>
      </c>
      <c r="B864" s="340">
        <v>46293</v>
      </c>
      <c r="C864" s="181">
        <v>51470</v>
      </c>
      <c r="D864" s="30">
        <v>46293</v>
      </c>
      <c r="E864" s="30">
        <v>46290</v>
      </c>
      <c r="F864" s="30">
        <v>46325</v>
      </c>
      <c r="G864" s="37">
        <v>4420234072</v>
      </c>
      <c r="H864" s="37" t="s">
        <v>373</v>
      </c>
      <c r="I864" s="37">
        <v>9040073265</v>
      </c>
      <c r="J864" s="37" t="s">
        <v>135</v>
      </c>
      <c r="K864" s="325" t="s">
        <v>136</v>
      </c>
      <c r="L864" s="181">
        <v>1</v>
      </c>
      <c r="M864" s="181" t="s">
        <v>375</v>
      </c>
      <c r="N864" s="37" t="s">
        <v>382</v>
      </c>
      <c r="O864" s="31">
        <f>IF(F864&gt;0,F864-AB864,"")</f>
        <v>11</v>
      </c>
      <c r="P864" s="37" t="str">
        <f>IF(F864&gt;0,IF(AB864="","PLANNING SUPPLY",IF(AB864&lt;=F864,"ONTIME DELIVERY","DELAY")),"")</f>
        <v>ONTIME DELIVERY</v>
      </c>
      <c r="Q864" s="181" t="str">
        <f>IFERROR(IF(J864&gt;0,VLOOKUP(J864,#REF!,MATCH($Q$6,#REF!,0),0),""),"")</f>
        <v/>
      </c>
      <c r="R864" s="181" t="str">
        <f>IFERROR(IF(J864&gt;0,VLOOKUP(J864,#REF!,MATCH($R$6,#REF!,0),0),""),"")</f>
        <v/>
      </c>
      <c r="S864" s="181" t="e">
        <f>IF(I867&gt;0,Q864+R864,"")</f>
        <v>#VALUE!</v>
      </c>
      <c r="T864" s="181"/>
      <c r="U864" s="181"/>
      <c r="V864" s="37"/>
      <c r="W864" s="181" t="e">
        <f>IF(I867&gt;0,IF(S864&gt;L864,"READY STOCK",IF(S864=0,"OUT OF STOCK",IF(S864&lt;L864,"LOW STOCK",""))),"")</f>
        <v>#VALUE!</v>
      </c>
      <c r="X864" s="38"/>
      <c r="Y864" s="38"/>
      <c r="Z864" s="38"/>
      <c r="AA864" s="38"/>
      <c r="AB864" s="50">
        <v>46314</v>
      </c>
      <c r="AC864" s="44" t="s">
        <v>1353</v>
      </c>
      <c r="AD864" s="51">
        <v>1</v>
      </c>
      <c r="AE864" s="37" t="s">
        <v>387</v>
      </c>
      <c r="AF864" s="37" t="s">
        <v>381</v>
      </c>
      <c r="AG864" s="33" t="str">
        <f>IF(G864&gt;0,IF(AD864&gt;0,IF(AD864=0,"Waiting",IF(AD864&lt;L864,"Partial",IF(AD864=L864,"Full Supply",IF(AD864&gt;L864,"Over Shared")))),"Waiting"),"")</f>
        <v>Full Supply</v>
      </c>
      <c r="AH864" s="56">
        <v>46294</v>
      </c>
      <c r="AI864" s="37" t="s">
        <v>1311</v>
      </c>
      <c r="AJ864" s="181">
        <v>1</v>
      </c>
      <c r="AK864" s="40">
        <v>26500</v>
      </c>
      <c r="AL864" s="42">
        <v>46295</v>
      </c>
      <c r="AM864" s="181">
        <v>1</v>
      </c>
      <c r="AN864" s="37"/>
      <c r="AO864" s="211">
        <v>46297</v>
      </c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181">
        <f>L864-AD864</f>
        <v>0</v>
      </c>
    </row>
    <row r="865" spans="1:52" ht="15.5" customHeight="1">
      <c r="A865" s="360" t="s">
        <v>372</v>
      </c>
      <c r="B865" s="340">
        <v>46294</v>
      </c>
      <c r="C865" s="181">
        <v>51474</v>
      </c>
      <c r="D865" s="30">
        <v>46294</v>
      </c>
      <c r="E865" s="30">
        <v>46287</v>
      </c>
      <c r="F865" s="30">
        <v>46295</v>
      </c>
      <c r="G865" s="37">
        <v>4420233827</v>
      </c>
      <c r="H865" s="37" t="s">
        <v>373</v>
      </c>
      <c r="I865" s="37">
        <v>9040040636</v>
      </c>
      <c r="J865" s="37" t="s">
        <v>167</v>
      </c>
      <c r="K865" s="325" t="s">
        <v>168</v>
      </c>
      <c r="L865" s="181">
        <v>51</v>
      </c>
      <c r="M865" s="181" t="s">
        <v>375</v>
      </c>
      <c r="N865" s="37" t="s">
        <v>384</v>
      </c>
      <c r="O865" s="31">
        <f>IF(F865&gt;0,F865-AB865,"")</f>
        <v>-1</v>
      </c>
      <c r="P865" s="37" t="str">
        <f>IF(F865&gt;0,IF(AB865="","PLANNING SUPPLY",IF(AB865&lt;=F865,"ONTIME DELIVERY","DELAY")),"")</f>
        <v>DELAY</v>
      </c>
      <c r="Q865" s="181" t="str">
        <f>IFERROR(IF(J865&gt;0,VLOOKUP(J865,#REF!,MATCH($Q$6,#REF!,0),0),""),"")</f>
        <v/>
      </c>
      <c r="R865" s="181" t="str">
        <f>IFERROR(IF(J865&gt;0,VLOOKUP(J865,#REF!,MATCH($R$6,#REF!,0),0),""),"")</f>
        <v/>
      </c>
      <c r="S865" s="181" t="e">
        <f>IF(I868&gt;0,Q865+R865,"")</f>
        <v>#VALUE!</v>
      </c>
      <c r="T865" s="181"/>
      <c r="U865" s="181"/>
      <c r="V865" s="37"/>
      <c r="W865" s="181" t="e">
        <f>IF(I868&gt;0,IF(S865&gt;L865,"READY STOCK",IF(S865=0,"OUT OF STOCK",IF(S865&lt;L865,"LOW STOCK",""))),"")</f>
        <v>#VALUE!</v>
      </c>
      <c r="X865" s="38"/>
      <c r="Y865" s="38"/>
      <c r="Z865" s="38"/>
      <c r="AA865" s="38"/>
      <c r="AB865" s="50">
        <v>46296</v>
      </c>
      <c r="AC865" s="181">
        <v>34672</v>
      </c>
      <c r="AD865" s="51">
        <v>51</v>
      </c>
      <c r="AE865" s="37" t="s">
        <v>387</v>
      </c>
      <c r="AF865" s="37" t="s">
        <v>381</v>
      </c>
      <c r="AG865" s="33" t="str">
        <f>IF(G865&gt;0,IF(AD865&gt;0,IF(AD865=0,"Waiting",IF(AD865&lt;L865,"Partial",IF(AD865=L865,"Full Supply",IF(AD865&gt;L865,"Over Shared")))),"Waiting"),"")</f>
        <v>Full Supply</v>
      </c>
      <c r="AH865" s="37"/>
      <c r="AI865" s="37"/>
      <c r="AJ865" s="181"/>
      <c r="AK865" s="37"/>
      <c r="AL865" s="37"/>
      <c r="AM865" s="181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181">
        <f>L865-AD865</f>
        <v>0</v>
      </c>
    </row>
    <row r="866" spans="1:52" ht="15.5" customHeight="1">
      <c r="A866" s="360" t="s">
        <v>372</v>
      </c>
      <c r="B866" s="340">
        <v>46294</v>
      </c>
      <c r="C866" s="181">
        <v>51475</v>
      </c>
      <c r="D866" s="30">
        <v>46294</v>
      </c>
      <c r="E866" s="30">
        <v>46287</v>
      </c>
      <c r="F866" s="30">
        <v>46295</v>
      </c>
      <c r="G866" s="37">
        <v>4420233831</v>
      </c>
      <c r="H866" s="37" t="s">
        <v>373</v>
      </c>
      <c r="I866" s="37">
        <v>9040040636</v>
      </c>
      <c r="J866" s="37" t="s">
        <v>167</v>
      </c>
      <c r="K866" s="325" t="s">
        <v>168</v>
      </c>
      <c r="L866" s="181">
        <v>1</v>
      </c>
      <c r="M866" s="181" t="s">
        <v>375</v>
      </c>
      <c r="N866" s="37" t="s">
        <v>376</v>
      </c>
      <c r="O866" s="31">
        <f>IF(F866&gt;0,F866-AB866,"")</f>
        <v>-1</v>
      </c>
      <c r="P866" s="37" t="str">
        <f>IF(F866&gt;0,IF(AB866="","PLANNING SUPPLY",IF(AB866&lt;=F866,"ONTIME DELIVERY","DELAY")),"")</f>
        <v>DELAY</v>
      </c>
      <c r="Q866" s="181" t="str">
        <f>IFERROR(IF(J866&gt;0,VLOOKUP(J866,#REF!,MATCH($Q$6,#REF!,0),0),""),"")</f>
        <v/>
      </c>
      <c r="R866" s="181" t="str">
        <f>IFERROR(IF(J866&gt;0,VLOOKUP(J866,#REF!,MATCH($R$6,#REF!,0),0),""),"")</f>
        <v/>
      </c>
      <c r="S866" s="181" t="e">
        <f>IF(I869&gt;0,Q866+R866,"")</f>
        <v>#VALUE!</v>
      </c>
      <c r="T866" s="181"/>
      <c r="U866" s="181"/>
      <c r="V866" s="37"/>
      <c r="W866" s="181" t="e">
        <f>IF(I869&gt;0,IF(S866&gt;L866,"READY STOCK",IF(S866=0,"OUT OF STOCK",IF(S866&lt;L866,"LOW STOCK",""))),"")</f>
        <v>#VALUE!</v>
      </c>
      <c r="X866" s="38"/>
      <c r="Y866" s="38"/>
      <c r="Z866" s="38"/>
      <c r="AA866" s="38"/>
      <c r="AB866" s="50">
        <v>46296</v>
      </c>
      <c r="AC866" s="181">
        <v>34673</v>
      </c>
      <c r="AD866" s="51">
        <v>1</v>
      </c>
      <c r="AE866" s="37" t="s">
        <v>387</v>
      </c>
      <c r="AF866" s="37" t="s">
        <v>381</v>
      </c>
      <c r="AG866" s="33" t="str">
        <f>IF(G866&gt;0,IF(AD866&gt;0,IF(AD866=0,"Waiting",IF(AD866&lt;L866,"Partial",IF(AD866=L866,"Full Supply",IF(AD866&gt;L866,"Over Shared")))),"Waiting"),"")</f>
        <v>Full Supply</v>
      </c>
      <c r="AH866" s="37"/>
      <c r="AI866" s="37"/>
      <c r="AJ866" s="181"/>
      <c r="AK866" s="37"/>
      <c r="AL866" s="37"/>
      <c r="AM866" s="181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181">
        <f>L866-AD866</f>
        <v>0</v>
      </c>
    </row>
    <row r="867" spans="1:52" ht="15.5" customHeight="1">
      <c r="A867" s="360" t="s">
        <v>372</v>
      </c>
      <c r="B867" s="340">
        <v>46294</v>
      </c>
      <c r="C867" s="181">
        <v>51475</v>
      </c>
      <c r="D867" s="30">
        <v>46294</v>
      </c>
      <c r="E867" s="30">
        <v>46287</v>
      </c>
      <c r="F867" s="30">
        <v>46295</v>
      </c>
      <c r="G867" s="37">
        <v>4420233831</v>
      </c>
      <c r="H867" s="37" t="s">
        <v>373</v>
      </c>
      <c r="I867" s="37">
        <v>9040040636</v>
      </c>
      <c r="J867" s="37" t="s">
        <v>167</v>
      </c>
      <c r="K867" s="325" t="s">
        <v>168</v>
      </c>
      <c r="L867" s="181">
        <v>39</v>
      </c>
      <c r="M867" s="181" t="s">
        <v>375</v>
      </c>
      <c r="N867" s="37" t="s">
        <v>376</v>
      </c>
      <c r="O867" s="31">
        <f>IF(F867&gt;0,F867-AB867,"")</f>
        <v>-1</v>
      </c>
      <c r="P867" s="37" t="str">
        <f>IF(F867&gt;0,IF(AB867="","PLANNING SUPPLY",IF(AB867&lt;=F867,"ONTIME DELIVERY","DELAY")),"")</f>
        <v>DELAY</v>
      </c>
      <c r="Q867" s="181" t="str">
        <f>IFERROR(IF(J867&gt;0,VLOOKUP(J867,#REF!,MATCH($Q$6,#REF!,0),0),""),"")</f>
        <v/>
      </c>
      <c r="R867" s="181" t="str">
        <f>IFERROR(IF(J867&gt;0,VLOOKUP(J867,#REF!,MATCH($R$6,#REF!,0),0),""),"")</f>
        <v/>
      </c>
      <c r="S867" s="181" t="e">
        <f>IF(I870&gt;0,Q867+R867,"")</f>
        <v>#VALUE!</v>
      </c>
      <c r="T867" s="181"/>
      <c r="U867" s="181"/>
      <c r="V867" s="37"/>
      <c r="W867" s="181" t="e">
        <f>IF(I870&gt;0,IF(S867&gt;L867,"READY STOCK",IF(S867=0,"OUT OF STOCK",IF(S867&lt;L867,"LOW STOCK",""))),"")</f>
        <v>#VALUE!</v>
      </c>
      <c r="X867" s="38"/>
      <c r="Y867" s="38"/>
      <c r="Z867" s="38"/>
      <c r="AA867" s="38"/>
      <c r="AB867" s="50">
        <v>46296</v>
      </c>
      <c r="AC867" s="181">
        <v>34673</v>
      </c>
      <c r="AD867" s="51">
        <v>39</v>
      </c>
      <c r="AE867" s="37" t="s">
        <v>387</v>
      </c>
      <c r="AF867" s="37" t="s">
        <v>381</v>
      </c>
      <c r="AG867" s="33" t="str">
        <f>IF(G867&gt;0,IF(AD867&gt;0,IF(AD867=0,"Waiting",IF(AD867&lt;L867,"Partial",IF(AD867=L867,"Full Supply",IF(AD867&gt;L867,"Over Shared")))),"Waiting"),"")</f>
        <v>Full Supply</v>
      </c>
      <c r="AH867" s="37"/>
      <c r="AI867" s="37"/>
      <c r="AJ867" s="181"/>
      <c r="AK867" s="37"/>
      <c r="AL867" s="37"/>
      <c r="AM867" s="181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181">
        <f>L867-AD867</f>
        <v>0</v>
      </c>
    </row>
    <row r="868" spans="1:52" ht="15.5" customHeight="1">
      <c r="A868" s="360" t="s">
        <v>372</v>
      </c>
      <c r="B868" s="340">
        <v>46294</v>
      </c>
      <c r="C868" s="181">
        <v>51476</v>
      </c>
      <c r="D868" s="30">
        <v>46294</v>
      </c>
      <c r="E868" s="30">
        <v>46290</v>
      </c>
      <c r="F868" s="30">
        <v>46320</v>
      </c>
      <c r="G868" s="37">
        <v>4420234111</v>
      </c>
      <c r="H868" s="37" t="s">
        <v>373</v>
      </c>
      <c r="I868" s="37">
        <v>9040017720</v>
      </c>
      <c r="J868" s="37" t="s">
        <v>225</v>
      </c>
      <c r="K868" s="325" t="s">
        <v>226</v>
      </c>
      <c r="L868" s="181">
        <v>5</v>
      </c>
      <c r="M868" s="181" t="s">
        <v>389</v>
      </c>
      <c r="N868" s="37" t="s">
        <v>376</v>
      </c>
      <c r="O868" s="31">
        <f>IF(F868&gt;0,F868-AB868,"")</f>
        <v>6</v>
      </c>
      <c r="P868" s="37" t="str">
        <f>IF(F868&gt;0,IF(AB868="","PLANNING SUPPLY",IF(AB868&lt;=F868,"ONTIME DELIVERY","DELAY")),"")</f>
        <v>ONTIME DELIVERY</v>
      </c>
      <c r="Q868" s="181" t="str">
        <f>IFERROR(IF(J868&gt;0,VLOOKUP(J868,#REF!,MATCH($Q$6,#REF!,0),0),""),"")</f>
        <v/>
      </c>
      <c r="R868" s="181" t="str">
        <f>IFERROR(IF(J868&gt;0,VLOOKUP(J868,#REF!,MATCH($R$6,#REF!,0),0),""),"")</f>
        <v/>
      </c>
      <c r="S868" s="181" t="e">
        <f>IF(I871&gt;0,Q868+R868,"")</f>
        <v>#VALUE!</v>
      </c>
      <c r="T868" s="181"/>
      <c r="U868" s="181"/>
      <c r="V868" s="37"/>
      <c r="W868" s="181" t="e">
        <f>IF(I871&gt;0,IF(S868&gt;L868,"READY STOCK",IF(S868=0,"OUT OF STOCK",IF(S868&lt;L868,"LOW STOCK",""))),"")</f>
        <v>#VALUE!</v>
      </c>
      <c r="X868" s="38"/>
      <c r="Y868" s="38"/>
      <c r="Z868" s="38"/>
      <c r="AA868" s="38"/>
      <c r="AB868" s="50">
        <v>46314</v>
      </c>
      <c r="AC868" s="44" t="s">
        <v>1354</v>
      </c>
      <c r="AD868" s="51">
        <v>2</v>
      </c>
      <c r="AE868" s="37" t="s">
        <v>387</v>
      </c>
      <c r="AF868" s="37" t="s">
        <v>381</v>
      </c>
      <c r="AG868" s="33" t="str">
        <f>IF(G868&gt;0,IF(AD868&gt;0,IF(AD868=0,"Waiting",IF(AD868&lt;L868,"Partial",IF(AD868=L868,"Full Supply",IF(AD868&gt;L868,"Over Shared")))),"Waiting"),"")</f>
        <v>Partial</v>
      </c>
      <c r="AH868" s="37"/>
      <c r="AI868" s="37"/>
      <c r="AJ868" s="181"/>
      <c r="AK868" s="37"/>
      <c r="AL868" s="37"/>
      <c r="AM868" s="181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181">
        <f>L868-AD868</f>
        <v>3</v>
      </c>
    </row>
    <row r="869" spans="1:52" ht="15.5" customHeight="1">
      <c r="A869" s="360" t="s">
        <v>372</v>
      </c>
      <c r="B869" s="340">
        <v>46294</v>
      </c>
      <c r="C869" s="181">
        <v>51476</v>
      </c>
      <c r="D869" s="30">
        <v>46294</v>
      </c>
      <c r="E869" s="30">
        <v>46290</v>
      </c>
      <c r="F869" s="30">
        <v>46320</v>
      </c>
      <c r="G869" s="37">
        <v>4420234111</v>
      </c>
      <c r="H869" s="37" t="s">
        <v>373</v>
      </c>
      <c r="I869" s="37">
        <v>9040040891</v>
      </c>
      <c r="J869" s="37" t="s">
        <v>313</v>
      </c>
      <c r="K869" s="325" t="s">
        <v>314</v>
      </c>
      <c r="L869" s="181">
        <v>15</v>
      </c>
      <c r="M869" s="181" t="s">
        <v>375</v>
      </c>
      <c r="N869" s="37" t="s">
        <v>376</v>
      </c>
      <c r="O869" s="31">
        <f>IF(F869&gt;0,F869-AB869,"")</f>
        <v>24</v>
      </c>
      <c r="P869" s="37" t="str">
        <f>IF(F869&gt;0,IF(AB869="","PLANNING SUPPLY",IF(AB869&lt;=F869,"ONTIME DELIVERY","DELAY")),"")</f>
        <v>ONTIME DELIVERY</v>
      </c>
      <c r="Q869" s="181" t="str">
        <f>IFERROR(IF(J869&gt;0,VLOOKUP(J869,#REF!,MATCH($Q$6,#REF!,0),0),""),"")</f>
        <v/>
      </c>
      <c r="R869" s="181" t="str">
        <f>IFERROR(IF(J869&gt;0,VLOOKUP(J869,#REF!,MATCH($R$6,#REF!,0),0),""),"")</f>
        <v/>
      </c>
      <c r="S869" s="181" t="e">
        <f>IF(#REF!&gt;0,Q869+R869,"")</f>
        <v>#REF!</v>
      </c>
      <c r="T869" s="181"/>
      <c r="U869" s="181"/>
      <c r="V869" s="37"/>
      <c r="W869" s="181" t="e">
        <f>IF(#REF!&gt;0,IF(S869&gt;L869,"READY STOCK",IF(S869=0,"OUT OF STOCK",IF(S869&lt;L869,"LOW STOCK",""))),"")</f>
        <v>#REF!</v>
      </c>
      <c r="X869" s="38"/>
      <c r="Y869" s="38"/>
      <c r="Z869" s="38"/>
      <c r="AA869" s="38"/>
      <c r="AB869" s="50">
        <v>46296</v>
      </c>
      <c r="AC869" s="181">
        <v>34675</v>
      </c>
      <c r="AD869" s="51">
        <v>15</v>
      </c>
      <c r="AE869" s="37" t="s">
        <v>387</v>
      </c>
      <c r="AF869" s="37" t="s">
        <v>381</v>
      </c>
      <c r="AG869" s="33" t="str">
        <f>IF(G869&gt;0,IF(AD869&gt;0,IF(AD869=0,"Waiting",IF(AD869&lt;L869,"Partial",IF(AD869=L869,"Full Supply",IF(AD869&gt;L869,"Over Shared")))),"Waiting"),"")</f>
        <v>Full Supply</v>
      </c>
      <c r="AH869" s="37"/>
      <c r="AI869" s="37"/>
      <c r="AJ869" s="181"/>
      <c r="AK869" s="37"/>
      <c r="AL869" s="37"/>
      <c r="AM869" s="181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181">
        <f>L869-AD869</f>
        <v>0</v>
      </c>
    </row>
    <row r="870" spans="1:52" ht="15.5" customHeight="1">
      <c r="A870" s="360" t="s">
        <v>372</v>
      </c>
      <c r="B870" s="340">
        <v>46294</v>
      </c>
      <c r="C870" s="181">
        <v>51476</v>
      </c>
      <c r="D870" s="30">
        <v>46294</v>
      </c>
      <c r="E870" s="30">
        <v>46290</v>
      </c>
      <c r="F870" s="30">
        <v>46320</v>
      </c>
      <c r="G870" s="37">
        <v>4420234111</v>
      </c>
      <c r="H870" s="37" t="s">
        <v>373</v>
      </c>
      <c r="I870" s="230">
        <v>9040042451</v>
      </c>
      <c r="J870" s="37" t="s">
        <v>295</v>
      </c>
      <c r="K870" s="325" t="s">
        <v>296</v>
      </c>
      <c r="L870" s="181">
        <v>20</v>
      </c>
      <c r="M870" s="181" t="s">
        <v>375</v>
      </c>
      <c r="N870" s="37" t="s">
        <v>376</v>
      </c>
      <c r="O870" s="31">
        <f>IF(F870&gt;0,F870-AB870,"")</f>
        <v>13</v>
      </c>
      <c r="P870" s="37" t="str">
        <f>IF(F870&gt;0,IF(AB870="","PLANNING SUPPLY",IF(AB870&lt;=F870,"ONTIME DELIVERY","DELAY")),"")</f>
        <v>ONTIME DELIVERY</v>
      </c>
      <c r="Q870" s="181" t="str">
        <f>IFERROR(IF(J870&gt;0,VLOOKUP(J870,#REF!,MATCH($Q$6,#REF!,0),0),""),"")</f>
        <v/>
      </c>
      <c r="R870" s="181" t="str">
        <f>IFERROR(IF(J870&gt;0,VLOOKUP(J870,#REF!,MATCH($R$6,#REF!,0),0),""),"")</f>
        <v/>
      </c>
      <c r="S870" s="181" t="e">
        <f>IF(I872&gt;0,Q870+R870,"")</f>
        <v>#VALUE!</v>
      </c>
      <c r="T870" s="181"/>
      <c r="U870" s="181"/>
      <c r="V870" s="37"/>
      <c r="W870" s="181" t="e">
        <f>IF(I872&gt;0,IF(S870&gt;L870,"READY STOCK",IF(S870=0,"OUT OF STOCK",IF(S870&lt;L870,"LOW STOCK",""))),"")</f>
        <v>#VALUE!</v>
      </c>
      <c r="X870" s="38"/>
      <c r="Y870" s="38"/>
      <c r="Z870" s="38"/>
      <c r="AA870" s="38"/>
      <c r="AB870" s="50">
        <v>46307</v>
      </c>
      <c r="AC870" s="181">
        <v>34958</v>
      </c>
      <c r="AD870" s="51">
        <v>20</v>
      </c>
      <c r="AE870" s="37" t="s">
        <v>387</v>
      </c>
      <c r="AF870" s="37" t="s">
        <v>381</v>
      </c>
      <c r="AG870" s="33" t="str">
        <f>IF(G870&gt;0,IF(AD870&gt;0,IF(AD870=0,"Waiting",IF(AD870&lt;L870,"Partial",IF(AD870=L870,"Full Supply",IF(AD870&gt;L870,"Over Shared")))),"Waiting"),"")</f>
        <v>Full Supply</v>
      </c>
      <c r="AH870" s="37"/>
      <c r="AI870" s="37"/>
      <c r="AJ870" s="181"/>
      <c r="AK870" s="37"/>
      <c r="AL870" s="37"/>
      <c r="AM870" s="181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181">
        <f>L870-AD870</f>
        <v>0</v>
      </c>
    </row>
    <row r="871" spans="1:52" ht="15.5" customHeight="1">
      <c r="A871" s="360" t="s">
        <v>372</v>
      </c>
      <c r="B871" s="340">
        <v>46294</v>
      </c>
      <c r="C871" s="181">
        <v>51476</v>
      </c>
      <c r="D871" s="30">
        <v>46294</v>
      </c>
      <c r="E871" s="30">
        <v>46290</v>
      </c>
      <c r="F871" s="30">
        <v>46320</v>
      </c>
      <c r="G871" s="37">
        <v>4420234111</v>
      </c>
      <c r="H871" s="37" t="s">
        <v>373</v>
      </c>
      <c r="I871" s="37">
        <v>9040015386</v>
      </c>
      <c r="J871" s="37" t="s">
        <v>122</v>
      </c>
      <c r="K871" s="325" t="s">
        <v>319</v>
      </c>
      <c r="L871" s="181">
        <v>2</v>
      </c>
      <c r="M871" s="181" t="s">
        <v>375</v>
      </c>
      <c r="N871" s="37" t="s">
        <v>376</v>
      </c>
      <c r="O871" s="31">
        <f>IF(F871&gt;0,F871-AB871,"")</f>
        <v>24</v>
      </c>
      <c r="P871" s="37" t="str">
        <f>IF(F871&gt;0,IF(AB871="","PLANNING SUPPLY",IF(AB871&lt;=F871,"ONTIME DELIVERY","DELAY")),"")</f>
        <v>ONTIME DELIVERY</v>
      </c>
      <c r="Q871" s="181" t="str">
        <f>IFERROR(IF(J871&gt;0,VLOOKUP(J871,#REF!,MATCH($Q$6,#REF!,0),0),""),"")</f>
        <v/>
      </c>
      <c r="R871" s="181" t="str">
        <f>IFERROR(IF(J871&gt;0,VLOOKUP(J871,#REF!,MATCH($R$6,#REF!,0),0),""),"")</f>
        <v/>
      </c>
      <c r="S871" s="181" t="e">
        <f>IF(I874&gt;0,Q871+R871,"")</f>
        <v>#VALUE!</v>
      </c>
      <c r="T871" s="181"/>
      <c r="U871" s="181"/>
      <c r="V871" s="37"/>
      <c r="W871" s="181" t="e">
        <f>IF(I874&gt;0,IF(S871&gt;L871,"READY STOCK",IF(S871=0,"OUT OF STOCK",IF(S871&lt;L871,"LOW STOCK",""))),"")</f>
        <v>#VALUE!</v>
      </c>
      <c r="X871" s="38"/>
      <c r="Y871" s="38"/>
      <c r="Z871" s="38"/>
      <c r="AA871" s="38"/>
      <c r="AB871" s="50">
        <v>46296</v>
      </c>
      <c r="AC871" s="181">
        <v>34675</v>
      </c>
      <c r="AD871" s="51">
        <v>2</v>
      </c>
      <c r="AE871" s="37" t="s">
        <v>387</v>
      </c>
      <c r="AF871" s="37" t="s">
        <v>381</v>
      </c>
      <c r="AG871" s="33" t="str">
        <f>IF(G871&gt;0,IF(AD871&gt;0,IF(AD871=0,"Waiting",IF(AD871&lt;L871,"Partial",IF(AD871=L871,"Full Supply",IF(AD871&gt;L871,"Over Shared")))),"Waiting"),"")</f>
        <v>Full Supply</v>
      </c>
      <c r="AH871" s="37"/>
      <c r="AI871" s="37"/>
      <c r="AJ871" s="181"/>
      <c r="AK871" s="37"/>
      <c r="AL871" s="37"/>
      <c r="AM871" s="181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181">
        <f>L871-AD871</f>
        <v>0</v>
      </c>
    </row>
    <row r="872" spans="1:52" ht="15.5" customHeight="1">
      <c r="A872" s="360" t="s">
        <v>372</v>
      </c>
      <c r="B872" s="340">
        <v>46294</v>
      </c>
      <c r="C872" s="181">
        <v>51477</v>
      </c>
      <c r="D872" s="30">
        <v>46294</v>
      </c>
      <c r="E872" s="30">
        <v>46288</v>
      </c>
      <c r="F872" s="30">
        <v>46318</v>
      </c>
      <c r="G872" s="37">
        <v>4420233943</v>
      </c>
      <c r="H872" s="37" t="s">
        <v>373</v>
      </c>
      <c r="I872" s="37">
        <v>9040014955</v>
      </c>
      <c r="J872" s="37" t="s">
        <v>27</v>
      </c>
      <c r="K872" s="325" t="s">
        <v>28</v>
      </c>
      <c r="L872" s="181">
        <v>4</v>
      </c>
      <c r="M872" s="181" t="s">
        <v>375</v>
      </c>
      <c r="N872" s="37" t="s">
        <v>376</v>
      </c>
      <c r="O872" s="31">
        <f>IF(F872&gt;0,F872-AB872,"")</f>
        <v>4</v>
      </c>
      <c r="P872" s="37" t="str">
        <f>IF(F872&gt;0,IF(AB872="","PLANNING SUPPLY",IF(AB872&lt;=F872,"ONTIME DELIVERY","DELAY")),"")</f>
        <v>ONTIME DELIVERY</v>
      </c>
      <c r="Q872" s="181" t="str">
        <f>IFERROR(IF(J872&gt;0,VLOOKUP(J872,#REF!,MATCH($Q$6,#REF!,0),0),""),"")</f>
        <v/>
      </c>
      <c r="R872" s="181" t="str">
        <f>IFERROR(IF(J872&gt;0,VLOOKUP(J872,#REF!,MATCH($R$6,#REF!,0),0),""),"")</f>
        <v/>
      </c>
      <c r="S872" s="181" t="e">
        <f>IF(I875&gt;0,Q872+R872,"")</f>
        <v>#VALUE!</v>
      </c>
      <c r="T872" s="181"/>
      <c r="U872" s="181"/>
      <c r="V872" s="37"/>
      <c r="W872" s="181" t="e">
        <f>IF(I875&gt;0,IF(S872&gt;L872,"READY STOCK",IF(S872=0,"OUT OF STOCK",IF(S872&lt;L872,"LOW STOCK",""))),"")</f>
        <v>#VALUE!</v>
      </c>
      <c r="X872" s="38"/>
      <c r="Y872" s="38"/>
      <c r="Z872" s="38"/>
      <c r="AA872" s="38"/>
      <c r="AB872" s="50">
        <v>46314</v>
      </c>
      <c r="AC872" s="331" t="s">
        <v>1355</v>
      </c>
      <c r="AD872" s="51">
        <v>4</v>
      </c>
      <c r="AE872" s="37" t="s">
        <v>387</v>
      </c>
      <c r="AF872" s="37" t="s">
        <v>381</v>
      </c>
      <c r="AG872" s="33" t="str">
        <f>IF(G872&gt;0,IF(AD872&gt;0,IF(AD872=0,"Waiting",IF(AD872&lt;L872,"Partial",IF(AD872=L872,"Full Supply",IF(AD872&gt;L872,"Over Shared")))),"Waiting"),"")</f>
        <v>Full Supply</v>
      </c>
      <c r="AH872" s="37"/>
      <c r="AI872" s="37"/>
      <c r="AJ872" s="181"/>
      <c r="AK872" s="37"/>
      <c r="AL872" s="37"/>
      <c r="AM872" s="181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181">
        <f>L872-AD872</f>
        <v>0</v>
      </c>
    </row>
    <row r="873" spans="1:52" ht="15.5" customHeight="1">
      <c r="A873" s="360" t="s">
        <v>372</v>
      </c>
      <c r="B873" s="340">
        <v>46294</v>
      </c>
      <c r="C873" s="181">
        <v>51477</v>
      </c>
      <c r="D873" s="30">
        <v>46294</v>
      </c>
      <c r="E873" s="30">
        <v>46288</v>
      </c>
      <c r="F873" s="30">
        <v>46318</v>
      </c>
      <c r="G873" s="37">
        <v>4420233943</v>
      </c>
      <c r="H873" s="37" t="s">
        <v>373</v>
      </c>
      <c r="I873" s="37">
        <v>9040019100</v>
      </c>
      <c r="J873" s="37" t="s">
        <v>317</v>
      </c>
      <c r="K873" s="325" t="s">
        <v>318</v>
      </c>
      <c r="L873" s="181">
        <v>1</v>
      </c>
      <c r="M873" s="181" t="s">
        <v>375</v>
      </c>
      <c r="N873" s="37" t="s">
        <v>376</v>
      </c>
      <c r="O873" s="31">
        <f>IF(F873&gt;0,F873-AB873,"")</f>
        <v>22</v>
      </c>
      <c r="P873" s="37" t="str">
        <f>IF(F873&gt;0,IF(AB873="","PLANNING SUPPLY",IF(AB873&lt;=F873,"ONTIME DELIVERY","DELAY")),"")</f>
        <v>ONTIME DELIVERY</v>
      </c>
      <c r="Q873" s="181" t="str">
        <f>IFERROR(IF(J873&gt;0,VLOOKUP(J873,#REF!,MATCH($Q$6,#REF!,0),0),""),"")</f>
        <v/>
      </c>
      <c r="R873" s="181" t="str">
        <f>IFERROR(IF(J873&gt;0,VLOOKUP(J873,#REF!,MATCH($R$6,#REF!,0),0),""),"")</f>
        <v/>
      </c>
      <c r="S873" s="181" t="e">
        <f>IF(I876&gt;0,Q873+R873,"")</f>
        <v>#VALUE!</v>
      </c>
      <c r="T873" s="181"/>
      <c r="U873" s="181"/>
      <c r="V873" s="37"/>
      <c r="W873" s="181" t="e">
        <f>IF(I876&gt;0,IF(S873&gt;L873,"READY STOCK",IF(S873=0,"OUT OF STOCK",IF(S873&lt;L873,"LOW STOCK",""))),"")</f>
        <v>#VALUE!</v>
      </c>
      <c r="X873" s="38"/>
      <c r="Y873" s="38"/>
      <c r="Z873" s="38"/>
      <c r="AA873" s="38"/>
      <c r="AB873" s="50">
        <v>46296</v>
      </c>
      <c r="AC873" s="181">
        <v>34674</v>
      </c>
      <c r="AD873" s="51">
        <v>1</v>
      </c>
      <c r="AE873" s="37" t="s">
        <v>387</v>
      </c>
      <c r="AF873" s="37" t="s">
        <v>381</v>
      </c>
      <c r="AG873" s="33" t="str">
        <f>IF(G873&gt;0,IF(AD873&gt;0,IF(AD873=0,"Waiting",IF(AD873&lt;L873,"Partial",IF(AD873=L873,"Full Supply",IF(AD873&gt;L873,"Over Shared")))),"Waiting"),"")</f>
        <v>Full Supply</v>
      </c>
      <c r="AH873" s="37"/>
      <c r="AI873" s="37"/>
      <c r="AJ873" s="181"/>
      <c r="AK873" s="37"/>
      <c r="AL873" s="37"/>
      <c r="AM873" s="181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181">
        <f>L873-AD873</f>
        <v>0</v>
      </c>
    </row>
    <row r="874" spans="1:52" ht="15.5" customHeight="1">
      <c r="A874" s="360" t="s">
        <v>372</v>
      </c>
      <c r="B874" s="340">
        <v>46294</v>
      </c>
      <c r="C874" s="181">
        <v>51477</v>
      </c>
      <c r="D874" s="30">
        <v>46294</v>
      </c>
      <c r="E874" s="30">
        <v>46288</v>
      </c>
      <c r="F874" s="30">
        <v>46318</v>
      </c>
      <c r="G874" s="37">
        <v>4420233943</v>
      </c>
      <c r="H874" s="37" t="s">
        <v>373</v>
      </c>
      <c r="I874" s="37">
        <v>9040031134</v>
      </c>
      <c r="J874" s="37" t="s">
        <v>254</v>
      </c>
      <c r="K874" s="325" t="s">
        <v>255</v>
      </c>
      <c r="L874" s="181">
        <v>19</v>
      </c>
      <c r="M874" s="181" t="s">
        <v>375</v>
      </c>
      <c r="N874" s="37" t="s">
        <v>376</v>
      </c>
      <c r="O874" s="31">
        <f>IF(F874&gt;0,F874-AB874,"")</f>
        <v>18</v>
      </c>
      <c r="P874" s="37" t="str">
        <f>IF(F874&gt;0,IF(AB874="","PLANNING SUPPLY",IF(AB874&lt;=F874,"ONTIME DELIVERY","DELAY")),"")</f>
        <v>ONTIME DELIVERY</v>
      </c>
      <c r="Q874" s="181" t="str">
        <f>IFERROR(IF(J874&gt;0,VLOOKUP(J874,#REF!,MATCH($Q$6,#REF!,0),0),""),"")</f>
        <v/>
      </c>
      <c r="R874" s="181" t="str">
        <f>IFERROR(IF(J874&gt;0,VLOOKUP(J874,#REF!,MATCH($R$6,#REF!,0),0),""),"")</f>
        <v/>
      </c>
      <c r="S874" s="181" t="e">
        <f>IF(I877&gt;0,Q874+R874,"")</f>
        <v>#VALUE!</v>
      </c>
      <c r="T874" s="181"/>
      <c r="U874" s="181"/>
      <c r="V874" s="37"/>
      <c r="W874" s="181" t="e">
        <f>IF(I877&gt;0,IF(S874&gt;L874,"READY STOCK",IF(S874=0,"OUT OF STOCK",IF(S874&lt;L874,"LOW STOCK",""))),"")</f>
        <v>#VALUE!</v>
      </c>
      <c r="X874" s="38"/>
      <c r="Y874" s="38"/>
      <c r="Z874" s="38"/>
      <c r="AA874" s="38"/>
      <c r="AB874" s="50">
        <v>46300</v>
      </c>
      <c r="AC874" s="44">
        <v>34741</v>
      </c>
      <c r="AD874" s="51">
        <v>19</v>
      </c>
      <c r="AE874" s="37" t="s">
        <v>387</v>
      </c>
      <c r="AF874" s="37" t="s">
        <v>381</v>
      </c>
      <c r="AG874" s="33" t="str">
        <f>IF(G874&gt;0,IF(AD874&gt;0,IF(AD874=0,"Waiting",IF(AD874&lt;L874,"Partial",IF(AD874=L874,"Full Supply",IF(AD874&gt;L874,"Over Shared")))),"Waiting"),"")</f>
        <v>Full Supply</v>
      </c>
      <c r="AH874" s="37"/>
      <c r="AI874" s="37"/>
      <c r="AJ874" s="181"/>
      <c r="AK874" s="37"/>
      <c r="AL874" s="37"/>
      <c r="AM874" s="181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  <c r="AZ874" s="181">
        <f>L874-AD874</f>
        <v>0</v>
      </c>
    </row>
    <row r="875" spans="1:52" ht="15.5" customHeight="1">
      <c r="A875" s="360" t="s">
        <v>372</v>
      </c>
      <c r="B875" s="340">
        <v>46294</v>
      </c>
      <c r="C875" s="181">
        <v>51477</v>
      </c>
      <c r="D875" s="30">
        <v>46294</v>
      </c>
      <c r="E875" s="30">
        <v>46288</v>
      </c>
      <c r="F875" s="30">
        <v>46318</v>
      </c>
      <c r="G875" s="37">
        <v>4420233943</v>
      </c>
      <c r="H875" s="37" t="s">
        <v>373</v>
      </c>
      <c r="I875" s="37">
        <v>9040040455</v>
      </c>
      <c r="J875" s="37" t="s">
        <v>95</v>
      </c>
      <c r="K875" s="325" t="s">
        <v>97</v>
      </c>
      <c r="L875" s="181">
        <v>3</v>
      </c>
      <c r="M875" s="181" t="s">
        <v>375</v>
      </c>
      <c r="N875" s="37" t="s">
        <v>376</v>
      </c>
      <c r="O875" s="31">
        <f>IF(F875&gt;0,F875-AB875,"")</f>
        <v>4</v>
      </c>
      <c r="P875" s="37" t="str">
        <f>IF(F875&gt;0,IF(AB875="","PLANNING SUPPLY",IF(AB875&lt;=F875,"ONTIME DELIVERY","DELAY")),"")</f>
        <v>ONTIME DELIVERY</v>
      </c>
      <c r="Q875" s="181" t="str">
        <f>IFERROR(IF(J875&gt;0,VLOOKUP(J875,#REF!,MATCH($Q$6,#REF!,0),0),""),"")</f>
        <v/>
      </c>
      <c r="R875" s="181" t="str">
        <f>IFERROR(IF(J875&gt;0,VLOOKUP(J875,#REF!,MATCH($R$6,#REF!,0),0),""),"")</f>
        <v/>
      </c>
      <c r="S875" s="181" t="e">
        <f>IF(I878&gt;0,Q875+R875,"")</f>
        <v>#VALUE!</v>
      </c>
      <c r="T875" s="181"/>
      <c r="U875" s="181"/>
      <c r="V875" s="37"/>
      <c r="W875" s="181" t="e">
        <f>IF(I878&gt;0,IF(S875&gt;L875,"READY STOCK",IF(S875=0,"OUT OF STOCK",IF(S875&lt;L875,"LOW STOCK",""))),"")</f>
        <v>#VALUE!</v>
      </c>
      <c r="X875" s="38"/>
      <c r="Y875" s="38"/>
      <c r="Z875" s="38"/>
      <c r="AA875" s="38"/>
      <c r="AB875" s="50">
        <v>46314</v>
      </c>
      <c r="AC875" s="44" t="s">
        <v>1355</v>
      </c>
      <c r="AD875" s="51">
        <v>3</v>
      </c>
      <c r="AE875" s="37" t="s">
        <v>387</v>
      </c>
      <c r="AF875" s="37" t="s">
        <v>381</v>
      </c>
      <c r="AG875" s="33" t="str">
        <f>IF(G875&gt;0,IF(AD875&gt;0,IF(AD875=0,"Waiting",IF(AD875&lt;L875,"Partial",IF(AD875=L875,"Full Supply",IF(AD875&gt;L875,"Over Shared")))),"Waiting"),"")</f>
        <v>Full Supply</v>
      </c>
      <c r="AH875" s="37"/>
      <c r="AI875" s="37"/>
      <c r="AJ875" s="181"/>
      <c r="AK875" s="37"/>
      <c r="AL875" s="37"/>
      <c r="AM875" s="181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181">
        <f>L875-AD875</f>
        <v>0</v>
      </c>
    </row>
    <row r="876" spans="1:52" ht="15.5" customHeight="1">
      <c r="A876" s="360" t="s">
        <v>372</v>
      </c>
      <c r="B876" s="340">
        <v>46294</v>
      </c>
      <c r="C876" s="181">
        <v>51477</v>
      </c>
      <c r="D876" s="30">
        <v>46294</v>
      </c>
      <c r="E876" s="30">
        <v>46288</v>
      </c>
      <c r="F876" s="30">
        <v>46318</v>
      </c>
      <c r="G876" s="37">
        <v>4420233943</v>
      </c>
      <c r="H876" s="37" t="s">
        <v>373</v>
      </c>
      <c r="I876" s="37">
        <v>9040040588</v>
      </c>
      <c r="J876" s="37" t="s">
        <v>76</v>
      </c>
      <c r="K876" s="325" t="s">
        <v>77</v>
      </c>
      <c r="L876" s="181">
        <v>7</v>
      </c>
      <c r="M876" s="181" t="s">
        <v>375</v>
      </c>
      <c r="N876" s="37" t="s">
        <v>376</v>
      </c>
      <c r="O876" s="31">
        <f>IF(F876&gt;0,F876-AB876,"")</f>
        <v>23</v>
      </c>
      <c r="P876" s="37" t="str">
        <f>IF(F876&gt;0,IF(AB876="","PLANNING SUPPLY",IF(AB876&lt;=F876,"ONTIME DELIVERY","DELAY")),"")</f>
        <v>ONTIME DELIVERY</v>
      </c>
      <c r="Q876" s="181" t="str">
        <f>IFERROR(IF(J876&gt;0,VLOOKUP(J876,#REF!,MATCH($Q$6,#REF!,0),0),""),"")</f>
        <v/>
      </c>
      <c r="R876" s="181" t="str">
        <f>IFERROR(IF(J876&gt;0,VLOOKUP(J876,#REF!,MATCH($R$6,#REF!,0),0),""),"")</f>
        <v/>
      </c>
      <c r="S876" s="181" t="e">
        <f>IF(I879&gt;0,Q876+R876,"")</f>
        <v>#VALUE!</v>
      </c>
      <c r="T876" s="181"/>
      <c r="U876" s="181"/>
      <c r="V876" s="37"/>
      <c r="W876" s="181" t="e">
        <f>IF(I879&gt;0,IF(S876&gt;L876,"READY STOCK",IF(S876=0,"OUT OF STOCK",IF(S876&lt;L876,"LOW STOCK",""))),"")</f>
        <v>#VALUE!</v>
      </c>
      <c r="X876" s="38"/>
      <c r="Y876" s="38"/>
      <c r="Z876" s="38"/>
      <c r="AA876" s="38"/>
      <c r="AB876" s="50">
        <v>46295</v>
      </c>
      <c r="AC876" s="181">
        <v>34656</v>
      </c>
      <c r="AD876" s="51">
        <v>7</v>
      </c>
      <c r="AE876" s="37" t="s">
        <v>387</v>
      </c>
      <c r="AF876" s="37" t="s">
        <v>381</v>
      </c>
      <c r="AG876" s="33" t="str">
        <f>IF(G876&gt;0,IF(AD876&gt;0,IF(AD876=0,"Waiting",IF(AD876&lt;L876,"Partial",IF(AD876=L876,"Full Supply",IF(AD876&gt;L876,"Over Shared")))),"Waiting"),"")</f>
        <v>Full Supply</v>
      </c>
      <c r="AH876" s="37"/>
      <c r="AI876" s="37"/>
      <c r="AJ876" s="181"/>
      <c r="AK876" s="37"/>
      <c r="AL876" s="37"/>
      <c r="AM876" s="181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181">
        <f>L876-AD876</f>
        <v>0</v>
      </c>
    </row>
    <row r="877" spans="1:52" ht="15.5" customHeight="1">
      <c r="A877" s="360" t="s">
        <v>372</v>
      </c>
      <c r="B877" s="340">
        <v>46294</v>
      </c>
      <c r="C877" s="181">
        <v>51477</v>
      </c>
      <c r="D877" s="30">
        <v>46294</v>
      </c>
      <c r="E877" s="30">
        <v>46288</v>
      </c>
      <c r="F877" s="30">
        <v>46318</v>
      </c>
      <c r="G877" s="37">
        <v>4420233943</v>
      </c>
      <c r="H877" s="37" t="s">
        <v>373</v>
      </c>
      <c r="I877" s="37">
        <v>9040040699</v>
      </c>
      <c r="J877" s="37" t="s">
        <v>27</v>
      </c>
      <c r="K877" s="325" t="s">
        <v>28</v>
      </c>
      <c r="L877" s="181">
        <v>3</v>
      </c>
      <c r="M877" s="181" t="s">
        <v>375</v>
      </c>
      <c r="N877" s="37" t="s">
        <v>376</v>
      </c>
      <c r="O877" s="31">
        <f>IF(F877&gt;0,F877-AB877,"")</f>
        <v>4</v>
      </c>
      <c r="P877" s="37" t="str">
        <f>IF(F877&gt;0,IF(AB877="","PLANNING SUPPLY",IF(AB877&lt;=F877,"ONTIME DELIVERY","DELAY")),"")</f>
        <v>ONTIME DELIVERY</v>
      </c>
      <c r="Q877" s="181" t="str">
        <f>IFERROR(IF(J877&gt;0,VLOOKUP(J877,#REF!,MATCH($Q$6,#REF!,0),0),""),"")</f>
        <v/>
      </c>
      <c r="R877" s="181" t="str">
        <f>IFERROR(IF(J877&gt;0,VLOOKUP(J877,#REF!,MATCH($R$6,#REF!,0),0),""),"")</f>
        <v/>
      </c>
      <c r="S877" s="181" t="e">
        <f>IF(I880&gt;0,Q877+R877,"")</f>
        <v>#VALUE!</v>
      </c>
      <c r="T877" s="181"/>
      <c r="U877" s="181"/>
      <c r="V877" s="37"/>
      <c r="W877" s="181" t="e">
        <f>IF(I880&gt;0,IF(S877&gt;L877,"READY STOCK",IF(S877=0,"OUT OF STOCK",IF(S877&lt;L877,"LOW STOCK",""))),"")</f>
        <v>#VALUE!</v>
      </c>
      <c r="X877" s="38"/>
      <c r="Y877" s="38"/>
      <c r="Z877" s="38"/>
      <c r="AA877" s="38"/>
      <c r="AB877" s="50">
        <v>46314</v>
      </c>
      <c r="AC877" s="44" t="s">
        <v>1355</v>
      </c>
      <c r="AD877" s="51">
        <v>3</v>
      </c>
      <c r="AE877" s="37" t="s">
        <v>387</v>
      </c>
      <c r="AF877" s="37" t="s">
        <v>381</v>
      </c>
      <c r="AG877" s="33" t="str">
        <f>IF(G877&gt;0,IF(AD877&gt;0,IF(AD877=0,"Waiting",IF(AD877&lt;L877,"Partial",IF(AD877=L877,"Full Supply",IF(AD877&gt;L877,"Over Shared")))),"Waiting"),"")</f>
        <v>Full Supply</v>
      </c>
      <c r="AH877" s="37"/>
      <c r="AI877" s="37"/>
      <c r="AJ877" s="181"/>
      <c r="AK877" s="37"/>
      <c r="AL877" s="37"/>
      <c r="AM877" s="181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181">
        <f>L877-AD877</f>
        <v>0</v>
      </c>
    </row>
    <row r="878" spans="1:52" ht="15.5" customHeight="1">
      <c r="A878" s="360" t="s">
        <v>372</v>
      </c>
      <c r="B878" s="340">
        <v>46294</v>
      </c>
      <c r="C878" s="181">
        <v>51477</v>
      </c>
      <c r="D878" s="30">
        <v>46294</v>
      </c>
      <c r="E878" s="30">
        <v>46288</v>
      </c>
      <c r="F878" s="30">
        <v>46318</v>
      </c>
      <c r="G878" s="37">
        <v>4420233943</v>
      </c>
      <c r="H878" s="37" t="s">
        <v>373</v>
      </c>
      <c r="I878" s="37">
        <v>9040042451</v>
      </c>
      <c r="J878" s="37" t="s">
        <v>295</v>
      </c>
      <c r="K878" s="325" t="s">
        <v>296</v>
      </c>
      <c r="L878" s="181">
        <v>4</v>
      </c>
      <c r="M878" s="181" t="s">
        <v>375</v>
      </c>
      <c r="N878" s="37" t="s">
        <v>376</v>
      </c>
      <c r="O878" s="31">
        <f>IF(F878&gt;0,F878-AB878,"")</f>
        <v>11</v>
      </c>
      <c r="P878" s="37" t="str">
        <f>IF(F878&gt;0,IF(AB878="","PLANNING SUPPLY",IF(AB878&lt;=F878,"ONTIME DELIVERY","DELAY")),"")</f>
        <v>ONTIME DELIVERY</v>
      </c>
      <c r="Q878" s="181" t="str">
        <f>IFERROR(IF(J878&gt;0,VLOOKUP(J878,#REF!,MATCH($Q$6,#REF!,0),0),""),"")</f>
        <v/>
      </c>
      <c r="R878" s="181" t="str">
        <f>IFERROR(IF(J878&gt;0,VLOOKUP(J878,#REF!,MATCH($R$6,#REF!,0),0),""),"")</f>
        <v/>
      </c>
      <c r="S878" s="181" t="e">
        <f>IF(I881&gt;0,Q878+R878,"")</f>
        <v>#VALUE!</v>
      </c>
      <c r="T878" s="181"/>
      <c r="U878" s="181"/>
      <c r="V878" s="37"/>
      <c r="W878" s="181" t="e">
        <f>IF(I881&gt;0,IF(S878&gt;L878,"READY STOCK",IF(S878=0,"OUT OF STOCK",IF(S878&lt;L878,"LOW STOCK",""))),"")</f>
        <v>#VALUE!</v>
      </c>
      <c r="X878" s="38"/>
      <c r="Y878" s="38"/>
      <c r="Z878" s="38"/>
      <c r="AA878" s="38"/>
      <c r="AB878" s="50">
        <v>46307</v>
      </c>
      <c r="AC878" s="181">
        <v>34959</v>
      </c>
      <c r="AD878" s="51">
        <v>4</v>
      </c>
      <c r="AE878" s="37" t="s">
        <v>387</v>
      </c>
      <c r="AF878" s="37" t="s">
        <v>381</v>
      </c>
      <c r="AG878" s="33" t="str">
        <f>IF(G878&gt;0,IF(AD878&gt;0,IF(AD878=0,"Waiting",IF(AD878&lt;L878,"Partial",IF(AD878=L878,"Full Supply",IF(AD878&gt;L878,"Over Shared")))),"Waiting"),"")</f>
        <v>Full Supply</v>
      </c>
      <c r="AH878" s="37"/>
      <c r="AI878" s="37"/>
      <c r="AJ878" s="181"/>
      <c r="AK878" s="37"/>
      <c r="AL878" s="37"/>
      <c r="AM878" s="181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181">
        <f>L878-AD878</f>
        <v>0</v>
      </c>
    </row>
    <row r="879" spans="1:52" ht="15.5" customHeight="1">
      <c r="A879" s="360" t="s">
        <v>372</v>
      </c>
      <c r="B879" s="340">
        <v>46294</v>
      </c>
      <c r="C879" s="181">
        <v>51477</v>
      </c>
      <c r="D879" s="30">
        <v>46294</v>
      </c>
      <c r="E879" s="30">
        <v>46288</v>
      </c>
      <c r="F879" s="30">
        <v>46318</v>
      </c>
      <c r="G879" s="37">
        <v>4420233943</v>
      </c>
      <c r="H879" s="37" t="s">
        <v>373</v>
      </c>
      <c r="I879" s="37">
        <v>9040044191</v>
      </c>
      <c r="J879" s="37" t="s">
        <v>187</v>
      </c>
      <c r="K879" s="325" t="s">
        <v>188</v>
      </c>
      <c r="L879" s="181">
        <v>22</v>
      </c>
      <c r="M879" s="181" t="s">
        <v>375</v>
      </c>
      <c r="N879" s="37" t="s">
        <v>376</v>
      </c>
      <c r="O879" s="31">
        <f>IF(F879&gt;0,F879-AB879,"")</f>
        <v>14</v>
      </c>
      <c r="P879" s="37" t="str">
        <f>IF(F879&gt;0,IF(AB879="","PLANNING SUPPLY",IF(AB879&lt;=F879,"ONTIME DELIVERY","DELAY")),"")</f>
        <v>ONTIME DELIVERY</v>
      </c>
      <c r="Q879" s="181" t="str">
        <f>IFERROR(IF(J879&gt;0,VLOOKUP(J879,#REF!,MATCH($Q$6,#REF!,0),0),""),"")</f>
        <v/>
      </c>
      <c r="R879" s="181" t="str">
        <f>IFERROR(IF(J879&gt;0,VLOOKUP(J879,#REF!,MATCH($R$6,#REF!,0),0),""),"")</f>
        <v/>
      </c>
      <c r="S879" s="181" t="e">
        <f>IF(I882&gt;0,Q879+R879,"")</f>
        <v>#VALUE!</v>
      </c>
      <c r="T879" s="181"/>
      <c r="U879" s="181"/>
      <c r="V879" s="37"/>
      <c r="W879" s="181" t="e">
        <f>IF(I882&gt;0,IF(S879&gt;L879,"READY STOCK",IF(S879=0,"OUT OF STOCK",IF(S879&lt;L879,"LOW STOCK",""))),"")</f>
        <v>#VALUE!</v>
      </c>
      <c r="X879" s="38"/>
      <c r="Y879" s="38"/>
      <c r="Z879" s="38"/>
      <c r="AA879" s="38"/>
      <c r="AB879" s="57">
        <v>46304</v>
      </c>
      <c r="AC879" s="181">
        <v>34864</v>
      </c>
      <c r="AD879" s="53">
        <v>22</v>
      </c>
      <c r="AE879" s="58" t="s">
        <v>387</v>
      </c>
      <c r="AF879" s="58" t="s">
        <v>381</v>
      </c>
      <c r="AG879" s="33" t="str">
        <f>IF(G879&gt;0,IF(AD879&gt;0,IF(AD879=0,"Waiting",IF(AD879&lt;L879,"Partial",IF(AD879=L879,"Full Supply",IF(AD879&gt;L879,"Over Shared")))),"Waiting"),"")</f>
        <v>Full Supply</v>
      </c>
      <c r="AH879" s="37"/>
      <c r="AI879" s="37"/>
      <c r="AJ879" s="181"/>
      <c r="AK879" s="37"/>
      <c r="AL879" s="37"/>
      <c r="AM879" s="181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181">
        <f>L879-AD879</f>
        <v>0</v>
      </c>
    </row>
    <row r="880" spans="1:52" ht="15.5" customHeight="1">
      <c r="A880" s="360" t="s">
        <v>372</v>
      </c>
      <c r="B880" s="340">
        <v>46294</v>
      </c>
      <c r="C880" s="181">
        <v>51477</v>
      </c>
      <c r="D880" s="30">
        <v>46294</v>
      </c>
      <c r="E880" s="30">
        <v>46288</v>
      </c>
      <c r="F880" s="30">
        <v>46318</v>
      </c>
      <c r="G880" s="37">
        <v>4420233943</v>
      </c>
      <c r="H880" s="37" t="s">
        <v>373</v>
      </c>
      <c r="I880" s="37">
        <v>9040054918</v>
      </c>
      <c r="J880" s="37" t="s">
        <v>308</v>
      </c>
      <c r="K880" s="325" t="s">
        <v>309</v>
      </c>
      <c r="L880" s="181">
        <v>48</v>
      </c>
      <c r="M880" s="181" t="s">
        <v>429</v>
      </c>
      <c r="N880" s="37" t="s">
        <v>376</v>
      </c>
      <c r="O880" s="31">
        <f>IF(F880&gt;0,F880-AB880,"")</f>
        <v>4</v>
      </c>
      <c r="P880" s="37" t="str">
        <f>IF(F880&gt;0,IF(AB880="","PLANNING SUPPLY",IF(AB880&lt;=F880,"ONTIME DELIVERY","DELAY")),"")</f>
        <v>ONTIME DELIVERY</v>
      </c>
      <c r="Q880" s="181" t="str">
        <f>IFERROR(IF(J880&gt;0,VLOOKUP(J880,#REF!,MATCH($Q$6,#REF!,0),0),""),"")</f>
        <v/>
      </c>
      <c r="R880" s="181" t="str">
        <f>IFERROR(IF(J880&gt;0,VLOOKUP(J880,#REF!,MATCH($R$6,#REF!,0),0),""),"")</f>
        <v/>
      </c>
      <c r="S880" s="181" t="e">
        <f>IF(I883&gt;0,Q880+R880,"")</f>
        <v>#VALUE!</v>
      </c>
      <c r="T880" s="181"/>
      <c r="U880" s="181"/>
      <c r="V880" s="37"/>
      <c r="W880" s="181" t="e">
        <f>IF(I883&gt;0,IF(S880&gt;L880,"READY STOCK",IF(S880=0,"OUT OF STOCK",IF(S880&lt;L880,"LOW STOCK",""))),"")</f>
        <v>#VALUE!</v>
      </c>
      <c r="X880" s="38"/>
      <c r="Y880" s="38"/>
      <c r="Z880" s="38"/>
      <c r="AA880" s="38"/>
      <c r="AB880" s="52">
        <v>46314</v>
      </c>
      <c r="AC880" s="181" t="s">
        <v>1356</v>
      </c>
      <c r="AD880" s="234">
        <f>20+20</f>
        <v>40</v>
      </c>
      <c r="AE880" s="58" t="s">
        <v>387</v>
      </c>
      <c r="AF880" s="58" t="s">
        <v>381</v>
      </c>
      <c r="AG880" s="33" t="str">
        <f>IF(G880&gt;0,IF(AD880&gt;0,IF(AD880=0,"Waiting",IF(AD880&lt;L880,"Partial",IF(AD880=L880,"Full Supply",IF(AD880&gt;L880,"Over Shared")))),"Waiting"),"")</f>
        <v>Partial</v>
      </c>
      <c r="AH880" s="37"/>
      <c r="AI880" s="37"/>
      <c r="AJ880" s="181"/>
      <c r="AK880" s="37"/>
      <c r="AL880" s="37"/>
      <c r="AM880" s="181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181">
        <f>L880-AD880</f>
        <v>8</v>
      </c>
    </row>
    <row r="881" spans="1:52" ht="15.5" customHeight="1">
      <c r="A881" s="360" t="s">
        <v>372</v>
      </c>
      <c r="B881" s="340">
        <v>46294</v>
      </c>
      <c r="C881" s="181">
        <v>51477</v>
      </c>
      <c r="D881" s="30">
        <v>46294</v>
      </c>
      <c r="E881" s="30">
        <v>46288</v>
      </c>
      <c r="F881" s="30">
        <v>46318</v>
      </c>
      <c r="G881" s="37">
        <v>4420233943</v>
      </c>
      <c r="H881" s="37" t="s">
        <v>373</v>
      </c>
      <c r="I881" s="37">
        <v>9040054919</v>
      </c>
      <c r="J881" s="37" t="s">
        <v>311</v>
      </c>
      <c r="K881" s="325" t="s">
        <v>312</v>
      </c>
      <c r="L881" s="181">
        <v>11</v>
      </c>
      <c r="M881" s="181" t="s">
        <v>429</v>
      </c>
      <c r="N881" s="37" t="s">
        <v>376</v>
      </c>
      <c r="O881" s="31">
        <f>IF(F881&gt;0,F881-AB881,"")</f>
        <v>46318</v>
      </c>
      <c r="P881" s="37" t="str">
        <f>IF(F881&gt;0,IF(AB881="","PLANNING SUPPLY",IF(AB881&lt;=F881,"ONTIME DELIVERY","DELAY")),"")</f>
        <v>PLANNING SUPPLY</v>
      </c>
      <c r="Q881" s="181" t="str">
        <f>IFERROR(IF(J881&gt;0,VLOOKUP(J881,#REF!,MATCH($Q$6,#REF!,0),0),""),"")</f>
        <v/>
      </c>
      <c r="R881" s="181" t="str">
        <f>IFERROR(IF(J881&gt;0,VLOOKUP(J881,#REF!,MATCH($R$6,#REF!,0),0),""),"")</f>
        <v/>
      </c>
      <c r="S881" s="181" t="e">
        <f>IF(I884&gt;0,Q881+R881,"")</f>
        <v>#VALUE!</v>
      </c>
      <c r="T881" s="181"/>
      <c r="U881" s="181"/>
      <c r="V881" s="37"/>
      <c r="W881" s="181" t="e">
        <f>IF(I884&gt;0,IF(S881&gt;L881,"READY STOCK",IF(S881=0,"OUT OF STOCK",IF(S881&lt;L881,"LOW STOCK",""))),"")</f>
        <v>#VALUE!</v>
      </c>
      <c r="X881" s="38"/>
      <c r="Y881" s="38"/>
      <c r="Z881" s="38"/>
      <c r="AA881" s="38"/>
      <c r="AB881" s="50"/>
      <c r="AC881" s="181"/>
      <c r="AD881" s="51"/>
      <c r="AE881" s="37"/>
      <c r="AF881" s="37"/>
      <c r="AG881" s="33" t="str">
        <f>IF(G881&gt;0,IF(AD881&gt;0,IF(AD881=0,"Waiting",IF(AD881&lt;L881,"Partial",IF(AD881=L881,"Full Supply",IF(AD881&gt;L881,"Over Shared")))),"Waiting"),"")</f>
        <v>Waiting</v>
      </c>
      <c r="AH881" s="56">
        <v>46295</v>
      </c>
      <c r="AI881" s="37" t="s">
        <v>1357</v>
      </c>
      <c r="AJ881" s="181">
        <v>11</v>
      </c>
      <c r="AK881" s="40">
        <v>26494</v>
      </c>
      <c r="AL881" s="42">
        <v>46295</v>
      </c>
      <c r="AM881" s="40">
        <v>40</v>
      </c>
      <c r="AN881" s="37"/>
      <c r="AO881" s="239">
        <v>46299</v>
      </c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181">
        <f>L881-AD881</f>
        <v>11</v>
      </c>
    </row>
    <row r="882" spans="1:52" ht="15.5" customHeight="1">
      <c r="A882" s="360" t="s">
        <v>372</v>
      </c>
      <c r="B882" s="340">
        <v>46294</v>
      </c>
      <c r="C882" s="181">
        <v>51477</v>
      </c>
      <c r="D882" s="30">
        <v>46294</v>
      </c>
      <c r="E882" s="30">
        <v>46288</v>
      </c>
      <c r="F882" s="30">
        <v>46318</v>
      </c>
      <c r="G882" s="37">
        <v>4420233943</v>
      </c>
      <c r="H882" s="37" t="s">
        <v>373</v>
      </c>
      <c r="I882" s="37">
        <v>9040054960</v>
      </c>
      <c r="J882" s="37" t="s">
        <v>306</v>
      </c>
      <c r="K882" s="325" t="s">
        <v>307</v>
      </c>
      <c r="L882" s="181">
        <v>14</v>
      </c>
      <c r="M882" s="181" t="s">
        <v>429</v>
      </c>
      <c r="N882" s="37" t="s">
        <v>376</v>
      </c>
      <c r="O882" s="31">
        <f>IF(F882&gt;0,F882-AB882,"")</f>
        <v>10</v>
      </c>
      <c r="P882" s="37" t="str">
        <f>IF(F882&gt;0,IF(AB882="","PLANNING SUPPLY",IF(AB882&lt;=F882,"ONTIME DELIVERY","DELAY")),"")</f>
        <v>ONTIME DELIVERY</v>
      </c>
      <c r="Q882" s="181" t="str">
        <f>IFERROR(IF(J882&gt;0,VLOOKUP(J882,#REF!,MATCH($Q$6,#REF!,0),0),""),"")</f>
        <v/>
      </c>
      <c r="R882" s="181" t="str">
        <f>IFERROR(IF(J882&gt;0,VLOOKUP(J882,#REF!,MATCH($R$6,#REF!,0),0),""),"")</f>
        <v/>
      </c>
      <c r="S882" s="181" t="e">
        <f>IF(I885&gt;0,Q882+R882,"")</f>
        <v>#VALUE!</v>
      </c>
      <c r="T882" s="181"/>
      <c r="U882" s="181"/>
      <c r="V882" s="37"/>
      <c r="W882" s="181" t="e">
        <f>IF(I885&gt;0,IF(S882&gt;L882,"READY STOCK",IF(S882=0,"OUT OF STOCK",IF(S882&lt;L882,"LOW STOCK",""))),"")</f>
        <v>#VALUE!</v>
      </c>
      <c r="X882" s="38"/>
      <c r="Y882" s="38"/>
      <c r="Z882" s="38"/>
      <c r="AA882" s="38"/>
      <c r="AB882" s="57">
        <v>46308</v>
      </c>
      <c r="AC882" s="246">
        <v>35007</v>
      </c>
      <c r="AD882" s="53">
        <v>1</v>
      </c>
      <c r="AE882" s="58" t="s">
        <v>387</v>
      </c>
      <c r="AF882" s="58" t="s">
        <v>381</v>
      </c>
      <c r="AG882" s="33" t="str">
        <f>IF(G882&gt;0,IF(AD882&gt;0,IF(AD882=0,"Waiting",IF(AD882&lt;L882,"Partial",IF(AD882=L882,"Full Supply",IF(AD882&gt;L882,"Over Shared")))),"Waiting"),"")</f>
        <v>Partial</v>
      </c>
      <c r="AH882" s="37"/>
      <c r="AI882" s="37"/>
      <c r="AJ882" s="181"/>
      <c r="AK882" s="37">
        <v>26523</v>
      </c>
      <c r="AL882" s="37"/>
      <c r="AM882" s="181"/>
      <c r="AN882" s="37" t="s">
        <v>1321</v>
      </c>
      <c r="AO882" s="41">
        <v>46299</v>
      </c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181">
        <f>L882-AD882</f>
        <v>13</v>
      </c>
    </row>
    <row r="883" spans="1:52" ht="15.5" customHeight="1">
      <c r="A883" s="360" t="s">
        <v>372</v>
      </c>
      <c r="B883" s="340">
        <v>46294</v>
      </c>
      <c r="C883" s="181">
        <v>51477</v>
      </c>
      <c r="D883" s="30">
        <v>46294</v>
      </c>
      <c r="E883" s="30">
        <v>46288</v>
      </c>
      <c r="F883" s="30">
        <v>46318</v>
      </c>
      <c r="G883" s="37">
        <v>4420233943</v>
      </c>
      <c r="H883" s="37" t="s">
        <v>373</v>
      </c>
      <c r="I883" s="37">
        <v>9040031134</v>
      </c>
      <c r="J883" s="37" t="s">
        <v>254</v>
      </c>
      <c r="K883" s="325" t="s">
        <v>255</v>
      </c>
      <c r="L883" s="181">
        <v>11</v>
      </c>
      <c r="M883" s="181" t="s">
        <v>375</v>
      </c>
      <c r="N883" s="37" t="s">
        <v>376</v>
      </c>
      <c r="O883" s="31">
        <f>IF(F883&gt;0,F883-AB883,"")</f>
        <v>18</v>
      </c>
      <c r="P883" s="37" t="str">
        <f>IF(F883&gt;0,IF(AB883="","PLANNING SUPPLY",IF(AB883&lt;=F883,"ONTIME DELIVERY","DELAY")),"")</f>
        <v>ONTIME DELIVERY</v>
      </c>
      <c r="Q883" s="181" t="str">
        <f>IFERROR(IF(J883&gt;0,VLOOKUP(J883,#REF!,MATCH($Q$6,#REF!,0),0),""),"")</f>
        <v/>
      </c>
      <c r="R883" s="181" t="str">
        <f>IFERROR(IF(J883&gt;0,VLOOKUP(J883,#REF!,MATCH($R$6,#REF!,0),0),""),"")</f>
        <v/>
      </c>
      <c r="S883" s="181" t="e">
        <f>IF(I886&gt;0,Q883+R883,"")</f>
        <v>#VALUE!</v>
      </c>
      <c r="T883" s="181"/>
      <c r="U883" s="181"/>
      <c r="V883" s="37"/>
      <c r="W883" s="181" t="e">
        <f>IF(I886&gt;0,IF(S883&gt;L883,"READY STOCK",IF(S883=0,"OUT OF STOCK",IF(S883&lt;L883,"LOW STOCK",""))),"")</f>
        <v>#VALUE!</v>
      </c>
      <c r="X883" s="38"/>
      <c r="Y883" s="38"/>
      <c r="Z883" s="38"/>
      <c r="AA883" s="38"/>
      <c r="AB883" s="50">
        <v>46300</v>
      </c>
      <c r="AC883" s="44">
        <v>34741</v>
      </c>
      <c r="AD883" s="51">
        <v>11</v>
      </c>
      <c r="AE883" s="37" t="s">
        <v>387</v>
      </c>
      <c r="AF883" s="37" t="s">
        <v>381</v>
      </c>
      <c r="AG883" s="33" t="str">
        <f>IF(G883&gt;0,IF(AD883&gt;0,IF(AD883=0,"Waiting",IF(AD883&lt;L883,"Partial",IF(AD883=L883,"Full Supply",IF(AD883&gt;L883,"Over Shared")))),"Waiting"),"")</f>
        <v>Full Supply</v>
      </c>
      <c r="AH883" s="37"/>
      <c r="AI883" s="37"/>
      <c r="AJ883" s="181"/>
      <c r="AK883" s="37"/>
      <c r="AL883" s="37"/>
      <c r="AM883" s="181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181">
        <f>L883-AD883</f>
        <v>0</v>
      </c>
    </row>
    <row r="884" spans="1:52" ht="15.5" customHeight="1">
      <c r="A884" s="360" t="s">
        <v>372</v>
      </c>
      <c r="B884" s="340">
        <v>46294</v>
      </c>
      <c r="C884" s="181">
        <v>51477</v>
      </c>
      <c r="D884" s="30">
        <v>46294</v>
      </c>
      <c r="E884" s="30">
        <v>46288</v>
      </c>
      <c r="F884" s="30">
        <v>46318</v>
      </c>
      <c r="G884" s="37">
        <v>4420233943</v>
      </c>
      <c r="H884" s="37" t="s">
        <v>373</v>
      </c>
      <c r="I884" s="37">
        <v>9040041393</v>
      </c>
      <c r="J884" s="37" t="s">
        <v>191</v>
      </c>
      <c r="K884" s="325" t="s">
        <v>192</v>
      </c>
      <c r="L884" s="181">
        <v>17</v>
      </c>
      <c r="M884" s="181" t="s">
        <v>375</v>
      </c>
      <c r="N884" s="37" t="s">
        <v>376</v>
      </c>
      <c r="O884" s="31">
        <f>IF(F884&gt;0,F884-AB884,"")</f>
        <v>2</v>
      </c>
      <c r="P884" s="37" t="str">
        <f>IF(F884&gt;0,IF(AB884="","PLANNING SUPPLY",IF(AB884&lt;=F884,"ONTIME DELIVERY","DELAY")),"")</f>
        <v>ONTIME DELIVERY</v>
      </c>
      <c r="Q884" s="181" t="str">
        <f>IFERROR(IF(J884&gt;0,VLOOKUP(J884,#REF!,MATCH($Q$6,#REF!,0),0),""),"")</f>
        <v/>
      </c>
      <c r="R884" s="181" t="str">
        <f>IFERROR(IF(J884&gt;0,VLOOKUP(J884,#REF!,MATCH($R$6,#REF!,0),0),""),"")</f>
        <v/>
      </c>
      <c r="S884" s="181" t="e">
        <f>IF(I887&gt;0,Q884+R884,"")</f>
        <v>#VALUE!</v>
      </c>
      <c r="T884" s="181"/>
      <c r="U884" s="181"/>
      <c r="V884" s="37"/>
      <c r="W884" s="181" t="e">
        <f>IF(I887&gt;0,IF(S884&gt;L884,"READY STOCK",IF(S884=0,"OUT OF STOCK",IF(S884&lt;L884,"LOW STOCK",""))),"")</f>
        <v>#VALUE!</v>
      </c>
      <c r="X884" s="38"/>
      <c r="Y884" s="38"/>
      <c r="Z884" s="38"/>
      <c r="AA884" s="38"/>
      <c r="AB884" s="50">
        <v>46316</v>
      </c>
      <c r="AC884" s="44" t="s">
        <v>1358</v>
      </c>
      <c r="AD884" s="51">
        <v>17</v>
      </c>
      <c r="AE884" s="37" t="s">
        <v>387</v>
      </c>
      <c r="AF884" s="37" t="s">
        <v>381</v>
      </c>
      <c r="AG884" s="33" t="str">
        <f>IF(G884&gt;0,IF(AD884&gt;0,IF(AD884=0,"Waiting",IF(AD884&lt;L884,"Partial",IF(AD884=L884,"Full Supply",IF(AD884&gt;L884,"Over Shared")))),"Waiting"),"")</f>
        <v>Full Supply</v>
      </c>
      <c r="AH884" s="37"/>
      <c r="AI884" s="37"/>
      <c r="AJ884" s="181"/>
      <c r="AK884" s="37"/>
      <c r="AL884" s="37"/>
      <c r="AM884" s="181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181">
        <f>L884-AD884</f>
        <v>0</v>
      </c>
    </row>
    <row r="885" spans="1:52" ht="15.5" customHeight="1">
      <c r="A885" s="360" t="s">
        <v>372</v>
      </c>
      <c r="B885" s="340">
        <v>46295</v>
      </c>
      <c r="C885" s="181">
        <v>51573</v>
      </c>
      <c r="D885" s="30">
        <v>46295</v>
      </c>
      <c r="E885" s="30">
        <v>46292</v>
      </c>
      <c r="F885" s="30">
        <v>46299</v>
      </c>
      <c r="G885" s="37">
        <v>4420234150</v>
      </c>
      <c r="H885" s="37" t="s">
        <v>373</v>
      </c>
      <c r="I885" s="37">
        <v>9040016343</v>
      </c>
      <c r="J885" s="37" t="s">
        <v>211</v>
      </c>
      <c r="K885" s="325" t="s">
        <v>212</v>
      </c>
      <c r="L885" s="181">
        <v>37</v>
      </c>
      <c r="M885" s="181" t="s">
        <v>429</v>
      </c>
      <c r="N885" s="37" t="s">
        <v>400</v>
      </c>
      <c r="O885" s="31">
        <f>IF(F885&gt;0,F885-AB885,"")</f>
        <v>-15</v>
      </c>
      <c r="P885" s="37" t="str">
        <f>IF(F885&gt;0,IF(AB885="","PLANNING SUPPLY",IF(AB885&lt;=F885,"ONTIME DELIVERY","DELAY")),"")</f>
        <v>DELAY</v>
      </c>
      <c r="Q885" s="181" t="str">
        <f>IFERROR(IF(J885&gt;0,VLOOKUP(J885,#REF!,MATCH($Q$6,#REF!,0),0),""),"")</f>
        <v/>
      </c>
      <c r="R885" s="181" t="str">
        <f>IFERROR(IF(J885&gt;0,VLOOKUP(J885,#REF!,MATCH($R$6,#REF!,0),0),""),"")</f>
        <v/>
      </c>
      <c r="S885" s="181" t="e">
        <f>IF(I888&gt;0,Q885+R885,"")</f>
        <v>#VALUE!</v>
      </c>
      <c r="T885" s="181"/>
      <c r="U885" s="181"/>
      <c r="V885" s="37"/>
      <c r="W885" s="181" t="e">
        <f>IF(I888&gt;0,IF(S885&gt;L885,"READY STOCK",IF(S885=0,"OUT OF STOCK",IF(S885&lt;L885,"LOW STOCK",""))),"")</f>
        <v>#VALUE!</v>
      </c>
      <c r="X885" s="38"/>
      <c r="Y885" s="38"/>
      <c r="Z885" s="38"/>
      <c r="AA885" s="38"/>
      <c r="AB885" s="50">
        <v>46314</v>
      </c>
      <c r="AC885" s="44" t="s">
        <v>1359</v>
      </c>
      <c r="AD885" s="51">
        <v>20</v>
      </c>
      <c r="AE885" s="37" t="s">
        <v>387</v>
      </c>
      <c r="AF885" s="37" t="s">
        <v>381</v>
      </c>
      <c r="AG885" s="33" t="str">
        <f>IF(G885&gt;0,IF(AD885&gt;0,IF(AD885=0,"Waiting",IF(AD885&lt;L885,"Partial",IF(AD885=L885,"Full Supply",IF(AD885&gt;L885,"Over Shared")))),"Waiting"),"")</f>
        <v>Partial</v>
      </c>
      <c r="AH885" s="56">
        <v>46295</v>
      </c>
      <c r="AI885" s="37" t="s">
        <v>1357</v>
      </c>
      <c r="AJ885" s="181">
        <v>37</v>
      </c>
      <c r="AK885" s="181">
        <v>26493</v>
      </c>
      <c r="AL885" s="45">
        <v>46295</v>
      </c>
      <c r="AM885" s="181">
        <v>37</v>
      </c>
      <c r="AN885" s="37"/>
      <c r="AO885" s="239">
        <v>46296</v>
      </c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181">
        <f>L885-AD885</f>
        <v>17</v>
      </c>
    </row>
    <row r="886" spans="1:52" ht="15.5" customHeight="1">
      <c r="A886" s="360" t="s">
        <v>372</v>
      </c>
      <c r="B886" s="340">
        <v>46295</v>
      </c>
      <c r="C886" s="181">
        <v>51573</v>
      </c>
      <c r="D886" s="30">
        <v>46295</v>
      </c>
      <c r="E886" s="30">
        <v>46292</v>
      </c>
      <c r="F886" s="30">
        <v>46299</v>
      </c>
      <c r="G886" s="37">
        <v>4420234150</v>
      </c>
      <c r="H886" s="37" t="s">
        <v>373</v>
      </c>
      <c r="I886" s="37">
        <v>9040040445</v>
      </c>
      <c r="J886" s="37" t="s">
        <v>193</v>
      </c>
      <c r="K886" s="325" t="s">
        <v>194</v>
      </c>
      <c r="L886" s="181">
        <v>18</v>
      </c>
      <c r="M886" s="181" t="s">
        <v>421</v>
      </c>
      <c r="N886" s="37" t="s">
        <v>400</v>
      </c>
      <c r="O886" s="31">
        <f>IF(F886&gt;0,F886-AB886,"")</f>
        <v>-18</v>
      </c>
      <c r="P886" s="37" t="str">
        <f>IF(F886&gt;0,IF(AB886="","PLANNING SUPPLY",IF(AB886&lt;=F886,"ONTIME DELIVERY","DELAY")),"")</f>
        <v>DELAY</v>
      </c>
      <c r="Q886" s="181" t="str">
        <f>IFERROR(IF(J886&gt;0,VLOOKUP(J886,#REF!,MATCH($Q$6,#REF!,0),0),""),"")</f>
        <v/>
      </c>
      <c r="R886" s="181" t="str">
        <f>IFERROR(IF(J886&gt;0,VLOOKUP(J886,#REF!,MATCH($R$6,#REF!,0),0),""),"")</f>
        <v/>
      </c>
      <c r="S886" s="181" t="e">
        <f>IF(I889&gt;0,Q886+R886,"")</f>
        <v>#VALUE!</v>
      </c>
      <c r="T886" s="181"/>
      <c r="U886" s="181"/>
      <c r="V886" s="37"/>
      <c r="W886" s="181" t="e">
        <f>IF(I889&gt;0,IF(S886&gt;L886,"READY STOCK",IF(S886=0,"OUT OF STOCK",IF(S886&lt;L886,"LOW STOCK",""))),"")</f>
        <v>#VALUE!</v>
      </c>
      <c r="X886" s="38"/>
      <c r="Y886" s="38"/>
      <c r="Z886" s="38"/>
      <c r="AA886" s="38"/>
      <c r="AB886" s="50">
        <v>46317</v>
      </c>
      <c r="AC886" s="330" t="s">
        <v>1360</v>
      </c>
      <c r="AD886" s="51">
        <v>3</v>
      </c>
      <c r="AE886" s="37" t="s">
        <v>387</v>
      </c>
      <c r="AF886" s="37" t="s">
        <v>381</v>
      </c>
      <c r="AG886" s="33" t="str">
        <f>IF(G886&gt;0,IF(AD886&gt;0,IF(AD886=0,"Waiting",IF(AD886&lt;L886,"Partial",IF(AD886=L886,"Full Supply",IF(AD886&gt;L886,"Over Shared")))),"Waiting"),"")</f>
        <v>Partial</v>
      </c>
      <c r="AH886" s="37"/>
      <c r="AI886" s="37"/>
      <c r="AJ886" s="181"/>
      <c r="AK886" s="37"/>
      <c r="AL886" s="37"/>
      <c r="AM886" s="181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181">
        <f>L886-AD886</f>
        <v>15</v>
      </c>
    </row>
    <row r="887" spans="1:52" ht="15.5" customHeight="1">
      <c r="A887" s="360" t="s">
        <v>372</v>
      </c>
      <c r="B887" s="340">
        <v>46295</v>
      </c>
      <c r="C887" s="181">
        <v>51573</v>
      </c>
      <c r="D887" s="30">
        <v>46295</v>
      </c>
      <c r="E887" s="30">
        <v>46292</v>
      </c>
      <c r="F887" s="30">
        <v>46299</v>
      </c>
      <c r="G887" s="37">
        <v>4420234150</v>
      </c>
      <c r="H887" s="37" t="s">
        <v>373</v>
      </c>
      <c r="I887" s="37">
        <v>9040040505</v>
      </c>
      <c r="J887" s="37" t="s">
        <v>125</v>
      </c>
      <c r="K887" s="325" t="s">
        <v>126</v>
      </c>
      <c r="L887" s="181">
        <v>6</v>
      </c>
      <c r="M887" s="181" t="s">
        <v>375</v>
      </c>
      <c r="N887" s="37" t="s">
        <v>400</v>
      </c>
      <c r="O887" s="31">
        <f>IF(F887&gt;0,F887-AB887,"")</f>
        <v>-15</v>
      </c>
      <c r="P887" s="37" t="str">
        <f>IF(F887&gt;0,IF(AB887="","PLANNING SUPPLY",IF(AB887&lt;=F887,"ONTIME DELIVERY","DELAY")),"")</f>
        <v>DELAY</v>
      </c>
      <c r="Q887" s="181" t="str">
        <f>IFERROR(IF(J887&gt;0,VLOOKUP(J887,#REF!,MATCH($Q$6,#REF!,0),0),""),"")</f>
        <v/>
      </c>
      <c r="R887" s="181" t="str">
        <f>IFERROR(IF(J887&gt;0,VLOOKUP(J887,#REF!,MATCH($R$6,#REF!,0),0),""),"")</f>
        <v/>
      </c>
      <c r="S887" s="181" t="e">
        <f>IF(I890&gt;0,Q887+R887,"")</f>
        <v>#VALUE!</v>
      </c>
      <c r="T887" s="181"/>
      <c r="U887" s="181"/>
      <c r="V887" s="37"/>
      <c r="W887" s="181" t="e">
        <f>IF(I890&gt;0,IF(S887&gt;L887,"READY STOCK",IF(S887=0,"OUT OF STOCK",IF(S887&lt;L887,"LOW STOCK",""))),"")</f>
        <v>#VALUE!</v>
      </c>
      <c r="X887" s="38"/>
      <c r="Y887" s="38"/>
      <c r="Z887" s="38"/>
      <c r="AA887" s="38"/>
      <c r="AB887" s="50">
        <v>46314</v>
      </c>
      <c r="AC887" s="44" t="s">
        <v>1359</v>
      </c>
      <c r="AD887" s="51">
        <v>6</v>
      </c>
      <c r="AE887" s="37" t="s">
        <v>387</v>
      </c>
      <c r="AF887" s="37" t="s">
        <v>381</v>
      </c>
      <c r="AG887" s="33" t="str">
        <f>IF(G887&gt;0,IF(AD887&gt;0,IF(AD887=0,"Waiting",IF(AD887&lt;L887,"Partial",IF(AD887=L887,"Full Supply",IF(AD887&gt;L887,"Over Shared")))),"Waiting"),"")</f>
        <v>Full Supply</v>
      </c>
      <c r="AH887" s="56">
        <v>46295</v>
      </c>
      <c r="AI887" s="37" t="s">
        <v>1357</v>
      </c>
      <c r="AJ887" s="181">
        <v>6</v>
      </c>
      <c r="AK887" s="40">
        <v>26500</v>
      </c>
      <c r="AL887" s="42">
        <v>46295</v>
      </c>
      <c r="AM887" s="181">
        <v>6</v>
      </c>
      <c r="AN887" s="37"/>
      <c r="AO887" s="211">
        <v>46297</v>
      </c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181">
        <f>L887-AD887</f>
        <v>0</v>
      </c>
    </row>
    <row r="888" spans="1:52" ht="15.5" customHeight="1">
      <c r="A888" s="360" t="s">
        <v>372</v>
      </c>
      <c r="B888" s="340">
        <v>46295</v>
      </c>
      <c r="C888" s="181">
        <v>51573</v>
      </c>
      <c r="D888" s="30">
        <v>46295</v>
      </c>
      <c r="E888" s="30">
        <v>46292</v>
      </c>
      <c r="F888" s="30">
        <v>46299</v>
      </c>
      <c r="G888" s="37">
        <v>4420234150</v>
      </c>
      <c r="H888" s="37" t="s">
        <v>373</v>
      </c>
      <c r="I888" s="37">
        <v>9040016582</v>
      </c>
      <c r="J888" s="37" t="s">
        <v>183</v>
      </c>
      <c r="K888" s="325" t="s">
        <v>184</v>
      </c>
      <c r="L888" s="181">
        <v>24</v>
      </c>
      <c r="M888" s="181" t="s">
        <v>375</v>
      </c>
      <c r="N888" s="37" t="s">
        <v>400</v>
      </c>
      <c r="O888" s="31">
        <f>IF(F888&gt;0,F888-AB888,"")</f>
        <v>3</v>
      </c>
      <c r="P888" s="37" t="str">
        <f>IF(F888&gt;0,IF(AB888="","PLANNING SUPPLY",IF(AB888&lt;=F888,"ONTIME DELIVERY","DELAY")),"")</f>
        <v>ONTIME DELIVERY</v>
      </c>
      <c r="Q888" s="181" t="str">
        <f>IFERROR(IF(J888&gt;0,VLOOKUP(J888,#REF!,MATCH($Q$6,#REF!,0),0),""),"")</f>
        <v/>
      </c>
      <c r="R888" s="181" t="str">
        <f>IFERROR(IF(J888&gt;0,VLOOKUP(J888,#REF!,MATCH($R$6,#REF!,0),0),""),"")</f>
        <v/>
      </c>
      <c r="S888" s="181" t="e">
        <f>IF(I891&gt;0,Q888+R888,"")</f>
        <v>#VALUE!</v>
      </c>
      <c r="T888" s="181"/>
      <c r="U888" s="181"/>
      <c r="V888" s="37"/>
      <c r="W888" s="181" t="e">
        <f>IF(I891&gt;0,IF(S888&gt;L888,"READY STOCK",IF(S888=0,"OUT OF STOCK",IF(S888&lt;L888,"LOW STOCK",""))),"")</f>
        <v>#VALUE!</v>
      </c>
      <c r="X888" s="38"/>
      <c r="Y888" s="38"/>
      <c r="Z888" s="38"/>
      <c r="AA888" s="38"/>
      <c r="AB888" s="50">
        <v>46296</v>
      </c>
      <c r="AC888" s="181">
        <v>34676</v>
      </c>
      <c r="AD888" s="51">
        <v>24</v>
      </c>
      <c r="AE888" s="37" t="s">
        <v>387</v>
      </c>
      <c r="AF888" s="37" t="s">
        <v>381</v>
      </c>
      <c r="AG888" s="33" t="str">
        <f>IF(G888&gt;0,IF(AD888&gt;0,IF(AD888=0,"Waiting",IF(AD888&lt;L888,"Partial",IF(AD888=L888,"Full Supply",IF(AD888&gt;L888,"Over Shared")))),"Waiting"),"")</f>
        <v>Full Supply</v>
      </c>
      <c r="AH888" s="37"/>
      <c r="AI888" s="37"/>
      <c r="AJ888" s="181"/>
      <c r="AK888" s="37"/>
      <c r="AL888" s="37"/>
      <c r="AM888" s="181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181">
        <f>L888-AD888</f>
        <v>0</v>
      </c>
    </row>
    <row r="889" spans="1:52" ht="15.5" customHeight="1">
      <c r="A889" s="360" t="s">
        <v>372</v>
      </c>
      <c r="B889" s="340">
        <v>46295</v>
      </c>
      <c r="C889" s="181">
        <v>51574</v>
      </c>
      <c r="D889" s="30">
        <v>46295</v>
      </c>
      <c r="E889" s="30">
        <v>46293</v>
      </c>
      <c r="F889" s="30">
        <v>46307</v>
      </c>
      <c r="G889" s="37">
        <v>4420234179</v>
      </c>
      <c r="H889" s="37" t="s">
        <v>373</v>
      </c>
      <c r="I889" s="37">
        <v>9040016581</v>
      </c>
      <c r="J889" s="37" t="s">
        <v>185</v>
      </c>
      <c r="K889" s="325" t="s">
        <v>186</v>
      </c>
      <c r="L889" s="181">
        <v>5</v>
      </c>
      <c r="M889" s="181" t="s">
        <v>375</v>
      </c>
      <c r="N889" s="37" t="s">
        <v>410</v>
      </c>
      <c r="O889" s="31">
        <f>IF(F889&gt;0,F889-AB889,"")</f>
        <v>11</v>
      </c>
      <c r="P889" s="37" t="str">
        <f>IF(F889&gt;0,IF(AB889="","PLANNING SUPPLY",IF(AB889&lt;=F889,"ONTIME DELIVERY","DELAY")),"")</f>
        <v>ONTIME DELIVERY</v>
      </c>
      <c r="Q889" s="181" t="str">
        <f>IFERROR(IF(J889&gt;0,VLOOKUP(J889,#REF!,MATCH($Q$6,#REF!,0),0),""),"")</f>
        <v/>
      </c>
      <c r="R889" s="181" t="str">
        <f>IFERROR(IF(J889&gt;0,VLOOKUP(J889,#REF!,MATCH($R$6,#REF!,0),0),""),"")</f>
        <v/>
      </c>
      <c r="S889" s="181" t="e">
        <f>IF(I892&gt;0,Q889+R889,"")</f>
        <v>#VALUE!</v>
      </c>
      <c r="T889" s="181"/>
      <c r="U889" s="181"/>
      <c r="V889" s="37"/>
      <c r="W889" s="181" t="e">
        <f>IF(I892&gt;0,IF(S889&gt;L889,"READY STOCK",IF(S889=0,"OUT OF STOCK",IF(S889&lt;L889,"LOW STOCK",""))),"")</f>
        <v>#VALUE!</v>
      </c>
      <c r="X889" s="38"/>
      <c r="Y889" s="38"/>
      <c r="Z889" s="38"/>
      <c r="AA889" s="38"/>
      <c r="AB889" s="50">
        <v>46296</v>
      </c>
      <c r="AC889" s="181">
        <v>34680</v>
      </c>
      <c r="AD889" s="51">
        <v>5</v>
      </c>
      <c r="AE889" s="37" t="s">
        <v>387</v>
      </c>
      <c r="AF889" s="37" t="s">
        <v>381</v>
      </c>
      <c r="AG889" s="33" t="str">
        <f>IF(G889&gt;0,IF(AD889&gt;0,IF(AD889=0,"Waiting",IF(AD889&lt;L889,"Partial",IF(AD889=L889,"Full Supply",IF(AD889&gt;L889,"Over Shared")))),"Waiting"),"")</f>
        <v>Full Supply</v>
      </c>
      <c r="AH889" s="37"/>
      <c r="AI889" s="37"/>
      <c r="AJ889" s="181"/>
      <c r="AK889" s="37"/>
      <c r="AL889" s="37"/>
      <c r="AM889" s="181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  <c r="AZ889" s="181">
        <f>L889-AD889</f>
        <v>0</v>
      </c>
    </row>
    <row r="890" spans="1:52" ht="15.5" customHeight="1">
      <c r="A890" s="360" t="s">
        <v>372</v>
      </c>
      <c r="B890" s="340">
        <v>46295</v>
      </c>
      <c r="C890" s="181">
        <v>51574</v>
      </c>
      <c r="D890" s="30">
        <v>46295</v>
      </c>
      <c r="E890" s="30">
        <v>46293</v>
      </c>
      <c r="F890" s="30">
        <v>46307</v>
      </c>
      <c r="G890" s="37">
        <v>4420234179</v>
      </c>
      <c r="H890" s="37" t="s">
        <v>373</v>
      </c>
      <c r="I890" s="37">
        <v>9040016582</v>
      </c>
      <c r="J890" s="37" t="s">
        <v>183</v>
      </c>
      <c r="K890" s="325" t="s">
        <v>184</v>
      </c>
      <c r="L890" s="181">
        <v>5</v>
      </c>
      <c r="M890" s="181" t="s">
        <v>375</v>
      </c>
      <c r="N890" s="37" t="s">
        <v>410</v>
      </c>
      <c r="O890" s="31">
        <f>IF(F890&gt;0,F890-AB890,"")</f>
        <v>11</v>
      </c>
      <c r="P890" s="37" t="str">
        <f>IF(F890&gt;0,IF(AB890="","PLANNING SUPPLY",IF(AB890&lt;=F890,"ONTIME DELIVERY","DELAY")),"")</f>
        <v>ONTIME DELIVERY</v>
      </c>
      <c r="Q890" s="181" t="str">
        <f>IFERROR(IF(J890&gt;0,VLOOKUP(J890,#REF!,MATCH($Q$6,#REF!,0),0),""),"")</f>
        <v/>
      </c>
      <c r="R890" s="181" t="str">
        <f>IFERROR(IF(J890&gt;0,VLOOKUP(J890,#REF!,MATCH($R$6,#REF!,0),0),""),"")</f>
        <v/>
      </c>
      <c r="S890" s="181" t="e">
        <f>IF(I893&gt;0,Q890+R890,"")</f>
        <v>#VALUE!</v>
      </c>
      <c r="T890" s="181"/>
      <c r="U890" s="181"/>
      <c r="V890" s="37"/>
      <c r="W890" s="181" t="e">
        <f>IF(I893&gt;0,IF(S890&gt;L890,"READY STOCK",IF(S890=0,"OUT OF STOCK",IF(S890&lt;L890,"LOW STOCK",""))),"")</f>
        <v>#VALUE!</v>
      </c>
      <c r="X890" s="38"/>
      <c r="Y890" s="38"/>
      <c r="Z890" s="38"/>
      <c r="AA890" s="38"/>
      <c r="AB890" s="50">
        <v>46296</v>
      </c>
      <c r="AC890" s="181">
        <v>34680</v>
      </c>
      <c r="AD890" s="51">
        <v>5</v>
      </c>
      <c r="AE890" s="37" t="s">
        <v>387</v>
      </c>
      <c r="AF890" s="37" t="s">
        <v>381</v>
      </c>
      <c r="AG890" s="33" t="str">
        <f>IF(G890&gt;0,IF(AD890&gt;0,IF(AD890=0,"Waiting",IF(AD890&lt;L890,"Partial",IF(AD890=L890,"Full Supply",IF(AD890&gt;L890,"Over Shared")))),"Waiting"),"")</f>
        <v>Full Supply</v>
      </c>
      <c r="AH890" s="37"/>
      <c r="AI890" s="37"/>
      <c r="AJ890" s="181"/>
      <c r="AK890" s="37"/>
      <c r="AL890" s="37"/>
      <c r="AM890" s="181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  <c r="AZ890" s="181">
        <f>L890-AD890</f>
        <v>0</v>
      </c>
    </row>
    <row r="891" spans="1:52" ht="15.5" customHeight="1">
      <c r="A891" s="360" t="s">
        <v>372</v>
      </c>
      <c r="B891" s="340">
        <v>46295</v>
      </c>
      <c r="C891" s="181">
        <v>51574</v>
      </c>
      <c r="D891" s="30">
        <v>46295</v>
      </c>
      <c r="E891" s="30">
        <v>46293</v>
      </c>
      <c r="F891" s="30">
        <v>46307</v>
      </c>
      <c r="G891" s="37">
        <v>4420234179</v>
      </c>
      <c r="H891" s="37" t="s">
        <v>373</v>
      </c>
      <c r="I891" s="37">
        <v>9040021297</v>
      </c>
      <c r="J891" s="37" t="s">
        <v>108</v>
      </c>
      <c r="K891" s="325" t="s">
        <v>109</v>
      </c>
      <c r="L891" s="181">
        <v>5</v>
      </c>
      <c r="M891" s="181" t="s">
        <v>375</v>
      </c>
      <c r="N891" s="37" t="s">
        <v>410</v>
      </c>
      <c r="O891" s="31">
        <f>IF(F891&gt;0,F891-AB891,"")</f>
        <v>0</v>
      </c>
      <c r="P891" s="37" t="str">
        <f>IF(F891&gt;0,IF(AB891="","PLANNING SUPPLY",IF(AB891&lt;=F891,"ONTIME DELIVERY","DELAY")),"")</f>
        <v>ONTIME DELIVERY</v>
      </c>
      <c r="Q891" s="181" t="str">
        <f>IFERROR(IF(J891&gt;0,VLOOKUP(J891,#REF!,MATCH($Q$6,#REF!,0),0),""),"")</f>
        <v/>
      </c>
      <c r="R891" s="181" t="str">
        <f>IFERROR(IF(J891&gt;0,VLOOKUP(J891,#REF!,MATCH($R$6,#REF!,0),0),""),"")</f>
        <v/>
      </c>
      <c r="S891" s="181" t="e">
        <f>IF(I894&gt;0,Q891+R891,"")</f>
        <v>#VALUE!</v>
      </c>
      <c r="T891" s="181"/>
      <c r="U891" s="181"/>
      <c r="V891" s="37"/>
      <c r="W891" s="181" t="e">
        <f>IF(I894&gt;0,IF(S891&gt;L891,"READY STOCK",IF(S891=0,"OUT OF STOCK",IF(S891&lt;L891,"LOW STOCK",""))),"")</f>
        <v>#VALUE!</v>
      </c>
      <c r="X891" s="38"/>
      <c r="Y891" s="38"/>
      <c r="Z891" s="38"/>
      <c r="AA891" s="38"/>
      <c r="AB891" s="50">
        <v>46307</v>
      </c>
      <c r="AC891" s="181">
        <v>34951</v>
      </c>
      <c r="AD891" s="51">
        <v>5</v>
      </c>
      <c r="AE891" s="37" t="s">
        <v>387</v>
      </c>
      <c r="AF891" s="37" t="s">
        <v>381</v>
      </c>
      <c r="AG891" s="33" t="str">
        <f>IF(G891&gt;0,IF(AD891&gt;0,IF(AD891=0,"Waiting",IF(AD891&lt;L891,"Partial",IF(AD891=L891,"Full Supply",IF(AD891&gt;L891,"Over Shared")))),"Waiting"),"")</f>
        <v>Full Supply</v>
      </c>
      <c r="AH891" s="56">
        <v>46295</v>
      </c>
      <c r="AI891" s="37" t="s">
        <v>1357</v>
      </c>
      <c r="AJ891" s="181">
        <v>5</v>
      </c>
      <c r="AK891" s="181">
        <v>26492</v>
      </c>
      <c r="AL891" s="45">
        <v>46295</v>
      </c>
      <c r="AM891" s="181">
        <v>5</v>
      </c>
      <c r="AN891" s="37"/>
      <c r="AO891" s="239">
        <v>46294</v>
      </c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  <c r="AZ891" s="181">
        <f>L891-AD891</f>
        <v>0</v>
      </c>
    </row>
    <row r="892" spans="1:52" ht="15.5" customHeight="1">
      <c r="A892" s="360" t="s">
        <v>372</v>
      </c>
      <c r="B892" s="340">
        <v>46295</v>
      </c>
      <c r="C892" s="181">
        <v>51575</v>
      </c>
      <c r="D892" s="30">
        <v>46295</v>
      </c>
      <c r="E892" s="30">
        <v>46293</v>
      </c>
      <c r="F892" s="30">
        <v>46305</v>
      </c>
      <c r="G892" s="37">
        <v>4420234172</v>
      </c>
      <c r="H892" s="37" t="s">
        <v>373</v>
      </c>
      <c r="I892" s="37">
        <v>9040014955</v>
      </c>
      <c r="J892" s="37" t="s">
        <v>27</v>
      </c>
      <c r="K892" s="325" t="s">
        <v>28</v>
      </c>
      <c r="L892" s="181">
        <v>3</v>
      </c>
      <c r="M892" s="181" t="s">
        <v>375</v>
      </c>
      <c r="N892" s="37" t="s">
        <v>1285</v>
      </c>
      <c r="O892" s="31">
        <f>IF(F892&gt;0,F892-AB892,"")</f>
        <v>-9</v>
      </c>
      <c r="P892" s="37" t="str">
        <f>IF(F892&gt;0,IF(AB892="","PLANNING SUPPLY",IF(AB892&lt;=F892,"ONTIME DELIVERY","DELAY")),"")</f>
        <v>DELAY</v>
      </c>
      <c r="Q892" s="181" t="str">
        <f>IFERROR(IF(J892&gt;0,VLOOKUP(J892,#REF!,MATCH($Q$6,#REF!,0),0),""),"")</f>
        <v/>
      </c>
      <c r="R892" s="181" t="str">
        <f>IFERROR(IF(J892&gt;0,VLOOKUP(J892,#REF!,MATCH($R$6,#REF!,0),0),""),"")</f>
        <v/>
      </c>
      <c r="S892" s="181" t="e">
        <f>IF(I895&gt;0,Q892+R892,"")</f>
        <v>#VALUE!</v>
      </c>
      <c r="T892" s="181"/>
      <c r="U892" s="181"/>
      <c r="V892" s="37"/>
      <c r="W892" s="181" t="e">
        <f>IF(I895&gt;0,IF(S892&gt;L892,"READY STOCK",IF(S892=0,"OUT OF STOCK",IF(S892&lt;L892,"LOW STOCK",""))),"")</f>
        <v>#VALUE!</v>
      </c>
      <c r="X892" s="38"/>
      <c r="Y892" s="38"/>
      <c r="Z892" s="38"/>
      <c r="AA892" s="38"/>
      <c r="AB892" s="50">
        <v>46314</v>
      </c>
      <c r="AC892" s="44" t="s">
        <v>1361</v>
      </c>
      <c r="AD892" s="51">
        <v>3</v>
      </c>
      <c r="AE892" s="37" t="s">
        <v>387</v>
      </c>
      <c r="AF892" s="37" t="s">
        <v>381</v>
      </c>
      <c r="AG892" s="33" t="str">
        <f>IF(G892&gt;0,IF(AD892&gt;0,IF(AD892=0,"Waiting",IF(AD892&lt;L892,"Partial",IF(AD892=L892,"Full Supply",IF(AD892&gt;L892,"Over Shared")))),"Waiting"),"")</f>
        <v>Full Supply</v>
      </c>
      <c r="AH892" s="37"/>
      <c r="AI892" s="37"/>
      <c r="AJ892" s="181"/>
      <c r="AK892" s="37"/>
      <c r="AL892" s="37"/>
      <c r="AM892" s="181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  <c r="AZ892" s="181">
        <f>L892-AD892</f>
        <v>0</v>
      </c>
    </row>
    <row r="893" spans="1:52" ht="15.5" customHeight="1">
      <c r="A893" s="360" t="s">
        <v>372</v>
      </c>
      <c r="B893" s="340">
        <v>46296</v>
      </c>
      <c r="C893" s="181">
        <v>51587</v>
      </c>
      <c r="D893" s="30">
        <v>46295</v>
      </c>
      <c r="E893" s="30">
        <v>46289</v>
      </c>
      <c r="F893" s="30">
        <v>46310</v>
      </c>
      <c r="G893" s="37">
        <v>4420234185</v>
      </c>
      <c r="H893" s="37" t="s">
        <v>373</v>
      </c>
      <c r="I893" s="37">
        <v>9040130311</v>
      </c>
      <c r="J893" s="37" t="s">
        <v>191</v>
      </c>
      <c r="K893" s="325" t="s">
        <v>192</v>
      </c>
      <c r="L893" s="181">
        <v>48</v>
      </c>
      <c r="M893" s="181" t="s">
        <v>375</v>
      </c>
      <c r="N893" s="37" t="s">
        <v>431</v>
      </c>
      <c r="O893" s="31">
        <f>IF(F893&gt;0,F893-AB893,"")</f>
        <v>-4</v>
      </c>
      <c r="P893" s="37" t="str">
        <f>IF(F893&gt;0,IF(AB893="","PLANNING SUPPLY",IF(AB893&lt;=F893,"ONTIME DELIVERY","DELAY")),"")</f>
        <v>DELAY</v>
      </c>
      <c r="Q893" s="181" t="str">
        <f>IFERROR(IF(J893&gt;0,VLOOKUP(J893,#REF!,MATCH($Q$6,#REF!,0),0),""),"")</f>
        <v/>
      </c>
      <c r="R893" s="181" t="str">
        <f>IFERROR(IF(J893&gt;0,VLOOKUP(J893,#REF!,MATCH($R$6,#REF!,0),0),""),"")</f>
        <v/>
      </c>
      <c r="S893" s="181" t="e">
        <f>IF(I896&gt;0,Q893+R893,"")</f>
        <v>#VALUE!</v>
      </c>
      <c r="T893" s="181"/>
      <c r="U893" s="181"/>
      <c r="V893" s="37"/>
      <c r="W893" s="181" t="e">
        <f>IF(I896&gt;0,IF(S893&gt;L893,"READY STOCK",IF(S893=0,"OUT OF STOCK",IF(S893&lt;L893,"LOW STOCK",""))),"")</f>
        <v>#VALUE!</v>
      </c>
      <c r="X893" s="38"/>
      <c r="Y893" s="38"/>
      <c r="Z893" s="38"/>
      <c r="AA893" s="38"/>
      <c r="AB893" s="50">
        <v>46314</v>
      </c>
      <c r="AC893" s="44" t="s">
        <v>1366</v>
      </c>
      <c r="AD893" s="51">
        <v>48</v>
      </c>
      <c r="AE893" s="37" t="s">
        <v>387</v>
      </c>
      <c r="AF893" s="37" t="s">
        <v>381</v>
      </c>
      <c r="AG893" s="33" t="str">
        <f>IF(G893&gt;0,IF(AD893&gt;0,IF(AD893=0,"Waiting",IF(AD893&lt;L893,"Partial",IF(AD893=L893,"Full Supply",IF(AD893&gt;L893,"Over Shared")))),"Waiting"),"")</f>
        <v>Full Supply</v>
      </c>
      <c r="AH893" s="37"/>
      <c r="AI893" s="37"/>
      <c r="AJ893" s="181"/>
      <c r="AK893" s="37"/>
      <c r="AL893" s="37"/>
      <c r="AM893" s="181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  <c r="AZ893" s="181">
        <f>L893-AD893</f>
        <v>0</v>
      </c>
    </row>
    <row r="894" spans="1:52" ht="15.5" customHeight="1">
      <c r="A894" s="360" t="s">
        <v>372</v>
      </c>
      <c r="B894" s="340">
        <v>46296</v>
      </c>
      <c r="C894" s="181">
        <v>51587</v>
      </c>
      <c r="D894" s="30">
        <v>46295</v>
      </c>
      <c r="E894" s="30">
        <v>46289</v>
      </c>
      <c r="F894" s="30">
        <v>46310</v>
      </c>
      <c r="G894" s="37">
        <v>4420234185</v>
      </c>
      <c r="H894" s="37" t="s">
        <v>373</v>
      </c>
      <c r="I894" s="37">
        <v>9040024065</v>
      </c>
      <c r="J894" s="37" t="s">
        <v>270</v>
      </c>
      <c r="K894" s="325" t="s">
        <v>271</v>
      </c>
      <c r="L894" s="181">
        <v>25</v>
      </c>
      <c r="M894" s="181" t="s">
        <v>375</v>
      </c>
      <c r="N894" s="37" t="s">
        <v>431</v>
      </c>
      <c r="O894" s="31">
        <f>IF(F894&gt;0,F894-AB894,"")</f>
        <v>2</v>
      </c>
      <c r="P894" s="37" t="str">
        <f>IF(F894&gt;0,IF(AB894="","PLANNING SUPPLY",IF(AB894&lt;=F894,"ONTIME DELIVERY","DELAY")),"")</f>
        <v>ONTIME DELIVERY</v>
      </c>
      <c r="Q894" s="181" t="str">
        <f>IFERROR(IF(J894&gt;0,VLOOKUP(J894,#REF!,MATCH($Q$6,#REF!,0),0),""),"")</f>
        <v/>
      </c>
      <c r="R894" s="181" t="str">
        <f>IFERROR(IF(J894&gt;0,VLOOKUP(J894,#REF!,MATCH($R$6,#REF!,0),0),""),"")</f>
        <v/>
      </c>
      <c r="S894" s="181" t="e">
        <f>IF(I897&gt;0,Q894+R894,"")</f>
        <v>#VALUE!</v>
      </c>
      <c r="T894" s="181"/>
      <c r="U894" s="181"/>
      <c r="V894" s="37"/>
      <c r="W894" s="181" t="e">
        <f>IF(I897&gt;0,IF(S894&gt;L894,"READY STOCK",IF(S894=0,"OUT OF STOCK",IF(S894&lt;L894,"LOW STOCK",""))),"")</f>
        <v>#VALUE!</v>
      </c>
      <c r="X894" s="38"/>
      <c r="Y894" s="38"/>
      <c r="Z894" s="38"/>
      <c r="AA894" s="38"/>
      <c r="AB894" s="50">
        <v>46308</v>
      </c>
      <c r="AC894" s="246">
        <v>34981</v>
      </c>
      <c r="AD894" s="51">
        <v>25</v>
      </c>
      <c r="AE894" s="37" t="s">
        <v>387</v>
      </c>
      <c r="AF894" s="37" t="s">
        <v>381</v>
      </c>
      <c r="AG894" s="33" t="str">
        <f>IF(G894&gt;0,IF(AD894&gt;0,IF(AD894=0,"Waiting",IF(AD894&lt;L894,"Partial",IF(AD894=L894,"Full Supply",IF(AD894&gt;L894,"Over Shared")))),"Waiting"),"")</f>
        <v>Full Supply</v>
      </c>
      <c r="AH894" s="37"/>
      <c r="AI894" s="37"/>
      <c r="AJ894" s="181"/>
      <c r="AK894" s="37"/>
      <c r="AL894" s="37"/>
      <c r="AM894" s="181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7"/>
      <c r="AY894" s="37"/>
      <c r="AZ894" s="181">
        <f>L894-AD894</f>
        <v>0</v>
      </c>
    </row>
    <row r="895" spans="1:52" ht="15.5" customHeight="1">
      <c r="A895" s="360" t="s">
        <v>372</v>
      </c>
      <c r="B895" s="340">
        <v>46296</v>
      </c>
      <c r="C895" s="181">
        <v>51587</v>
      </c>
      <c r="D895" s="30">
        <v>46295</v>
      </c>
      <c r="E895" s="30">
        <v>46289</v>
      </c>
      <c r="F895" s="30">
        <v>46310</v>
      </c>
      <c r="G895" s="37">
        <v>4420234185</v>
      </c>
      <c r="H895" s="37" t="s">
        <v>373</v>
      </c>
      <c r="I895" s="37">
        <v>9040129167</v>
      </c>
      <c r="J895" s="37" t="s">
        <v>272</v>
      </c>
      <c r="K895" s="325" t="s">
        <v>273</v>
      </c>
      <c r="L895" s="181">
        <v>2</v>
      </c>
      <c r="M895" s="181" t="s">
        <v>375</v>
      </c>
      <c r="N895" s="37" t="s">
        <v>431</v>
      </c>
      <c r="O895" s="31">
        <f>IF(F895&gt;0,F895-AB895,"")</f>
        <v>2</v>
      </c>
      <c r="P895" s="37" t="str">
        <f>IF(F895&gt;0,IF(AB895="","PLANNING SUPPLY",IF(AB895&lt;=F895,"ONTIME DELIVERY","DELAY")),"")</f>
        <v>ONTIME DELIVERY</v>
      </c>
      <c r="Q895" s="181" t="str">
        <f>IFERROR(IF(J895&gt;0,VLOOKUP(J895,#REF!,MATCH($Q$6,#REF!,0),0),""),"")</f>
        <v/>
      </c>
      <c r="R895" s="181" t="str">
        <f>IFERROR(IF(J895&gt;0,VLOOKUP(J895,#REF!,MATCH($R$6,#REF!,0),0),""),"")</f>
        <v/>
      </c>
      <c r="S895" s="181" t="e">
        <f>IF(I898&gt;0,Q895+R895,"")</f>
        <v>#VALUE!</v>
      </c>
      <c r="T895" s="181"/>
      <c r="U895" s="181"/>
      <c r="V895" s="37"/>
      <c r="W895" s="181" t="e">
        <f>IF(I898&gt;0,IF(S895&gt;L895,"READY STOCK",IF(S895=0,"OUT OF STOCK",IF(S895&lt;L895,"LOW STOCK",""))),"")</f>
        <v>#VALUE!</v>
      </c>
      <c r="X895" s="38"/>
      <c r="Y895" s="38"/>
      <c r="Z895" s="38"/>
      <c r="AA895" s="38"/>
      <c r="AB895" s="50">
        <v>46308</v>
      </c>
      <c r="AC895" s="246">
        <v>34981</v>
      </c>
      <c r="AD895" s="51">
        <v>2</v>
      </c>
      <c r="AE895" s="37" t="s">
        <v>387</v>
      </c>
      <c r="AF895" s="37" t="s">
        <v>381</v>
      </c>
      <c r="AG895" s="33" t="str">
        <f>IF(G895&gt;0,IF(AD895&gt;0,IF(AD895=0,"Waiting",IF(AD895&lt;L895,"Partial",IF(AD895=L895,"Full Supply",IF(AD895&gt;L895,"Over Shared")))),"Waiting"),"")</f>
        <v>Full Supply</v>
      </c>
      <c r="AH895" s="37"/>
      <c r="AI895" s="37"/>
      <c r="AJ895" s="181"/>
      <c r="AK895" s="37"/>
      <c r="AL895" s="37"/>
      <c r="AM895" s="181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AX895" s="37"/>
      <c r="AY895" s="37"/>
      <c r="AZ895" s="181">
        <f>L895-AD895</f>
        <v>0</v>
      </c>
    </row>
    <row r="896" spans="1:52" ht="15.5" customHeight="1">
      <c r="A896" s="360" t="s">
        <v>372</v>
      </c>
      <c r="B896" s="340">
        <v>46296</v>
      </c>
      <c r="C896" s="181">
        <v>51587</v>
      </c>
      <c r="D896" s="30">
        <v>46295</v>
      </c>
      <c r="E896" s="30">
        <v>46289</v>
      </c>
      <c r="F896" s="30">
        <v>46310</v>
      </c>
      <c r="G896" s="37">
        <v>4420234185</v>
      </c>
      <c r="H896" s="37" t="s">
        <v>373</v>
      </c>
      <c r="I896" s="37">
        <v>9040130311</v>
      </c>
      <c r="J896" s="37" t="s">
        <v>191</v>
      </c>
      <c r="K896" s="325" t="s">
        <v>192</v>
      </c>
      <c r="L896" s="181">
        <v>120</v>
      </c>
      <c r="M896" s="181" t="s">
        <v>375</v>
      </c>
      <c r="N896" s="37" t="s">
        <v>431</v>
      </c>
      <c r="O896" s="31">
        <f>IF(F896&gt;0,F896-AB896,"")</f>
        <v>-4</v>
      </c>
      <c r="P896" s="37" t="str">
        <f>IF(F896&gt;0,IF(AB896="","PLANNING SUPPLY",IF(AB896&lt;=F896,"ONTIME DELIVERY","DELAY")),"")</f>
        <v>DELAY</v>
      </c>
      <c r="Q896" s="181" t="str">
        <f>IFERROR(IF(J896&gt;0,VLOOKUP(J896,#REF!,MATCH($Q$6,#REF!,0),0),""),"")</f>
        <v/>
      </c>
      <c r="R896" s="181" t="str">
        <f>IFERROR(IF(J896&gt;0,VLOOKUP(J896,#REF!,MATCH($R$6,#REF!,0),0),""),"")</f>
        <v/>
      </c>
      <c r="S896" s="181" t="e">
        <f>IF(I899&gt;0,Q896+R896,"")</f>
        <v>#VALUE!</v>
      </c>
      <c r="T896" s="181"/>
      <c r="U896" s="181"/>
      <c r="V896" s="37"/>
      <c r="W896" s="181" t="e">
        <f>IF(I899&gt;0,IF(S896&gt;L896,"READY STOCK",IF(S896=0,"OUT OF STOCK",IF(S896&lt;L896,"LOW STOCK",""))),"")</f>
        <v>#VALUE!</v>
      </c>
      <c r="X896" s="38"/>
      <c r="Y896" s="38"/>
      <c r="Z896" s="38"/>
      <c r="AA896" s="38"/>
      <c r="AB896" s="50">
        <v>46314</v>
      </c>
      <c r="AC896" s="44" t="s">
        <v>1366</v>
      </c>
      <c r="AD896" s="51">
        <v>120</v>
      </c>
      <c r="AE896" s="37" t="s">
        <v>387</v>
      </c>
      <c r="AF896" s="37" t="s">
        <v>381</v>
      </c>
      <c r="AG896" s="33" t="str">
        <f>IF(G896&gt;0,IF(AD896&gt;0,IF(AD896=0,"Waiting",IF(AD896&lt;L896,"Partial",IF(AD896=L896,"Full Supply",IF(AD896&gt;L896,"Over Shared")))),"Waiting"),"")</f>
        <v>Full Supply</v>
      </c>
      <c r="AH896" s="37"/>
      <c r="AI896" s="37"/>
      <c r="AJ896" s="181"/>
      <c r="AK896" s="37"/>
      <c r="AL896" s="37"/>
      <c r="AM896" s="181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7"/>
      <c r="AY896" s="37"/>
      <c r="AZ896" s="181">
        <f>L896-AD896</f>
        <v>0</v>
      </c>
    </row>
    <row r="897" spans="1:52" ht="15.5" customHeight="1">
      <c r="A897" s="360" t="s">
        <v>372</v>
      </c>
      <c r="B897" s="340">
        <v>46296</v>
      </c>
      <c r="C897" s="181">
        <v>51587</v>
      </c>
      <c r="D897" s="30">
        <v>46295</v>
      </c>
      <c r="E897" s="30">
        <v>46289</v>
      </c>
      <c r="F897" s="30">
        <v>46310</v>
      </c>
      <c r="G897" s="37">
        <v>4420234185</v>
      </c>
      <c r="H897" s="37" t="s">
        <v>373</v>
      </c>
      <c r="I897" s="37">
        <v>9040130309</v>
      </c>
      <c r="J897" s="37" t="s">
        <v>120</v>
      </c>
      <c r="K897" s="325" t="s">
        <v>121</v>
      </c>
      <c r="L897" s="181">
        <v>1</v>
      </c>
      <c r="M897" s="181" t="s">
        <v>375</v>
      </c>
      <c r="N897" s="37" t="s">
        <v>431</v>
      </c>
      <c r="O897" s="31">
        <f>IF(F897&gt;0,F897-AB897,"")</f>
        <v>46310</v>
      </c>
      <c r="P897" s="37" t="str">
        <f>IF(F897&gt;0,IF(AB897="","PLANNING SUPPLY",IF(AB897&lt;=F897,"ONTIME DELIVERY","DELAY")),"")</f>
        <v>PLANNING SUPPLY</v>
      </c>
      <c r="Q897" s="181" t="str">
        <f>IFERROR(IF(J897&gt;0,VLOOKUP(J897,#REF!,MATCH($Q$6,#REF!,0),0),""),"")</f>
        <v/>
      </c>
      <c r="R897" s="181" t="str">
        <f>IFERROR(IF(J897&gt;0,VLOOKUP(J897,#REF!,MATCH($R$6,#REF!,0),0),""),"")</f>
        <v/>
      </c>
      <c r="S897" s="181" t="e">
        <f>IF(I900&gt;0,Q897+R897,"")</f>
        <v>#VALUE!</v>
      </c>
      <c r="T897" s="181"/>
      <c r="U897" s="181"/>
      <c r="V897" s="37"/>
      <c r="W897" s="181" t="e">
        <f>IF(I900&gt;0,IF(S897&gt;L897,"READY STOCK",IF(S897=0,"OUT OF STOCK",IF(S897&lt;L897,"LOW STOCK",""))),"")</f>
        <v>#VALUE!</v>
      </c>
      <c r="X897" s="38"/>
      <c r="Y897" s="38"/>
      <c r="Z897" s="38"/>
      <c r="AA897" s="38"/>
      <c r="AB897" s="50"/>
      <c r="AC897" s="181"/>
      <c r="AD897" s="51"/>
      <c r="AE897" s="37"/>
      <c r="AF897" s="37"/>
      <c r="AG897" s="33" t="str">
        <f>IF(G897&gt;0,IF(AD897&gt;0,IF(AD897=0,"Waiting",IF(AD897&lt;L897,"Partial",IF(AD897=L897,"Full Supply",IF(AD897&gt;L897,"Over Shared")))),"Waiting"),"")</f>
        <v>Waiting</v>
      </c>
      <c r="AH897" s="56">
        <v>46282</v>
      </c>
      <c r="AI897" s="37" t="s">
        <v>1362</v>
      </c>
      <c r="AJ897" s="181">
        <v>20</v>
      </c>
      <c r="AK897" s="181">
        <v>26321</v>
      </c>
      <c r="AL897" s="215">
        <v>46282</v>
      </c>
      <c r="AM897" s="181">
        <v>20</v>
      </c>
      <c r="AN897" s="37"/>
      <c r="AO897" s="232"/>
      <c r="AP897" s="37"/>
      <c r="AQ897" s="37"/>
      <c r="AR897" s="37"/>
      <c r="AS897" s="37"/>
      <c r="AT897" s="37"/>
      <c r="AU897" s="37"/>
      <c r="AV897" s="37"/>
      <c r="AW897" s="37"/>
      <c r="AX897" s="37"/>
      <c r="AY897" s="37"/>
      <c r="AZ897" s="181">
        <f>L897-AD897</f>
        <v>1</v>
      </c>
    </row>
    <row r="898" spans="1:52" ht="15.5" customHeight="1">
      <c r="A898" s="360" t="s">
        <v>372</v>
      </c>
      <c r="B898" s="340">
        <v>46296</v>
      </c>
      <c r="C898" s="181">
        <v>51587</v>
      </c>
      <c r="D898" s="30">
        <v>46295</v>
      </c>
      <c r="E898" s="30">
        <v>46289</v>
      </c>
      <c r="F898" s="30">
        <v>46310</v>
      </c>
      <c r="G898" s="37">
        <v>4420234185</v>
      </c>
      <c r="H898" s="37" t="s">
        <v>373</v>
      </c>
      <c r="I898" s="37">
        <v>9040130310</v>
      </c>
      <c r="J898" s="37" t="s">
        <v>120</v>
      </c>
      <c r="K898" s="325" t="s">
        <v>121</v>
      </c>
      <c r="L898" s="181">
        <v>1</v>
      </c>
      <c r="M898" s="181" t="s">
        <v>375</v>
      </c>
      <c r="N898" s="37" t="s">
        <v>431</v>
      </c>
      <c r="O898" s="31">
        <f>IF(F898&gt;0,F898-AB898,"")</f>
        <v>46310</v>
      </c>
      <c r="P898" s="37" t="str">
        <f>IF(F898&gt;0,IF(AB898="","PLANNING SUPPLY",IF(AB898&lt;=F898,"ONTIME DELIVERY","DELAY")),"")</f>
        <v>PLANNING SUPPLY</v>
      </c>
      <c r="Q898" s="181" t="str">
        <f>IFERROR(IF(J898&gt;0,VLOOKUP(J898,#REF!,MATCH($Q$6,#REF!,0),0),""),"")</f>
        <v/>
      </c>
      <c r="R898" s="181" t="str">
        <f>IFERROR(IF(J898&gt;0,VLOOKUP(J898,#REF!,MATCH($R$6,#REF!,0),0),""),"")</f>
        <v/>
      </c>
      <c r="S898" s="181" t="e">
        <f>IF(I901&gt;0,Q898+R898,"")</f>
        <v>#VALUE!</v>
      </c>
      <c r="T898" s="181"/>
      <c r="U898" s="181"/>
      <c r="V898" s="37"/>
      <c r="W898" s="181" t="e">
        <f>IF(I901&gt;0,IF(S898&gt;L898,"READY STOCK",IF(S898=0,"OUT OF STOCK",IF(S898&lt;L898,"LOW STOCK",""))),"")</f>
        <v>#VALUE!</v>
      </c>
      <c r="X898" s="38"/>
      <c r="Y898" s="38"/>
      <c r="Z898" s="38"/>
      <c r="AA898" s="38"/>
      <c r="AB898" s="50"/>
      <c r="AC898" s="181"/>
      <c r="AD898" s="51"/>
      <c r="AE898" s="37"/>
      <c r="AF898" s="37"/>
      <c r="AG898" s="33" t="str">
        <f>IF(G898&gt;0,IF(AD898&gt;0,IF(AD898=0,"Waiting",IF(AD898&lt;L898,"Partial",IF(AD898=L898,"Full Supply",IF(AD898&gt;L898,"Over Shared")))),"Waiting"),"")</f>
        <v>Waiting</v>
      </c>
      <c r="AH898" s="56">
        <v>46282</v>
      </c>
      <c r="AI898" s="37" t="s">
        <v>1362</v>
      </c>
      <c r="AJ898" s="181">
        <v>20</v>
      </c>
      <c r="AK898" s="181">
        <v>26321</v>
      </c>
      <c r="AL898" s="215">
        <v>46282</v>
      </c>
      <c r="AM898" s="181">
        <v>20</v>
      </c>
      <c r="AN898" s="37"/>
      <c r="AO898" s="232"/>
      <c r="AP898" s="37"/>
      <c r="AQ898" s="37"/>
      <c r="AR898" s="37"/>
      <c r="AS898" s="37"/>
      <c r="AT898" s="37"/>
      <c r="AU898" s="37"/>
      <c r="AV898" s="37"/>
      <c r="AW898" s="37"/>
      <c r="AX898" s="37"/>
      <c r="AY898" s="37"/>
      <c r="AZ898" s="181">
        <f>L898-AD898</f>
        <v>1</v>
      </c>
    </row>
    <row r="899" spans="1:52" ht="15.5" customHeight="1">
      <c r="A899" s="360" t="s">
        <v>372</v>
      </c>
      <c r="B899" s="340">
        <v>46296</v>
      </c>
      <c r="C899" s="181">
        <v>51587</v>
      </c>
      <c r="D899" s="30">
        <v>46295</v>
      </c>
      <c r="E899" s="30">
        <v>46289</v>
      </c>
      <c r="F899" s="30">
        <v>46310</v>
      </c>
      <c r="G899" s="37">
        <v>4420234185</v>
      </c>
      <c r="H899" s="37" t="s">
        <v>373</v>
      </c>
      <c r="I899" s="37">
        <v>9040132595</v>
      </c>
      <c r="J899" s="37" t="s">
        <v>245</v>
      </c>
      <c r="K899" s="325" t="s">
        <v>246</v>
      </c>
      <c r="L899" s="181">
        <v>5</v>
      </c>
      <c r="M899" s="181" t="s">
        <v>375</v>
      </c>
      <c r="N899" s="37" t="s">
        <v>431</v>
      </c>
      <c r="O899" s="31">
        <f>IF(F899&gt;0,F899-AB899,"")</f>
        <v>46310</v>
      </c>
      <c r="P899" s="37" t="str">
        <f>IF(F899&gt;0,IF(AB899="","PLANNING SUPPLY",IF(AB899&lt;=F899,"ONTIME DELIVERY","DELAY")),"")</f>
        <v>PLANNING SUPPLY</v>
      </c>
      <c r="Q899" s="181" t="str">
        <f>IFERROR(IF(J899&gt;0,VLOOKUP(J899,#REF!,MATCH($Q$6,#REF!,0),0),""),"")</f>
        <v/>
      </c>
      <c r="R899" s="181" t="str">
        <f>IFERROR(IF(J899&gt;0,VLOOKUP(J899,#REF!,MATCH($R$6,#REF!,0),0),""),"")</f>
        <v/>
      </c>
      <c r="S899" s="181" t="e">
        <f>IF(I902&gt;0,Q899+R899,"")</f>
        <v>#VALUE!</v>
      </c>
      <c r="T899" s="181"/>
      <c r="U899" s="181"/>
      <c r="V899" s="37"/>
      <c r="W899" s="181" t="e">
        <f>IF(I902&gt;0,IF(S899&gt;L899,"READY STOCK",IF(S899=0,"OUT OF STOCK",IF(S899&lt;L899,"LOW STOCK",""))),"")</f>
        <v>#VALUE!</v>
      </c>
      <c r="X899" s="38"/>
      <c r="Y899" s="38"/>
      <c r="Z899" s="38"/>
      <c r="AA899" s="38"/>
      <c r="AB899" s="50"/>
      <c r="AC899" s="181"/>
      <c r="AD899" s="51"/>
      <c r="AE899" s="37"/>
      <c r="AF899" s="37"/>
      <c r="AG899" s="33" t="str">
        <f>IF(G899&gt;0,IF(AD899&gt;0,IF(AD899=0,"Waiting",IF(AD899&lt;L899,"Partial",IF(AD899=L899,"Full Supply",IF(AD899&gt;L899,"Over Shared")))),"Waiting"),"")</f>
        <v>Waiting</v>
      </c>
      <c r="AH899" s="56">
        <v>46295</v>
      </c>
      <c r="AI899" s="37" t="s">
        <v>1365</v>
      </c>
      <c r="AJ899" s="181">
        <v>4</v>
      </c>
      <c r="AK899" s="181">
        <v>26321</v>
      </c>
      <c r="AL899" s="181"/>
      <c r="AM899" s="181">
        <v>100</v>
      </c>
      <c r="AN899" s="37"/>
      <c r="AO899" s="232"/>
      <c r="AP899" s="37"/>
      <c r="AQ899" s="37"/>
      <c r="AR899" s="37"/>
      <c r="AS899" s="37"/>
      <c r="AT899" s="37"/>
      <c r="AU899" s="37"/>
      <c r="AV899" s="37"/>
      <c r="AW899" s="37"/>
      <c r="AX899" s="37"/>
      <c r="AY899" s="37"/>
      <c r="AZ899" s="181">
        <f>L899-AD899</f>
        <v>5</v>
      </c>
    </row>
    <row r="900" spans="1:52" ht="15.5" customHeight="1">
      <c r="A900" s="360" t="s">
        <v>372</v>
      </c>
      <c r="B900" s="340">
        <v>46295</v>
      </c>
      <c r="C900" s="181">
        <v>51594</v>
      </c>
      <c r="D900" s="30">
        <v>46295</v>
      </c>
      <c r="E900" s="30">
        <v>46293</v>
      </c>
      <c r="F900" s="30">
        <v>46305</v>
      </c>
      <c r="G900" s="37">
        <v>4420234168</v>
      </c>
      <c r="H900" s="37" t="s">
        <v>373</v>
      </c>
      <c r="I900" s="37">
        <v>9040016581</v>
      </c>
      <c r="J900" s="37" t="s">
        <v>185</v>
      </c>
      <c r="K900" s="325" t="s">
        <v>186</v>
      </c>
      <c r="L900" s="181">
        <v>18</v>
      </c>
      <c r="M900" s="181" t="s">
        <v>375</v>
      </c>
      <c r="N900" s="37" t="s">
        <v>434</v>
      </c>
      <c r="O900" s="31">
        <f>IF(F900&gt;0,F900-AB900,"")</f>
        <v>-9</v>
      </c>
      <c r="P900" s="37" t="str">
        <f>IF(F900&gt;0,IF(AB900="","PLANNING SUPPLY",IF(AB900&lt;=F900,"ONTIME DELIVERY","DELAY")),"")</f>
        <v>DELAY</v>
      </c>
      <c r="Q900" s="181" t="str">
        <f>IFERROR(IF(J900&gt;0,VLOOKUP(J900,#REF!,MATCH($Q$6,#REF!,0),0),""),"")</f>
        <v/>
      </c>
      <c r="R900" s="181" t="str">
        <f>IFERROR(IF(J900&gt;0,VLOOKUP(J900,#REF!,MATCH($R$6,#REF!,0),0),""),"")</f>
        <v/>
      </c>
      <c r="S900" s="181" t="e">
        <f>IF(I903&gt;0,Q900+R900,"")</f>
        <v>#VALUE!</v>
      </c>
      <c r="T900" s="181"/>
      <c r="U900" s="181"/>
      <c r="V900" s="37"/>
      <c r="W900" s="181" t="e">
        <f>IF(I903&gt;0,IF(S900&gt;L900,"READY STOCK",IF(S900=0,"OUT OF STOCK",IF(S900&lt;L900,"LOW STOCK",""))),"")</f>
        <v>#VALUE!</v>
      </c>
      <c r="X900" s="38"/>
      <c r="Y900" s="38"/>
      <c r="Z900" s="38"/>
      <c r="AA900" s="38"/>
      <c r="AB900" s="50">
        <v>46314</v>
      </c>
      <c r="AC900" s="44" t="s">
        <v>1367</v>
      </c>
      <c r="AD900" s="51">
        <v>18</v>
      </c>
      <c r="AE900" s="37" t="s">
        <v>387</v>
      </c>
      <c r="AF900" s="37" t="s">
        <v>381</v>
      </c>
      <c r="AG900" s="33" t="str">
        <f>IF(G900&gt;0,IF(AD900&gt;0,IF(AD900=0,"Waiting",IF(AD900&lt;L900,"Partial",IF(AD900=L900,"Full Supply",IF(AD900&gt;L900,"Over Shared")))),"Waiting"),"")</f>
        <v>Full Supply</v>
      </c>
      <c r="AH900" s="37"/>
      <c r="AI900" s="37"/>
      <c r="AJ900" s="181"/>
      <c r="AK900" s="37"/>
      <c r="AL900" s="37"/>
      <c r="AM900" s="181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AX900" s="37"/>
      <c r="AY900" s="37"/>
      <c r="AZ900" s="181">
        <f>L900-AD900</f>
        <v>0</v>
      </c>
    </row>
    <row r="901" spans="1:52" ht="15.5" customHeight="1">
      <c r="A901" s="360" t="s">
        <v>372</v>
      </c>
      <c r="B901" s="340">
        <v>46295</v>
      </c>
      <c r="C901" s="181">
        <v>51594</v>
      </c>
      <c r="D901" s="30">
        <v>46295</v>
      </c>
      <c r="E901" s="30">
        <v>46293</v>
      </c>
      <c r="F901" s="30">
        <v>46305</v>
      </c>
      <c r="G901" s="37">
        <v>4420234168</v>
      </c>
      <c r="H901" s="37" t="s">
        <v>373</v>
      </c>
      <c r="I901" s="37">
        <v>9040040403</v>
      </c>
      <c r="J901" s="37" t="s">
        <v>299</v>
      </c>
      <c r="K901" s="325" t="s">
        <v>300</v>
      </c>
      <c r="L901" s="181">
        <v>6</v>
      </c>
      <c r="M901" s="181" t="s">
        <v>375</v>
      </c>
      <c r="N901" s="37" t="s">
        <v>434</v>
      </c>
      <c r="O901" s="31">
        <f>IF(F901&gt;0,F901-AB901,"")</f>
        <v>5</v>
      </c>
      <c r="P901" s="37" t="str">
        <f>IF(F901&gt;0,IF(AB901="","PLANNING SUPPLY",IF(AB901&lt;=F901,"ONTIME DELIVERY","DELAY")),"")</f>
        <v>ONTIME DELIVERY</v>
      </c>
      <c r="Q901" s="181" t="str">
        <f>IFERROR(IF(J901&gt;0,VLOOKUP(J901,#REF!,MATCH($Q$6,#REF!,0),0),""),"")</f>
        <v/>
      </c>
      <c r="R901" s="181" t="str">
        <f>IFERROR(IF(J901&gt;0,VLOOKUP(J901,#REF!,MATCH($R$6,#REF!,0),0),""),"")</f>
        <v/>
      </c>
      <c r="S901" s="181" t="e">
        <f>IF(I904&gt;0,Q901+R901,"")</f>
        <v>#VALUE!</v>
      </c>
      <c r="T901" s="181"/>
      <c r="U901" s="181"/>
      <c r="V901" s="37"/>
      <c r="W901" s="181" t="e">
        <f>IF(I904&gt;0,IF(S901&gt;L901,"READY STOCK",IF(S901=0,"OUT OF STOCK",IF(S901&lt;L901,"LOW STOCK",""))),"")</f>
        <v>#VALUE!</v>
      </c>
      <c r="X901" s="38"/>
      <c r="Y901" s="38"/>
      <c r="Z901" s="38"/>
      <c r="AA901" s="38"/>
      <c r="AB901" s="50">
        <v>46300</v>
      </c>
      <c r="AC901" s="44">
        <v>34746</v>
      </c>
      <c r="AD901" s="51">
        <v>6</v>
      </c>
      <c r="AE901" s="37" t="s">
        <v>387</v>
      </c>
      <c r="AF901" s="37" t="s">
        <v>381</v>
      </c>
      <c r="AG901" s="33" t="str">
        <f>IF(G901&gt;0,IF(AD901&gt;0,IF(AD901=0,"Waiting",IF(AD901&lt;L901,"Partial",IF(AD901=L901,"Full Supply",IF(AD901&gt;L901,"Over Shared")))),"Waiting"),"")</f>
        <v>Full Supply</v>
      </c>
      <c r="AH901" s="37"/>
      <c r="AI901" s="37"/>
      <c r="AJ901" s="181"/>
      <c r="AK901" s="37"/>
      <c r="AL901" s="37"/>
      <c r="AM901" s="181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AX901" s="37"/>
      <c r="AY901" s="37"/>
      <c r="AZ901" s="181">
        <f>L901-AD901</f>
        <v>0</v>
      </c>
    </row>
    <row r="902" spans="1:52" ht="15.5" customHeight="1">
      <c r="A902" s="360" t="s">
        <v>372</v>
      </c>
      <c r="B902" s="340">
        <v>46295</v>
      </c>
      <c r="C902" s="181">
        <v>51594</v>
      </c>
      <c r="D902" s="30">
        <v>46295</v>
      </c>
      <c r="E902" s="30">
        <v>46293</v>
      </c>
      <c r="F902" s="30">
        <v>46305</v>
      </c>
      <c r="G902" s="37">
        <v>4420234168</v>
      </c>
      <c r="H902" s="37" t="s">
        <v>373</v>
      </c>
      <c r="I902" s="37">
        <v>9040009391</v>
      </c>
      <c r="J902" s="37" t="s">
        <v>293</v>
      </c>
      <c r="K902" s="325" t="s">
        <v>294</v>
      </c>
      <c r="L902" s="181">
        <v>3</v>
      </c>
      <c r="M902" s="181" t="s">
        <v>375</v>
      </c>
      <c r="N902" s="37" t="s">
        <v>434</v>
      </c>
      <c r="O902" s="31">
        <f>IF(F902&gt;0,F902-AB902,"")</f>
        <v>-9</v>
      </c>
      <c r="P902" s="37" t="str">
        <f>IF(F902&gt;0,IF(AB902="","PLANNING SUPPLY",IF(AB902&lt;=F902,"ONTIME DELIVERY","DELAY")),"")</f>
        <v>DELAY</v>
      </c>
      <c r="Q902" s="181" t="str">
        <f>IFERROR(IF(J902&gt;0,VLOOKUP(J902,#REF!,MATCH($Q$6,#REF!,0),0),""),"")</f>
        <v/>
      </c>
      <c r="R902" s="181" t="str">
        <f>IFERROR(IF(J902&gt;0,VLOOKUP(J902,#REF!,MATCH($R$6,#REF!,0),0),""),"")</f>
        <v/>
      </c>
      <c r="S902" s="181" t="e">
        <f>IF(I905&gt;0,Q902+R902,"")</f>
        <v>#VALUE!</v>
      </c>
      <c r="T902" s="181"/>
      <c r="U902" s="181"/>
      <c r="V902" s="37"/>
      <c r="W902" s="181" t="e">
        <f>IF(I905&gt;0,IF(S902&gt;L902,"READY STOCK",IF(S902=0,"OUT OF STOCK",IF(S902&lt;L902,"LOW STOCK",""))),"")</f>
        <v>#VALUE!</v>
      </c>
      <c r="X902" s="38"/>
      <c r="Y902" s="38"/>
      <c r="Z902" s="38"/>
      <c r="AA902" s="38"/>
      <c r="AB902" s="50">
        <v>46314</v>
      </c>
      <c r="AC902" s="44" t="s">
        <v>1367</v>
      </c>
      <c r="AD902" s="51">
        <v>3</v>
      </c>
      <c r="AE902" s="37" t="s">
        <v>387</v>
      </c>
      <c r="AF902" s="37" t="s">
        <v>381</v>
      </c>
      <c r="AG902" s="33" t="str">
        <f>IF(G902&gt;0,IF(AD902&gt;0,IF(AD902=0,"Waiting",IF(AD902&lt;L902,"Partial",IF(AD902=L902,"Full Supply",IF(AD902&gt;L902,"Over Shared")))),"Waiting"),"")</f>
        <v>Full Supply</v>
      </c>
      <c r="AH902" s="37"/>
      <c r="AI902" s="37"/>
      <c r="AJ902" s="181"/>
      <c r="AK902" s="37"/>
      <c r="AL902" s="37"/>
      <c r="AM902" s="181"/>
      <c r="AN902" s="37"/>
      <c r="AO902" s="37"/>
      <c r="AP902" s="37"/>
      <c r="AQ902" s="37"/>
      <c r="AR902" s="37"/>
      <c r="AS902" s="37"/>
      <c r="AT902" s="37"/>
      <c r="AU902" s="37"/>
      <c r="AV902" s="37"/>
      <c r="AW902" s="37"/>
      <c r="AX902" s="37"/>
      <c r="AY902" s="37"/>
      <c r="AZ902" s="181">
        <f>L902-AD902</f>
        <v>0</v>
      </c>
    </row>
    <row r="903" spans="1:52" ht="15.5" customHeight="1">
      <c r="A903" s="360" t="s">
        <v>372</v>
      </c>
      <c r="B903" s="340">
        <v>46295</v>
      </c>
      <c r="C903" s="181">
        <v>51594</v>
      </c>
      <c r="D903" s="30">
        <v>46295</v>
      </c>
      <c r="E903" s="30">
        <v>46293</v>
      </c>
      <c r="F903" s="30">
        <v>46305</v>
      </c>
      <c r="G903" s="37">
        <v>4420234168</v>
      </c>
      <c r="H903" s="37" t="s">
        <v>373</v>
      </c>
      <c r="I903" s="37">
        <v>9040009482</v>
      </c>
      <c r="J903" s="37" t="s">
        <v>233</v>
      </c>
      <c r="K903" s="325" t="s">
        <v>234</v>
      </c>
      <c r="L903" s="181">
        <v>9</v>
      </c>
      <c r="M903" s="181" t="s">
        <v>389</v>
      </c>
      <c r="N903" s="37" t="s">
        <v>434</v>
      </c>
      <c r="O903" s="31">
        <f>IF(F903&gt;0,F903-AB903,"")</f>
        <v>46305</v>
      </c>
      <c r="P903" s="37" t="str">
        <f>IF(F903&gt;0,IF(AB903="","PLANNING SUPPLY",IF(AB903&lt;=F903,"ONTIME DELIVERY","DELAY")),"")</f>
        <v>PLANNING SUPPLY</v>
      </c>
      <c r="Q903" s="181" t="str">
        <f>IFERROR(IF(J903&gt;0,VLOOKUP(J903,#REF!,MATCH($Q$6,#REF!,0),0),""),"")</f>
        <v/>
      </c>
      <c r="R903" s="181" t="str">
        <f>IFERROR(IF(J903&gt;0,VLOOKUP(J903,#REF!,MATCH($R$6,#REF!,0),0),""),"")</f>
        <v/>
      </c>
      <c r="S903" s="181" t="e">
        <f>IF(I906&gt;0,Q903+R903,"")</f>
        <v>#VALUE!</v>
      </c>
      <c r="T903" s="181"/>
      <c r="U903" s="181"/>
      <c r="V903" s="37"/>
      <c r="W903" s="181" t="e">
        <f>IF(I906&gt;0,IF(S903&gt;L903,"READY STOCK",IF(S903=0,"OUT OF STOCK",IF(S903&lt;L903,"LOW STOCK",""))),"")</f>
        <v>#VALUE!</v>
      </c>
      <c r="X903" s="38"/>
      <c r="Y903" s="38"/>
      <c r="Z903" s="38"/>
      <c r="AA903" s="38"/>
      <c r="AB903" s="50"/>
      <c r="AC903" s="181"/>
      <c r="AD903" s="51"/>
      <c r="AE903" s="37"/>
      <c r="AF903" s="37"/>
      <c r="AG903" s="33" t="str">
        <f>IF(G903&gt;0,IF(AD903&gt;0,IF(AD903=0,"Waiting",IF(AD903&lt;L903,"Partial",IF(AD903=L903,"Full Supply",IF(AD903&gt;L903,"Over Shared")))),"Waiting"),"")</f>
        <v>Waiting</v>
      </c>
      <c r="AH903" s="37"/>
      <c r="AI903" s="37"/>
      <c r="AJ903" s="181"/>
      <c r="AK903" s="37"/>
      <c r="AL903" s="37"/>
      <c r="AM903" s="181"/>
      <c r="AN903" s="37"/>
      <c r="AO903" s="37"/>
      <c r="AP903" s="37"/>
      <c r="AQ903" s="37"/>
      <c r="AR903" s="37"/>
      <c r="AS903" s="37"/>
      <c r="AT903" s="37"/>
      <c r="AU903" s="37"/>
      <c r="AV903" s="37"/>
      <c r="AW903" s="37"/>
      <c r="AX903" s="37"/>
      <c r="AY903" s="37"/>
      <c r="AZ903" s="181">
        <f>L903-AD903</f>
        <v>9</v>
      </c>
    </row>
    <row r="904" spans="1:52" ht="15.5" customHeight="1">
      <c r="A904" s="360" t="s">
        <v>372</v>
      </c>
      <c r="B904" s="340">
        <v>46295</v>
      </c>
      <c r="C904" s="181">
        <v>51594</v>
      </c>
      <c r="D904" s="30">
        <v>46295</v>
      </c>
      <c r="E904" s="30">
        <v>46293</v>
      </c>
      <c r="F904" s="30">
        <v>46305</v>
      </c>
      <c r="G904" s="37">
        <v>4420234168</v>
      </c>
      <c r="H904" s="37" t="s">
        <v>373</v>
      </c>
      <c r="I904" s="37">
        <v>9040044154</v>
      </c>
      <c r="J904" s="37" t="s">
        <v>301</v>
      </c>
      <c r="K904" s="325" t="s">
        <v>302</v>
      </c>
      <c r="L904" s="181">
        <v>2</v>
      </c>
      <c r="M904" s="181" t="s">
        <v>375</v>
      </c>
      <c r="N904" s="37" t="s">
        <v>434</v>
      </c>
      <c r="O904" s="31">
        <f>IF(F904&gt;0,F904-AB904,"")</f>
        <v>-9</v>
      </c>
      <c r="P904" s="37" t="str">
        <f>IF(F904&gt;0,IF(AB904="","PLANNING SUPPLY",IF(AB904&lt;=F904,"ONTIME DELIVERY","DELAY")),"")</f>
        <v>DELAY</v>
      </c>
      <c r="Q904" s="181" t="str">
        <f>IFERROR(IF(J904&gt;0,VLOOKUP(J904,#REF!,MATCH($Q$6,#REF!,0),0),""),"")</f>
        <v/>
      </c>
      <c r="R904" s="181" t="str">
        <f>IFERROR(IF(J904&gt;0,VLOOKUP(J904,#REF!,MATCH($R$6,#REF!,0),0),""),"")</f>
        <v/>
      </c>
      <c r="S904" s="181" t="e">
        <f>IF(I907&gt;0,Q904+R904,"")</f>
        <v>#VALUE!</v>
      </c>
      <c r="T904" s="181"/>
      <c r="U904" s="181"/>
      <c r="V904" s="37"/>
      <c r="W904" s="181" t="e">
        <f>IF(I907&gt;0,IF(S904&gt;L904,"READY STOCK",IF(S904=0,"OUT OF STOCK",IF(S904&lt;L904,"LOW STOCK",""))),"")</f>
        <v>#VALUE!</v>
      </c>
      <c r="X904" s="38"/>
      <c r="Y904" s="38"/>
      <c r="Z904" s="38"/>
      <c r="AA904" s="38"/>
      <c r="AB904" s="50">
        <v>46314</v>
      </c>
      <c r="AC904" s="44" t="s">
        <v>1367</v>
      </c>
      <c r="AD904" s="51">
        <v>2</v>
      </c>
      <c r="AE904" s="37" t="s">
        <v>387</v>
      </c>
      <c r="AF904" s="37" t="s">
        <v>381</v>
      </c>
      <c r="AG904" s="33" t="str">
        <f>IF(G904&gt;0,IF(AD904&gt;0,IF(AD904=0,"Waiting",IF(AD904&lt;L904,"Partial",IF(AD904=L904,"Full Supply",IF(AD904&gt;L904,"Over Shared")))),"Waiting"),"")</f>
        <v>Full Supply</v>
      </c>
      <c r="AH904" s="56">
        <v>46282</v>
      </c>
      <c r="AI904" s="37" t="s">
        <v>1303</v>
      </c>
      <c r="AJ904" s="181">
        <v>30</v>
      </c>
      <c r="AK904" s="37"/>
      <c r="AL904" s="37"/>
      <c r="AM904" s="181"/>
      <c r="AN904" s="216"/>
      <c r="AO904" s="232"/>
      <c r="AP904" s="37"/>
      <c r="AQ904" s="37"/>
      <c r="AR904" s="37"/>
      <c r="AS904" s="37"/>
      <c r="AT904" s="37"/>
      <c r="AU904" s="37"/>
      <c r="AV904" s="37"/>
      <c r="AW904" s="37"/>
      <c r="AX904" s="37"/>
      <c r="AY904" s="37"/>
      <c r="AZ904" s="181">
        <f>L904-AD904</f>
        <v>0</v>
      </c>
    </row>
    <row r="905" spans="1:52" ht="15.5" customHeight="1">
      <c r="A905" s="360" t="s">
        <v>372</v>
      </c>
      <c r="B905" s="340">
        <v>46295</v>
      </c>
      <c r="C905" s="181">
        <v>51594</v>
      </c>
      <c r="D905" s="30">
        <v>46295</v>
      </c>
      <c r="E905" s="30">
        <v>46293</v>
      </c>
      <c r="F905" s="30">
        <v>46305</v>
      </c>
      <c r="G905" s="37">
        <v>4420234168</v>
      </c>
      <c r="H905" s="37" t="s">
        <v>373</v>
      </c>
      <c r="I905" s="37">
        <v>9040016956</v>
      </c>
      <c r="J905" s="37" t="s">
        <v>249</v>
      </c>
      <c r="K905" s="325" t="s">
        <v>250</v>
      </c>
      <c r="L905" s="181">
        <v>1</v>
      </c>
      <c r="M905" s="181" t="s">
        <v>421</v>
      </c>
      <c r="N905" s="37" t="s">
        <v>434</v>
      </c>
      <c r="O905" s="31">
        <f>IF(F905&gt;0,F905-AB905,"")</f>
        <v>46305</v>
      </c>
      <c r="P905" s="37" t="str">
        <f>IF(F905&gt;0,IF(AB905="","PLANNING SUPPLY",IF(AB905&lt;=F905,"ONTIME DELIVERY","DELAY")),"")</f>
        <v>PLANNING SUPPLY</v>
      </c>
      <c r="Q905" s="181" t="str">
        <f>IFERROR(IF(J905&gt;0,VLOOKUP(J905,#REF!,MATCH($Q$6,#REF!,0),0),""),"")</f>
        <v/>
      </c>
      <c r="R905" s="181" t="str">
        <f>IFERROR(IF(J905&gt;0,VLOOKUP(J905,#REF!,MATCH($R$6,#REF!,0),0),""),"")</f>
        <v/>
      </c>
      <c r="S905" s="181" t="e">
        <f>IF(I908&gt;0,Q905+R905,"")</f>
        <v>#VALUE!</v>
      </c>
      <c r="T905" s="181"/>
      <c r="U905" s="181"/>
      <c r="V905" s="37"/>
      <c r="W905" s="181" t="e">
        <f>IF(I908&gt;0,IF(S905&gt;L905,"READY STOCK",IF(S905=0,"OUT OF STOCK",IF(S905&lt;L905,"LOW STOCK",""))),"")</f>
        <v>#VALUE!</v>
      </c>
      <c r="X905" s="38"/>
      <c r="Y905" s="38"/>
      <c r="Z905" s="38"/>
      <c r="AA905" s="38"/>
      <c r="AB905" s="50"/>
      <c r="AC905" s="181"/>
      <c r="AD905" s="51"/>
      <c r="AE905" s="37"/>
      <c r="AF905" s="37"/>
      <c r="AG905" s="33" t="str">
        <f>IF(G905&gt;0,IF(AD905&gt;0,IF(AD905=0,"Waiting",IF(AD905&lt;L905,"Partial",IF(AD905=L905,"Full Supply",IF(AD905&gt;L905,"Over Shared")))),"Waiting"),"")</f>
        <v>Waiting</v>
      </c>
      <c r="AH905" s="37"/>
      <c r="AI905" s="37"/>
      <c r="AJ905" s="181"/>
      <c r="AK905" s="37"/>
      <c r="AL905" s="37"/>
      <c r="AM905" s="181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AX905" s="37"/>
      <c r="AY905" s="37"/>
      <c r="AZ905" s="181">
        <f>L905-AD905</f>
        <v>1</v>
      </c>
    </row>
    <row r="906" spans="1:52" ht="15.5" customHeight="1">
      <c r="A906" s="360" t="s">
        <v>372</v>
      </c>
      <c r="B906" s="340">
        <v>46295</v>
      </c>
      <c r="C906" s="181">
        <v>51594</v>
      </c>
      <c r="D906" s="30">
        <v>46295</v>
      </c>
      <c r="E906" s="30">
        <v>46293</v>
      </c>
      <c r="F906" s="30">
        <v>46305</v>
      </c>
      <c r="G906" s="37">
        <v>4420234168</v>
      </c>
      <c r="H906" s="37" t="s">
        <v>373</v>
      </c>
      <c r="I906" s="37">
        <v>9040040765</v>
      </c>
      <c r="J906" s="37" t="s">
        <v>3</v>
      </c>
      <c r="K906" s="325" t="s">
        <v>4</v>
      </c>
      <c r="L906" s="181">
        <v>6</v>
      </c>
      <c r="M906" s="181" t="s">
        <v>375</v>
      </c>
      <c r="N906" s="37" t="s">
        <v>434</v>
      </c>
      <c r="O906" s="31">
        <f>IF(F906&gt;0,F906-AB906,"")</f>
        <v>46305</v>
      </c>
      <c r="P906" s="37" t="str">
        <f>IF(F906&gt;0,IF(AB906="","PLANNING SUPPLY",IF(AB906&lt;=F906,"ONTIME DELIVERY","DELAY")),"")</f>
        <v>PLANNING SUPPLY</v>
      </c>
      <c r="Q906" s="181" t="str">
        <f>IFERROR(IF(J906&gt;0,VLOOKUP(J906,#REF!,MATCH($Q$6,#REF!,0),0),""),"")</f>
        <v/>
      </c>
      <c r="R906" s="181" t="str">
        <f>IFERROR(IF(J906&gt;0,VLOOKUP(J906,#REF!,MATCH($R$6,#REF!,0),0),""),"")</f>
        <v/>
      </c>
      <c r="S906" s="181" t="e">
        <f>IF(I909&gt;0,Q906+R906,"")</f>
        <v>#VALUE!</v>
      </c>
      <c r="T906" s="181"/>
      <c r="U906" s="181"/>
      <c r="V906" s="37"/>
      <c r="W906" s="181" t="e">
        <f>IF(I909&gt;0,IF(S906&gt;L906,"READY STOCK",IF(S906=0,"OUT OF STOCK",IF(S906&lt;L906,"LOW STOCK",""))),"")</f>
        <v>#VALUE!</v>
      </c>
      <c r="X906" s="38"/>
      <c r="Y906" s="38"/>
      <c r="Z906" s="38"/>
      <c r="AA906" s="38"/>
      <c r="AB906" s="50"/>
      <c r="AC906" s="181"/>
      <c r="AD906" s="51"/>
      <c r="AE906" s="37"/>
      <c r="AF906" s="37"/>
      <c r="AG906" s="33" t="str">
        <f>IF(G906&gt;0,IF(AD906&gt;0,IF(AD906=0,"Waiting",IF(AD906&lt;L906,"Partial",IF(AD906=L906,"Full Supply",IF(AD906&gt;L906,"Over Shared")))),"Waiting"),"")</f>
        <v>Waiting</v>
      </c>
      <c r="AH906" s="242">
        <v>46296</v>
      </c>
      <c r="AI906" s="37" t="s">
        <v>1306</v>
      </c>
      <c r="AJ906" s="181">
        <v>8</v>
      </c>
      <c r="AK906" s="37"/>
      <c r="AL906" s="37"/>
      <c r="AM906" s="181"/>
      <c r="AN906" s="216"/>
      <c r="AO906" s="232"/>
      <c r="AP906" s="37"/>
      <c r="AQ906" s="37"/>
      <c r="AR906" s="37"/>
      <c r="AS906" s="37"/>
      <c r="AT906" s="37"/>
      <c r="AU906" s="37"/>
      <c r="AV906" s="37"/>
      <c r="AW906" s="37"/>
      <c r="AX906" s="37"/>
      <c r="AY906" s="37"/>
      <c r="AZ906" s="181">
        <f>L906-AD906</f>
        <v>6</v>
      </c>
    </row>
    <row r="907" spans="1:52" ht="15.5" customHeight="1">
      <c r="A907" s="360" t="s">
        <v>372</v>
      </c>
      <c r="B907" s="340">
        <v>46295</v>
      </c>
      <c r="C907" s="181">
        <v>51594</v>
      </c>
      <c r="D907" s="30">
        <v>46295</v>
      </c>
      <c r="E907" s="30">
        <v>46293</v>
      </c>
      <c r="F907" s="30">
        <v>46305</v>
      </c>
      <c r="G907" s="37">
        <v>4420234168</v>
      </c>
      <c r="H907" s="37" t="s">
        <v>373</v>
      </c>
      <c r="I907" s="37">
        <v>9040044211</v>
      </c>
      <c r="J907" s="37" t="s">
        <v>268</v>
      </c>
      <c r="K907" s="325" t="s">
        <v>269</v>
      </c>
      <c r="L907" s="181">
        <v>2</v>
      </c>
      <c r="M907" s="181" t="s">
        <v>375</v>
      </c>
      <c r="N907" s="37" t="s">
        <v>434</v>
      </c>
      <c r="O907" s="31">
        <f>IF(F907&gt;0,F907-AB907,"")</f>
        <v>-9</v>
      </c>
      <c r="P907" s="37" t="str">
        <f>IF(F907&gt;0,IF(AB907="","PLANNING SUPPLY",IF(AB907&lt;=F907,"ONTIME DELIVERY","DELAY")),"")</f>
        <v>DELAY</v>
      </c>
      <c r="Q907" s="181" t="str">
        <f>IFERROR(IF(J907&gt;0,VLOOKUP(J907,#REF!,MATCH($Q$6,#REF!,0),0),""),"")</f>
        <v/>
      </c>
      <c r="R907" s="181" t="str">
        <f>IFERROR(IF(J907&gt;0,VLOOKUP(J907,#REF!,MATCH($R$6,#REF!,0),0),""),"")</f>
        <v/>
      </c>
      <c r="S907" s="181" t="e">
        <f>IF(I910&gt;0,Q907+R907,"")</f>
        <v>#VALUE!</v>
      </c>
      <c r="T907" s="181"/>
      <c r="U907" s="181"/>
      <c r="V907" s="37"/>
      <c r="W907" s="181" t="e">
        <f>IF(I910&gt;0,IF(S907&gt;L907,"READY STOCK",IF(S907=0,"OUT OF STOCK",IF(S907&lt;L907,"LOW STOCK",""))),"")</f>
        <v>#VALUE!</v>
      </c>
      <c r="X907" s="38"/>
      <c r="Y907" s="38"/>
      <c r="Z907" s="38"/>
      <c r="AA907" s="38"/>
      <c r="AB907" s="50">
        <v>46314</v>
      </c>
      <c r="AC907" s="44" t="s">
        <v>1368</v>
      </c>
      <c r="AD907" s="51">
        <v>2</v>
      </c>
      <c r="AE907" s="37" t="s">
        <v>387</v>
      </c>
      <c r="AF907" s="37" t="s">
        <v>381</v>
      </c>
      <c r="AG907" s="33" t="str">
        <f>IF(G907&gt;0,IF(AD907&gt;0,IF(AD907=0,"Waiting",IF(AD907&lt;L907,"Partial",IF(AD907=L907,"Full Supply",IF(AD907&gt;L907,"Over Shared")))),"Waiting"),"")</f>
        <v>Full Supply</v>
      </c>
      <c r="AH907" s="37"/>
      <c r="AI907" s="37"/>
      <c r="AJ907" s="181"/>
      <c r="AK907" s="37"/>
      <c r="AL907" s="37"/>
      <c r="AM907" s="181"/>
      <c r="AN907" s="37"/>
      <c r="AO907" s="37"/>
      <c r="AP907" s="37"/>
      <c r="AQ907" s="37"/>
      <c r="AR907" s="37"/>
      <c r="AS907" s="37"/>
      <c r="AT907" s="37"/>
      <c r="AU907" s="37"/>
      <c r="AV907" s="37"/>
      <c r="AW907" s="37"/>
      <c r="AX907" s="37"/>
      <c r="AY907" s="37"/>
      <c r="AZ907" s="181">
        <f>L907-AD907</f>
        <v>0</v>
      </c>
    </row>
    <row r="908" spans="1:52" ht="15.5" customHeight="1">
      <c r="A908" s="360" t="s">
        <v>372</v>
      </c>
      <c r="B908" s="340">
        <v>46295</v>
      </c>
      <c r="C908" s="181">
        <v>51594</v>
      </c>
      <c r="D908" s="30">
        <v>46295</v>
      </c>
      <c r="E908" s="30">
        <v>46293</v>
      </c>
      <c r="F908" s="30">
        <v>46305</v>
      </c>
      <c r="G908" s="37">
        <v>4420234168</v>
      </c>
      <c r="H908" s="37" t="s">
        <v>373</v>
      </c>
      <c r="I908" s="37">
        <v>9040040588</v>
      </c>
      <c r="J908" s="37" t="s">
        <v>76</v>
      </c>
      <c r="K908" s="325" t="s">
        <v>77</v>
      </c>
      <c r="L908" s="181">
        <v>24</v>
      </c>
      <c r="M908" s="181" t="s">
        <v>375</v>
      </c>
      <c r="N908" s="37" t="s">
        <v>434</v>
      </c>
      <c r="O908" s="31">
        <f>IF(F908&gt;0,F908-AB908,"")</f>
        <v>-9</v>
      </c>
      <c r="P908" s="37" t="str">
        <f>IF(F908&gt;0,IF(AB908="","PLANNING SUPPLY",IF(AB908&lt;=F908,"ONTIME DELIVERY","DELAY")),"")</f>
        <v>DELAY</v>
      </c>
      <c r="Q908" s="181" t="str">
        <f>IFERROR(IF(J908&gt;0,VLOOKUP(J908,#REF!,MATCH($Q$6,#REF!,0),0),""),"")</f>
        <v/>
      </c>
      <c r="R908" s="181" t="str">
        <f>IFERROR(IF(J908&gt;0,VLOOKUP(J908,#REF!,MATCH($R$6,#REF!,0),0),""),"")</f>
        <v/>
      </c>
      <c r="S908" s="181" t="e">
        <f>IF(I911&gt;0,Q908+R908,"")</f>
        <v>#VALUE!</v>
      </c>
      <c r="T908" s="181"/>
      <c r="U908" s="181"/>
      <c r="V908" s="37"/>
      <c r="W908" s="181" t="e">
        <f>IF(I911&gt;0,IF(S908&gt;L908,"READY STOCK",IF(S908=0,"OUT OF STOCK",IF(S908&lt;L908,"LOW STOCK",""))),"")</f>
        <v>#VALUE!</v>
      </c>
      <c r="X908" s="38"/>
      <c r="Y908" s="38"/>
      <c r="Z908" s="38"/>
      <c r="AA908" s="38"/>
      <c r="AB908" s="50">
        <v>46314</v>
      </c>
      <c r="AC908" s="44" t="s">
        <v>1367</v>
      </c>
      <c r="AD908" s="51">
        <v>24</v>
      </c>
      <c r="AE908" s="37" t="s">
        <v>387</v>
      </c>
      <c r="AF908" s="37" t="s">
        <v>381</v>
      </c>
      <c r="AG908" s="33" t="str">
        <f>IF(G908&gt;0,IF(AD908&gt;0,IF(AD908=0,"Waiting",IF(AD908&lt;L908,"Partial",IF(AD908=L908,"Full Supply",IF(AD908&gt;L908,"Over Shared")))),"Waiting"),"")</f>
        <v>Full Supply</v>
      </c>
      <c r="AH908" s="233">
        <v>46297</v>
      </c>
      <c r="AI908" s="37" t="s">
        <v>1369</v>
      </c>
      <c r="AJ908" s="181">
        <v>45</v>
      </c>
      <c r="AK908" s="37"/>
      <c r="AL908" s="37"/>
      <c r="AM908" s="181"/>
      <c r="AN908" s="37"/>
      <c r="AO908" s="37"/>
      <c r="AP908" s="37"/>
      <c r="AQ908" s="37"/>
      <c r="AR908" s="37"/>
      <c r="AS908" s="37"/>
      <c r="AT908" s="37"/>
      <c r="AU908" s="37"/>
      <c r="AV908" s="37"/>
      <c r="AW908" s="37"/>
      <c r="AX908" s="37"/>
      <c r="AY908" s="37"/>
      <c r="AZ908" s="181">
        <f>L908-AD908</f>
        <v>0</v>
      </c>
    </row>
    <row r="909" spans="1:52" ht="15.5" customHeight="1">
      <c r="A909" s="360" t="s">
        <v>372</v>
      </c>
      <c r="B909" s="340">
        <v>46295</v>
      </c>
      <c r="C909" s="181">
        <v>51594</v>
      </c>
      <c r="D909" s="30">
        <v>46295</v>
      </c>
      <c r="E909" s="30">
        <v>46293</v>
      </c>
      <c r="F909" s="30">
        <v>46305</v>
      </c>
      <c r="G909" s="37">
        <v>4420234168</v>
      </c>
      <c r="H909" s="37" t="s">
        <v>373</v>
      </c>
      <c r="I909" s="37">
        <v>9040044191</v>
      </c>
      <c r="J909" s="37" t="s">
        <v>187</v>
      </c>
      <c r="K909" s="325" t="s">
        <v>188</v>
      </c>
      <c r="L909" s="181">
        <v>10</v>
      </c>
      <c r="M909" s="181" t="s">
        <v>375</v>
      </c>
      <c r="N909" s="37" t="s">
        <v>434</v>
      </c>
      <c r="O909" s="31">
        <f>IF(F909&gt;0,F909-AB909,"")</f>
        <v>1</v>
      </c>
      <c r="P909" s="37" t="str">
        <f>IF(F909&gt;0,IF(AB909="","PLANNING SUPPLY",IF(AB909&lt;=F909,"ONTIME DELIVERY","DELAY")),"")</f>
        <v>ONTIME DELIVERY</v>
      </c>
      <c r="Q909" s="181" t="str">
        <f>IFERROR(IF(J909&gt;0,VLOOKUP(J909,#REF!,MATCH($Q$6,#REF!,0),0),""),"")</f>
        <v/>
      </c>
      <c r="R909" s="181" t="str">
        <f>IFERROR(IF(J909&gt;0,VLOOKUP(J909,#REF!,MATCH($R$6,#REF!,0),0),""),"")</f>
        <v/>
      </c>
      <c r="S909" s="181" t="e">
        <f>IF(I912&gt;0,Q909+R909,"")</f>
        <v>#VALUE!</v>
      </c>
      <c r="T909" s="181"/>
      <c r="U909" s="181"/>
      <c r="V909" s="37"/>
      <c r="W909" s="181" t="e">
        <f>IF(I912&gt;0,IF(S909&gt;L909,"READY STOCK",IF(S909=0,"OUT OF STOCK",IF(S909&lt;L909,"LOW STOCK",""))),"")</f>
        <v>#VALUE!</v>
      </c>
      <c r="X909" s="38"/>
      <c r="Y909" s="38"/>
      <c r="Z909" s="38"/>
      <c r="AA909" s="38"/>
      <c r="AB909" s="57">
        <v>46304</v>
      </c>
      <c r="AC909" s="181">
        <v>34868</v>
      </c>
      <c r="AD909" s="53">
        <v>10</v>
      </c>
      <c r="AE909" s="58" t="s">
        <v>387</v>
      </c>
      <c r="AF909" s="58" t="s">
        <v>381</v>
      </c>
      <c r="AG909" s="33" t="str">
        <f>IF(G909&gt;0,IF(AD909&gt;0,IF(AD909=0,"Waiting",IF(AD909&lt;L909,"Partial",IF(AD909=L909,"Full Supply",IF(AD909&gt;L909,"Over Shared")))),"Waiting"),"")</f>
        <v>Full Supply</v>
      </c>
      <c r="AH909" s="37"/>
      <c r="AI909" s="37"/>
      <c r="AJ909" s="181"/>
      <c r="AK909" s="37"/>
      <c r="AL909" s="37"/>
      <c r="AM909" s="181"/>
      <c r="AN909" s="37"/>
      <c r="AO909" s="37"/>
      <c r="AP909" s="37"/>
      <c r="AQ909" s="37"/>
      <c r="AR909" s="37"/>
      <c r="AS909" s="37"/>
      <c r="AT909" s="37"/>
      <c r="AU909" s="37"/>
      <c r="AV909" s="37"/>
      <c r="AW909" s="37"/>
      <c r="AX909" s="37"/>
      <c r="AY909" s="37"/>
      <c r="AZ909" s="181">
        <f>L909-AD909</f>
        <v>0</v>
      </c>
    </row>
    <row r="910" spans="1:52" ht="15.5" customHeight="1">
      <c r="A910" s="360" t="s">
        <v>372</v>
      </c>
      <c r="B910" s="340">
        <v>46295</v>
      </c>
      <c r="C910" s="181">
        <v>51594</v>
      </c>
      <c r="D910" s="30">
        <v>46295</v>
      </c>
      <c r="E910" s="30">
        <v>46293</v>
      </c>
      <c r="F910" s="30">
        <v>46305</v>
      </c>
      <c r="G910" s="37">
        <v>4420234168</v>
      </c>
      <c r="H910" s="37" t="s">
        <v>373</v>
      </c>
      <c r="I910" s="37">
        <v>9040022707</v>
      </c>
      <c r="J910" s="37" t="s">
        <v>79</v>
      </c>
      <c r="K910" s="325" t="s">
        <v>80</v>
      </c>
      <c r="L910" s="181">
        <v>7</v>
      </c>
      <c r="M910" s="181" t="s">
        <v>375</v>
      </c>
      <c r="N910" s="37" t="s">
        <v>434</v>
      </c>
      <c r="O910" s="31">
        <f>IF(F910&gt;0,F910-AB910,"")</f>
        <v>-3</v>
      </c>
      <c r="P910" s="37" t="str">
        <f>IF(F910&gt;0,IF(AB910="","PLANNING SUPPLY",IF(AB910&lt;=F910,"ONTIME DELIVERY","DELAY")),"")</f>
        <v>DELAY</v>
      </c>
      <c r="Q910" s="181" t="str">
        <f>IFERROR(IF(J910&gt;0,VLOOKUP(J910,#REF!,MATCH($Q$6,#REF!,0),0),""),"")</f>
        <v/>
      </c>
      <c r="R910" s="181" t="str">
        <f>IFERROR(IF(J910&gt;0,VLOOKUP(J910,#REF!,MATCH($R$6,#REF!,0),0),""),"")</f>
        <v/>
      </c>
      <c r="S910" s="181" t="e">
        <f>IF(I913&gt;0,Q910+R910,"")</f>
        <v>#VALUE!</v>
      </c>
      <c r="T910" s="181"/>
      <c r="U910" s="181"/>
      <c r="V910" s="37"/>
      <c r="W910" s="181" t="e">
        <f>IF(I913&gt;0,IF(S910&gt;L910,"READY STOCK",IF(S910=0,"OUT OF STOCK",IF(S910&lt;L910,"LOW STOCK",""))),"")</f>
        <v>#VALUE!</v>
      </c>
      <c r="X910" s="38"/>
      <c r="Y910" s="38"/>
      <c r="Z910" s="38"/>
      <c r="AA910" s="38"/>
      <c r="AB910" s="57">
        <v>46308</v>
      </c>
      <c r="AC910" s="246">
        <v>34972</v>
      </c>
      <c r="AD910" s="53">
        <v>7</v>
      </c>
      <c r="AE910" s="37"/>
      <c r="AF910" s="37"/>
      <c r="AG910" s="33" t="str">
        <f>IF(G910&gt;0,IF(AD910&gt;0,IF(AD910=0,"Waiting",IF(AD910&lt;L910,"Partial",IF(AD910=L910,"Full Supply",IF(AD910&gt;L910,"Over Shared")))),"Waiting"),"")</f>
        <v>Full Supply</v>
      </c>
      <c r="AH910" s="37"/>
      <c r="AI910" s="37" t="s">
        <v>1370</v>
      </c>
      <c r="AJ910" s="181">
        <v>9</v>
      </c>
      <c r="AK910" s="37"/>
      <c r="AL910" s="37"/>
      <c r="AM910" s="181"/>
      <c r="AN910" s="216"/>
      <c r="AO910" s="232"/>
      <c r="AP910" s="37"/>
      <c r="AQ910" s="37"/>
      <c r="AR910" s="37"/>
      <c r="AS910" s="37"/>
      <c r="AT910" s="37"/>
      <c r="AU910" s="37"/>
      <c r="AV910" s="37"/>
      <c r="AW910" s="37"/>
      <c r="AX910" s="37"/>
      <c r="AY910" s="37"/>
      <c r="AZ910" s="181">
        <f>L910-AD910</f>
        <v>0</v>
      </c>
    </row>
    <row r="911" spans="1:52" ht="15.5" customHeight="1">
      <c r="A911" s="360" t="s">
        <v>372</v>
      </c>
      <c r="B911" s="340">
        <v>46295</v>
      </c>
      <c r="C911" s="181">
        <v>51594</v>
      </c>
      <c r="D911" s="30">
        <v>46295</v>
      </c>
      <c r="E911" s="30">
        <v>46293</v>
      </c>
      <c r="F911" s="30">
        <v>46305</v>
      </c>
      <c r="G911" s="37">
        <v>4420234168</v>
      </c>
      <c r="H911" s="37" t="s">
        <v>373</v>
      </c>
      <c r="I911" s="37">
        <v>9040008449</v>
      </c>
      <c r="J911" s="37" t="s">
        <v>145</v>
      </c>
      <c r="K911" s="325" t="s">
        <v>146</v>
      </c>
      <c r="L911" s="181">
        <v>1</v>
      </c>
      <c r="M911" s="181" t="s">
        <v>375</v>
      </c>
      <c r="N911" s="37" t="s">
        <v>434</v>
      </c>
      <c r="O911" s="31">
        <f>IF(F911&gt;0,F911-AB911,"")</f>
        <v>-3</v>
      </c>
      <c r="P911" s="37" t="str">
        <f>IF(F911&gt;0,IF(AB911="","PLANNING SUPPLY",IF(AB911&lt;=F911,"ONTIME DELIVERY","DELAY")),"")</f>
        <v>DELAY</v>
      </c>
      <c r="Q911" s="181" t="str">
        <f>IFERROR(IF(J911&gt;0,VLOOKUP(J911,#REF!,MATCH($Q$6,#REF!,0),0),""),"")</f>
        <v/>
      </c>
      <c r="R911" s="181" t="str">
        <f>IFERROR(IF(J911&gt;0,VLOOKUP(J911,#REF!,MATCH($R$6,#REF!,0),0),""),"")</f>
        <v/>
      </c>
      <c r="S911" s="181" t="e">
        <f>IF(I914&gt;0,Q911+R911,"")</f>
        <v>#VALUE!</v>
      </c>
      <c r="T911" s="181"/>
      <c r="U911" s="181"/>
      <c r="V911" s="37"/>
      <c r="W911" s="181" t="e">
        <f>IF(I914&gt;0,IF(S911&gt;L911,"READY STOCK",IF(S911=0,"OUT OF STOCK",IF(S911&lt;L911,"LOW STOCK",""))),"")</f>
        <v>#VALUE!</v>
      </c>
      <c r="X911" s="38"/>
      <c r="Y911" s="38"/>
      <c r="Z911" s="38"/>
      <c r="AA911" s="38"/>
      <c r="AB911" s="57">
        <v>46308</v>
      </c>
      <c r="AC911" s="246">
        <v>34972</v>
      </c>
      <c r="AD911" s="53">
        <v>1</v>
      </c>
      <c r="AE911" s="58" t="s">
        <v>387</v>
      </c>
      <c r="AF911" s="58" t="s">
        <v>381</v>
      </c>
      <c r="AG911" s="33" t="str">
        <f>IF(G911&gt;0,IF(AD911&gt;0,IF(AD911=0,"Waiting",IF(AD911&lt;L911,"Partial",IF(AD911=L911,"Full Supply",IF(AD911&gt;L911,"Over Shared")))),"Waiting"),"")</f>
        <v>Full Supply</v>
      </c>
      <c r="AH911" s="37"/>
      <c r="AI911" s="37"/>
      <c r="AJ911" s="181"/>
      <c r="AK911" s="37"/>
      <c r="AL911" s="37"/>
      <c r="AM911" s="181"/>
      <c r="AN911" s="37"/>
      <c r="AO911" s="37"/>
      <c r="AP911" s="37"/>
      <c r="AQ911" s="37"/>
      <c r="AR911" s="37"/>
      <c r="AS911" s="37"/>
      <c r="AT911" s="37"/>
      <c r="AU911" s="37"/>
      <c r="AV911" s="37"/>
      <c r="AW911" s="37"/>
      <c r="AX911" s="37"/>
      <c r="AY911" s="37"/>
      <c r="AZ911" s="181">
        <f>L911-AD911</f>
        <v>0</v>
      </c>
    </row>
    <row r="912" spans="1:52" ht="15.5" customHeight="1">
      <c r="A912" s="360" t="s">
        <v>372</v>
      </c>
      <c r="B912" s="340">
        <v>46296</v>
      </c>
      <c r="C912" s="181">
        <v>51608</v>
      </c>
      <c r="D912" s="30">
        <v>46296</v>
      </c>
      <c r="E912" s="30">
        <v>46289</v>
      </c>
      <c r="F912" s="30">
        <v>46304</v>
      </c>
      <c r="G912" s="37">
        <v>4420233987</v>
      </c>
      <c r="H912" s="37" t="s">
        <v>373</v>
      </c>
      <c r="I912" s="37">
        <v>9040040924</v>
      </c>
      <c r="J912" s="37" t="s">
        <v>10</v>
      </c>
      <c r="K912" s="325" t="s">
        <v>149</v>
      </c>
      <c r="L912" s="181">
        <v>4</v>
      </c>
      <c r="M912" s="181" t="s">
        <v>375</v>
      </c>
      <c r="N912" s="37" t="s">
        <v>432</v>
      </c>
      <c r="O912" s="31">
        <f>IF(F912&gt;0,F912-AB912,"")</f>
        <v>46304</v>
      </c>
      <c r="P912" s="37" t="str">
        <f>IF(F912&gt;0,IF(AB912="","PLANNING SUPPLY",IF(AB912&lt;=F912,"ONTIME DELIVERY","DELAY")),"")</f>
        <v>PLANNING SUPPLY</v>
      </c>
      <c r="Q912" s="181" t="str">
        <f>IFERROR(IF(J912&gt;0,VLOOKUP(J912,#REF!,MATCH($Q$6,#REF!,0),0),""),"")</f>
        <v/>
      </c>
      <c r="R912" s="181" t="str">
        <f>IFERROR(IF(J912&gt;0,VLOOKUP(J912,#REF!,MATCH($R$6,#REF!,0),0),""),"")</f>
        <v/>
      </c>
      <c r="S912" s="181" t="e">
        <f>IF(I915&gt;0,Q912+R912,"")</f>
        <v>#VALUE!</v>
      </c>
      <c r="T912" s="181"/>
      <c r="U912" s="181"/>
      <c r="V912" s="37"/>
      <c r="W912" s="181" t="e">
        <f>IF(I915&gt;0,IF(S912&gt;L912,"READY STOCK",IF(S912=0,"OUT OF STOCK",IF(S912&lt;L912,"LOW STOCK",""))),"")</f>
        <v>#VALUE!</v>
      </c>
      <c r="X912" s="38"/>
      <c r="Y912" s="38"/>
      <c r="Z912" s="38"/>
      <c r="AA912" s="38"/>
      <c r="AB912" s="50"/>
      <c r="AC912" s="181"/>
      <c r="AD912" s="51"/>
      <c r="AE912" s="37"/>
      <c r="AF912" s="37"/>
      <c r="AG912" s="33" t="str">
        <f>IF(G912&gt;0,IF(AD912&gt;0,IF(AD912=0,"Waiting",IF(AD912&lt;L912,"Partial",IF(AD912=L912,"Full Supply",IF(AD912&gt;L912,"Over Shared")))),"Waiting"),"")</f>
        <v>Waiting</v>
      </c>
      <c r="AH912" s="37"/>
      <c r="AI912" s="37"/>
      <c r="AJ912" s="181"/>
      <c r="AK912" s="37"/>
      <c r="AL912" s="37"/>
      <c r="AM912" s="181"/>
      <c r="AN912" s="37"/>
      <c r="AO912" s="37"/>
      <c r="AP912" s="37"/>
      <c r="AQ912" s="37"/>
      <c r="AR912" s="37"/>
      <c r="AS912" s="37"/>
      <c r="AT912" s="37"/>
      <c r="AU912" s="36" t="str">
        <f>IF(AR912=0,"Waiting",IF(AR912&lt;AH912,"Kurang",IF(AR912=AH912,"Sesuai",IF(AR912&gt;AH912,"Over Shared"))))</f>
        <v>Waiting</v>
      </c>
      <c r="AV912" s="37"/>
      <c r="AW912" s="37"/>
      <c r="AX912" s="37"/>
      <c r="AY912" s="37"/>
      <c r="AZ912" s="181">
        <f>L912-AD912</f>
        <v>4</v>
      </c>
    </row>
    <row r="913" spans="1:52" ht="15.5" customHeight="1">
      <c r="A913" s="360" t="s">
        <v>372</v>
      </c>
      <c r="B913" s="340">
        <v>46296</v>
      </c>
      <c r="C913" s="181">
        <v>51608</v>
      </c>
      <c r="D913" s="30">
        <v>46296</v>
      </c>
      <c r="E913" s="30">
        <v>46289</v>
      </c>
      <c r="F913" s="30">
        <v>46304</v>
      </c>
      <c r="G913" s="37">
        <v>4420233987</v>
      </c>
      <c r="H913" s="37" t="s">
        <v>373</v>
      </c>
      <c r="I913" s="37">
        <v>9040041393</v>
      </c>
      <c r="J913" s="37" t="s">
        <v>191</v>
      </c>
      <c r="K913" s="325" t="s">
        <v>192</v>
      </c>
      <c r="L913" s="181">
        <v>212</v>
      </c>
      <c r="M913" s="181" t="s">
        <v>375</v>
      </c>
      <c r="N913" s="37" t="s">
        <v>432</v>
      </c>
      <c r="O913" s="31">
        <f>IF(F913&gt;0,F913-AB913,"")</f>
        <v>4</v>
      </c>
      <c r="P913" s="37" t="str">
        <f>IF(F913&gt;0,IF(AB913="","PLANNING SUPPLY",IF(AB913&lt;=F913,"ONTIME DELIVERY","DELAY")),"")</f>
        <v>ONTIME DELIVERY</v>
      </c>
      <c r="Q913" s="181" t="str">
        <f>IFERROR(IF(J913&gt;0,VLOOKUP(J913,#REF!,MATCH($Q$6,#REF!,0),0),""),"")</f>
        <v/>
      </c>
      <c r="R913" s="181" t="str">
        <f>IFERROR(IF(J913&gt;0,VLOOKUP(J913,#REF!,MATCH($R$6,#REF!,0),0),""),"")</f>
        <v/>
      </c>
      <c r="S913" s="181" t="e">
        <f>IF(I916&gt;0,Q913+R913,"")</f>
        <v>#VALUE!</v>
      </c>
      <c r="T913" s="181"/>
      <c r="U913" s="181"/>
      <c r="V913" s="37"/>
      <c r="W913" s="181" t="e">
        <f>IF(I916&gt;0,IF(S913&gt;L913,"READY STOCK",IF(S913=0,"OUT OF STOCK",IF(S913&lt;L913,"LOW STOCK",""))),"")</f>
        <v>#VALUE!</v>
      </c>
      <c r="X913" s="38"/>
      <c r="Y913" s="38"/>
      <c r="Z913" s="38"/>
      <c r="AA913" s="38"/>
      <c r="AB913" s="50">
        <v>46300</v>
      </c>
      <c r="AC913" s="44">
        <v>34742</v>
      </c>
      <c r="AD913" s="51">
        <v>212</v>
      </c>
      <c r="AE913" s="37" t="s">
        <v>387</v>
      </c>
      <c r="AF913" s="37" t="s">
        <v>381</v>
      </c>
      <c r="AG913" s="33" t="str">
        <f>IF(G913&gt;0,IF(AD913&gt;0,IF(AD913=0,"Waiting",IF(AD913&lt;L913,"Partial",IF(AD913=L913,"Full Supply",IF(AD913&gt;L913,"Over Shared")))),"Waiting"),"")</f>
        <v>Full Supply</v>
      </c>
      <c r="AH913" s="37"/>
      <c r="AI913" s="37"/>
      <c r="AJ913" s="181"/>
      <c r="AK913" s="37"/>
      <c r="AL913" s="37"/>
      <c r="AM913" s="181"/>
      <c r="AN913" s="37"/>
      <c r="AO913" s="37"/>
      <c r="AP913" s="37"/>
      <c r="AQ913" s="37"/>
      <c r="AR913" s="37"/>
      <c r="AS913" s="37"/>
      <c r="AT913" s="37"/>
      <c r="AU913" s="37"/>
      <c r="AV913" s="37"/>
      <c r="AW913" s="37"/>
      <c r="AX913" s="37"/>
      <c r="AY913" s="37"/>
      <c r="AZ913" s="181">
        <f>L913-AD913</f>
        <v>0</v>
      </c>
    </row>
    <row r="914" spans="1:52" ht="15.5" customHeight="1">
      <c r="A914" s="360" t="s">
        <v>372</v>
      </c>
      <c r="B914" s="340">
        <v>46296</v>
      </c>
      <c r="C914" s="181">
        <v>51608</v>
      </c>
      <c r="D914" s="30">
        <v>46296</v>
      </c>
      <c r="E914" s="30">
        <v>46289</v>
      </c>
      <c r="F914" s="30">
        <v>46304</v>
      </c>
      <c r="G914" s="37">
        <v>4420233987</v>
      </c>
      <c r="H914" s="37" t="s">
        <v>373</v>
      </c>
      <c r="I914" s="37">
        <v>9040044191</v>
      </c>
      <c r="J914" s="37" t="s">
        <v>187</v>
      </c>
      <c r="K914" s="325" t="s">
        <v>188</v>
      </c>
      <c r="L914" s="181">
        <v>43</v>
      </c>
      <c r="M914" s="181" t="s">
        <v>375</v>
      </c>
      <c r="N914" s="37" t="s">
        <v>432</v>
      </c>
      <c r="O914" s="31">
        <f>IF(F914&gt;0,F914-AB914,"")</f>
        <v>-3</v>
      </c>
      <c r="P914" s="37" t="str">
        <f>IF(F914&gt;0,IF(AB914="","PLANNING SUPPLY",IF(AB914&lt;=F914,"ONTIME DELIVERY","DELAY")),"")</f>
        <v>DELAY</v>
      </c>
      <c r="Q914" s="181" t="str">
        <f>IFERROR(IF(J914&gt;0,VLOOKUP(J914,#REF!,MATCH($Q$6,#REF!,0),0),""),"")</f>
        <v/>
      </c>
      <c r="R914" s="181" t="str">
        <f>IFERROR(IF(J914&gt;0,VLOOKUP(J914,#REF!,MATCH($R$6,#REF!,0),0),""),"")</f>
        <v/>
      </c>
      <c r="S914" s="181" t="e">
        <f>IF(I917&gt;0,Q914+R914,"")</f>
        <v>#VALUE!</v>
      </c>
      <c r="T914" s="181"/>
      <c r="U914" s="181"/>
      <c r="V914" s="37"/>
      <c r="W914" s="181" t="e">
        <f>IF(I917&gt;0,IF(S914&gt;L914,"READY STOCK",IF(S914=0,"OUT OF STOCK",IF(S914&lt;L914,"LOW STOCK",""))),"")</f>
        <v>#VALUE!</v>
      </c>
      <c r="X914" s="38"/>
      <c r="Y914" s="38"/>
      <c r="Z914" s="38"/>
      <c r="AA914" s="38"/>
      <c r="AB914" s="50">
        <v>46307</v>
      </c>
      <c r="AC914" s="181">
        <v>34943</v>
      </c>
      <c r="AD914" s="51">
        <v>43</v>
      </c>
      <c r="AE914" s="37" t="s">
        <v>387</v>
      </c>
      <c r="AF914" s="37" t="s">
        <v>381</v>
      </c>
      <c r="AG914" s="33" t="str">
        <f>IF(G914&gt;0,IF(AD914&gt;0,IF(AD914=0,"Waiting",IF(AD914&lt;L914,"Partial",IF(AD914=L914,"Full Supply",IF(AD914&gt;L914,"Over Shared")))),"Waiting"),"")</f>
        <v>Full Supply</v>
      </c>
      <c r="AH914" s="37"/>
      <c r="AI914" s="37"/>
      <c r="AJ914" s="181"/>
      <c r="AK914" s="37"/>
      <c r="AL914" s="37"/>
      <c r="AM914" s="181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AX914" s="37"/>
      <c r="AY914" s="37"/>
      <c r="AZ914" s="181">
        <f>L914-AD914</f>
        <v>0</v>
      </c>
    </row>
    <row r="915" spans="1:52" ht="15.5" customHeight="1">
      <c r="A915" s="360" t="s">
        <v>372</v>
      </c>
      <c r="B915" s="340">
        <v>46296</v>
      </c>
      <c r="C915" s="181">
        <v>51608</v>
      </c>
      <c r="D915" s="30">
        <v>46296</v>
      </c>
      <c r="E915" s="30">
        <v>46289</v>
      </c>
      <c r="F915" s="30">
        <v>46304</v>
      </c>
      <c r="G915" s="37">
        <v>4420233987</v>
      </c>
      <c r="H915" s="37" t="s">
        <v>373</v>
      </c>
      <c r="I915" s="37">
        <v>9040044209</v>
      </c>
      <c r="J915" s="37" t="s">
        <v>270</v>
      </c>
      <c r="K915" s="325" t="s">
        <v>271</v>
      </c>
      <c r="L915" s="181">
        <v>17</v>
      </c>
      <c r="M915" s="181" t="s">
        <v>375</v>
      </c>
      <c r="N915" s="37" t="s">
        <v>432</v>
      </c>
      <c r="O915" s="31">
        <f>IF(F915&gt;0,F915-AB915,"")</f>
        <v>4</v>
      </c>
      <c r="P915" s="37" t="str">
        <f>IF(F915&gt;0,IF(AB915="","PLANNING SUPPLY",IF(AB915&lt;=F915,"ONTIME DELIVERY","DELAY")),"")</f>
        <v>ONTIME DELIVERY</v>
      </c>
      <c r="Q915" s="181" t="str">
        <f>IFERROR(IF(J915&gt;0,VLOOKUP(J915,#REF!,MATCH($Q$6,#REF!,0),0),""),"")</f>
        <v/>
      </c>
      <c r="R915" s="181" t="str">
        <f>IFERROR(IF(J915&gt;0,VLOOKUP(J915,#REF!,MATCH($R$6,#REF!,0),0),""),"")</f>
        <v/>
      </c>
      <c r="S915" s="181" t="e">
        <f>IF(I918&gt;0,Q915+R915,"")</f>
        <v>#VALUE!</v>
      </c>
      <c r="T915" s="181"/>
      <c r="U915" s="181"/>
      <c r="V915" s="37"/>
      <c r="W915" s="181" t="e">
        <f>IF(I918&gt;0,IF(S915&gt;L915,"READY STOCK",IF(S915=0,"OUT OF STOCK",IF(S915&lt;L915,"LOW STOCK",""))),"")</f>
        <v>#VALUE!</v>
      </c>
      <c r="X915" s="38"/>
      <c r="Y915" s="38"/>
      <c r="Z915" s="38"/>
      <c r="AA915" s="38"/>
      <c r="AB915" s="50">
        <v>46300</v>
      </c>
      <c r="AC915" s="44">
        <v>34742</v>
      </c>
      <c r="AD915" s="51">
        <v>17</v>
      </c>
      <c r="AE915" s="37" t="s">
        <v>387</v>
      </c>
      <c r="AF915" s="37" t="s">
        <v>381</v>
      </c>
      <c r="AG915" s="33" t="str">
        <f>IF(G915&gt;0,IF(AD915&gt;0,IF(AD915=0,"Waiting",IF(AD915&lt;L915,"Partial",IF(AD915=L915,"Full Supply",IF(AD915&gt;L915,"Over Shared")))),"Waiting"),"")</f>
        <v>Full Supply</v>
      </c>
      <c r="AH915" s="37"/>
      <c r="AI915" s="37"/>
      <c r="AJ915" s="181"/>
      <c r="AK915" s="37"/>
      <c r="AL915" s="37"/>
      <c r="AM915" s="181"/>
      <c r="AN915" s="37"/>
      <c r="AO915" s="37"/>
      <c r="AP915" s="37"/>
      <c r="AQ915" s="37"/>
      <c r="AR915" s="37"/>
      <c r="AS915" s="37"/>
      <c r="AT915" s="37"/>
      <c r="AU915" s="37"/>
      <c r="AV915" s="37"/>
      <c r="AW915" s="37"/>
      <c r="AX915" s="37"/>
      <c r="AY915" s="37"/>
      <c r="AZ915" s="181">
        <f>L915-AD915</f>
        <v>0</v>
      </c>
    </row>
    <row r="916" spans="1:52" ht="15.5" customHeight="1">
      <c r="A916" s="360" t="s">
        <v>372</v>
      </c>
      <c r="B916" s="340">
        <v>46296</v>
      </c>
      <c r="C916" s="181">
        <v>51608</v>
      </c>
      <c r="D916" s="30">
        <v>46296</v>
      </c>
      <c r="E916" s="30">
        <v>46289</v>
      </c>
      <c r="F916" s="30">
        <v>46304</v>
      </c>
      <c r="G916" s="37">
        <v>4420233987</v>
      </c>
      <c r="H916" s="37" t="s">
        <v>373</v>
      </c>
      <c r="I916" s="37">
        <v>9040055051</v>
      </c>
      <c r="J916" s="37" t="s">
        <v>10</v>
      </c>
      <c r="K916" s="325" t="s">
        <v>149</v>
      </c>
      <c r="L916" s="181">
        <v>50</v>
      </c>
      <c r="M916" s="181" t="s">
        <v>375</v>
      </c>
      <c r="N916" s="37" t="s">
        <v>432</v>
      </c>
      <c r="O916" s="31">
        <f>IF(F916&gt;0,F916-AB916,"")</f>
        <v>-10</v>
      </c>
      <c r="P916" s="37" t="str">
        <f>IF(F916&gt;0,IF(AB916="","PLANNING SUPPLY",IF(AB916&lt;=F916,"ONTIME DELIVERY","DELAY")),"")</f>
        <v>DELAY</v>
      </c>
      <c r="Q916" s="181" t="str">
        <f>IFERROR(IF(J916&gt;0,VLOOKUP(J916,#REF!,MATCH($Q$6,#REF!,0),0),""),"")</f>
        <v/>
      </c>
      <c r="R916" s="181" t="str">
        <f>IFERROR(IF(J916&gt;0,VLOOKUP(J916,#REF!,MATCH($R$6,#REF!,0),0),""),"")</f>
        <v/>
      </c>
      <c r="S916" s="181" t="e">
        <f>IF(I922&gt;0,Q916+R916,"")</f>
        <v>#VALUE!</v>
      </c>
      <c r="T916" s="181"/>
      <c r="U916" s="181"/>
      <c r="V916" s="37"/>
      <c r="W916" s="181" t="e">
        <f>IF(I922&gt;0,IF(S916&gt;L916,"READY STOCK",IF(S916=0,"OUT OF STOCK",IF(S916&lt;L916,"LOW STOCK",""))),"")</f>
        <v>#VALUE!</v>
      </c>
      <c r="X916" s="38"/>
      <c r="Y916" s="38"/>
      <c r="Z916" s="38"/>
      <c r="AA916" s="38"/>
      <c r="AB916" s="50">
        <v>46314</v>
      </c>
      <c r="AC916" s="44" t="s">
        <v>1371</v>
      </c>
      <c r="AD916" s="51">
        <v>10</v>
      </c>
      <c r="AE916" s="37" t="s">
        <v>387</v>
      </c>
      <c r="AF916" s="37" t="s">
        <v>381</v>
      </c>
      <c r="AG916" s="33" t="str">
        <f>IF(G916&gt;0,IF(AD916&gt;0,IF(AD916=0,"Waiting",IF(AD916&lt;L916,"Partial",IF(AD916=L916,"Full Supply",IF(AD916&gt;L916,"Over Shared")))),"Waiting"),"")</f>
        <v>Partial</v>
      </c>
      <c r="AH916" s="37"/>
      <c r="AI916" s="37"/>
      <c r="AJ916" s="181"/>
      <c r="AK916" s="37"/>
      <c r="AL916" s="37"/>
      <c r="AM916" s="181"/>
      <c r="AN916" s="37"/>
      <c r="AO916" s="37"/>
      <c r="AP916" s="37"/>
      <c r="AQ916" s="37"/>
      <c r="AR916" s="37"/>
      <c r="AS916" s="37"/>
      <c r="AT916" s="37"/>
      <c r="AU916" s="36" t="str">
        <f>IF(AR916=0,"Waiting",IF(AR916&lt;AH916,"Kurang",IF(AR916=AH916,"Sesuai",IF(AR916&gt;AH916,"Over Shared"))))</f>
        <v>Waiting</v>
      </c>
      <c r="AV916" s="37"/>
      <c r="AW916" s="37"/>
      <c r="AX916" s="37"/>
      <c r="AY916" s="37"/>
      <c r="AZ916" s="181">
        <f>L916-AD916</f>
        <v>40</v>
      </c>
    </row>
    <row r="917" spans="1:52" ht="15.5" customHeight="1">
      <c r="A917" s="360" t="s">
        <v>372</v>
      </c>
      <c r="B917" s="340">
        <v>46296</v>
      </c>
      <c r="C917" s="181">
        <v>51613</v>
      </c>
      <c r="D917" s="30">
        <v>46296</v>
      </c>
      <c r="E917" s="30">
        <v>46294</v>
      </c>
      <c r="F917" s="30">
        <v>46310</v>
      </c>
      <c r="G917" s="37">
        <v>4420234263</v>
      </c>
      <c r="H917" s="37" t="s">
        <v>373</v>
      </c>
      <c r="I917" s="37">
        <v>9040042224</v>
      </c>
      <c r="J917" s="37" t="s">
        <v>195</v>
      </c>
      <c r="K917" s="325" t="s">
        <v>196</v>
      </c>
      <c r="L917" s="181">
        <v>22</v>
      </c>
      <c r="M917" s="181" t="s">
        <v>421</v>
      </c>
      <c r="N917" s="37" t="s">
        <v>434</v>
      </c>
      <c r="O917" s="31">
        <f>IF(F917&gt;0,F917-AB917,"")</f>
        <v>-4</v>
      </c>
      <c r="P917" s="37" t="str">
        <f>IF(F917&gt;0,IF(AB917="","PLANNING SUPPLY",IF(AB917&lt;=F917,"ONTIME DELIVERY","DELAY")),"")</f>
        <v>DELAY</v>
      </c>
      <c r="Q917" s="181" t="str">
        <f>IFERROR(IF(J917&gt;0,VLOOKUP(J917,#REF!,MATCH($Q$6,#REF!,0),0),""),"")</f>
        <v/>
      </c>
      <c r="R917" s="181" t="str">
        <f>IFERROR(IF(J917&gt;0,VLOOKUP(J917,#REF!,MATCH($R$6,#REF!,0),0),""),"")</f>
        <v/>
      </c>
      <c r="S917" s="181" t="e">
        <f>IF(I923&gt;0,Q917+R917,"")</f>
        <v>#VALUE!</v>
      </c>
      <c r="T917" s="181"/>
      <c r="U917" s="181"/>
      <c r="V917" s="37"/>
      <c r="W917" s="181" t="e">
        <f>IF(I923&gt;0,IF(S917&gt;L917,"READY STOCK",IF(S917=0,"OUT OF STOCK",IF(S917&lt;L917,"LOW STOCK",""))),"")</f>
        <v>#VALUE!</v>
      </c>
      <c r="X917" s="38"/>
      <c r="Y917" s="38"/>
      <c r="Z917" s="38"/>
      <c r="AA917" s="38"/>
      <c r="AB917" s="50">
        <v>46314</v>
      </c>
      <c r="AC917" s="181" t="s">
        <v>1372</v>
      </c>
      <c r="AD917" s="51">
        <f>7+15</f>
        <v>22</v>
      </c>
      <c r="AE917" s="37" t="s">
        <v>387</v>
      </c>
      <c r="AF917" s="37" t="s">
        <v>381</v>
      </c>
      <c r="AG917" s="33" t="str">
        <f>IF(G917&gt;0,IF(AD917&gt;0,IF(AD917=0,"Waiting",IF(AD917&lt;L917,"Partial",IF(AD917=L917,"Full Supply",IF(AD917&gt;L917,"Over Shared")))),"Waiting"),"")</f>
        <v>Full Supply</v>
      </c>
      <c r="AH917" s="37"/>
      <c r="AI917" s="37"/>
      <c r="AJ917" s="181"/>
      <c r="AK917" s="37"/>
      <c r="AL917" s="37"/>
      <c r="AM917" s="181"/>
      <c r="AN917" s="37"/>
      <c r="AO917" s="37"/>
      <c r="AP917" s="37"/>
      <c r="AQ917" s="37"/>
      <c r="AR917" s="37"/>
      <c r="AS917" s="37"/>
      <c r="AT917" s="37"/>
      <c r="AU917" s="37"/>
      <c r="AV917" s="37"/>
      <c r="AW917" s="37"/>
      <c r="AX917" s="37"/>
      <c r="AY917" s="37"/>
      <c r="AZ917" s="181">
        <f>L917-AD917</f>
        <v>0</v>
      </c>
    </row>
    <row r="918" spans="1:52" ht="15.5" customHeight="1">
      <c r="A918" s="360" t="s">
        <v>372</v>
      </c>
      <c r="B918" s="340">
        <v>46296</v>
      </c>
      <c r="C918" s="181">
        <v>51613</v>
      </c>
      <c r="D918" s="30">
        <v>46296</v>
      </c>
      <c r="E918" s="30">
        <v>46294</v>
      </c>
      <c r="F918" s="30">
        <v>46310</v>
      </c>
      <c r="G918" s="37">
        <v>4420234263</v>
      </c>
      <c r="H918" s="37" t="s">
        <v>373</v>
      </c>
      <c r="I918" s="37">
        <v>9040052369</v>
      </c>
      <c r="J918" s="37" t="s">
        <v>199</v>
      </c>
      <c r="K918" s="325" t="s">
        <v>200</v>
      </c>
      <c r="L918" s="181">
        <v>6</v>
      </c>
      <c r="M918" s="181" t="s">
        <v>375</v>
      </c>
      <c r="N918" s="37" t="s">
        <v>434</v>
      </c>
      <c r="O918" s="31">
        <f>IF(F918&gt;0,F918-AB918,"")</f>
        <v>10</v>
      </c>
      <c r="P918" s="37" t="str">
        <f>IF(F918&gt;0,IF(AB918="","PLANNING SUPPLY",IF(AB918&lt;=F918,"ONTIME DELIVERY","DELAY")),"")</f>
        <v>ONTIME DELIVERY</v>
      </c>
      <c r="Q918" s="181" t="str">
        <f>IFERROR(IF(J918&gt;0,VLOOKUP(J918,#REF!,MATCH($Q$6,#REF!,0),0),""),"")</f>
        <v/>
      </c>
      <c r="R918" s="181" t="str">
        <f>IFERROR(IF(J918&gt;0,VLOOKUP(J918,#REF!,MATCH($R$6,#REF!,0),0),""),"")</f>
        <v/>
      </c>
      <c r="S918" s="181" t="e">
        <f>IF(I924&gt;0,Q918+R918,"")</f>
        <v>#VALUE!</v>
      </c>
      <c r="T918" s="181"/>
      <c r="U918" s="181"/>
      <c r="V918" s="37"/>
      <c r="W918" s="181" t="e">
        <f>IF(I924&gt;0,IF(S918&gt;L918,"READY STOCK",IF(S918=0,"OUT OF STOCK",IF(S918&lt;L918,"LOW STOCK",""))),"")</f>
        <v>#VALUE!</v>
      </c>
      <c r="X918" s="38"/>
      <c r="Y918" s="38"/>
      <c r="Z918" s="38"/>
      <c r="AA918" s="38"/>
      <c r="AB918" s="50">
        <v>46300</v>
      </c>
      <c r="AC918" s="44">
        <v>34748</v>
      </c>
      <c r="AD918" s="51">
        <v>6</v>
      </c>
      <c r="AE918" s="37" t="s">
        <v>387</v>
      </c>
      <c r="AF918" s="37" t="s">
        <v>381</v>
      </c>
      <c r="AG918" s="33" t="str">
        <f>IF(G918&gt;0,IF(AD918&gt;0,IF(AD918=0,"Waiting",IF(AD918&lt;L918,"Partial",IF(AD918=L918,"Full Supply",IF(AD918&gt;L918,"Over Shared")))),"Waiting"),"")</f>
        <v>Full Supply</v>
      </c>
      <c r="AH918" s="37"/>
      <c r="AI918" s="37"/>
      <c r="AJ918" s="181"/>
      <c r="AK918" s="37"/>
      <c r="AL918" s="37"/>
      <c r="AM918" s="181"/>
      <c r="AN918" s="37"/>
      <c r="AO918" s="37"/>
      <c r="AP918" s="37"/>
      <c r="AQ918" s="37"/>
      <c r="AR918" s="37"/>
      <c r="AS918" s="37"/>
      <c r="AT918" s="37"/>
      <c r="AU918" s="37"/>
      <c r="AV918" s="37"/>
      <c r="AW918" s="37"/>
      <c r="AX918" s="37"/>
      <c r="AY918" s="37"/>
      <c r="AZ918" s="181">
        <f>L918-AD918</f>
        <v>0</v>
      </c>
    </row>
    <row r="919" spans="1:52" ht="15.5" customHeight="1">
      <c r="A919" s="360" t="s">
        <v>372</v>
      </c>
      <c r="B919" s="340">
        <v>46296</v>
      </c>
      <c r="C919" s="181">
        <v>51613</v>
      </c>
      <c r="D919" s="30">
        <v>46296</v>
      </c>
      <c r="E919" s="30">
        <v>46294</v>
      </c>
      <c r="F919" s="30">
        <v>46310</v>
      </c>
      <c r="G919" s="37">
        <v>4420234263</v>
      </c>
      <c r="H919" s="37" t="s">
        <v>373</v>
      </c>
      <c r="I919" s="37">
        <v>9040019465</v>
      </c>
      <c r="J919" s="37" t="s">
        <v>27</v>
      </c>
      <c r="K919" s="325" t="s">
        <v>28</v>
      </c>
      <c r="L919" s="181">
        <v>8</v>
      </c>
      <c r="M919" s="181" t="s">
        <v>375</v>
      </c>
      <c r="N919" s="37" t="s">
        <v>434</v>
      </c>
      <c r="O919" s="31">
        <f>IF(F919&gt;0,F919-AB919,"")</f>
        <v>-4</v>
      </c>
      <c r="P919" s="37" t="str">
        <f>IF(F919&gt;0,IF(AB919="","PLANNING SUPPLY",IF(AB919&lt;=F919,"ONTIME DELIVERY","DELAY")),"")</f>
        <v>DELAY</v>
      </c>
      <c r="Q919" s="181" t="str">
        <f>IFERROR(IF(J922&gt;0,VLOOKUP(J922,#REF!,MATCH($Q$6,#REF!,0),0),""),"")</f>
        <v/>
      </c>
      <c r="R919" s="181" t="str">
        <f>IFERROR(IF(J922&gt;0,VLOOKUP(J922,#REF!,MATCH($R$6,#REF!,0),0),""),"")</f>
        <v/>
      </c>
      <c r="S919" s="181" t="e">
        <f>IF(I925&gt;0,Q919+R919,"")</f>
        <v>#VALUE!</v>
      </c>
      <c r="T919" s="181"/>
      <c r="U919" s="181"/>
      <c r="V919" s="37"/>
      <c r="W919" s="181" t="e">
        <f>IF(I925&gt;0,IF(S919&gt;L919,"READY STOCK",IF(S919=0,"OUT OF STOCK",IF(S919&lt;L919,"LOW STOCK",""))),"")</f>
        <v>#VALUE!</v>
      </c>
      <c r="X919" s="38"/>
      <c r="Y919" s="38"/>
      <c r="Z919" s="38"/>
      <c r="AA919" s="38"/>
      <c r="AB919" s="50">
        <v>46314</v>
      </c>
      <c r="AC919" s="181">
        <v>34747</v>
      </c>
      <c r="AD919" s="51">
        <v>5</v>
      </c>
      <c r="AE919" s="37" t="s">
        <v>387</v>
      </c>
      <c r="AF919" s="37" t="s">
        <v>381</v>
      </c>
      <c r="AG919" s="33" t="str">
        <f>IF(G919&gt;0,IF(AD919&gt;0,IF(AD919=0,"Waiting",IF(AD919&lt;L919,"Partial",IF(AD919=L919,"Full Supply",IF(AD919&gt;L919,"Over Shared")))),"Waiting"),"")</f>
        <v>Partial</v>
      </c>
      <c r="AH919" s="37"/>
      <c r="AI919" s="37"/>
      <c r="AJ919" s="181"/>
      <c r="AK919" s="37"/>
      <c r="AL919" s="37"/>
      <c r="AM919" s="181"/>
      <c r="AN919" s="37"/>
      <c r="AO919" s="37"/>
      <c r="AP919" s="37"/>
      <c r="AQ919" s="37"/>
      <c r="AR919" s="37"/>
      <c r="AS919" s="37"/>
      <c r="AT919" s="37"/>
      <c r="AU919" s="37"/>
      <c r="AV919" s="37"/>
      <c r="AW919" s="37"/>
      <c r="AX919" s="37"/>
      <c r="AY919" s="37"/>
      <c r="AZ919" s="181">
        <f>L919-AD919</f>
        <v>3</v>
      </c>
    </row>
    <row r="920" spans="1:52" ht="15.5" customHeight="1">
      <c r="A920" s="360" t="s">
        <v>372</v>
      </c>
      <c r="B920" s="340">
        <v>46296</v>
      </c>
      <c r="C920" s="181">
        <v>51613</v>
      </c>
      <c r="D920" s="30">
        <v>46296</v>
      </c>
      <c r="E920" s="30">
        <v>46294</v>
      </c>
      <c r="F920" s="30">
        <v>46310</v>
      </c>
      <c r="G920" s="37">
        <v>4420234263</v>
      </c>
      <c r="H920" s="37" t="s">
        <v>373</v>
      </c>
      <c r="I920" s="243">
        <v>9040009391</v>
      </c>
      <c r="J920" s="37" t="s">
        <v>293</v>
      </c>
      <c r="K920" s="325" t="s">
        <v>294</v>
      </c>
      <c r="L920" s="181">
        <v>5</v>
      </c>
      <c r="M920" s="181" t="s">
        <v>375</v>
      </c>
      <c r="N920" s="37" t="s">
        <v>434</v>
      </c>
      <c r="O920" s="31">
        <f>IF(F920&gt;0,F920-AB920,"")</f>
        <v>-4</v>
      </c>
      <c r="P920" s="37" t="str">
        <f>IF(F920&gt;0,IF(AB920="","PLANNING SUPPLY",IF(AB920&lt;=F920,"ONTIME DELIVERY","DELAY")),"")</f>
        <v>DELAY</v>
      </c>
      <c r="Q920" s="181" t="str">
        <f>IFERROR(IF(J923&gt;0,VLOOKUP(J923,#REF!,MATCH($Q$6,#REF!,0),0),""),"")</f>
        <v/>
      </c>
      <c r="R920" s="181" t="str">
        <f>IFERROR(IF(J923&gt;0,VLOOKUP(J923,#REF!,MATCH($R$6,#REF!,0),0),""),"")</f>
        <v/>
      </c>
      <c r="S920" s="181" t="e">
        <f>IF(I926&gt;0,Q920+R920,"")</f>
        <v>#VALUE!</v>
      </c>
      <c r="T920" s="181"/>
      <c r="U920" s="181"/>
      <c r="V920" s="37"/>
      <c r="W920" s="181" t="e">
        <f>IF(I926&gt;0,IF(S920&gt;L920,"READY STOCK",IF(S920=0,"OUT OF STOCK",IF(S920&lt;L920,"LOW STOCK",""))),"")</f>
        <v>#VALUE!</v>
      </c>
      <c r="X920" s="38"/>
      <c r="Y920" s="38"/>
      <c r="Z920" s="38"/>
      <c r="AA920" s="38"/>
      <c r="AB920" s="50">
        <v>46314</v>
      </c>
      <c r="AC920" s="181">
        <v>34747</v>
      </c>
      <c r="AD920" s="51">
        <v>5</v>
      </c>
      <c r="AE920" s="37" t="s">
        <v>387</v>
      </c>
      <c r="AF920" s="37" t="s">
        <v>381</v>
      </c>
      <c r="AG920" s="33" t="str">
        <f>IF(G920&gt;0,IF(AD920&gt;0,IF(AD920=0,"Waiting",IF(AD920&lt;L920,"Partial",IF(AD920=L920,"Full Supply",IF(AD920&gt;L920,"Over Shared")))),"Waiting"),"")</f>
        <v>Full Supply</v>
      </c>
      <c r="AH920" s="37"/>
      <c r="AI920" s="37"/>
      <c r="AJ920" s="181"/>
      <c r="AK920" s="37"/>
      <c r="AL920" s="37"/>
      <c r="AM920" s="181"/>
      <c r="AN920" s="37"/>
      <c r="AO920" s="37"/>
      <c r="AP920" s="37"/>
      <c r="AQ920" s="37"/>
      <c r="AR920" s="37"/>
      <c r="AS920" s="37"/>
      <c r="AT920" s="37"/>
      <c r="AU920" s="37"/>
      <c r="AV920" s="37"/>
      <c r="AW920" s="37"/>
      <c r="AX920" s="37"/>
      <c r="AY920" s="37"/>
      <c r="AZ920" s="181">
        <f>L920-AD920</f>
        <v>0</v>
      </c>
    </row>
    <row r="921" spans="1:52" ht="15.5" customHeight="1">
      <c r="A921" s="360" t="s">
        <v>372</v>
      </c>
      <c r="B921" s="340">
        <v>46296</v>
      </c>
      <c r="C921" s="181">
        <v>51613</v>
      </c>
      <c r="D921" s="30">
        <v>46296</v>
      </c>
      <c r="E921" s="30">
        <v>46294</v>
      </c>
      <c r="F921" s="30">
        <v>46310</v>
      </c>
      <c r="G921" s="37">
        <v>4420234263</v>
      </c>
      <c r="H921" s="37" t="s">
        <v>373</v>
      </c>
      <c r="I921" s="243">
        <v>9040044154</v>
      </c>
      <c r="J921" s="37" t="s">
        <v>301</v>
      </c>
      <c r="K921" s="325" t="s">
        <v>302</v>
      </c>
      <c r="L921" s="181">
        <v>3</v>
      </c>
      <c r="M921" s="181" t="s">
        <v>375</v>
      </c>
      <c r="N921" s="37" t="s">
        <v>434</v>
      </c>
      <c r="O921" s="31">
        <f>IF(F921&gt;0,F921-AB921,"")</f>
        <v>-4</v>
      </c>
      <c r="P921" s="37" t="str">
        <f>IF(F921&gt;0,IF(AB921="","PLANNING SUPPLY",IF(AB921&lt;=F921,"ONTIME DELIVERY","DELAY")),"")</f>
        <v>DELAY</v>
      </c>
      <c r="Q921" s="181" t="str">
        <f>IFERROR(IF(J924&gt;0,VLOOKUP(J924,#REF!,MATCH($Q$6,#REF!,0),0),""),"")</f>
        <v/>
      </c>
      <c r="R921" s="181" t="str">
        <f>IFERROR(IF(J924&gt;0,VLOOKUP(J924,#REF!,MATCH($R$6,#REF!,0),0),""),"")</f>
        <v/>
      </c>
      <c r="S921" s="181" t="e">
        <f>IF(I927&gt;0,Q921+R921,"")</f>
        <v>#VALUE!</v>
      </c>
      <c r="T921" s="181"/>
      <c r="U921" s="181"/>
      <c r="V921" s="37"/>
      <c r="W921" s="181" t="e">
        <f>IF(I927&gt;0,IF(S921&gt;L921,"READY STOCK",IF(S921=0,"OUT OF STOCK",IF(S921&lt;L921,"LOW STOCK",""))),"")</f>
        <v>#VALUE!</v>
      </c>
      <c r="X921" s="38"/>
      <c r="Y921" s="38"/>
      <c r="Z921" s="38"/>
      <c r="AA921" s="38"/>
      <c r="AB921" s="50">
        <v>46314</v>
      </c>
      <c r="AC921" s="181">
        <v>34747</v>
      </c>
      <c r="AD921" s="51">
        <v>3</v>
      </c>
      <c r="AE921" s="37" t="s">
        <v>387</v>
      </c>
      <c r="AF921" s="37" t="s">
        <v>381</v>
      </c>
      <c r="AG921" s="33" t="str">
        <f>IF(G921&gt;0,IF(AD921&gt;0,IF(AD921=0,"Waiting",IF(AD921&lt;L921,"Partial",IF(AD921=L921,"Full Supply",IF(AD921&gt;L921,"Over Shared")))),"Waiting"),"")</f>
        <v>Full Supply</v>
      </c>
      <c r="AH921" s="233">
        <v>46297</v>
      </c>
      <c r="AI921" s="37" t="s">
        <v>1369</v>
      </c>
      <c r="AJ921" s="181">
        <v>47</v>
      </c>
      <c r="AK921" s="37"/>
      <c r="AL921" s="37"/>
      <c r="AM921" s="181"/>
      <c r="AN921" s="37"/>
      <c r="AO921" s="37"/>
      <c r="AP921" s="37"/>
      <c r="AQ921" s="37"/>
      <c r="AR921" s="37"/>
      <c r="AS921" s="37"/>
      <c r="AT921" s="37"/>
      <c r="AU921" s="37"/>
      <c r="AV921" s="37"/>
      <c r="AW921" s="37"/>
      <c r="AX921" s="37"/>
      <c r="AY921" s="37"/>
      <c r="AZ921" s="181">
        <f>L921-AD921</f>
        <v>0</v>
      </c>
    </row>
    <row r="922" spans="1:52" ht="15.5" customHeight="1">
      <c r="A922" s="360" t="s">
        <v>372</v>
      </c>
      <c r="B922" s="340">
        <v>46296</v>
      </c>
      <c r="C922" s="181">
        <v>51614</v>
      </c>
      <c r="D922" s="30">
        <v>46296</v>
      </c>
      <c r="E922" s="30">
        <v>46294</v>
      </c>
      <c r="F922" s="30">
        <v>46323</v>
      </c>
      <c r="G922" s="37">
        <v>4420234351</v>
      </c>
      <c r="H922" s="37" t="s">
        <v>373</v>
      </c>
      <c r="I922" s="37">
        <v>9040009482</v>
      </c>
      <c r="J922" s="37" t="s">
        <v>233</v>
      </c>
      <c r="K922" s="325" t="s">
        <v>234</v>
      </c>
      <c r="L922" s="181">
        <v>3</v>
      </c>
      <c r="M922" s="181" t="s">
        <v>389</v>
      </c>
      <c r="N922" s="37" t="s">
        <v>408</v>
      </c>
      <c r="O922" s="31">
        <f>IF(F922&gt;0,F922-AB922,"")</f>
        <v>46323</v>
      </c>
      <c r="P922" s="37" t="str">
        <f>IF(F922&gt;0,IF(AB922="","PLANNING SUPPLY",IF(AB922&lt;=F922,"ONTIME DELIVERY","DELAY")),"")</f>
        <v>PLANNING SUPPLY</v>
      </c>
      <c r="Q922" s="181" t="str">
        <f>IFERROR(IF(J925&gt;0,VLOOKUP(J925,#REF!,MATCH($Q$6,#REF!,0),0),""),"")</f>
        <v/>
      </c>
      <c r="R922" s="181" t="str">
        <f>IFERROR(IF(J925&gt;0,VLOOKUP(J925,#REF!,MATCH($R$6,#REF!,0),0),""),"")</f>
        <v/>
      </c>
      <c r="S922" s="181" t="e">
        <f>IF(I928&gt;0,Q922+R922,"")</f>
        <v>#VALUE!</v>
      </c>
      <c r="T922" s="181"/>
      <c r="U922" s="181"/>
      <c r="V922" s="37"/>
      <c r="W922" s="181" t="e">
        <f>IF(I928&gt;0,IF(S922&gt;L922,"READY STOCK",IF(S922=0,"OUT OF STOCK",IF(S922&lt;L922,"LOW STOCK",""))),"")</f>
        <v>#VALUE!</v>
      </c>
      <c r="X922" s="38"/>
      <c r="Y922" s="38"/>
      <c r="Z922" s="38"/>
      <c r="AA922" s="38"/>
      <c r="AB922" s="50"/>
      <c r="AC922" s="181"/>
      <c r="AD922" s="51"/>
      <c r="AE922" s="37"/>
      <c r="AF922" s="37"/>
      <c r="AG922" s="33" t="str">
        <f>IF(G922&gt;0,IF(AD922&gt;0,IF(AD922=0,"Waiting",IF(AD922&lt;L922,"Partial",IF(AD922=L922,"Full Supply",IF(AD922&gt;L922,"Over Shared")))),"Waiting"),"")</f>
        <v>Waiting</v>
      </c>
      <c r="AH922" s="37"/>
      <c r="AI922" s="37"/>
      <c r="AJ922" s="181"/>
      <c r="AK922" s="37"/>
      <c r="AL922" s="37"/>
      <c r="AM922" s="181"/>
      <c r="AN922" s="37"/>
      <c r="AO922" s="37"/>
      <c r="AP922" s="37"/>
      <c r="AQ922" s="37"/>
      <c r="AR922" s="37"/>
      <c r="AS922" s="37"/>
      <c r="AT922" s="37"/>
      <c r="AU922" s="37"/>
      <c r="AV922" s="37"/>
      <c r="AW922" s="37"/>
      <c r="AX922" s="37"/>
      <c r="AY922" s="37"/>
      <c r="AZ922" s="181">
        <f>L922-AD922</f>
        <v>3</v>
      </c>
    </row>
    <row r="923" spans="1:52" ht="15.5" customHeight="1">
      <c r="A923" s="360" t="s">
        <v>372</v>
      </c>
      <c r="B923" s="340">
        <v>46296</v>
      </c>
      <c r="C923" s="181">
        <v>51614</v>
      </c>
      <c r="D923" s="30">
        <v>46296</v>
      </c>
      <c r="E923" s="30">
        <v>46294</v>
      </c>
      <c r="F923" s="30">
        <v>46323</v>
      </c>
      <c r="G923" s="37">
        <v>4420234351</v>
      </c>
      <c r="H923" s="37" t="s">
        <v>373</v>
      </c>
      <c r="I923" s="37">
        <v>9040015386</v>
      </c>
      <c r="J923" s="37" t="s">
        <v>122</v>
      </c>
      <c r="K923" s="325" t="s">
        <v>319</v>
      </c>
      <c r="L923" s="181">
        <v>3</v>
      </c>
      <c r="M923" s="181" t="s">
        <v>375</v>
      </c>
      <c r="N923" s="37" t="s">
        <v>408</v>
      </c>
      <c r="O923" s="31">
        <f>IF(F923&gt;0,F923-AB923,"")</f>
        <v>19</v>
      </c>
      <c r="P923" s="37" t="str">
        <f>IF(F923&gt;0,IF(AB923="","PLANNING SUPPLY",IF(AB923&lt;=F923,"ONTIME DELIVERY","DELAY")),"")</f>
        <v>ONTIME DELIVERY</v>
      </c>
      <c r="Q923" s="181" t="str">
        <f>IFERROR(IF(J926&gt;0,VLOOKUP(J926,#REF!,MATCH($Q$6,#REF!,0),0),""),"")</f>
        <v/>
      </c>
      <c r="R923" s="181" t="str">
        <f>IFERROR(IF(J926&gt;0,VLOOKUP(J926,#REF!,MATCH($R$6,#REF!,0),0),""),"")</f>
        <v/>
      </c>
      <c r="S923" s="181" t="e">
        <f>IF(I929&gt;0,Q923+R923,"")</f>
        <v>#VALUE!</v>
      </c>
      <c r="T923" s="181"/>
      <c r="U923" s="181"/>
      <c r="V923" s="37"/>
      <c r="W923" s="181" t="e">
        <f>IF(I929&gt;0,IF(S923&gt;L923,"READY STOCK",IF(S923=0,"OUT OF STOCK",IF(S923&lt;L923,"LOW STOCK",""))),"")</f>
        <v>#VALUE!</v>
      </c>
      <c r="X923" s="38"/>
      <c r="Y923" s="38"/>
      <c r="Z923" s="38"/>
      <c r="AA923" s="38"/>
      <c r="AB923" s="57">
        <v>46304</v>
      </c>
      <c r="AC923" s="181">
        <v>34871</v>
      </c>
      <c r="AD923" s="53">
        <v>3</v>
      </c>
      <c r="AE923" s="58" t="s">
        <v>387</v>
      </c>
      <c r="AF923" s="58" t="s">
        <v>381</v>
      </c>
      <c r="AG923" s="33" t="str">
        <f>IF(G923&gt;0,IF(AD923&gt;0,IF(AD923=0,"Waiting",IF(AD923&lt;L923,"Partial",IF(AD923=L923,"Full Supply",IF(AD923&gt;L923,"Over Shared")))),"Waiting"),"")</f>
        <v>Full Supply</v>
      </c>
      <c r="AH923" s="37"/>
      <c r="AI923" s="37"/>
      <c r="AJ923" s="181"/>
      <c r="AK923" s="37"/>
      <c r="AL923" s="37"/>
      <c r="AM923" s="181"/>
      <c r="AN923" s="37"/>
      <c r="AO923" s="37"/>
      <c r="AP923" s="37"/>
      <c r="AQ923" s="37"/>
      <c r="AR923" s="37"/>
      <c r="AS923" s="37"/>
      <c r="AT923" s="37"/>
      <c r="AU923" s="37"/>
      <c r="AV923" s="37"/>
      <c r="AW923" s="37"/>
      <c r="AX923" s="37"/>
      <c r="AY923" s="37"/>
      <c r="AZ923" s="181">
        <f>L923-AD923</f>
        <v>0</v>
      </c>
    </row>
    <row r="924" spans="1:52" ht="15.5" customHeight="1">
      <c r="A924" s="360" t="s">
        <v>372</v>
      </c>
      <c r="B924" s="340">
        <v>46296</v>
      </c>
      <c r="C924" s="181">
        <v>51614</v>
      </c>
      <c r="D924" s="30">
        <v>46296</v>
      </c>
      <c r="E924" s="30">
        <v>46294</v>
      </c>
      <c r="F924" s="30">
        <v>46323</v>
      </c>
      <c r="G924" s="37">
        <v>4420234351</v>
      </c>
      <c r="H924" s="37" t="s">
        <v>373</v>
      </c>
      <c r="I924" s="37">
        <v>9040016343</v>
      </c>
      <c r="J924" s="37" t="s">
        <v>211</v>
      </c>
      <c r="K924" s="325" t="s">
        <v>212</v>
      </c>
      <c r="L924" s="181">
        <v>7</v>
      </c>
      <c r="M924" s="181" t="s">
        <v>421</v>
      </c>
      <c r="N924" s="37" t="s">
        <v>408</v>
      </c>
      <c r="O924" s="31">
        <f>IF(F924&gt;0,F924-AB924,"")</f>
        <v>9</v>
      </c>
      <c r="P924" s="37" t="str">
        <f>IF(F924&gt;0,IF(AB924="","PLANNING SUPPLY",IF(AB924&lt;=F924,"ONTIME DELIVERY","DELAY")),"")</f>
        <v>ONTIME DELIVERY</v>
      </c>
      <c r="Q924" s="181" t="str">
        <f>IFERROR(IF(J927&gt;0,VLOOKUP(J927,#REF!,MATCH($Q$6,#REF!,0),0),""),"")</f>
        <v/>
      </c>
      <c r="R924" s="181" t="str">
        <f>IFERROR(IF(J927&gt;0,VLOOKUP(J927,#REF!,MATCH($R$6,#REF!,0),0),""),"")</f>
        <v/>
      </c>
      <c r="S924" s="181" t="e">
        <f>IF(I930&gt;0,Q924+R924,"")</f>
        <v>#VALUE!</v>
      </c>
      <c r="T924" s="181"/>
      <c r="U924" s="181"/>
      <c r="V924" s="37"/>
      <c r="W924" s="181" t="e">
        <f>IF(I930&gt;0,IF(S924&gt;L924,"READY STOCK",IF(S924=0,"OUT OF STOCK",IF(S924&lt;L924,"LOW STOCK",""))),"")</f>
        <v>#VALUE!</v>
      </c>
      <c r="X924" s="38"/>
      <c r="Y924" s="38"/>
      <c r="Z924" s="38"/>
      <c r="AA924" s="38"/>
      <c r="AB924" s="50">
        <v>46314</v>
      </c>
      <c r="AC924" s="44" t="s">
        <v>1373</v>
      </c>
      <c r="AD924" s="51">
        <v>7</v>
      </c>
      <c r="AE924" s="37" t="s">
        <v>387</v>
      </c>
      <c r="AF924" s="37" t="s">
        <v>381</v>
      </c>
      <c r="AG924" s="33" t="str">
        <f>IF(G924&gt;0,IF(AD924&gt;0,IF(AD924=0,"Waiting",IF(AD924&lt;L924,"Partial",IF(AD924=L924,"Full Supply",IF(AD924&gt;L924,"Over Shared")))),"Waiting"),"")</f>
        <v>Full Supply</v>
      </c>
      <c r="AH924" s="233">
        <v>46297</v>
      </c>
      <c r="AI924" s="37" t="s">
        <v>1369</v>
      </c>
      <c r="AJ924" s="181">
        <v>47</v>
      </c>
      <c r="AK924" s="37"/>
      <c r="AL924" s="37"/>
      <c r="AM924" s="181"/>
      <c r="AN924" s="37"/>
      <c r="AO924" s="37"/>
      <c r="AP924" s="37"/>
      <c r="AQ924" s="37"/>
      <c r="AR924" s="37"/>
      <c r="AS924" s="37"/>
      <c r="AT924" s="37"/>
      <c r="AU924" s="37"/>
      <c r="AV924" s="37"/>
      <c r="AW924" s="37"/>
      <c r="AX924" s="37"/>
      <c r="AY924" s="37"/>
      <c r="AZ924" s="181">
        <f>L924-AD924</f>
        <v>0</v>
      </c>
    </row>
    <row r="925" spans="1:52" ht="15.5" customHeight="1">
      <c r="A925" s="360" t="s">
        <v>372</v>
      </c>
      <c r="B925" s="340">
        <v>46296</v>
      </c>
      <c r="C925" s="181">
        <v>51614</v>
      </c>
      <c r="D925" s="30">
        <v>46296</v>
      </c>
      <c r="E925" s="30">
        <v>46294</v>
      </c>
      <c r="F925" s="30">
        <v>46323</v>
      </c>
      <c r="G925" s="37">
        <v>4420234351</v>
      </c>
      <c r="H925" s="37" t="s">
        <v>373</v>
      </c>
      <c r="I925" s="37">
        <v>9040016581</v>
      </c>
      <c r="J925" s="37" t="s">
        <v>185</v>
      </c>
      <c r="K925" s="325" t="s">
        <v>186</v>
      </c>
      <c r="L925" s="181">
        <v>33</v>
      </c>
      <c r="M925" s="181" t="s">
        <v>375</v>
      </c>
      <c r="N925" s="37" t="s">
        <v>408</v>
      </c>
      <c r="O925" s="31">
        <f>IF(F925&gt;0,F925-AB925,"")</f>
        <v>46323</v>
      </c>
      <c r="P925" s="37" t="str">
        <f>IF(F925&gt;0,IF(AB925="","PLANNING SUPPLY",IF(AB925&lt;=F925,"ONTIME DELIVERY","DELAY")),"")</f>
        <v>PLANNING SUPPLY</v>
      </c>
      <c r="Q925" s="181" t="str">
        <f>IFERROR(IF(J928&gt;0,VLOOKUP(J928,#REF!,MATCH($Q$6,#REF!,0),0),""),"")</f>
        <v/>
      </c>
      <c r="R925" s="181" t="str">
        <f>IFERROR(IF(J928&gt;0,VLOOKUP(J928,#REF!,MATCH($R$6,#REF!,0),0),""),"")</f>
        <v/>
      </c>
      <c r="S925" s="181" t="e">
        <f>IF(I931&gt;0,Q925+R925,"")</f>
        <v>#VALUE!</v>
      </c>
      <c r="T925" s="181"/>
      <c r="U925" s="181"/>
      <c r="V925" s="37"/>
      <c r="W925" s="181" t="e">
        <f>IF(I931&gt;0,IF(S925&gt;L925,"READY STOCK",IF(S925=0,"OUT OF STOCK",IF(S925&lt;L925,"LOW STOCK",""))),"")</f>
        <v>#VALUE!</v>
      </c>
      <c r="X925" s="38"/>
      <c r="Y925" s="38"/>
      <c r="Z925" s="38"/>
      <c r="AA925" s="38"/>
      <c r="AB925" s="50"/>
      <c r="AC925" s="181"/>
      <c r="AD925" s="51"/>
      <c r="AE925" s="37"/>
      <c r="AF925" s="37"/>
      <c r="AG925" s="33" t="str">
        <f>IF(G925&gt;0,IF(AD925&gt;0,IF(AD925=0,"Waiting",IF(AD925&lt;L925,"Partial",IF(AD925=L925,"Full Supply",IF(AD925&gt;L925,"Over Shared")))),"Waiting"),"")</f>
        <v>Waiting</v>
      </c>
      <c r="AH925" s="37"/>
      <c r="AI925" s="37"/>
      <c r="AJ925" s="181"/>
      <c r="AK925" s="37"/>
      <c r="AL925" s="37"/>
      <c r="AM925" s="181"/>
      <c r="AN925" s="37"/>
      <c r="AO925" s="37"/>
      <c r="AP925" s="37"/>
      <c r="AQ925" s="37"/>
      <c r="AR925" s="37"/>
      <c r="AS925" s="37"/>
      <c r="AT925" s="37"/>
      <c r="AU925" s="37"/>
      <c r="AV925" s="37"/>
      <c r="AW925" s="37"/>
      <c r="AX925" s="37"/>
      <c r="AY925" s="37"/>
      <c r="AZ925" s="181">
        <f>L925-AD925</f>
        <v>33</v>
      </c>
    </row>
    <row r="926" spans="1:52" ht="15.5" customHeight="1">
      <c r="A926" s="360" t="s">
        <v>372</v>
      </c>
      <c r="B926" s="340">
        <v>46296</v>
      </c>
      <c r="C926" s="181">
        <v>51614</v>
      </c>
      <c r="D926" s="30">
        <v>46296</v>
      </c>
      <c r="E926" s="30">
        <v>46294</v>
      </c>
      <c r="F926" s="30">
        <v>46323</v>
      </c>
      <c r="G926" s="37">
        <v>4420234351</v>
      </c>
      <c r="H926" s="37" t="s">
        <v>373</v>
      </c>
      <c r="I926" s="37">
        <v>9040016582</v>
      </c>
      <c r="J926" s="37" t="s">
        <v>183</v>
      </c>
      <c r="K926" s="325" t="s">
        <v>184</v>
      </c>
      <c r="L926" s="181">
        <v>21</v>
      </c>
      <c r="M926" s="181" t="s">
        <v>375</v>
      </c>
      <c r="N926" s="37" t="s">
        <v>408</v>
      </c>
      <c r="O926" s="31">
        <f>IF(F926&gt;0,F926-AB926,"")</f>
        <v>46323</v>
      </c>
      <c r="P926" s="37" t="str">
        <f>IF(F926&gt;0,IF(AB926="","PLANNING SUPPLY",IF(AB926&lt;=F926,"ONTIME DELIVERY","DELAY")),"")</f>
        <v>PLANNING SUPPLY</v>
      </c>
      <c r="Q926" s="181" t="str">
        <f>IFERROR(IF(J929&gt;0,VLOOKUP(J929,#REF!,MATCH($Q$6,#REF!,0),0),""),"")</f>
        <v/>
      </c>
      <c r="R926" s="181" t="str">
        <f>IFERROR(IF(J929&gt;0,VLOOKUP(J929,#REF!,MATCH($R$6,#REF!,0),0),""),"")</f>
        <v/>
      </c>
      <c r="S926" s="181" t="e">
        <f>IF(I932&gt;0,Q926+R926,"")</f>
        <v>#VALUE!</v>
      </c>
      <c r="T926" s="181"/>
      <c r="U926" s="181"/>
      <c r="V926" s="37"/>
      <c r="W926" s="181" t="e">
        <f>IF(I932&gt;0,IF(S926&gt;L926,"READY STOCK",IF(S926=0,"OUT OF STOCK",IF(S926&lt;L926,"LOW STOCK",""))),"")</f>
        <v>#VALUE!</v>
      </c>
      <c r="X926" s="38"/>
      <c r="Y926" s="38"/>
      <c r="Z926" s="38"/>
      <c r="AA926" s="38"/>
      <c r="AB926" s="50"/>
      <c r="AC926" s="181"/>
      <c r="AD926" s="51"/>
      <c r="AE926" s="37"/>
      <c r="AF926" s="37"/>
      <c r="AG926" s="33" t="str">
        <f>IF(G926&gt;0,IF(AD926&gt;0,IF(AD926=0,"Waiting",IF(AD926&lt;L926,"Partial",IF(AD926=L926,"Full Supply",IF(AD926&gt;L926,"Over Shared")))),"Waiting"),"")</f>
        <v>Waiting</v>
      </c>
      <c r="AH926" s="37"/>
      <c r="AI926" s="37"/>
      <c r="AJ926" s="181"/>
      <c r="AK926" s="37"/>
      <c r="AL926" s="37"/>
      <c r="AM926" s="181"/>
      <c r="AN926" s="37"/>
      <c r="AO926" s="37"/>
      <c r="AP926" s="37"/>
      <c r="AQ926" s="37"/>
      <c r="AR926" s="37"/>
      <c r="AS926" s="37"/>
      <c r="AT926" s="37"/>
      <c r="AU926" s="37"/>
      <c r="AV926" s="37"/>
      <c r="AW926" s="37"/>
      <c r="AX926" s="37"/>
      <c r="AY926" s="37"/>
      <c r="AZ926" s="181">
        <f>L926-AD926</f>
        <v>21</v>
      </c>
    </row>
    <row r="927" spans="1:52" ht="15.5" customHeight="1">
      <c r="A927" s="360" t="s">
        <v>372</v>
      </c>
      <c r="B927" s="340">
        <v>46296</v>
      </c>
      <c r="C927" s="181">
        <v>51614</v>
      </c>
      <c r="D927" s="30">
        <v>46296</v>
      </c>
      <c r="E927" s="30">
        <v>46294</v>
      </c>
      <c r="F927" s="30">
        <v>46323</v>
      </c>
      <c r="G927" s="37">
        <v>4420234351</v>
      </c>
      <c r="H927" s="37" t="s">
        <v>373</v>
      </c>
      <c r="I927" s="37">
        <v>9040019465</v>
      </c>
      <c r="J927" s="37" t="s">
        <v>27</v>
      </c>
      <c r="K927" s="325" t="s">
        <v>28</v>
      </c>
      <c r="L927" s="181">
        <v>11</v>
      </c>
      <c r="M927" s="181" t="s">
        <v>375</v>
      </c>
      <c r="N927" s="37" t="s">
        <v>408</v>
      </c>
      <c r="O927" s="31">
        <f>IF(F927&gt;0,F927-AB927,"")</f>
        <v>9</v>
      </c>
      <c r="P927" s="37" t="str">
        <f>IF(F927&gt;0,IF(AB927="","PLANNING SUPPLY",IF(AB927&lt;=F927,"ONTIME DELIVERY","DELAY")),"")</f>
        <v>ONTIME DELIVERY</v>
      </c>
      <c r="Q927" s="181" t="str">
        <f>IFERROR(IF(J930&gt;0,VLOOKUP(J930,#REF!,MATCH($Q$6,#REF!,0),0),""),"")</f>
        <v/>
      </c>
      <c r="R927" s="181" t="str">
        <f>IFERROR(IF(J930&gt;0,VLOOKUP(J930,#REF!,MATCH($R$6,#REF!,0),0),""),"")</f>
        <v/>
      </c>
      <c r="S927" s="181" t="e">
        <f>IF(I933&gt;0,Q927+R927,"")</f>
        <v>#VALUE!</v>
      </c>
      <c r="T927" s="181"/>
      <c r="U927" s="181"/>
      <c r="V927" s="37"/>
      <c r="W927" s="181" t="e">
        <f>IF(I933&gt;0,IF(S927&gt;L927,"READY STOCK",IF(S927=0,"OUT OF STOCK",IF(S927&lt;L927,"LOW STOCK",""))),"")</f>
        <v>#VALUE!</v>
      </c>
      <c r="X927" s="38"/>
      <c r="Y927" s="38"/>
      <c r="Z927" s="38"/>
      <c r="AA927" s="38"/>
      <c r="AB927" s="50">
        <v>46314</v>
      </c>
      <c r="AC927" s="44" t="s">
        <v>1374</v>
      </c>
      <c r="AD927" s="51">
        <v>11</v>
      </c>
      <c r="AE927" s="37" t="s">
        <v>387</v>
      </c>
      <c r="AF927" s="37" t="s">
        <v>381</v>
      </c>
      <c r="AG927" s="33" t="str">
        <f>IF(G927&gt;0,IF(AD927&gt;0,IF(AD927=0,"Waiting",IF(AD927&lt;L927,"Partial",IF(AD927=L927,"Full Supply",IF(AD927&gt;L927,"Over Shared")))),"Waiting"),"")</f>
        <v>Full Supply</v>
      </c>
      <c r="AH927" s="37"/>
      <c r="AI927" s="37"/>
      <c r="AJ927" s="181"/>
      <c r="AK927" s="37"/>
      <c r="AL927" s="37"/>
      <c r="AM927" s="181"/>
      <c r="AN927" s="37"/>
      <c r="AO927" s="37"/>
      <c r="AP927" s="37"/>
      <c r="AQ927" s="37"/>
      <c r="AR927" s="37"/>
      <c r="AS927" s="37"/>
      <c r="AT927" s="37"/>
      <c r="AU927" s="37"/>
      <c r="AV927" s="37"/>
      <c r="AW927" s="37"/>
      <c r="AX927" s="37"/>
      <c r="AY927" s="37"/>
      <c r="AZ927" s="181">
        <f>L927-AD927</f>
        <v>0</v>
      </c>
    </row>
    <row r="928" spans="1:52" ht="15.5" customHeight="1">
      <c r="A928" s="360" t="s">
        <v>372</v>
      </c>
      <c r="B928" s="340">
        <v>46296</v>
      </c>
      <c r="C928" s="181">
        <v>51614</v>
      </c>
      <c r="D928" s="30">
        <v>46296</v>
      </c>
      <c r="E928" s="30">
        <v>46294</v>
      </c>
      <c r="F928" s="30">
        <v>46323</v>
      </c>
      <c r="G928" s="37">
        <v>4420234351</v>
      </c>
      <c r="H928" s="37" t="s">
        <v>373</v>
      </c>
      <c r="I928" s="37">
        <v>9040020519</v>
      </c>
      <c r="J928" s="37" t="s">
        <v>93</v>
      </c>
      <c r="K928" s="325" t="s">
        <v>94</v>
      </c>
      <c r="L928" s="181">
        <v>9</v>
      </c>
      <c r="M928" s="181" t="s">
        <v>478</v>
      </c>
      <c r="N928" s="37" t="s">
        <v>408</v>
      </c>
      <c r="O928" s="31">
        <f>IF(F928&gt;0,F928-AB928,"")</f>
        <v>46323</v>
      </c>
      <c r="P928" s="37" t="str">
        <f>IF(F928&gt;0,IF(AB928="","PLANNING SUPPLY",IF(AB928&lt;=F928,"ONTIME DELIVERY","DELAY")),"")</f>
        <v>PLANNING SUPPLY</v>
      </c>
      <c r="Q928" s="181" t="str">
        <f>IFERROR(IF(J931&gt;0,VLOOKUP(J931,#REF!,MATCH($Q$6,#REF!,0),0),""),"")</f>
        <v/>
      </c>
      <c r="R928" s="181" t="str">
        <f>IFERROR(IF(J931&gt;0,VLOOKUP(J931,#REF!,MATCH($R$6,#REF!,0),0),""),"")</f>
        <v/>
      </c>
      <c r="S928" s="181" t="e">
        <f>IF(I934&gt;0,Q928+R928,"")</f>
        <v>#VALUE!</v>
      </c>
      <c r="T928" s="181"/>
      <c r="U928" s="181"/>
      <c r="V928" s="37"/>
      <c r="W928" s="181" t="e">
        <f>IF(I934&gt;0,IF(S928&gt;L928,"READY STOCK",IF(S928=0,"OUT OF STOCK",IF(S928&lt;L928,"LOW STOCK",""))),"")</f>
        <v>#VALUE!</v>
      </c>
      <c r="X928" s="38"/>
      <c r="Y928" s="38"/>
      <c r="Z928" s="38"/>
      <c r="AA928" s="38"/>
      <c r="AB928" s="50"/>
      <c r="AC928" s="181"/>
      <c r="AD928" s="51"/>
      <c r="AE928" s="37"/>
      <c r="AF928" s="37"/>
      <c r="AG928" s="33" t="str">
        <f>IF(G928&gt;0,IF(AD928&gt;0,IF(AD928=0,"Waiting",IF(AD928&lt;L928,"Partial",IF(AD928=L928,"Full Supply",IF(AD928&gt;L928,"Over Shared")))),"Waiting"),"")</f>
        <v>Waiting</v>
      </c>
      <c r="AH928" s="37"/>
      <c r="AI928" s="37"/>
      <c r="AJ928" s="181"/>
      <c r="AK928" s="37"/>
      <c r="AL928" s="37"/>
      <c r="AM928" s="181"/>
      <c r="AN928" s="37"/>
      <c r="AO928" s="37"/>
      <c r="AP928" s="37"/>
      <c r="AQ928" s="37"/>
      <c r="AR928" s="37"/>
      <c r="AS928" s="37"/>
      <c r="AT928" s="37"/>
      <c r="AU928" s="37"/>
      <c r="AV928" s="37"/>
      <c r="AW928" s="37"/>
      <c r="AX928" s="37"/>
      <c r="AY928" s="37"/>
      <c r="AZ928" s="181">
        <f>L928-AD928</f>
        <v>9</v>
      </c>
    </row>
    <row r="929" spans="1:52" ht="15.5" customHeight="1">
      <c r="A929" s="360" t="s">
        <v>372</v>
      </c>
      <c r="B929" s="340">
        <v>46296</v>
      </c>
      <c r="C929" s="181">
        <v>51614</v>
      </c>
      <c r="D929" s="30">
        <v>46296</v>
      </c>
      <c r="E929" s="30">
        <v>46294</v>
      </c>
      <c r="F929" s="30">
        <v>46323</v>
      </c>
      <c r="G929" s="37">
        <v>4420234351</v>
      </c>
      <c r="H929" s="37" t="s">
        <v>373</v>
      </c>
      <c r="I929" s="37">
        <v>9040021297</v>
      </c>
      <c r="J929" s="37" t="s">
        <v>108</v>
      </c>
      <c r="K929" s="325" t="s">
        <v>109</v>
      </c>
      <c r="L929" s="181">
        <v>4</v>
      </c>
      <c r="M929" s="181" t="s">
        <v>375</v>
      </c>
      <c r="N929" s="37" t="s">
        <v>408</v>
      </c>
      <c r="O929" s="31">
        <f>IF(F929&gt;0,F929-AB929,"")</f>
        <v>7</v>
      </c>
      <c r="P929" s="37" t="str">
        <f>IF(F929&gt;0,IF(AB929="","PLANNING SUPPLY",IF(AB929&lt;=F929,"ONTIME DELIVERY","DELAY")),"")</f>
        <v>ONTIME DELIVERY</v>
      </c>
      <c r="Q929" s="181" t="str">
        <f>IFERROR(IF(J932&gt;0,VLOOKUP(J932,#REF!,MATCH($Q$6,#REF!,0),0),""),"")</f>
        <v/>
      </c>
      <c r="R929" s="181" t="str">
        <f>IFERROR(IF(J932&gt;0,VLOOKUP(J932,#REF!,MATCH($R$6,#REF!,0),0),""),"")</f>
        <v/>
      </c>
      <c r="S929" s="181" t="e">
        <f>IF(#REF!&gt;0,Q929+R929,"")</f>
        <v>#REF!</v>
      </c>
      <c r="T929" s="181"/>
      <c r="U929" s="181"/>
      <c r="V929" s="37"/>
      <c r="W929" s="181" t="e">
        <f>IF(#REF!&gt;0,IF(S929&gt;L929,"READY STOCK",IF(S929=0,"OUT OF STOCK",IF(S929&lt;L929,"LOW STOCK",""))),"")</f>
        <v>#REF!</v>
      </c>
      <c r="X929" s="38"/>
      <c r="Y929" s="38"/>
      <c r="Z929" s="38"/>
      <c r="AA929" s="38"/>
      <c r="AB929" s="50">
        <v>46316</v>
      </c>
      <c r="AC929" s="44" t="s">
        <v>1375</v>
      </c>
      <c r="AD929" s="51">
        <v>4</v>
      </c>
      <c r="AE929" s="37" t="s">
        <v>387</v>
      </c>
      <c r="AF929" s="37" t="s">
        <v>381</v>
      </c>
      <c r="AG929" s="33" t="str">
        <f>IF(G929&gt;0,IF(AD929&gt;0,IF(AD929=0,"Waiting",IF(AD929&lt;L929,"Partial",IF(AD929=L929,"Full Supply",IF(AD929&gt;L929,"Over Shared")))),"Waiting"),"")</f>
        <v>Full Supply</v>
      </c>
      <c r="AH929" s="233">
        <v>46297</v>
      </c>
      <c r="AI929" s="37" t="s">
        <v>1369</v>
      </c>
      <c r="AJ929" s="181">
        <v>4</v>
      </c>
      <c r="AK929" s="37"/>
      <c r="AL929" s="37"/>
      <c r="AM929" s="181"/>
      <c r="AN929" s="37"/>
      <c r="AO929" s="37"/>
      <c r="AP929" s="37"/>
      <c r="AQ929" s="37"/>
      <c r="AR929" s="37"/>
      <c r="AS929" s="37"/>
      <c r="AT929" s="37"/>
      <c r="AU929" s="37"/>
      <c r="AV929" s="37"/>
      <c r="AW929" s="37"/>
      <c r="AX929" s="37"/>
      <c r="AY929" s="37"/>
      <c r="AZ929" s="181">
        <f>L929-AD929</f>
        <v>0</v>
      </c>
    </row>
    <row r="930" spans="1:52" ht="15.5" customHeight="1">
      <c r="A930" s="360" t="s">
        <v>372</v>
      </c>
      <c r="B930" s="340">
        <v>46296</v>
      </c>
      <c r="C930" s="181">
        <v>51614</v>
      </c>
      <c r="D930" s="30">
        <v>46296</v>
      </c>
      <c r="E930" s="30">
        <v>46294</v>
      </c>
      <c r="F930" s="30">
        <v>46323</v>
      </c>
      <c r="G930" s="37">
        <v>4420234351</v>
      </c>
      <c r="H930" s="37" t="s">
        <v>373</v>
      </c>
      <c r="I930" s="37">
        <v>9040024384</v>
      </c>
      <c r="J930" s="37" t="s">
        <v>54</v>
      </c>
      <c r="K930" s="325" t="s">
        <v>55</v>
      </c>
      <c r="L930" s="181">
        <v>6</v>
      </c>
      <c r="M930" s="181" t="s">
        <v>478</v>
      </c>
      <c r="N930" s="37" t="s">
        <v>408</v>
      </c>
      <c r="O930" s="31">
        <f>IF(F930&gt;0,F930-AB930,"")</f>
        <v>16</v>
      </c>
      <c r="P930" s="37" t="str">
        <f>IF(F930&gt;0,IF(AB930="","PLANNING SUPPLY",IF(AB930&lt;=F930,"ONTIME DELIVERY","DELAY")),"")</f>
        <v>ONTIME DELIVERY</v>
      </c>
      <c r="Q930" s="181" t="str">
        <f>IFERROR(IF(J933&gt;0,VLOOKUP(J933,#REF!,MATCH($Q$6,#REF!,0),0),""),"")</f>
        <v/>
      </c>
      <c r="R930" s="181" t="str">
        <f>IFERROR(IF(J933&gt;0,VLOOKUP(J933,#REF!,MATCH($R$6,#REF!,0),0),""),"")</f>
        <v/>
      </c>
      <c r="S930" s="181" t="e">
        <f>IF(#REF!&gt;0,Q930+R930,"")</f>
        <v>#REF!</v>
      </c>
      <c r="T930" s="181"/>
      <c r="U930" s="181"/>
      <c r="V930" s="37"/>
      <c r="W930" s="181" t="e">
        <f>IF(#REF!&gt;0,IF(S930&gt;L930,"READY STOCK",IF(S930=0,"OUT OF STOCK",IF(S930&lt;L930,"LOW STOCK",""))),"")</f>
        <v>#REF!</v>
      </c>
      <c r="X930" s="38"/>
      <c r="Y930" s="38"/>
      <c r="Z930" s="38"/>
      <c r="AA930" s="38"/>
      <c r="AB930" s="50">
        <v>46307</v>
      </c>
      <c r="AC930" s="181">
        <v>34935</v>
      </c>
      <c r="AD930" s="51">
        <v>6</v>
      </c>
      <c r="AE930" s="37" t="s">
        <v>387</v>
      </c>
      <c r="AF930" s="37" t="s">
        <v>381</v>
      </c>
      <c r="AG930" s="33" t="str">
        <f>IF(G930&gt;0,IF(AD930&gt;0,IF(AD930=0,"Waiting",IF(AD930&lt;L930,"Partial",IF(AD930=L930,"Full Supply",IF(AD930&gt;L930,"Over Shared")))),"Waiting"),"")</f>
        <v>Full Supply</v>
      </c>
      <c r="AH930" s="37"/>
      <c r="AI930" s="37"/>
      <c r="AJ930" s="181"/>
      <c r="AK930" s="37"/>
      <c r="AL930" s="37"/>
      <c r="AM930" s="181"/>
      <c r="AN930" s="37"/>
      <c r="AO930" s="37"/>
      <c r="AP930" s="37"/>
      <c r="AQ930" s="37"/>
      <c r="AR930" s="37"/>
      <c r="AS930" s="37"/>
      <c r="AT930" s="37"/>
      <c r="AU930" s="37"/>
      <c r="AV930" s="37"/>
      <c r="AW930" s="37"/>
      <c r="AX930" s="37"/>
      <c r="AY930" s="37"/>
      <c r="AZ930" s="181">
        <f>L930-AD930</f>
        <v>0</v>
      </c>
    </row>
    <row r="931" spans="1:52" ht="15.5" customHeight="1">
      <c r="A931" s="360" t="s">
        <v>372</v>
      </c>
      <c r="B931" s="340">
        <v>46296</v>
      </c>
      <c r="C931" s="181">
        <v>51614</v>
      </c>
      <c r="D931" s="30">
        <v>46296</v>
      </c>
      <c r="E931" s="30">
        <v>46294</v>
      </c>
      <c r="F931" s="30">
        <v>46323</v>
      </c>
      <c r="G931" s="37">
        <v>4420234351</v>
      </c>
      <c r="H931" s="37" t="s">
        <v>373</v>
      </c>
      <c r="I931" s="37">
        <v>9040024657</v>
      </c>
      <c r="J931" s="37" t="s">
        <v>252</v>
      </c>
      <c r="K931" s="325" t="s">
        <v>253</v>
      </c>
      <c r="L931" s="181">
        <v>4</v>
      </c>
      <c r="M931" s="181" t="s">
        <v>375</v>
      </c>
      <c r="N931" s="37" t="s">
        <v>408</v>
      </c>
      <c r="O931" s="31">
        <f>IF(F931&gt;0,F931-AB931,"")</f>
        <v>23</v>
      </c>
      <c r="P931" s="37" t="str">
        <f>IF(F931&gt;0,IF(AB931="","PLANNING SUPPLY",IF(AB931&lt;=F931,"ONTIME DELIVERY","DELAY")),"")</f>
        <v>ONTIME DELIVERY</v>
      </c>
      <c r="Q931" s="181" t="str">
        <f>IFERROR(IF(J934&gt;0,VLOOKUP(J934,#REF!,MATCH($Q$6,#REF!,0),0),""),"")</f>
        <v/>
      </c>
      <c r="R931" s="181" t="str">
        <f>IFERROR(IF(J934&gt;0,VLOOKUP(J934,#REF!,MATCH($R$6,#REF!,0),0),""),"")</f>
        <v/>
      </c>
      <c r="S931" s="181" t="e">
        <f>IF(#REF!&gt;0,Q931+R931,"")</f>
        <v>#REF!</v>
      </c>
      <c r="T931" s="181"/>
      <c r="U931" s="181"/>
      <c r="V931" s="37"/>
      <c r="W931" s="181" t="e">
        <f>IF(#REF!&gt;0,IF(S931&gt;L931,"READY STOCK",IF(S931=0,"OUT OF STOCK",IF(S931&lt;L931,"LOW STOCK",""))),"")</f>
        <v>#REF!</v>
      </c>
      <c r="X931" s="38"/>
      <c r="Y931" s="38"/>
      <c r="Z931" s="38"/>
      <c r="AA931" s="38"/>
      <c r="AB931" s="50">
        <v>46300</v>
      </c>
      <c r="AC931" s="44">
        <v>34749</v>
      </c>
      <c r="AD931" s="51">
        <v>4</v>
      </c>
      <c r="AE931" s="37" t="s">
        <v>387</v>
      </c>
      <c r="AF931" s="37" t="s">
        <v>381</v>
      </c>
      <c r="AG931" s="33" t="str">
        <f>IF(G931&gt;0,IF(AD931&gt;0,IF(AD931=0,"Waiting",IF(AD931&lt;L931,"Partial",IF(AD931=L931,"Full Supply",IF(AD931&gt;L931,"Over Shared")))),"Waiting"),"")</f>
        <v>Full Supply</v>
      </c>
      <c r="AH931" s="37"/>
      <c r="AI931" s="37"/>
      <c r="AJ931" s="181"/>
      <c r="AK931" s="37"/>
      <c r="AL931" s="37"/>
      <c r="AM931" s="181"/>
      <c r="AN931" s="37"/>
      <c r="AO931" s="37"/>
      <c r="AP931" s="37"/>
      <c r="AQ931" s="37"/>
      <c r="AR931" s="37"/>
      <c r="AS931" s="37"/>
      <c r="AT931" s="37"/>
      <c r="AU931" s="37"/>
      <c r="AV931" s="37"/>
      <c r="AW931" s="37"/>
      <c r="AX931" s="37"/>
      <c r="AY931" s="37"/>
      <c r="AZ931" s="181">
        <f>L931-AD931</f>
        <v>0</v>
      </c>
    </row>
    <row r="932" spans="1:52" ht="15.5" customHeight="1">
      <c r="A932" s="360" t="s">
        <v>372</v>
      </c>
      <c r="B932" s="340">
        <v>46296</v>
      </c>
      <c r="C932" s="181">
        <v>51614</v>
      </c>
      <c r="D932" s="30">
        <v>46296</v>
      </c>
      <c r="E932" s="30">
        <v>46294</v>
      </c>
      <c r="F932" s="30">
        <v>46323</v>
      </c>
      <c r="G932" s="37">
        <v>4420234351</v>
      </c>
      <c r="H932" s="37" t="s">
        <v>373</v>
      </c>
      <c r="I932" s="37">
        <v>9040040390</v>
      </c>
      <c r="J932" s="37" t="s">
        <v>209</v>
      </c>
      <c r="K932" s="325" t="s">
        <v>210</v>
      </c>
      <c r="L932" s="181">
        <v>14</v>
      </c>
      <c r="M932" s="181" t="s">
        <v>446</v>
      </c>
      <c r="N932" s="37" t="s">
        <v>408</v>
      </c>
      <c r="O932" s="31">
        <f>IF(F932&gt;0,F932-AB932,"")</f>
        <v>16</v>
      </c>
      <c r="P932" s="37" t="str">
        <f>IF(F932&gt;0,IF(AB932="","PLANNING SUPPLY",IF(AB932&lt;=F932,"ONTIME DELIVERY","DELAY")),"")</f>
        <v>ONTIME DELIVERY</v>
      </c>
      <c r="Q932" s="181" t="str">
        <f>IFERROR(IF(J935&gt;0,VLOOKUP(J935,#REF!,MATCH($Q$6,#REF!,0),0),""),"")</f>
        <v/>
      </c>
      <c r="R932" s="181" t="str">
        <f>IFERROR(IF(J935&gt;0,VLOOKUP(J935,#REF!,MATCH($R$6,#REF!,0),0),""),"")</f>
        <v/>
      </c>
      <c r="S932" s="181" t="e">
        <f>IF(I938&gt;0,Q932+R932,"")</f>
        <v>#VALUE!</v>
      </c>
      <c r="T932" s="181"/>
      <c r="U932" s="181"/>
      <c r="V932" s="37"/>
      <c r="W932" s="181" t="e">
        <f>IF(I938&gt;0,IF(S932&gt;L932,"READY STOCK",IF(S932=0,"OUT OF STOCK",IF(S932&lt;L932,"LOW STOCK",""))),"")</f>
        <v>#VALUE!</v>
      </c>
      <c r="X932" s="38"/>
      <c r="Y932" s="38"/>
      <c r="Z932" s="38"/>
      <c r="AA932" s="38"/>
      <c r="AB932" s="50">
        <v>46307</v>
      </c>
      <c r="AC932" s="181">
        <v>34960</v>
      </c>
      <c r="AD932" s="51">
        <v>13</v>
      </c>
      <c r="AE932" s="37"/>
      <c r="AF932" s="37"/>
      <c r="AG932" s="33" t="str">
        <f>IF(G932&gt;0,IF(AD932&gt;0,IF(AD932=0,"Waiting",IF(AD932&lt;L932,"Partial",IF(AD932=L932,"Full Supply",IF(AD932&gt;L932,"Over Shared")))),"Waiting"),"")</f>
        <v>Partial</v>
      </c>
      <c r="AH932" s="233">
        <v>46297</v>
      </c>
      <c r="AI932" s="37" t="s">
        <v>1369</v>
      </c>
      <c r="AJ932" s="181">
        <v>11</v>
      </c>
      <c r="AK932" s="37"/>
      <c r="AL932" s="37"/>
      <c r="AM932" s="181"/>
      <c r="AN932" s="37"/>
      <c r="AO932" s="37"/>
      <c r="AP932" s="37"/>
      <c r="AQ932" s="37"/>
      <c r="AR932" s="37"/>
      <c r="AS932" s="37"/>
      <c r="AT932" s="37"/>
      <c r="AU932" s="37"/>
      <c r="AV932" s="37"/>
      <c r="AW932" s="37"/>
      <c r="AX932" s="37"/>
      <c r="AY932" s="37"/>
      <c r="AZ932" s="181">
        <f>L932-AD932</f>
        <v>1</v>
      </c>
    </row>
    <row r="933" spans="1:52" ht="15.5" customHeight="1">
      <c r="A933" s="360" t="s">
        <v>372</v>
      </c>
      <c r="B933" s="340">
        <v>46296</v>
      </c>
      <c r="C933" s="181">
        <v>51614</v>
      </c>
      <c r="D933" s="30">
        <v>46296</v>
      </c>
      <c r="E933" s="30">
        <v>46294</v>
      </c>
      <c r="F933" s="30">
        <v>46323</v>
      </c>
      <c r="G933" s="37">
        <v>4420234351</v>
      </c>
      <c r="H933" s="37" t="s">
        <v>373</v>
      </c>
      <c r="I933" s="37">
        <v>9040040403</v>
      </c>
      <c r="J933" s="37" t="s">
        <v>299</v>
      </c>
      <c r="K933" s="325" t="s">
        <v>300</v>
      </c>
      <c r="L933" s="181">
        <v>4</v>
      </c>
      <c r="M933" s="181" t="s">
        <v>375</v>
      </c>
      <c r="N933" s="37" t="s">
        <v>408</v>
      </c>
      <c r="O933" s="31">
        <f>IF(F933&gt;0,F933-AB933,"")</f>
        <v>23</v>
      </c>
      <c r="P933" s="37" t="str">
        <f>IF(F933&gt;0,IF(AB933="","PLANNING SUPPLY",IF(AB933&lt;=F933,"ONTIME DELIVERY","DELAY")),"")</f>
        <v>ONTIME DELIVERY</v>
      </c>
      <c r="Q933" s="181" t="str">
        <f>IFERROR(IF(J936&gt;0,VLOOKUP(J936,#REF!,MATCH($Q$6,#REF!,0),0),""),"")</f>
        <v/>
      </c>
      <c r="R933" s="181" t="str">
        <f>IFERROR(IF(J936&gt;0,VLOOKUP(J936,#REF!,MATCH($R$6,#REF!,0),0),""),"")</f>
        <v/>
      </c>
      <c r="S933" s="181" t="e">
        <f>IF(I939&gt;0,Q933+R933,"")</f>
        <v>#VALUE!</v>
      </c>
      <c r="T933" s="181"/>
      <c r="U933" s="181"/>
      <c r="V933" s="37"/>
      <c r="W933" s="181" t="e">
        <f>IF(I939&gt;0,IF(S933&gt;L933,"READY STOCK",IF(S933=0,"OUT OF STOCK",IF(S933&lt;L933,"LOW STOCK",""))),"")</f>
        <v>#VALUE!</v>
      </c>
      <c r="X933" s="38"/>
      <c r="Y933" s="38"/>
      <c r="Z933" s="38"/>
      <c r="AA933" s="38"/>
      <c r="AB933" s="50">
        <v>46300</v>
      </c>
      <c r="AC933" s="44">
        <v>34749</v>
      </c>
      <c r="AD933" s="51">
        <v>4</v>
      </c>
      <c r="AE933" s="37" t="s">
        <v>387</v>
      </c>
      <c r="AF933" s="37" t="s">
        <v>381</v>
      </c>
      <c r="AG933" s="33" t="str">
        <f>IF(G933&gt;0,IF(AD933&gt;0,IF(AD933=0,"Waiting",IF(AD933&lt;L933,"Partial",IF(AD933=L933,"Full Supply",IF(AD933&gt;L933,"Over Shared")))),"Waiting"),"")</f>
        <v>Full Supply</v>
      </c>
      <c r="AH933" s="37"/>
      <c r="AI933" s="37"/>
      <c r="AJ933" s="181"/>
      <c r="AK933" s="37"/>
      <c r="AL933" s="37"/>
      <c r="AM933" s="181"/>
      <c r="AN933" s="37"/>
      <c r="AO933" s="37"/>
      <c r="AP933" s="37"/>
      <c r="AQ933" s="37"/>
      <c r="AR933" s="37"/>
      <c r="AS933" s="37"/>
      <c r="AT933" s="37"/>
      <c r="AU933" s="37"/>
      <c r="AV933" s="37"/>
      <c r="AW933" s="37"/>
      <c r="AX933" s="37"/>
      <c r="AY933" s="37"/>
      <c r="AZ933" s="181">
        <f>L933-AD933</f>
        <v>0</v>
      </c>
    </row>
    <row r="934" spans="1:52" ht="15.5" customHeight="1">
      <c r="A934" s="360" t="s">
        <v>372</v>
      </c>
      <c r="B934" s="340">
        <v>46296</v>
      </c>
      <c r="C934" s="181">
        <v>51614</v>
      </c>
      <c r="D934" s="30">
        <v>46296</v>
      </c>
      <c r="E934" s="30">
        <v>46294</v>
      </c>
      <c r="F934" s="30">
        <v>46323</v>
      </c>
      <c r="G934" s="37">
        <v>4420234351</v>
      </c>
      <c r="H934" s="37" t="s">
        <v>373</v>
      </c>
      <c r="I934" s="37">
        <v>9040040588</v>
      </c>
      <c r="J934" s="37" t="s">
        <v>76</v>
      </c>
      <c r="K934" s="325" t="s">
        <v>77</v>
      </c>
      <c r="L934" s="181">
        <v>21</v>
      </c>
      <c r="M934" s="181" t="s">
        <v>375</v>
      </c>
      <c r="N934" s="37" t="s">
        <v>408</v>
      </c>
      <c r="O934" s="31">
        <f>IF(F934&gt;0,F934-AB934,"")</f>
        <v>6</v>
      </c>
      <c r="P934" s="37" t="str">
        <f>IF(F934&gt;0,IF(AB934="","PLANNING SUPPLY",IF(AB934&lt;=F934,"ONTIME DELIVERY","DELAY")),"")</f>
        <v>ONTIME DELIVERY</v>
      </c>
      <c r="Q934" s="181" t="str">
        <f>IFERROR(IF(J937&gt;0,VLOOKUP(J937,#REF!,MATCH($Q$6,#REF!,0),0),""),"")</f>
        <v/>
      </c>
      <c r="R934" s="181" t="str">
        <f>IFERROR(IF(J937&gt;0,VLOOKUP(J937,#REF!,MATCH($R$6,#REF!,0),0),""),"")</f>
        <v/>
      </c>
      <c r="S934" s="181" t="e">
        <f>IF(I940&gt;0,Q934+R934,"")</f>
        <v>#VALUE!</v>
      </c>
      <c r="T934" s="181"/>
      <c r="U934" s="181"/>
      <c r="V934" s="37"/>
      <c r="W934" s="181" t="e">
        <f>IF(I940&gt;0,IF(S934&gt;L934,"READY STOCK",IF(S934=0,"OUT OF STOCK",IF(S934&lt;L934,"LOW STOCK",""))),"")</f>
        <v>#VALUE!</v>
      </c>
      <c r="X934" s="38"/>
      <c r="Y934" s="38"/>
      <c r="Z934" s="38"/>
      <c r="AA934" s="38"/>
      <c r="AB934" s="50">
        <v>46317</v>
      </c>
      <c r="AC934" s="238" t="s">
        <v>1376</v>
      </c>
      <c r="AD934" s="51">
        <v>21</v>
      </c>
      <c r="AE934" s="37" t="s">
        <v>387</v>
      </c>
      <c r="AF934" s="37" t="s">
        <v>381</v>
      </c>
      <c r="AG934" s="33" t="str">
        <f>IF(G934&gt;0,IF(AD934&gt;0,IF(AD934=0,"Waiting",IF(AD934&lt;L934,"Partial",IF(AD934=L934,"Full Supply",IF(AD934&gt;L934,"Over Shared")))),"Waiting"),"")</f>
        <v>Full Supply</v>
      </c>
      <c r="AH934" s="233">
        <v>46297</v>
      </c>
      <c r="AI934" s="37" t="s">
        <v>1369</v>
      </c>
      <c r="AJ934" s="181">
        <v>45</v>
      </c>
      <c r="AK934" s="37"/>
      <c r="AL934" s="37"/>
      <c r="AM934" s="181"/>
      <c r="AN934" s="37"/>
      <c r="AO934" s="37"/>
      <c r="AP934" s="37"/>
      <c r="AQ934" s="37"/>
      <c r="AR934" s="37"/>
      <c r="AS934" s="37"/>
      <c r="AT934" s="37"/>
      <c r="AU934" s="37"/>
      <c r="AV934" s="37"/>
      <c r="AW934" s="37"/>
      <c r="AX934" s="37"/>
      <c r="AY934" s="37"/>
      <c r="AZ934" s="181">
        <f>L934-AD934</f>
        <v>0</v>
      </c>
    </row>
    <row r="935" spans="1:52" ht="15.5" customHeight="1">
      <c r="A935" s="360" t="s">
        <v>372</v>
      </c>
      <c r="B935" s="340">
        <v>46296</v>
      </c>
      <c r="C935" s="181">
        <v>51614</v>
      </c>
      <c r="D935" s="30">
        <v>46296</v>
      </c>
      <c r="E935" s="30">
        <v>46294</v>
      </c>
      <c r="F935" s="30">
        <v>46323</v>
      </c>
      <c r="G935" s="37">
        <v>4420234351</v>
      </c>
      <c r="H935" s="37" t="s">
        <v>373</v>
      </c>
      <c r="I935" s="37">
        <v>9040040834</v>
      </c>
      <c r="J935" s="37" t="s">
        <v>207</v>
      </c>
      <c r="K935" s="325" t="s">
        <v>208</v>
      </c>
      <c r="L935" s="181">
        <v>1</v>
      </c>
      <c r="M935" s="181" t="s">
        <v>446</v>
      </c>
      <c r="N935" s="37" t="s">
        <v>408</v>
      </c>
      <c r="O935" s="31">
        <f>IF(F935&gt;0,F935-AB935,"")</f>
        <v>16</v>
      </c>
      <c r="P935" s="37" t="str">
        <f>IF(F935&gt;0,IF(AB935="","PLANNING SUPPLY",IF(AB935&lt;=F935,"ONTIME DELIVERY","DELAY")),"")</f>
        <v>ONTIME DELIVERY</v>
      </c>
      <c r="Q935" s="181" t="str">
        <f>IFERROR(IF(J938&gt;0,VLOOKUP(J938,#REF!,MATCH($Q$6,#REF!,0),0),""),"")</f>
        <v/>
      </c>
      <c r="R935" s="181" t="str">
        <f>IFERROR(IF(J938&gt;0,VLOOKUP(J938,#REF!,MATCH($R$6,#REF!,0),0),""),"")</f>
        <v/>
      </c>
      <c r="S935" s="181" t="e">
        <f>IF(I941&gt;0,Q935+R935,"")</f>
        <v>#VALUE!</v>
      </c>
      <c r="T935" s="181"/>
      <c r="U935" s="181"/>
      <c r="V935" s="37"/>
      <c r="W935" s="181" t="e">
        <f>IF(I941&gt;0,IF(S935&gt;L935,"READY STOCK",IF(S935=0,"OUT OF STOCK",IF(S935&lt;L935,"LOW STOCK",""))),"")</f>
        <v>#VALUE!</v>
      </c>
      <c r="X935" s="38"/>
      <c r="Y935" s="38"/>
      <c r="Z935" s="38"/>
      <c r="AA935" s="38"/>
      <c r="AB935" s="50">
        <v>46307</v>
      </c>
      <c r="AC935" s="181">
        <v>34960</v>
      </c>
      <c r="AD935" s="51">
        <v>1</v>
      </c>
      <c r="AE935" s="37"/>
      <c r="AF935" s="37"/>
      <c r="AG935" s="33" t="str">
        <f>IF(G935&gt;0,IF(AD935&gt;0,IF(AD935=0,"Waiting",IF(AD935&lt;L935,"Partial",IF(AD935=L935,"Full Supply",IF(AD935&gt;L935,"Over Shared")))),"Waiting"),"")</f>
        <v>Full Supply</v>
      </c>
      <c r="AH935" s="37"/>
      <c r="AI935" s="37"/>
      <c r="AJ935" s="181"/>
      <c r="AK935" s="37"/>
      <c r="AL935" s="37"/>
      <c r="AM935" s="181"/>
      <c r="AN935" s="37"/>
      <c r="AO935" s="37"/>
      <c r="AP935" s="37"/>
      <c r="AQ935" s="37"/>
      <c r="AR935" s="37"/>
      <c r="AS935" s="37"/>
      <c r="AT935" s="37"/>
      <c r="AU935" s="37"/>
      <c r="AV935" s="37"/>
      <c r="AW935" s="37"/>
      <c r="AX935" s="37"/>
      <c r="AY935" s="37"/>
      <c r="AZ935" s="181">
        <f>L935-AD935</f>
        <v>0</v>
      </c>
    </row>
    <row r="936" spans="1:52" ht="15.5" customHeight="1">
      <c r="A936" s="360" t="s">
        <v>372</v>
      </c>
      <c r="B936" s="340">
        <v>46296</v>
      </c>
      <c r="C936" s="181">
        <v>51614</v>
      </c>
      <c r="D936" s="30">
        <v>46296</v>
      </c>
      <c r="E936" s="30">
        <v>46294</v>
      </c>
      <c r="F936" s="30">
        <v>46323</v>
      </c>
      <c r="G936" s="37">
        <v>4420234351</v>
      </c>
      <c r="H936" s="37" t="s">
        <v>373</v>
      </c>
      <c r="I936" s="37">
        <v>9040041385</v>
      </c>
      <c r="J936" s="37" t="s">
        <v>6</v>
      </c>
      <c r="K936" s="325" t="s">
        <v>7</v>
      </c>
      <c r="L936" s="181">
        <v>5</v>
      </c>
      <c r="M936" s="181" t="s">
        <v>375</v>
      </c>
      <c r="N936" s="37" t="s">
        <v>408</v>
      </c>
      <c r="O936" s="31">
        <f>IF(F936&gt;0,F936-AB936,"")</f>
        <v>46323</v>
      </c>
      <c r="P936" s="37" t="str">
        <f>IF(F936&gt;0,IF(AB936="","PLANNING SUPPLY",IF(AB936&lt;=F936,"ONTIME DELIVERY","DELAY")),"")</f>
        <v>PLANNING SUPPLY</v>
      </c>
      <c r="Q936" s="181" t="str">
        <f>IFERROR(IF(J939&gt;0,VLOOKUP(J939,#REF!,MATCH($Q$6,#REF!,0),0),""),"")</f>
        <v/>
      </c>
      <c r="R936" s="181" t="str">
        <f>IFERROR(IF(J939&gt;0,VLOOKUP(J939,#REF!,MATCH($R$6,#REF!,0),0),""),"")</f>
        <v/>
      </c>
      <c r="S936" s="181" t="e">
        <f>IF(#REF!&gt;0,Q936+R936,"")</f>
        <v>#REF!</v>
      </c>
      <c r="T936" s="181"/>
      <c r="U936" s="181"/>
      <c r="V936" s="37"/>
      <c r="W936" s="181" t="e">
        <f>IF(#REF!&gt;0,IF(S936&gt;L936,"READY STOCK",IF(S936=0,"OUT OF STOCK",IF(S936&lt;L936,"LOW STOCK",""))),"")</f>
        <v>#REF!</v>
      </c>
      <c r="X936" s="38"/>
      <c r="Y936" s="38"/>
      <c r="Z936" s="38"/>
      <c r="AA936" s="38"/>
      <c r="AB936" s="50"/>
      <c r="AC936" s="44"/>
      <c r="AD936" s="51"/>
      <c r="AE936" s="37"/>
      <c r="AF936" s="37"/>
      <c r="AG936" s="33" t="str">
        <f>IF(G936&gt;0,IF(AD936&gt;0,IF(AD936=0,"Waiting",IF(AD936&lt;L936,"Partial",IF(AD936=L936,"Full Supply",IF(AD936&gt;L936,"Over Shared")))),"Waiting"),"")</f>
        <v>Waiting</v>
      </c>
      <c r="AH936" s="37"/>
      <c r="AI936" s="37"/>
      <c r="AJ936" s="181"/>
      <c r="AK936" s="37"/>
      <c r="AL936" s="37"/>
      <c r="AM936" s="181"/>
      <c r="AN936" s="37"/>
      <c r="AO936" s="37"/>
      <c r="AP936" s="37"/>
      <c r="AQ936" s="37"/>
      <c r="AR936" s="37"/>
      <c r="AS936" s="37"/>
      <c r="AT936" s="37"/>
      <c r="AU936" s="37"/>
      <c r="AV936" s="37"/>
      <c r="AW936" s="37"/>
      <c r="AX936" s="37"/>
      <c r="AY936" s="37"/>
      <c r="AZ936" s="181">
        <f>L936-AD936</f>
        <v>5</v>
      </c>
    </row>
    <row r="937" spans="1:52" ht="15.5" customHeight="1">
      <c r="A937" s="360" t="s">
        <v>372</v>
      </c>
      <c r="B937" s="340">
        <v>46296</v>
      </c>
      <c r="C937" s="181">
        <v>51614</v>
      </c>
      <c r="D937" s="30">
        <v>46296</v>
      </c>
      <c r="E937" s="30">
        <v>46294</v>
      </c>
      <c r="F937" s="30">
        <v>46323</v>
      </c>
      <c r="G937" s="37">
        <v>4420234351</v>
      </c>
      <c r="H937" s="37" t="s">
        <v>373</v>
      </c>
      <c r="I937" s="37">
        <v>9040041393</v>
      </c>
      <c r="J937" s="37" t="s">
        <v>191</v>
      </c>
      <c r="K937" s="325" t="s">
        <v>192</v>
      </c>
      <c r="L937" s="181">
        <v>100</v>
      </c>
      <c r="M937" s="181" t="s">
        <v>375</v>
      </c>
      <c r="N937" s="37" t="s">
        <v>408</v>
      </c>
      <c r="O937" s="31">
        <f>IF(F937&gt;0,F937-AB937,"")</f>
        <v>9</v>
      </c>
      <c r="P937" s="37" t="str">
        <f>IF(F937&gt;0,IF(AB937="","PLANNING SUPPLY",IF(AB937&lt;=F937,"ONTIME DELIVERY","DELAY")),"")</f>
        <v>ONTIME DELIVERY</v>
      </c>
      <c r="Q937" s="181" t="str">
        <f>IFERROR(IF(J940&gt;0,VLOOKUP(J940,#REF!,MATCH($Q$6,#REF!,0),0),""),"")</f>
        <v/>
      </c>
      <c r="R937" s="181" t="str">
        <f>IFERROR(IF(J940&gt;0,VLOOKUP(J940,#REF!,MATCH($R$6,#REF!,0),0),""),"")</f>
        <v/>
      </c>
      <c r="S937" s="181" t="e">
        <f>IF(#REF!&gt;0,Q937+R937,"")</f>
        <v>#REF!</v>
      </c>
      <c r="T937" s="181"/>
      <c r="U937" s="181"/>
      <c r="V937" s="37"/>
      <c r="W937" s="181" t="e">
        <f>IF(#REF!&gt;0,IF(S937&gt;L937,"READY STOCK",IF(S937=0,"OUT OF STOCK",IF(S937&lt;L937,"LOW STOCK",""))),"")</f>
        <v>#REF!</v>
      </c>
      <c r="X937" s="38"/>
      <c r="Y937" s="38"/>
      <c r="Z937" s="38"/>
      <c r="AA937" s="38"/>
      <c r="AB937" s="50">
        <v>46314</v>
      </c>
      <c r="AC937" s="44" t="s">
        <v>1373</v>
      </c>
      <c r="AD937" s="51">
        <v>100</v>
      </c>
      <c r="AE937" s="37" t="s">
        <v>387</v>
      </c>
      <c r="AF937" s="37" t="s">
        <v>381</v>
      </c>
      <c r="AG937" s="33" t="str">
        <f>IF(G937&gt;0,IF(AD937&gt;0,IF(AD937=0,"Waiting",IF(AD937&lt;L937,"Partial",IF(AD937=L937,"Full Supply",IF(AD937&gt;L937,"Over Shared")))),"Waiting"),"")</f>
        <v>Full Supply</v>
      </c>
      <c r="AH937" s="37"/>
      <c r="AI937" s="37"/>
      <c r="AJ937" s="181"/>
      <c r="AK937" s="37"/>
      <c r="AL937" s="37"/>
      <c r="AM937" s="181"/>
      <c r="AN937" s="37"/>
      <c r="AO937" s="37"/>
      <c r="AP937" s="37"/>
      <c r="AQ937" s="37"/>
      <c r="AR937" s="37"/>
      <c r="AS937" s="37"/>
      <c r="AT937" s="37"/>
      <c r="AU937" s="37"/>
      <c r="AV937" s="37"/>
      <c r="AW937" s="37"/>
      <c r="AX937" s="37"/>
      <c r="AY937" s="37"/>
      <c r="AZ937" s="181">
        <f>L937-AD937</f>
        <v>0</v>
      </c>
    </row>
    <row r="938" spans="1:52" ht="15.5" customHeight="1">
      <c r="A938" s="360" t="s">
        <v>372</v>
      </c>
      <c r="B938" s="340">
        <v>46296</v>
      </c>
      <c r="C938" s="181">
        <v>51614</v>
      </c>
      <c r="D938" s="30">
        <v>46296</v>
      </c>
      <c r="E938" s="30">
        <v>46294</v>
      </c>
      <c r="F938" s="30">
        <v>46323</v>
      </c>
      <c r="G938" s="37">
        <v>4420234351</v>
      </c>
      <c r="H938" s="37" t="s">
        <v>373</v>
      </c>
      <c r="I938" s="37">
        <v>9040042224</v>
      </c>
      <c r="J938" s="37" t="s">
        <v>195</v>
      </c>
      <c r="K938" s="325" t="s">
        <v>196</v>
      </c>
      <c r="L938" s="181">
        <v>14</v>
      </c>
      <c r="M938" s="181" t="s">
        <v>429</v>
      </c>
      <c r="N938" s="37" t="s">
        <v>408</v>
      </c>
      <c r="O938" s="31">
        <f>IF(F938&gt;0,F938-AB938,"")</f>
        <v>46323</v>
      </c>
      <c r="P938" s="37" t="str">
        <f>IF(F938&gt;0,IF(AB938="","PLANNING SUPPLY",IF(AB938&lt;=F938,"ONTIME DELIVERY","DELAY")),"")</f>
        <v>PLANNING SUPPLY</v>
      </c>
      <c r="Q938" s="181" t="str">
        <f>IFERROR(IF(J941&gt;0,VLOOKUP(J941,#REF!,MATCH($Q$6,#REF!,0),0),""),"")</f>
        <v/>
      </c>
      <c r="R938" s="181" t="str">
        <f>IFERROR(IF(J941&gt;0,VLOOKUP(J941,#REF!,MATCH($R$6,#REF!,0),0),""),"")</f>
        <v/>
      </c>
      <c r="S938" s="181" t="e">
        <f>IF(#REF!&gt;0,Q938+R938,"")</f>
        <v>#REF!</v>
      </c>
      <c r="T938" s="181"/>
      <c r="U938" s="181"/>
      <c r="V938" s="37"/>
      <c r="W938" s="181" t="e">
        <f>IF(#REF!&gt;0,IF(S938&gt;L938,"READY STOCK",IF(S938=0,"OUT OF STOCK",IF(S938&lt;L938,"LOW STOCK",""))),"")</f>
        <v>#REF!</v>
      </c>
      <c r="X938" s="38"/>
      <c r="Y938" s="38"/>
      <c r="Z938" s="38"/>
      <c r="AA938" s="38"/>
      <c r="AB938" s="50"/>
      <c r="AC938" s="181"/>
      <c r="AD938" s="51"/>
      <c r="AE938" s="37"/>
      <c r="AF938" s="37"/>
      <c r="AG938" s="33" t="str">
        <f>IF(G938&gt;0,IF(AD938&gt;0,IF(AD938=0,"Waiting",IF(AD938&lt;L938,"Partial",IF(AD938=L938,"Full Supply",IF(AD938&gt;L938,"Over Shared")))),"Waiting"),"")</f>
        <v>Waiting</v>
      </c>
      <c r="AH938" s="37"/>
      <c r="AI938" s="37"/>
      <c r="AJ938" s="181"/>
      <c r="AK938" s="37"/>
      <c r="AL938" s="37"/>
      <c r="AM938" s="181"/>
      <c r="AN938" s="37"/>
      <c r="AO938" s="37"/>
      <c r="AP938" s="37"/>
      <c r="AQ938" s="37"/>
      <c r="AR938" s="37"/>
      <c r="AS938" s="37"/>
      <c r="AT938" s="37"/>
      <c r="AU938" s="37"/>
      <c r="AV938" s="37"/>
      <c r="AW938" s="37"/>
      <c r="AX938" s="37"/>
      <c r="AY938" s="37"/>
      <c r="AZ938" s="181">
        <f>L938-AD938</f>
        <v>14</v>
      </c>
    </row>
    <row r="939" spans="1:52" ht="15.5" customHeight="1">
      <c r="A939" s="360" t="s">
        <v>372</v>
      </c>
      <c r="B939" s="340">
        <v>46296</v>
      </c>
      <c r="C939" s="181">
        <v>51614</v>
      </c>
      <c r="D939" s="30">
        <v>46296</v>
      </c>
      <c r="E939" s="30">
        <v>46294</v>
      </c>
      <c r="F939" s="30">
        <v>46323</v>
      </c>
      <c r="G939" s="37">
        <v>4420234351</v>
      </c>
      <c r="H939" s="37" t="s">
        <v>373</v>
      </c>
      <c r="I939" s="37">
        <v>9040042451</v>
      </c>
      <c r="J939" s="37" t="s">
        <v>295</v>
      </c>
      <c r="K939" s="325" t="s">
        <v>296</v>
      </c>
      <c r="L939" s="181">
        <v>3</v>
      </c>
      <c r="M939" s="181" t="s">
        <v>375</v>
      </c>
      <c r="N939" s="37" t="s">
        <v>408</v>
      </c>
      <c r="O939" s="31">
        <f>IF(F939&gt;0,F939-AB939,"")</f>
        <v>16</v>
      </c>
      <c r="P939" s="37" t="str">
        <f>IF(F939&gt;0,IF(AB939="","PLANNING SUPPLY",IF(AB939&lt;=F939,"ONTIME DELIVERY","DELAY")),"")</f>
        <v>ONTIME DELIVERY</v>
      </c>
      <c r="Q939" s="181" t="str">
        <f>IFERROR(IF(J942&gt;0,VLOOKUP(J942,#REF!,MATCH($Q$6,#REF!,0),0),""),"")</f>
        <v/>
      </c>
      <c r="R939" s="181" t="str">
        <f>IFERROR(IF(J942&gt;0,VLOOKUP(J942,#REF!,MATCH($R$6,#REF!,0),0),""),"")</f>
        <v/>
      </c>
      <c r="S939" s="181" t="e">
        <f>IF(I942&gt;0,Q939+R939,"")</f>
        <v>#VALUE!</v>
      </c>
      <c r="T939" s="181"/>
      <c r="U939" s="181"/>
      <c r="V939" s="37"/>
      <c r="W939" s="181" t="e">
        <f>IF(I942&gt;0,IF(S939&gt;L939,"READY STOCK",IF(S939=0,"OUT OF STOCK",IF(S939&lt;L939,"LOW STOCK",""))),"")</f>
        <v>#VALUE!</v>
      </c>
      <c r="X939" s="38"/>
      <c r="Y939" s="38"/>
      <c r="Z939" s="38"/>
      <c r="AA939" s="38"/>
      <c r="AB939" s="50">
        <v>46307</v>
      </c>
      <c r="AC939" s="181">
        <v>34960</v>
      </c>
      <c r="AD939" s="51">
        <v>3</v>
      </c>
      <c r="AE939" s="37" t="s">
        <v>387</v>
      </c>
      <c r="AF939" s="37" t="s">
        <v>381</v>
      </c>
      <c r="AG939" s="33" t="str">
        <f>IF(G939&gt;0,IF(AD939&gt;0,IF(AD939=0,"Waiting",IF(AD939&lt;L939,"Partial",IF(AD939=L939,"Full Supply",IF(AD939&gt;L939,"Over Shared")))),"Waiting"),"")</f>
        <v>Full Supply</v>
      </c>
      <c r="AH939" s="37"/>
      <c r="AI939" s="37"/>
      <c r="AJ939" s="181"/>
      <c r="AK939" s="37"/>
      <c r="AL939" s="37"/>
      <c r="AM939" s="181"/>
      <c r="AN939" s="37"/>
      <c r="AO939" s="37"/>
      <c r="AP939" s="37"/>
      <c r="AQ939" s="37"/>
      <c r="AR939" s="37"/>
      <c r="AS939" s="37"/>
      <c r="AT939" s="37"/>
      <c r="AU939" s="37"/>
      <c r="AV939" s="37"/>
      <c r="AW939" s="37"/>
      <c r="AX939" s="37"/>
      <c r="AY939" s="37"/>
      <c r="AZ939" s="181">
        <f>L939-AD939</f>
        <v>0</v>
      </c>
    </row>
    <row r="940" spans="1:52" ht="15.5" customHeight="1">
      <c r="A940" s="360" t="s">
        <v>372</v>
      </c>
      <c r="B940" s="340">
        <v>46296</v>
      </c>
      <c r="C940" s="181">
        <v>51614</v>
      </c>
      <c r="D940" s="30">
        <v>46296</v>
      </c>
      <c r="E940" s="30">
        <v>46294</v>
      </c>
      <c r="F940" s="30">
        <v>46323</v>
      </c>
      <c r="G940" s="37">
        <v>4420234351</v>
      </c>
      <c r="H940" s="37" t="s">
        <v>373</v>
      </c>
      <c r="I940" s="37">
        <v>9040044075</v>
      </c>
      <c r="J940" s="37" t="s">
        <v>223</v>
      </c>
      <c r="K940" s="325" t="s">
        <v>224</v>
      </c>
      <c r="L940" s="181">
        <v>1</v>
      </c>
      <c r="M940" s="181" t="s">
        <v>446</v>
      </c>
      <c r="N940" s="37" t="s">
        <v>408</v>
      </c>
      <c r="O940" s="31">
        <f>IF(F940&gt;0,F940-AB940,"")</f>
        <v>9</v>
      </c>
      <c r="P940" s="37" t="str">
        <f>IF(F940&gt;0,IF(AB940="","PLANNING SUPPLY",IF(AB940&lt;=F940,"ONTIME DELIVERY","DELAY")),"")</f>
        <v>ONTIME DELIVERY</v>
      </c>
      <c r="Q940" s="181" t="str">
        <f>IFERROR(IF(J943&gt;0,VLOOKUP(J943,#REF!,MATCH($Q$6,#REF!,0),0),""),"")</f>
        <v/>
      </c>
      <c r="R940" s="181" t="str">
        <f>IFERROR(IF(J943&gt;0,VLOOKUP(J943,#REF!,MATCH($R$6,#REF!,0),0),""),"")</f>
        <v/>
      </c>
      <c r="S940" s="181" t="e">
        <f>IF(I943&gt;0,Q940+R940,"")</f>
        <v>#VALUE!</v>
      </c>
      <c r="T940" s="181"/>
      <c r="U940" s="181"/>
      <c r="V940" s="37"/>
      <c r="W940" s="181" t="e">
        <f>IF(I943&gt;0,IF(S940&gt;L940,"READY STOCK",IF(S940=0,"OUT OF STOCK",IF(S940&lt;L940,"LOW STOCK",""))),"")</f>
        <v>#VALUE!</v>
      </c>
      <c r="X940" s="38"/>
      <c r="Y940" s="38"/>
      <c r="Z940" s="38"/>
      <c r="AA940" s="38"/>
      <c r="AB940" s="50">
        <v>46314</v>
      </c>
      <c r="AC940" s="44" t="s">
        <v>1373</v>
      </c>
      <c r="AD940" s="51">
        <v>1</v>
      </c>
      <c r="AE940" s="37" t="s">
        <v>387</v>
      </c>
      <c r="AF940" s="37" t="s">
        <v>381</v>
      </c>
      <c r="AG940" s="33" t="str">
        <f>IF(G940&gt;0,IF(AD940&gt;0,IF(AD940=0,"Waiting",IF(AD940&lt;L940,"Partial",IF(AD940=L940,"Full Supply",IF(AD940&gt;L940,"Over Shared")))),"Waiting"),"")</f>
        <v>Full Supply</v>
      </c>
      <c r="AH940" s="37"/>
      <c r="AI940" s="37"/>
      <c r="AJ940" s="181"/>
      <c r="AK940" s="37"/>
      <c r="AL940" s="37"/>
      <c r="AM940" s="181"/>
      <c r="AN940" s="37"/>
      <c r="AO940" s="37"/>
      <c r="AP940" s="37"/>
      <c r="AQ940" s="37"/>
      <c r="AR940" s="37"/>
      <c r="AS940" s="37"/>
      <c r="AT940" s="37"/>
      <c r="AU940" s="37"/>
      <c r="AV940" s="37"/>
      <c r="AW940" s="37"/>
      <c r="AX940" s="37"/>
      <c r="AY940" s="37"/>
      <c r="AZ940" s="181">
        <f>L940-AD940</f>
        <v>0</v>
      </c>
    </row>
    <row r="941" spans="1:52" ht="15.5" customHeight="1">
      <c r="A941" s="360" t="s">
        <v>372</v>
      </c>
      <c r="B941" s="340">
        <v>46296</v>
      </c>
      <c r="C941" s="181">
        <v>51614</v>
      </c>
      <c r="D941" s="30">
        <v>46296</v>
      </c>
      <c r="E941" s="30">
        <v>46294</v>
      </c>
      <c r="F941" s="30">
        <v>46323</v>
      </c>
      <c r="G941" s="37">
        <v>4420234351</v>
      </c>
      <c r="H941" s="37" t="s">
        <v>373</v>
      </c>
      <c r="I941" s="37">
        <v>9040044154</v>
      </c>
      <c r="J941" s="37" t="s">
        <v>301</v>
      </c>
      <c r="K941" s="325" t="s">
        <v>302</v>
      </c>
      <c r="L941" s="181">
        <v>6</v>
      </c>
      <c r="M941" s="181" t="s">
        <v>375</v>
      </c>
      <c r="N941" s="37" t="s">
        <v>408</v>
      </c>
      <c r="O941" s="31">
        <f>IF(F941&gt;0,F941-AB941,"")</f>
        <v>9</v>
      </c>
      <c r="P941" s="37" t="str">
        <f>IF(F941&gt;0,IF(AB941="","PLANNING SUPPLY",IF(AB941&lt;=F941,"ONTIME DELIVERY","DELAY")),"")</f>
        <v>ONTIME DELIVERY</v>
      </c>
      <c r="Q941" s="181" t="str">
        <f>IFERROR(IF(J944&gt;0,VLOOKUP(J944,#REF!,MATCH($Q$6,#REF!,0),0),""),"")</f>
        <v/>
      </c>
      <c r="R941" s="181" t="str">
        <f>IFERROR(IF(J944&gt;0,VLOOKUP(J944,#REF!,MATCH($R$6,#REF!,0),0),""),"")</f>
        <v/>
      </c>
      <c r="S941" s="181" t="e">
        <f>IF(I944&gt;0,Q941+R941,"")</f>
        <v>#VALUE!</v>
      </c>
      <c r="T941" s="181"/>
      <c r="U941" s="181"/>
      <c r="V941" s="37"/>
      <c r="W941" s="181" t="e">
        <f>IF(I944&gt;0,IF(S941&gt;L941,"READY STOCK",IF(S941=0,"OUT OF STOCK",IF(S941&lt;L941,"LOW STOCK",""))),"")</f>
        <v>#VALUE!</v>
      </c>
      <c r="X941" s="38"/>
      <c r="Y941" s="38"/>
      <c r="Z941" s="38"/>
      <c r="AA941" s="38"/>
      <c r="AB941" s="50">
        <v>46314</v>
      </c>
      <c r="AC941" s="44" t="s">
        <v>1373</v>
      </c>
      <c r="AD941" s="51">
        <v>6</v>
      </c>
      <c r="AE941" s="37" t="s">
        <v>387</v>
      </c>
      <c r="AF941" s="37" t="s">
        <v>381</v>
      </c>
      <c r="AG941" s="33" t="str">
        <f>IF(G941&gt;0,IF(AD941&gt;0,IF(AD941=0,"Waiting",IF(AD941&lt;L941,"Partial",IF(AD941=L941,"Full Supply",IF(AD941&gt;L941,"Over Shared")))),"Waiting"),"")</f>
        <v>Full Supply</v>
      </c>
      <c r="AH941" s="56">
        <v>46282</v>
      </c>
      <c r="AI941" s="37" t="s">
        <v>1303</v>
      </c>
      <c r="AJ941" s="181">
        <v>30</v>
      </c>
      <c r="AK941" s="37"/>
      <c r="AL941" s="37"/>
      <c r="AM941" s="181"/>
      <c r="AN941" s="216"/>
      <c r="AO941" s="239"/>
      <c r="AP941" s="37"/>
      <c r="AQ941" s="37"/>
      <c r="AR941" s="37"/>
      <c r="AS941" s="37"/>
      <c r="AT941" s="37"/>
      <c r="AU941" s="37"/>
      <c r="AV941" s="37"/>
      <c r="AW941" s="37"/>
      <c r="AX941" s="37"/>
      <c r="AY941" s="37"/>
      <c r="AZ941" s="181">
        <f>L941-AD941</f>
        <v>0</v>
      </c>
    </row>
    <row r="942" spans="1:52" ht="15.5" customHeight="1">
      <c r="A942" s="360" t="s">
        <v>372</v>
      </c>
      <c r="B942" s="340">
        <v>46296</v>
      </c>
      <c r="C942" s="181">
        <v>51614</v>
      </c>
      <c r="D942" s="30">
        <v>46296</v>
      </c>
      <c r="E942" s="30">
        <v>46294</v>
      </c>
      <c r="F942" s="30">
        <v>46323</v>
      </c>
      <c r="G942" s="37">
        <v>4420234351</v>
      </c>
      <c r="H942" s="37" t="s">
        <v>373</v>
      </c>
      <c r="I942" s="37">
        <v>9040012343</v>
      </c>
      <c r="J942" s="37" t="s">
        <v>303</v>
      </c>
      <c r="K942" s="325" t="s">
        <v>304</v>
      </c>
      <c r="L942" s="181">
        <v>3</v>
      </c>
      <c r="M942" s="181" t="s">
        <v>375</v>
      </c>
      <c r="N942" s="37" t="s">
        <v>408</v>
      </c>
      <c r="O942" s="31">
        <f>IF(F942&gt;0,F942-AB942,"")</f>
        <v>15</v>
      </c>
      <c r="P942" s="37" t="str">
        <f>IF(F942&gt;0,IF(AB942="","PLANNING SUPPLY",IF(AB942&lt;=F942,"ONTIME DELIVERY","DELAY")),"")</f>
        <v>ONTIME DELIVERY</v>
      </c>
      <c r="Q942" s="181" t="str">
        <f>IFERROR(IF(J945&gt;0,VLOOKUP(J945,#REF!,MATCH($Q$6,#REF!,0),0),""),"")</f>
        <v/>
      </c>
      <c r="R942" s="181" t="str">
        <f>IFERROR(IF(J945&gt;0,VLOOKUP(J945,#REF!,MATCH($R$6,#REF!,0),0),""),"")</f>
        <v/>
      </c>
      <c r="S942" s="181" t="e">
        <f>IF(I945&gt;0,Q942+R942,"")</f>
        <v>#VALUE!</v>
      </c>
      <c r="T942" s="181"/>
      <c r="U942" s="181"/>
      <c r="V942" s="37"/>
      <c r="W942" s="181" t="e">
        <f>IF(I945&gt;0,IF(S942&gt;L942,"READY STOCK",IF(S942=0,"OUT OF STOCK",IF(S942&lt;L942,"LOW STOCK",""))),"")</f>
        <v>#VALUE!</v>
      </c>
      <c r="X942" s="38"/>
      <c r="Y942" s="38"/>
      <c r="Z942" s="38"/>
      <c r="AA942" s="38"/>
      <c r="AB942" s="57">
        <v>46308</v>
      </c>
      <c r="AC942" s="246">
        <v>35010</v>
      </c>
      <c r="AD942" s="53">
        <v>3</v>
      </c>
      <c r="AE942" s="58" t="s">
        <v>387</v>
      </c>
      <c r="AF942" s="58" t="s">
        <v>381</v>
      </c>
      <c r="AG942" s="33" t="str">
        <f>IF(G942&gt;0,IF(AD942&gt;0,IF(AD942=0,"Waiting",IF(AD942&lt;L942,"Partial",IF(AD942=L942,"Full Supply",IF(AD942&gt;L942,"Over Shared")))),"Waiting"),"")</f>
        <v>Full Supply</v>
      </c>
      <c r="AH942" s="37"/>
      <c r="AI942" s="37" t="s">
        <v>1312</v>
      </c>
      <c r="AJ942" s="181">
        <v>27</v>
      </c>
      <c r="AK942" s="37"/>
      <c r="AL942" s="37"/>
      <c r="AM942" s="181"/>
      <c r="AN942" s="216"/>
      <c r="AO942" s="239"/>
      <c r="AP942" s="37"/>
      <c r="AQ942" s="37"/>
      <c r="AR942" s="37"/>
      <c r="AS942" s="37"/>
      <c r="AT942" s="37"/>
      <c r="AU942" s="37"/>
      <c r="AV942" s="37"/>
      <c r="AW942" s="37"/>
      <c r="AX942" s="37"/>
      <c r="AY942" s="37"/>
      <c r="AZ942" s="181">
        <f>L942-AD942</f>
        <v>0</v>
      </c>
    </row>
    <row r="943" spans="1:52" ht="15.5" customHeight="1">
      <c r="A943" s="360" t="s">
        <v>372</v>
      </c>
      <c r="B943" s="340">
        <v>46296</v>
      </c>
      <c r="C943" s="181">
        <v>51614</v>
      </c>
      <c r="D943" s="30">
        <v>46296</v>
      </c>
      <c r="E943" s="30">
        <v>46294</v>
      </c>
      <c r="F943" s="30">
        <v>46323</v>
      </c>
      <c r="G943" s="37">
        <v>4420234351</v>
      </c>
      <c r="H943" s="37" t="s">
        <v>373</v>
      </c>
      <c r="I943" s="37">
        <v>9040044191</v>
      </c>
      <c r="J943" s="37" t="s">
        <v>187</v>
      </c>
      <c r="K943" s="325" t="s">
        <v>188</v>
      </c>
      <c r="L943" s="181">
        <v>11</v>
      </c>
      <c r="M943" s="181" t="s">
        <v>375</v>
      </c>
      <c r="N943" s="37" t="s">
        <v>408</v>
      </c>
      <c r="O943" s="31">
        <f>IF(F943&gt;0,F943-AB943,"")</f>
        <v>19</v>
      </c>
      <c r="P943" s="37" t="str">
        <f>IF(F943&gt;0,IF(AB943="","PLANNING SUPPLY",IF(AB943&lt;=F943,"ONTIME DELIVERY","DELAY")),"")</f>
        <v>ONTIME DELIVERY</v>
      </c>
      <c r="Q943" s="181" t="str">
        <f>IFERROR(IF(J946&gt;0,VLOOKUP(J946,#REF!,MATCH($Q$6,#REF!,0),0),""),"")</f>
        <v/>
      </c>
      <c r="R943" s="181" t="str">
        <f>IFERROR(IF(J946&gt;0,VLOOKUP(J946,#REF!,MATCH($R$6,#REF!,0),0),""),"")</f>
        <v/>
      </c>
      <c r="S943" s="181" t="e">
        <f>IF(I946&gt;0,Q943+R943,"")</f>
        <v>#VALUE!</v>
      </c>
      <c r="T943" s="181"/>
      <c r="U943" s="181"/>
      <c r="V943" s="37"/>
      <c r="W943" s="181" t="e">
        <f>IF(I946&gt;0,IF(S943&gt;L943,"READY STOCK",IF(S943=0,"OUT OF STOCK",IF(S943&lt;L943,"LOW STOCK",""))),"")</f>
        <v>#VALUE!</v>
      </c>
      <c r="X943" s="38"/>
      <c r="Y943" s="38"/>
      <c r="Z943" s="38"/>
      <c r="AA943" s="38"/>
      <c r="AB943" s="57">
        <v>46304</v>
      </c>
      <c r="AC943" s="181">
        <v>34871</v>
      </c>
      <c r="AD943" s="53">
        <v>11</v>
      </c>
      <c r="AE943" s="58" t="s">
        <v>387</v>
      </c>
      <c r="AF943" s="58" t="s">
        <v>381</v>
      </c>
      <c r="AG943" s="33" t="str">
        <f>IF(G943&gt;0,IF(AD943&gt;0,IF(AD943=0,"Waiting",IF(AD943&lt;L943,"Partial",IF(AD943=L943,"Full Supply",IF(AD943&gt;L943,"Over Shared")))),"Waiting"),"")</f>
        <v>Full Supply</v>
      </c>
      <c r="AH943" s="37"/>
      <c r="AI943" s="37"/>
      <c r="AJ943" s="181"/>
      <c r="AK943" s="37"/>
      <c r="AL943" s="37"/>
      <c r="AM943" s="181"/>
      <c r="AN943" s="37"/>
      <c r="AO943" s="37"/>
      <c r="AP943" s="37"/>
      <c r="AQ943" s="37"/>
      <c r="AR943" s="37"/>
      <c r="AS943" s="37"/>
      <c r="AT943" s="37"/>
      <c r="AU943" s="37"/>
      <c r="AV943" s="37"/>
      <c r="AW943" s="37"/>
      <c r="AX943" s="37"/>
      <c r="AY943" s="37"/>
      <c r="AZ943" s="181">
        <f>L943-AD943</f>
        <v>0</v>
      </c>
    </row>
    <row r="944" spans="1:52" ht="15.5" customHeight="1">
      <c r="A944" s="360" t="s">
        <v>372</v>
      </c>
      <c r="B944" s="340">
        <v>46296</v>
      </c>
      <c r="C944" s="181">
        <v>51614</v>
      </c>
      <c r="D944" s="30">
        <v>46296</v>
      </c>
      <c r="E944" s="30">
        <v>46294</v>
      </c>
      <c r="F944" s="30">
        <v>46323</v>
      </c>
      <c r="G944" s="37">
        <v>4420234351</v>
      </c>
      <c r="H944" s="37" t="s">
        <v>373</v>
      </c>
      <c r="I944" s="37">
        <v>9040044285</v>
      </c>
      <c r="J944" s="37" t="s">
        <v>100</v>
      </c>
      <c r="K944" s="325" t="s">
        <v>101</v>
      </c>
      <c r="L944" s="181">
        <v>3</v>
      </c>
      <c r="M944" s="181" t="s">
        <v>427</v>
      </c>
      <c r="N944" s="37" t="s">
        <v>408</v>
      </c>
      <c r="O944" s="31">
        <f>IF(F944&gt;0,F944-AB944,"")</f>
        <v>15</v>
      </c>
      <c r="P944" s="37" t="str">
        <f>IF(F944&gt;0,IF(AB944="","PLANNING SUPPLY",IF(AB944&lt;=F944,"ONTIME DELIVERY","DELAY")),"")</f>
        <v>ONTIME DELIVERY</v>
      </c>
      <c r="Q944" s="181" t="str">
        <f>IFERROR(IF(J947&gt;0,VLOOKUP(J947,#REF!,MATCH($Q$6,#REF!,0),0),""),"")</f>
        <v/>
      </c>
      <c r="R944" s="181" t="str">
        <f>IFERROR(IF(J947&gt;0,VLOOKUP(J947,#REF!,MATCH($R$6,#REF!,0),0),""),"")</f>
        <v/>
      </c>
      <c r="S944" s="181" t="e">
        <f>IF(I947&gt;0,Q944+R944,"")</f>
        <v>#VALUE!</v>
      </c>
      <c r="T944" s="181"/>
      <c r="U944" s="181"/>
      <c r="V944" s="37"/>
      <c r="W944" s="181" t="e">
        <f>IF(I947&gt;0,IF(S944&gt;L944,"READY STOCK",IF(S944=0,"OUT OF STOCK",IF(S944&lt;L944,"LOW STOCK",""))),"")</f>
        <v>#VALUE!</v>
      </c>
      <c r="X944" s="38"/>
      <c r="Y944" s="38"/>
      <c r="Z944" s="38"/>
      <c r="AA944" s="38"/>
      <c r="AB944" s="57">
        <v>46308</v>
      </c>
      <c r="AC944" s="246">
        <v>35010</v>
      </c>
      <c r="AD944" s="53">
        <v>3</v>
      </c>
      <c r="AE944" s="58" t="s">
        <v>387</v>
      </c>
      <c r="AF944" s="58" t="s">
        <v>381</v>
      </c>
      <c r="AG944" s="33" t="str">
        <f>IF(G944&gt;0,IF(AD944&gt;0,IF(AD944=0,"Waiting",IF(AD944&lt;L944,"Partial",IF(AD944=L944,"Full Supply",IF(AD944&gt;L944,"Over Shared")))),"Waiting"),"")</f>
        <v>Full Supply</v>
      </c>
      <c r="AH944" s="56">
        <v>46294</v>
      </c>
      <c r="AI944" s="37" t="s">
        <v>1311</v>
      </c>
      <c r="AJ944" s="181">
        <v>25</v>
      </c>
      <c r="AK944" s="37"/>
      <c r="AL944" s="37"/>
      <c r="AM944" s="181"/>
      <c r="AN944" s="37"/>
      <c r="AO944" s="37"/>
      <c r="AP944" s="37"/>
      <c r="AQ944" s="37"/>
      <c r="AR944" s="37"/>
      <c r="AS944" s="37"/>
      <c r="AT944" s="37"/>
      <c r="AU944" s="37"/>
      <c r="AV944" s="37"/>
      <c r="AW944" s="37"/>
      <c r="AX944" s="37"/>
      <c r="AY944" s="37"/>
      <c r="AZ944" s="181">
        <f>L944-AD944</f>
        <v>0</v>
      </c>
    </row>
    <row r="945" spans="1:52" ht="15.5" customHeight="1">
      <c r="A945" s="360" t="s">
        <v>372</v>
      </c>
      <c r="B945" s="340">
        <v>46296</v>
      </c>
      <c r="C945" s="181">
        <v>51614</v>
      </c>
      <c r="D945" s="30">
        <v>46296</v>
      </c>
      <c r="E945" s="30">
        <v>46294</v>
      </c>
      <c r="F945" s="30">
        <v>46323</v>
      </c>
      <c r="G945" s="37">
        <v>4420234351</v>
      </c>
      <c r="H945" s="37" t="s">
        <v>373</v>
      </c>
      <c r="I945" s="37">
        <v>9040055051</v>
      </c>
      <c r="J945" s="37" t="s">
        <v>10</v>
      </c>
      <c r="K945" s="325" t="s">
        <v>149</v>
      </c>
      <c r="L945" s="181">
        <v>3</v>
      </c>
      <c r="M945" s="181" t="s">
        <v>375</v>
      </c>
      <c r="N945" s="37" t="s">
        <v>408</v>
      </c>
      <c r="O945" s="31">
        <f>IF(F945&gt;0,F945-AB945,"")</f>
        <v>46323</v>
      </c>
      <c r="P945" s="37" t="str">
        <f>IF(F945&gt;0,IF(AB945="","PLANNING SUPPLY",IF(AB945&lt;=F945,"ONTIME DELIVERY","DELAY")),"")</f>
        <v>PLANNING SUPPLY</v>
      </c>
      <c r="Q945" s="181" t="str">
        <f>IFERROR(IF(J948&gt;0,VLOOKUP(J948,#REF!,MATCH($Q$6,#REF!,0),0),""),"")</f>
        <v/>
      </c>
      <c r="R945" s="181" t="str">
        <f>IFERROR(IF(J948&gt;0,VLOOKUP(J948,#REF!,MATCH($R$6,#REF!,0),0),""),"")</f>
        <v/>
      </c>
      <c r="S945" s="181" t="e">
        <f>IF(I948&gt;0,Q945+R945,"")</f>
        <v>#VALUE!</v>
      </c>
      <c r="T945" s="181"/>
      <c r="U945" s="181"/>
      <c r="V945" s="37"/>
      <c r="W945" s="181" t="e">
        <f>IF(I948&gt;0,IF(S945&gt;L945,"READY STOCK",IF(S945=0,"OUT OF STOCK",IF(S945&lt;L945,"LOW STOCK",""))),"")</f>
        <v>#VALUE!</v>
      </c>
      <c r="X945" s="38"/>
      <c r="Y945" s="38"/>
      <c r="Z945" s="38"/>
      <c r="AA945" s="38"/>
      <c r="AB945" s="50"/>
      <c r="AC945" s="181"/>
      <c r="AD945" s="51"/>
      <c r="AE945" s="37"/>
      <c r="AF945" s="37"/>
      <c r="AG945" s="33" t="str">
        <f>IF(G945&gt;0,IF(AD945&gt;0,IF(AD945=0,"Waiting",IF(AD945&lt;L945,"Partial",IF(AD945=L945,"Full Supply",IF(AD945&gt;L945,"Over Shared")))),"Waiting"),"")</f>
        <v>Waiting</v>
      </c>
      <c r="AH945" s="37"/>
      <c r="AI945" s="37"/>
      <c r="AJ945" s="181"/>
      <c r="AK945" s="37"/>
      <c r="AL945" s="37"/>
      <c r="AM945" s="181"/>
      <c r="AN945" s="37"/>
      <c r="AO945" s="37"/>
      <c r="AP945" s="37"/>
      <c r="AQ945" s="37"/>
      <c r="AR945" s="37"/>
      <c r="AS945" s="37"/>
      <c r="AT945" s="37"/>
      <c r="AU945" s="36" t="str">
        <f>IF(AR945=0,"Waiting",IF(AR945&lt;AH945,"Kurang",IF(AR945=AH945,"Sesuai",IF(AR945&gt;AH945,"Over Shared"))))</f>
        <v>Waiting</v>
      </c>
      <c r="AV945" s="37"/>
      <c r="AW945" s="37"/>
      <c r="AX945" s="37"/>
      <c r="AY945" s="37"/>
      <c r="AZ945" s="181">
        <f>L945-AD945</f>
        <v>3</v>
      </c>
    </row>
    <row r="946" spans="1:52" ht="15.5" customHeight="1">
      <c r="A946" s="360" t="s">
        <v>372</v>
      </c>
      <c r="B946" s="340">
        <v>46297</v>
      </c>
      <c r="C946" s="181">
        <v>51668</v>
      </c>
      <c r="D946" s="30">
        <v>46297</v>
      </c>
      <c r="E946" s="30">
        <v>46296</v>
      </c>
      <c r="F946" s="30">
        <v>46317</v>
      </c>
      <c r="G946" s="37">
        <v>4420234524</v>
      </c>
      <c r="H946" s="37" t="s">
        <v>373</v>
      </c>
      <c r="I946" s="37">
        <v>9040009398</v>
      </c>
      <c r="J946" s="37" t="s">
        <v>282</v>
      </c>
      <c r="K946" s="325" t="s">
        <v>283</v>
      </c>
      <c r="L946" s="181">
        <v>2</v>
      </c>
      <c r="M946" s="181" t="s">
        <v>421</v>
      </c>
      <c r="N946" s="37" t="s">
        <v>451</v>
      </c>
      <c r="O946" s="31">
        <f>IF(F946&gt;0,F946-AB946,"")</f>
        <v>46317</v>
      </c>
      <c r="P946" s="37" t="str">
        <f>IF(F946&gt;0,IF(AB946="","PLANNING SUPPLY",IF(AB946&lt;=F946,"ONTIME DELIVERY","DELAY")),"")</f>
        <v>PLANNING SUPPLY</v>
      </c>
      <c r="Q946" s="181" t="str">
        <f>IFERROR(IF(J949&gt;0,VLOOKUP(J949,#REF!,MATCH($Q$6,#REF!,0),0),""),"")</f>
        <v/>
      </c>
      <c r="R946" s="181" t="str">
        <f>IFERROR(IF(J949&gt;0,VLOOKUP(J949,#REF!,MATCH($R$6,#REF!,0),0),""),"")</f>
        <v/>
      </c>
      <c r="S946" s="181" t="e">
        <f>IF(I949&gt;0,Q946+R946,"")</f>
        <v>#VALUE!</v>
      </c>
      <c r="T946" s="181"/>
      <c r="U946" s="181"/>
      <c r="V946" s="37"/>
      <c r="W946" s="181" t="e">
        <f>IF(I949&gt;0,IF(S946&gt;L946,"READY STOCK",IF(S946=0,"OUT OF STOCK",IF(S946&lt;L946,"LOW STOCK",""))),"")</f>
        <v>#VALUE!</v>
      </c>
      <c r="X946" s="38"/>
      <c r="Y946" s="38"/>
      <c r="Z946" s="38"/>
      <c r="AA946" s="38"/>
      <c r="AB946" s="50"/>
      <c r="AC946" s="181"/>
      <c r="AD946" s="51"/>
      <c r="AE946" s="37"/>
      <c r="AF946" s="37"/>
      <c r="AG946" s="33" t="str">
        <f>IF(G946&gt;0,IF(AD946&gt;0,IF(AD946=0,"Waiting",IF(AD946&lt;L946,"Partial",IF(AD946=L946,"Full Supply",IF(AD946&gt;L946,"Over Shared")))),"Waiting"),"")</f>
        <v>Waiting</v>
      </c>
      <c r="AH946" s="37"/>
      <c r="AI946" s="37"/>
      <c r="AJ946" s="181"/>
      <c r="AK946" s="37"/>
      <c r="AL946" s="37"/>
      <c r="AM946" s="181"/>
      <c r="AN946" s="37"/>
      <c r="AO946" s="37"/>
      <c r="AP946" s="37"/>
      <c r="AQ946" s="37"/>
      <c r="AR946" s="37"/>
      <c r="AS946" s="37"/>
      <c r="AT946" s="37"/>
      <c r="AU946" s="37"/>
      <c r="AV946" s="37"/>
      <c r="AW946" s="37"/>
      <c r="AX946" s="37"/>
      <c r="AY946" s="37"/>
      <c r="AZ946" s="181">
        <f>L946-AD946</f>
        <v>2</v>
      </c>
    </row>
    <row r="947" spans="1:52" ht="15.5" customHeight="1">
      <c r="A947" s="360" t="s">
        <v>372</v>
      </c>
      <c r="B947" s="340">
        <v>46297</v>
      </c>
      <c r="C947" s="181">
        <v>51668</v>
      </c>
      <c r="D947" s="30">
        <v>46297</v>
      </c>
      <c r="E947" s="30">
        <v>46296</v>
      </c>
      <c r="F947" s="30">
        <v>46317</v>
      </c>
      <c r="G947" s="37">
        <v>4420234524</v>
      </c>
      <c r="H947" s="37" t="s">
        <v>373</v>
      </c>
      <c r="I947" s="37">
        <v>9040040455</v>
      </c>
      <c r="J947" s="37" t="s">
        <v>95</v>
      </c>
      <c r="K947" s="325" t="s">
        <v>97</v>
      </c>
      <c r="L947" s="181">
        <v>2</v>
      </c>
      <c r="M947" s="181" t="s">
        <v>375</v>
      </c>
      <c r="N947" s="37" t="s">
        <v>451</v>
      </c>
      <c r="O947" s="31">
        <f>IF(F947&gt;0,F947-AB947,"")</f>
        <v>9</v>
      </c>
      <c r="P947" s="37" t="str">
        <f>IF(F947&gt;0,IF(AB947="","PLANNING SUPPLY",IF(AB947&lt;=F947,"ONTIME DELIVERY","DELAY")),"")</f>
        <v>ONTIME DELIVERY</v>
      </c>
      <c r="Q947" s="181" t="str">
        <f>IFERROR(IF(J950&gt;0,VLOOKUP(J950,#REF!,MATCH($Q$6,#REF!,0),0),""),"")</f>
        <v/>
      </c>
      <c r="R947" s="181" t="str">
        <f>IFERROR(IF(J950&gt;0,VLOOKUP(J950,#REF!,MATCH($R$6,#REF!,0),0),""),"")</f>
        <v/>
      </c>
      <c r="S947" s="181" t="e">
        <f>IF(I950&gt;0,Q947+R947,"")</f>
        <v>#VALUE!</v>
      </c>
      <c r="T947" s="181"/>
      <c r="U947" s="181"/>
      <c r="V947" s="37"/>
      <c r="W947" s="181" t="e">
        <f>IF(I950&gt;0,IF(S947&gt;L947,"READY STOCK",IF(S947=0,"OUT OF STOCK",IF(S947&lt;L947,"LOW STOCK",""))),"")</f>
        <v>#VALUE!</v>
      </c>
      <c r="X947" s="38"/>
      <c r="Y947" s="38"/>
      <c r="Z947" s="38"/>
      <c r="AA947" s="38"/>
      <c r="AB947" s="57">
        <v>46308</v>
      </c>
      <c r="AC947" s="246">
        <v>35011</v>
      </c>
      <c r="AD947" s="53">
        <v>2</v>
      </c>
      <c r="AE947" s="58" t="s">
        <v>387</v>
      </c>
      <c r="AF947" s="58" t="s">
        <v>381</v>
      </c>
      <c r="AG947" s="33" t="str">
        <f>IF(G947&gt;0,IF(AD947&gt;0,IF(AD947=0,"Waiting",IF(AD947&lt;L947,"Partial",IF(AD947=L947,"Full Supply",IF(AD947&gt;L947,"Over Shared")))),"Waiting"),"")</f>
        <v>Full Supply</v>
      </c>
      <c r="AH947" s="37"/>
      <c r="AI947" s="37"/>
      <c r="AJ947" s="181"/>
      <c r="AK947" s="37"/>
      <c r="AL947" s="37"/>
      <c r="AM947" s="181"/>
      <c r="AN947" s="37"/>
      <c r="AO947" s="37"/>
      <c r="AP947" s="37"/>
      <c r="AQ947" s="37"/>
      <c r="AR947" s="37"/>
      <c r="AS947" s="37"/>
      <c r="AT947" s="37"/>
      <c r="AU947" s="37"/>
      <c r="AV947" s="37"/>
      <c r="AW947" s="37"/>
      <c r="AX947" s="37"/>
      <c r="AY947" s="37"/>
      <c r="AZ947" s="181">
        <f>L947-AD947</f>
        <v>0</v>
      </c>
    </row>
    <row r="948" spans="1:52" ht="15.5" customHeight="1">
      <c r="A948" s="360" t="s">
        <v>372</v>
      </c>
      <c r="B948" s="340">
        <v>46297</v>
      </c>
      <c r="C948" s="181">
        <v>51668</v>
      </c>
      <c r="D948" s="30">
        <v>46297</v>
      </c>
      <c r="E948" s="30">
        <v>46296</v>
      </c>
      <c r="F948" s="30">
        <v>46317</v>
      </c>
      <c r="G948" s="37">
        <v>4420234524</v>
      </c>
      <c r="H948" s="37" t="s">
        <v>373</v>
      </c>
      <c r="I948" s="37">
        <v>9040041385</v>
      </c>
      <c r="J948" s="37" t="s">
        <v>6</v>
      </c>
      <c r="K948" s="325" t="s">
        <v>7</v>
      </c>
      <c r="L948" s="181">
        <v>15</v>
      </c>
      <c r="M948" s="181" t="s">
        <v>375</v>
      </c>
      <c r="N948" s="37" t="s">
        <v>451</v>
      </c>
      <c r="O948" s="31">
        <f>IF(F948&gt;0,F948-AB948,"")</f>
        <v>46317</v>
      </c>
      <c r="P948" s="37" t="str">
        <f>IF(F948&gt;0,IF(AB948="","PLANNING SUPPLY",IF(AB948&lt;=F948,"ONTIME DELIVERY","DELAY")),"")</f>
        <v>PLANNING SUPPLY</v>
      </c>
      <c r="Q948" s="181" t="str">
        <f>IFERROR(IF(J951&gt;0,VLOOKUP(J951,#REF!,MATCH($Q$6,#REF!,0),0),""),"")</f>
        <v/>
      </c>
      <c r="R948" s="181" t="str">
        <f>IFERROR(IF(J951&gt;0,VLOOKUP(J951,#REF!,MATCH($R$6,#REF!,0),0),""),"")</f>
        <v/>
      </c>
      <c r="S948" s="181" t="e">
        <f>IF(I951&gt;0,Q948+R948,"")</f>
        <v>#VALUE!</v>
      </c>
      <c r="T948" s="181"/>
      <c r="U948" s="181"/>
      <c r="V948" s="37"/>
      <c r="W948" s="181" t="e">
        <f>IF(I951&gt;0,IF(S948&gt;L948,"READY STOCK",IF(S948=0,"OUT OF STOCK",IF(S948&lt;L948,"LOW STOCK",""))),"")</f>
        <v>#VALUE!</v>
      </c>
      <c r="X948" s="38"/>
      <c r="Y948" s="38"/>
      <c r="Z948" s="38"/>
      <c r="AA948" s="38"/>
      <c r="AB948" s="50"/>
      <c r="AC948" s="181"/>
      <c r="AD948" s="51"/>
      <c r="AE948" s="37"/>
      <c r="AF948" s="37"/>
      <c r="AG948" s="33" t="str">
        <f>IF(G948&gt;0,IF(AD948&gt;0,IF(AD948=0,"Waiting",IF(AD948&lt;L948,"Partial",IF(AD948=L948,"Full Supply",IF(AD948&gt;L948,"Over Shared")))),"Waiting"),"")</f>
        <v>Waiting</v>
      </c>
      <c r="AH948" s="37"/>
      <c r="AI948" s="37"/>
      <c r="AJ948" s="181"/>
      <c r="AK948" s="37"/>
      <c r="AL948" s="37"/>
      <c r="AM948" s="181"/>
      <c r="AN948" s="37"/>
      <c r="AO948" s="37"/>
      <c r="AP948" s="37"/>
      <c r="AQ948" s="37"/>
      <c r="AR948" s="37"/>
      <c r="AS948" s="37"/>
      <c r="AT948" s="37"/>
      <c r="AU948" s="37"/>
      <c r="AV948" s="37"/>
      <c r="AW948" s="37"/>
      <c r="AX948" s="37"/>
      <c r="AY948" s="37"/>
      <c r="AZ948" s="181">
        <f>L948-AD948</f>
        <v>15</v>
      </c>
    </row>
    <row r="949" spans="1:52" ht="15.5" customHeight="1">
      <c r="A949" s="360" t="s">
        <v>372</v>
      </c>
      <c r="B949" s="340">
        <v>46297</v>
      </c>
      <c r="C949" s="181">
        <v>51668</v>
      </c>
      <c r="D949" s="30">
        <v>46297</v>
      </c>
      <c r="E949" s="30">
        <v>46296</v>
      </c>
      <c r="F949" s="30">
        <v>46317</v>
      </c>
      <c r="G949" s="37">
        <v>4420234524</v>
      </c>
      <c r="H949" s="37" t="s">
        <v>373</v>
      </c>
      <c r="I949" s="37">
        <v>9040042224</v>
      </c>
      <c r="J949" s="37" t="s">
        <v>195</v>
      </c>
      <c r="K949" s="325" t="s">
        <v>196</v>
      </c>
      <c r="L949" s="181">
        <v>20</v>
      </c>
      <c r="M949" s="181" t="s">
        <v>421</v>
      </c>
      <c r="N949" s="37" t="s">
        <v>451</v>
      </c>
      <c r="O949" s="31">
        <f>IF(F949&gt;0,F949-AB949,"")</f>
        <v>3</v>
      </c>
      <c r="P949" s="37" t="str">
        <f>IF(F949&gt;0,IF(AB949="","PLANNING SUPPLY",IF(AB949&lt;=F949,"ONTIME DELIVERY","DELAY")),"")</f>
        <v>ONTIME DELIVERY</v>
      </c>
      <c r="Q949" s="181" t="str">
        <f>IFERROR(IF(J952&gt;0,VLOOKUP(J952,#REF!,MATCH($Q$6,#REF!,0),0),""),"")</f>
        <v/>
      </c>
      <c r="R949" s="181" t="str">
        <f>IFERROR(IF(J952&gt;0,VLOOKUP(J952,#REF!,MATCH($R$6,#REF!,0),0),""),"")</f>
        <v/>
      </c>
      <c r="S949" s="181" t="e">
        <f>IF(I952&gt;0,Q949+R949,"")</f>
        <v>#VALUE!</v>
      </c>
      <c r="T949" s="181"/>
      <c r="U949" s="181"/>
      <c r="V949" s="37"/>
      <c r="W949" s="181" t="e">
        <f>IF(I952&gt;0,IF(S949&gt;L949,"READY STOCK",IF(S949=0,"OUT OF STOCK",IF(S949&lt;L949,"LOW STOCK",""))),"")</f>
        <v>#VALUE!</v>
      </c>
      <c r="X949" s="38"/>
      <c r="Y949" s="38"/>
      <c r="Z949" s="38"/>
      <c r="AA949" s="38"/>
      <c r="AB949" s="50">
        <v>46314</v>
      </c>
      <c r="AC949" s="44" t="s">
        <v>1377</v>
      </c>
      <c r="AD949" s="51">
        <v>20</v>
      </c>
      <c r="AE949" s="37" t="s">
        <v>387</v>
      </c>
      <c r="AF949" s="37" t="s">
        <v>381</v>
      </c>
      <c r="AG949" s="33" t="str">
        <f>IF(G949&gt;0,IF(AD949&gt;0,IF(AD949=0,"Waiting",IF(AD949&lt;L949,"Partial",IF(AD949=L949,"Full Supply",IF(AD949&gt;L949,"Over Shared")))),"Waiting"),"")</f>
        <v>Full Supply</v>
      </c>
      <c r="AH949" s="37"/>
      <c r="AI949" s="37"/>
      <c r="AJ949" s="181"/>
      <c r="AK949" s="37"/>
      <c r="AL949" s="37"/>
      <c r="AM949" s="181"/>
      <c r="AN949" s="37"/>
      <c r="AO949" s="37"/>
      <c r="AP949" s="37"/>
      <c r="AQ949" s="37"/>
      <c r="AR949" s="37"/>
      <c r="AS949" s="37"/>
      <c r="AT949" s="37"/>
      <c r="AU949" s="37"/>
      <c r="AV949" s="37"/>
      <c r="AW949" s="37"/>
      <c r="AX949" s="37"/>
      <c r="AY949" s="37"/>
      <c r="AZ949" s="181">
        <f>L949-AD949</f>
        <v>0</v>
      </c>
    </row>
    <row r="950" spans="1:52" ht="15.5" customHeight="1">
      <c r="A950" s="360" t="s">
        <v>372</v>
      </c>
      <c r="B950" s="340">
        <v>46297</v>
      </c>
      <c r="C950" s="181">
        <v>51669</v>
      </c>
      <c r="D950" s="30">
        <v>46297</v>
      </c>
      <c r="E950" s="30">
        <v>46296</v>
      </c>
      <c r="F950" s="30">
        <v>46315</v>
      </c>
      <c r="G950" s="37">
        <v>4420234440</v>
      </c>
      <c r="H950" s="37" t="s">
        <v>373</v>
      </c>
      <c r="I950" s="37">
        <v>9040016956</v>
      </c>
      <c r="J950" s="37" t="s">
        <v>249</v>
      </c>
      <c r="K950" s="325" t="s">
        <v>250</v>
      </c>
      <c r="L950" s="181">
        <v>5</v>
      </c>
      <c r="M950" s="181" t="s">
        <v>421</v>
      </c>
      <c r="N950" s="37" t="s">
        <v>399</v>
      </c>
      <c r="O950" s="31">
        <f>IF(F950&gt;0,F950-AB950,"")</f>
        <v>46315</v>
      </c>
      <c r="P950" s="37" t="str">
        <f>IF(F950&gt;0,IF(AB950="","PLANNING SUPPLY",IF(AB950&lt;=F950,"ONTIME DELIVERY","DELAY")),"")</f>
        <v>PLANNING SUPPLY</v>
      </c>
      <c r="Q950" s="181" t="str">
        <f>IFERROR(IF(J953&gt;0,VLOOKUP(J953,#REF!,MATCH($Q$6,#REF!,0),0),""),"")</f>
        <v/>
      </c>
      <c r="R950" s="181" t="str">
        <f>IFERROR(IF(J953&gt;0,VLOOKUP(J953,#REF!,MATCH($R$6,#REF!,0),0),""),"")</f>
        <v/>
      </c>
      <c r="S950" s="181" t="e">
        <f>IF(I953&gt;0,Q950+R950,"")</f>
        <v>#VALUE!</v>
      </c>
      <c r="T950" s="181"/>
      <c r="U950" s="181"/>
      <c r="V950" s="37"/>
      <c r="W950" s="181" t="e">
        <f>IF(I953&gt;0,IF(S950&gt;L950,"READY STOCK",IF(S950=0,"OUT OF STOCK",IF(S950&lt;L950,"LOW STOCK",""))),"")</f>
        <v>#VALUE!</v>
      </c>
      <c r="X950" s="38"/>
      <c r="Y950" s="38"/>
      <c r="Z950" s="38"/>
      <c r="AA950" s="38"/>
      <c r="AB950" s="50"/>
      <c r="AC950" s="181"/>
      <c r="AD950" s="51"/>
      <c r="AE950" s="37"/>
      <c r="AF950" s="37"/>
      <c r="AG950" s="33" t="str">
        <f>IF(G950&gt;0,IF(AD950&gt;0,IF(AD950=0,"Waiting",IF(AD950&lt;L950,"Partial",IF(AD950=L950,"Full Supply",IF(AD950&gt;L950,"Over Shared")))),"Waiting"),"")</f>
        <v>Waiting</v>
      </c>
      <c r="AH950" s="37"/>
      <c r="AI950" s="37"/>
      <c r="AJ950" s="181"/>
      <c r="AK950" s="37"/>
      <c r="AL950" s="37"/>
      <c r="AM950" s="181"/>
      <c r="AN950" s="37"/>
      <c r="AO950" s="37"/>
      <c r="AP950" s="37"/>
      <c r="AQ950" s="37"/>
      <c r="AR950" s="37"/>
      <c r="AS950" s="37"/>
      <c r="AT950" s="37"/>
      <c r="AU950" s="37"/>
      <c r="AV950" s="37"/>
      <c r="AW950" s="37"/>
      <c r="AX950" s="37"/>
      <c r="AY950" s="37"/>
      <c r="AZ950" s="181">
        <f>L950-AD950</f>
        <v>5</v>
      </c>
    </row>
    <row r="951" spans="1:52" ht="15.5" customHeight="1">
      <c r="A951" s="360" t="s">
        <v>372</v>
      </c>
      <c r="B951" s="340">
        <v>46297</v>
      </c>
      <c r="C951" s="181">
        <v>51669</v>
      </c>
      <c r="D951" s="30">
        <v>46297</v>
      </c>
      <c r="E951" s="30">
        <v>46296</v>
      </c>
      <c r="F951" s="30">
        <v>46315</v>
      </c>
      <c r="G951" s="37">
        <v>4420234440</v>
      </c>
      <c r="H951" s="37" t="s">
        <v>373</v>
      </c>
      <c r="I951" s="37">
        <v>9040040390</v>
      </c>
      <c r="J951" s="37" t="s">
        <v>209</v>
      </c>
      <c r="K951" s="325" t="s">
        <v>210</v>
      </c>
      <c r="L951" s="181">
        <v>5</v>
      </c>
      <c r="M951" s="181" t="s">
        <v>421</v>
      </c>
      <c r="N951" s="37" t="s">
        <v>399</v>
      </c>
      <c r="O951" s="31">
        <f>IF(F951&gt;0,F951-AB951,"")</f>
        <v>46315</v>
      </c>
      <c r="P951" s="37" t="str">
        <f>IF(F951&gt;0,IF(AB951="","PLANNING SUPPLY",IF(AB951&lt;=F951,"ONTIME DELIVERY","DELAY")),"")</f>
        <v>PLANNING SUPPLY</v>
      </c>
      <c r="Q951" s="181" t="str">
        <f>IFERROR(IF(J954&gt;0,VLOOKUP(J954,#REF!,MATCH($Q$6,#REF!,0),0),""),"")</f>
        <v/>
      </c>
      <c r="R951" s="181" t="str">
        <f>IFERROR(IF(J954&gt;0,VLOOKUP(J954,#REF!,MATCH($R$6,#REF!,0),0),""),"")</f>
        <v/>
      </c>
      <c r="S951" s="181" t="e">
        <f>IF(I954&gt;0,Q951+R951,"")</f>
        <v>#VALUE!</v>
      </c>
      <c r="T951" s="181"/>
      <c r="U951" s="181"/>
      <c r="V951" s="37"/>
      <c r="W951" s="181" t="e">
        <f>IF(I954&gt;0,IF(S951&gt;L951,"READY STOCK",IF(S951=0,"OUT OF STOCK",IF(S951&lt;L951,"LOW STOCK",""))),"")</f>
        <v>#VALUE!</v>
      </c>
      <c r="X951" s="38"/>
      <c r="Y951" s="38"/>
      <c r="Z951" s="38"/>
      <c r="AA951" s="38"/>
      <c r="AB951" s="50"/>
      <c r="AC951" s="181"/>
      <c r="AD951" s="51"/>
      <c r="AE951" s="37"/>
      <c r="AF951" s="37"/>
      <c r="AG951" s="33" t="str">
        <f>IF(G951&gt;0,IF(AD951&gt;0,IF(AD951=0,"Waiting",IF(AD951&lt;L951,"Partial",IF(AD951=L951,"Full Supply",IF(AD951&gt;L951,"Over Shared")))),"Waiting"),"")</f>
        <v>Waiting</v>
      </c>
      <c r="AH951" s="233">
        <v>46297</v>
      </c>
      <c r="AI951" s="37" t="s">
        <v>1369</v>
      </c>
      <c r="AJ951" s="181">
        <v>11</v>
      </c>
      <c r="AK951" s="37"/>
      <c r="AL951" s="37"/>
      <c r="AM951" s="181"/>
      <c r="AN951" s="37"/>
      <c r="AO951" s="37"/>
      <c r="AP951" s="37"/>
      <c r="AQ951" s="37"/>
      <c r="AR951" s="37"/>
      <c r="AS951" s="37"/>
      <c r="AT951" s="37"/>
      <c r="AU951" s="37"/>
      <c r="AV951" s="37"/>
      <c r="AW951" s="37"/>
      <c r="AX951" s="37"/>
      <c r="AY951" s="37"/>
      <c r="AZ951" s="181">
        <f>L951-AD951</f>
        <v>5</v>
      </c>
    </row>
    <row r="952" spans="1:52" ht="15.5" customHeight="1">
      <c r="A952" s="360" t="s">
        <v>372</v>
      </c>
      <c r="B952" s="340">
        <v>46297</v>
      </c>
      <c r="C952" s="181">
        <v>51669</v>
      </c>
      <c r="D952" s="30">
        <v>46297</v>
      </c>
      <c r="E952" s="30">
        <v>46296</v>
      </c>
      <c r="F952" s="30">
        <v>46315</v>
      </c>
      <c r="G952" s="37">
        <v>4420234440</v>
      </c>
      <c r="H952" s="37" t="s">
        <v>373</v>
      </c>
      <c r="I952" s="37">
        <v>9040040445</v>
      </c>
      <c r="J952" s="37" t="s">
        <v>193</v>
      </c>
      <c r="K952" s="325" t="s">
        <v>194</v>
      </c>
      <c r="L952" s="181">
        <v>6</v>
      </c>
      <c r="M952" s="181" t="s">
        <v>421</v>
      </c>
      <c r="N952" s="37" t="s">
        <v>399</v>
      </c>
      <c r="O952" s="31">
        <f>IF(F952&gt;0,F952-AB952,"")</f>
        <v>-1</v>
      </c>
      <c r="P952" s="37" t="str">
        <f>IF(F952&gt;0,IF(AB952="","PLANNING SUPPLY",IF(AB952&lt;=F952,"ONTIME DELIVERY","DELAY")),"")</f>
        <v>DELAY</v>
      </c>
      <c r="Q952" s="181" t="str">
        <f>IFERROR(IF(J955&gt;0,VLOOKUP(J955,#REF!,MATCH($Q$6,#REF!,0),0),""),"")</f>
        <v/>
      </c>
      <c r="R952" s="181" t="str">
        <f>IFERROR(IF(J955&gt;0,VLOOKUP(J955,#REF!,MATCH($R$6,#REF!,0),0),""),"")</f>
        <v/>
      </c>
      <c r="S952" s="181" t="e">
        <f>IF(I955&gt;0,Q952+R952,"")</f>
        <v>#VALUE!</v>
      </c>
      <c r="T952" s="181"/>
      <c r="U952" s="181"/>
      <c r="V952" s="37"/>
      <c r="W952" s="181" t="e">
        <f>IF(I955&gt;0,IF(S952&gt;L952,"READY STOCK",IF(S952=0,"OUT OF STOCK",IF(S952&lt;L952,"LOW STOCK",""))),"")</f>
        <v>#VALUE!</v>
      </c>
      <c r="X952" s="38"/>
      <c r="Y952" s="38"/>
      <c r="Z952" s="38"/>
      <c r="AA952" s="38"/>
      <c r="AB952" s="50">
        <v>46316</v>
      </c>
      <c r="AC952" s="44" t="s">
        <v>1378</v>
      </c>
      <c r="AD952" s="51">
        <v>6</v>
      </c>
      <c r="AE952" s="37" t="s">
        <v>387</v>
      </c>
      <c r="AF952" s="37" t="s">
        <v>381</v>
      </c>
      <c r="AG952" s="33" t="str">
        <f>IF(G952&gt;0,IF(AD952&gt;0,IF(AD952=0,"Waiting",IF(AD952&lt;L952,"Partial",IF(AD952=L952,"Full Supply",IF(AD952&gt;L952,"Over Shared")))),"Waiting"),"")</f>
        <v>Full Supply</v>
      </c>
      <c r="AH952" s="37"/>
      <c r="AI952" s="37"/>
      <c r="AJ952" s="181"/>
      <c r="AK952" s="37"/>
      <c r="AL952" s="37"/>
      <c r="AM952" s="181"/>
      <c r="AN952" s="37"/>
      <c r="AO952" s="37"/>
      <c r="AP952" s="37"/>
      <c r="AQ952" s="37"/>
      <c r="AR952" s="37"/>
      <c r="AS952" s="37"/>
      <c r="AT952" s="37"/>
      <c r="AU952" s="37"/>
      <c r="AV952" s="37"/>
      <c r="AW952" s="37"/>
      <c r="AX952" s="37"/>
      <c r="AY952" s="37"/>
      <c r="AZ952" s="181">
        <f>L952-AD952</f>
        <v>0</v>
      </c>
    </row>
    <row r="953" spans="1:52" ht="15.5" customHeight="1">
      <c r="A953" s="360" t="s">
        <v>372</v>
      </c>
      <c r="B953" s="340">
        <v>46297</v>
      </c>
      <c r="C953" s="181">
        <v>51669</v>
      </c>
      <c r="D953" s="30">
        <v>46297</v>
      </c>
      <c r="E953" s="30">
        <v>46296</v>
      </c>
      <c r="F953" s="30">
        <v>46315</v>
      </c>
      <c r="G953" s="37">
        <v>4420234440</v>
      </c>
      <c r="H953" s="37" t="s">
        <v>373</v>
      </c>
      <c r="I953" s="37">
        <v>9040040486</v>
      </c>
      <c r="J953" s="37" t="s">
        <v>165</v>
      </c>
      <c r="K953" s="325" t="s">
        <v>166</v>
      </c>
      <c r="L953" s="181">
        <v>50</v>
      </c>
      <c r="M953" s="181" t="s">
        <v>375</v>
      </c>
      <c r="N953" s="37" t="s">
        <v>399</v>
      </c>
      <c r="O953" s="31">
        <f>IF(F953&gt;0,F953-AB953,"")</f>
        <v>8</v>
      </c>
      <c r="P953" s="37" t="str">
        <f>IF(F953&gt;0,IF(AB953="","PLANNING SUPPLY",IF(AB953&lt;=F953,"ONTIME DELIVERY","DELAY")),"")</f>
        <v>ONTIME DELIVERY</v>
      </c>
      <c r="Q953" s="181" t="str">
        <f>IFERROR(IF(J956&gt;0,VLOOKUP(J956,#REF!,MATCH($Q$6,#REF!,0),0),""),"")</f>
        <v/>
      </c>
      <c r="R953" s="181" t="str">
        <f>IFERROR(IF(J956&gt;0,VLOOKUP(J956,#REF!,MATCH($R$6,#REF!,0),0),""),"")</f>
        <v/>
      </c>
      <c r="S953" s="181" t="e">
        <f>IF(I956&gt;0,Q953+R953,"")</f>
        <v>#VALUE!</v>
      </c>
      <c r="T953" s="181"/>
      <c r="U953" s="181"/>
      <c r="V953" s="37"/>
      <c r="W953" s="181" t="e">
        <f>IF(I956&gt;0,IF(S953&gt;L953,"READY STOCK",IF(S953=0,"OUT OF STOCK",IF(S953&lt;L953,"LOW STOCK",""))),"")</f>
        <v>#VALUE!</v>
      </c>
      <c r="X953" s="38"/>
      <c r="Y953" s="38"/>
      <c r="Z953" s="38"/>
      <c r="AA953" s="38"/>
      <c r="AB953" s="50">
        <v>46307</v>
      </c>
      <c r="AC953" s="181">
        <v>34955</v>
      </c>
      <c r="AD953" s="51">
        <v>50</v>
      </c>
      <c r="AE953" s="37" t="s">
        <v>387</v>
      </c>
      <c r="AF953" s="37" t="s">
        <v>381</v>
      </c>
      <c r="AG953" s="33" t="str">
        <f>IF(G953&gt;0,IF(AD953&gt;0,IF(AD953=0,"Waiting",IF(AD953&lt;L953,"Partial",IF(AD953=L953,"Full Supply",IF(AD953&gt;L953,"Over Shared")))),"Waiting"),"")</f>
        <v>Full Supply</v>
      </c>
      <c r="AH953" s="37"/>
      <c r="AI953" s="37"/>
      <c r="AJ953" s="181"/>
      <c r="AK953" s="37"/>
      <c r="AL953" s="37"/>
      <c r="AM953" s="181"/>
      <c r="AN953" s="37"/>
      <c r="AO953" s="37"/>
      <c r="AP953" s="37"/>
      <c r="AQ953" s="37"/>
      <c r="AR953" s="37"/>
      <c r="AS953" s="37"/>
      <c r="AT953" s="37"/>
      <c r="AU953" s="37"/>
      <c r="AV953" s="37"/>
      <c r="AW953" s="37"/>
      <c r="AX953" s="37"/>
      <c r="AY953" s="37"/>
      <c r="AZ953" s="181">
        <f>L953-AD953</f>
        <v>0</v>
      </c>
    </row>
    <row r="954" spans="1:52" ht="15.5" customHeight="1">
      <c r="A954" s="360" t="s">
        <v>372</v>
      </c>
      <c r="B954" s="340">
        <v>46297</v>
      </c>
      <c r="C954" s="181">
        <v>51669</v>
      </c>
      <c r="D954" s="30">
        <v>46297</v>
      </c>
      <c r="E954" s="30">
        <v>46296</v>
      </c>
      <c r="F954" s="30">
        <v>46315</v>
      </c>
      <c r="G954" s="37">
        <v>4420234440</v>
      </c>
      <c r="H954" s="37" t="s">
        <v>373</v>
      </c>
      <c r="I954" s="37">
        <v>9040040636</v>
      </c>
      <c r="J954" s="37" t="s">
        <v>167</v>
      </c>
      <c r="K954" s="325" t="s">
        <v>168</v>
      </c>
      <c r="L954" s="181">
        <v>70</v>
      </c>
      <c r="M954" s="181" t="s">
        <v>375</v>
      </c>
      <c r="N954" s="37" t="s">
        <v>399</v>
      </c>
      <c r="O954" s="31">
        <f>IF(F954&gt;0,F954-AB954,"")</f>
        <v>8</v>
      </c>
      <c r="P954" s="37" t="str">
        <f>IF(F954&gt;0,IF(AB954="","PLANNING SUPPLY",IF(AB954&lt;=F954,"ONTIME DELIVERY","DELAY")),"")</f>
        <v>ONTIME DELIVERY</v>
      </c>
      <c r="Q954" s="181" t="str">
        <f>IFERROR(IF(J957&gt;0,VLOOKUP(J957,#REF!,MATCH($Q$6,#REF!,0),0),""),"")</f>
        <v/>
      </c>
      <c r="R954" s="181" t="str">
        <f>IFERROR(IF(J957&gt;0,VLOOKUP(J957,#REF!,MATCH($R$6,#REF!,0),0),""),"")</f>
        <v/>
      </c>
      <c r="S954" s="181" t="e">
        <f>IF(I957&gt;0,Q954+R954,"")</f>
        <v>#VALUE!</v>
      </c>
      <c r="T954" s="181"/>
      <c r="U954" s="181"/>
      <c r="V954" s="37"/>
      <c r="W954" s="181" t="e">
        <f>IF(I957&gt;0,IF(S954&gt;L954,"READY STOCK",IF(S954=0,"OUT OF STOCK",IF(S954&lt;L954,"LOW STOCK",""))),"")</f>
        <v>#VALUE!</v>
      </c>
      <c r="X954" s="38"/>
      <c r="Y954" s="38"/>
      <c r="Z954" s="38"/>
      <c r="AA954" s="38"/>
      <c r="AB954" s="50">
        <v>46307</v>
      </c>
      <c r="AC954" s="181">
        <v>34955</v>
      </c>
      <c r="AD954" s="51">
        <v>70</v>
      </c>
      <c r="AE954" s="37" t="s">
        <v>387</v>
      </c>
      <c r="AF954" s="37" t="s">
        <v>381</v>
      </c>
      <c r="AG954" s="33" t="str">
        <f>IF(G954&gt;0,IF(AD954&gt;0,IF(AD954=0,"Waiting",IF(AD954&lt;L954,"Partial",IF(AD954=L954,"Full Supply",IF(AD954&gt;L954,"Over Shared")))),"Waiting"),"")</f>
        <v>Full Supply</v>
      </c>
      <c r="AH954" s="37"/>
      <c r="AI954" s="37"/>
      <c r="AJ954" s="181"/>
      <c r="AK954" s="37"/>
      <c r="AL954" s="37"/>
      <c r="AM954" s="181"/>
      <c r="AN954" s="37"/>
      <c r="AO954" s="37"/>
      <c r="AP954" s="37"/>
      <c r="AQ954" s="37"/>
      <c r="AR954" s="37"/>
      <c r="AS954" s="37"/>
      <c r="AT954" s="37"/>
      <c r="AU954" s="37"/>
      <c r="AV954" s="37"/>
      <c r="AW954" s="37"/>
      <c r="AX954" s="37"/>
      <c r="AY954" s="37"/>
      <c r="AZ954" s="181">
        <f>L954-AD954</f>
        <v>0</v>
      </c>
    </row>
    <row r="955" spans="1:52" ht="15.5" customHeight="1">
      <c r="A955" s="360" t="s">
        <v>372</v>
      </c>
      <c r="B955" s="340">
        <v>46297</v>
      </c>
      <c r="C955" s="181">
        <v>51669</v>
      </c>
      <c r="D955" s="30">
        <v>46297</v>
      </c>
      <c r="E955" s="30">
        <v>46296</v>
      </c>
      <c r="F955" s="30">
        <v>46315</v>
      </c>
      <c r="G955" s="37">
        <v>4420234440</v>
      </c>
      <c r="H955" s="37" t="s">
        <v>373</v>
      </c>
      <c r="I955" s="37">
        <v>9040040699</v>
      </c>
      <c r="J955" s="37" t="s">
        <v>27</v>
      </c>
      <c r="K955" s="325" t="s">
        <v>28</v>
      </c>
      <c r="L955" s="181">
        <v>9</v>
      </c>
      <c r="M955" s="181" t="s">
        <v>375</v>
      </c>
      <c r="N955" s="37" t="s">
        <v>399</v>
      </c>
      <c r="O955" s="31">
        <f>IF(F955&gt;0,F955-AB955,"")</f>
        <v>1</v>
      </c>
      <c r="P955" s="37" t="str">
        <f>IF(F955&gt;0,IF(AB955="","PLANNING SUPPLY",IF(AB955&lt;=F955,"ONTIME DELIVERY","DELAY")),"")</f>
        <v>ONTIME DELIVERY</v>
      </c>
      <c r="Q955" s="181" t="str">
        <f>IFERROR(IF(J958&gt;0,VLOOKUP(J958,#REF!,MATCH($Q$6,#REF!,0),0),""),"")</f>
        <v/>
      </c>
      <c r="R955" s="181" t="str">
        <f>IFERROR(IF(J958&gt;0,VLOOKUP(J958,#REF!,MATCH($R$6,#REF!,0),0),""),"")</f>
        <v/>
      </c>
      <c r="S955" s="181" t="e">
        <f>IF(I958&gt;0,Q955+R955,"")</f>
        <v>#VALUE!</v>
      </c>
      <c r="T955" s="181"/>
      <c r="U955" s="181"/>
      <c r="V955" s="37"/>
      <c r="W955" s="181" t="e">
        <f>IF(I958&gt;0,IF(S955&gt;L955,"READY STOCK",IF(S955=0,"OUT OF STOCK",IF(S955&lt;L955,"LOW STOCK",""))),"")</f>
        <v>#VALUE!</v>
      </c>
      <c r="X955" s="38"/>
      <c r="Y955" s="38"/>
      <c r="Z955" s="38"/>
      <c r="AA955" s="38"/>
      <c r="AB955" s="50">
        <v>46314</v>
      </c>
      <c r="AC955" s="44" t="s">
        <v>1379</v>
      </c>
      <c r="AD955" s="51">
        <v>9</v>
      </c>
      <c r="AE955" s="37" t="s">
        <v>387</v>
      </c>
      <c r="AF955" s="37" t="s">
        <v>381</v>
      </c>
      <c r="AG955" s="33" t="str">
        <f>IF(G955&gt;0,IF(AD955&gt;0,IF(AD955=0,"Waiting",IF(AD955&lt;L955,"Partial",IF(AD955=L955,"Full Supply",IF(AD955&gt;L955,"Over Shared")))),"Waiting"),"")</f>
        <v>Full Supply</v>
      </c>
      <c r="AH955" s="37"/>
      <c r="AI955" s="37"/>
      <c r="AJ955" s="181"/>
      <c r="AK955" s="37"/>
      <c r="AL955" s="37"/>
      <c r="AM955" s="181"/>
      <c r="AN955" s="37"/>
      <c r="AO955" s="37"/>
      <c r="AP955" s="37"/>
      <c r="AQ955" s="37"/>
      <c r="AR955" s="37"/>
      <c r="AS955" s="37"/>
      <c r="AT955" s="37"/>
      <c r="AU955" s="37"/>
      <c r="AV955" s="37"/>
      <c r="AW955" s="37"/>
      <c r="AX955" s="37"/>
      <c r="AY955" s="37"/>
      <c r="AZ955" s="181">
        <f>L955-AD955</f>
        <v>0</v>
      </c>
    </row>
    <row r="956" spans="1:52" ht="15.5" customHeight="1">
      <c r="A956" s="360" t="s">
        <v>372</v>
      </c>
      <c r="B956" s="340">
        <v>46297</v>
      </c>
      <c r="C956" s="181">
        <v>51669</v>
      </c>
      <c r="D956" s="30">
        <v>46297</v>
      </c>
      <c r="E956" s="30">
        <v>46296</v>
      </c>
      <c r="F956" s="30">
        <v>46315</v>
      </c>
      <c r="G956" s="37">
        <v>4420234440</v>
      </c>
      <c r="H956" s="37" t="s">
        <v>373</v>
      </c>
      <c r="I956" s="37">
        <v>9040040765</v>
      </c>
      <c r="J956" s="37" t="s">
        <v>3</v>
      </c>
      <c r="K956" s="325" t="s">
        <v>4</v>
      </c>
      <c r="L956" s="181">
        <v>7</v>
      </c>
      <c r="M956" s="181" t="s">
        <v>375</v>
      </c>
      <c r="N956" s="37" t="s">
        <v>399</v>
      </c>
      <c r="O956" s="31">
        <f>IF(F956&gt;0,F956-AB956,"")</f>
        <v>46315</v>
      </c>
      <c r="P956" s="37" t="str">
        <f>IF(F956&gt;0,IF(AB956="","PLANNING SUPPLY",IF(AB956&lt;=F956,"ONTIME DELIVERY","DELAY")),"")</f>
        <v>PLANNING SUPPLY</v>
      </c>
      <c r="Q956" s="181" t="str">
        <f>IFERROR(IF(J959&gt;0,VLOOKUP(J959,#REF!,MATCH($Q$6,#REF!,0),0),""),"")</f>
        <v/>
      </c>
      <c r="R956" s="181" t="str">
        <f>IFERROR(IF(J959&gt;0,VLOOKUP(J959,#REF!,MATCH($R$6,#REF!,0),0),""),"")</f>
        <v/>
      </c>
      <c r="S956" s="181" t="e">
        <f>IF(I959&gt;0,Q956+R956,"")</f>
        <v>#VALUE!</v>
      </c>
      <c r="T956" s="181"/>
      <c r="U956" s="181"/>
      <c r="V956" s="37"/>
      <c r="W956" s="181" t="e">
        <f>IF(I959&gt;0,IF(S956&gt;L956,"READY STOCK",IF(S956=0,"OUT OF STOCK",IF(S956&lt;L956,"LOW STOCK",""))),"")</f>
        <v>#VALUE!</v>
      </c>
      <c r="X956" s="38"/>
      <c r="Y956" s="38"/>
      <c r="Z956" s="38"/>
      <c r="AA956" s="38"/>
      <c r="AB956" s="50"/>
      <c r="AC956" s="181"/>
      <c r="AD956" s="51"/>
      <c r="AE956" s="37"/>
      <c r="AF956" s="37"/>
      <c r="AG956" s="33" t="str">
        <f>IF(G956&gt;0,IF(AD956&gt;0,IF(AD956=0,"Waiting",IF(AD956&lt;L956,"Partial",IF(AD956=L956,"Full Supply",IF(AD956&gt;L956,"Over Shared")))),"Waiting"),"")</f>
        <v>Waiting</v>
      </c>
      <c r="AH956" s="233">
        <v>46297</v>
      </c>
      <c r="AI956" s="37" t="s">
        <v>1369</v>
      </c>
      <c r="AJ956" s="181">
        <v>10</v>
      </c>
      <c r="AK956" s="37"/>
      <c r="AL956" s="37"/>
      <c r="AM956" s="181"/>
      <c r="AN956" s="37"/>
      <c r="AO956" s="37"/>
      <c r="AP956" s="37"/>
      <c r="AQ956" s="37"/>
      <c r="AR956" s="37"/>
      <c r="AS956" s="37"/>
      <c r="AT956" s="37"/>
      <c r="AU956" s="37"/>
      <c r="AV956" s="37"/>
      <c r="AW956" s="37"/>
      <c r="AX956" s="37"/>
      <c r="AY956" s="37"/>
      <c r="AZ956" s="181">
        <f>L956-AD956</f>
        <v>7</v>
      </c>
    </row>
    <row r="957" spans="1:52" ht="15.5" customHeight="1">
      <c r="A957" s="360" t="s">
        <v>372</v>
      </c>
      <c r="B957" s="340">
        <v>46297</v>
      </c>
      <c r="C957" s="181">
        <v>51670</v>
      </c>
      <c r="D957" s="30">
        <v>46297</v>
      </c>
      <c r="E957" s="30">
        <v>46296</v>
      </c>
      <c r="F957" s="30">
        <v>46302</v>
      </c>
      <c r="G957" s="37">
        <v>4420234481</v>
      </c>
      <c r="H957" s="37" t="s">
        <v>373</v>
      </c>
      <c r="I957" s="37">
        <v>9040009391</v>
      </c>
      <c r="J957" s="37" t="s">
        <v>293</v>
      </c>
      <c r="K957" s="325" t="s">
        <v>294</v>
      </c>
      <c r="L957" s="181">
        <v>25</v>
      </c>
      <c r="M957" s="181" t="s">
        <v>375</v>
      </c>
      <c r="N957" s="37" t="s">
        <v>384</v>
      </c>
      <c r="O957" s="31">
        <f>IF(F957&gt;0,F957-AB957,"")</f>
        <v>-12</v>
      </c>
      <c r="P957" s="37" t="str">
        <f>IF(F957&gt;0,IF(AB957="","PLANNING SUPPLY",IF(AB957&lt;=F957,"ONTIME DELIVERY","DELAY")),"")</f>
        <v>DELAY</v>
      </c>
      <c r="Q957" s="181" t="str">
        <f>IFERROR(IF(J960&gt;0,VLOOKUP(J960,#REF!,MATCH($Q$6,#REF!,0),0),""),"")</f>
        <v/>
      </c>
      <c r="R957" s="181" t="str">
        <f>IFERROR(IF(J960&gt;0,VLOOKUP(J960,#REF!,MATCH($R$6,#REF!,0),0),""),"")</f>
        <v/>
      </c>
      <c r="S957" s="181" t="e">
        <f>IF(I960&gt;0,Q957+R957,"")</f>
        <v>#VALUE!</v>
      </c>
      <c r="T957" s="181"/>
      <c r="U957" s="181"/>
      <c r="V957" s="37"/>
      <c r="W957" s="181" t="e">
        <f>IF(I960&gt;0,IF(S957&gt;L957,"READY STOCK",IF(S957=0,"OUT OF STOCK",IF(S957&lt;L957,"LOW STOCK",""))),"")</f>
        <v>#VALUE!</v>
      </c>
      <c r="X957" s="38"/>
      <c r="Y957" s="38"/>
      <c r="Z957" s="38"/>
      <c r="AA957" s="38"/>
      <c r="AB957" s="50">
        <v>46314</v>
      </c>
      <c r="AC957" s="44" t="s">
        <v>1380</v>
      </c>
      <c r="AD957" s="51">
        <v>25</v>
      </c>
      <c r="AE957" s="37" t="s">
        <v>387</v>
      </c>
      <c r="AF957" s="37" t="s">
        <v>381</v>
      </c>
      <c r="AG957" s="33" t="str">
        <f>IF(G957&gt;0,IF(AD957&gt;0,IF(AD957=0,"Waiting",IF(AD957&lt;L957,"Partial",IF(AD957=L957,"Full Supply",IF(AD957&gt;L957,"Over Shared")))),"Waiting"),"")</f>
        <v>Full Supply</v>
      </c>
      <c r="AH957" s="37"/>
      <c r="AI957" s="37"/>
      <c r="AJ957" s="181"/>
      <c r="AK957" s="37"/>
      <c r="AL957" s="37"/>
      <c r="AM957" s="181"/>
      <c r="AN957" s="37"/>
      <c r="AO957" s="37"/>
      <c r="AP957" s="37"/>
      <c r="AQ957" s="37"/>
      <c r="AR957" s="37"/>
      <c r="AS957" s="37"/>
      <c r="AT957" s="37"/>
      <c r="AU957" s="37"/>
      <c r="AV957" s="37"/>
      <c r="AW957" s="37"/>
      <c r="AX957" s="37"/>
      <c r="AY957" s="37"/>
      <c r="AZ957" s="181">
        <f>L957-AD957</f>
        <v>0</v>
      </c>
    </row>
    <row r="958" spans="1:52" ht="15.5" customHeight="1">
      <c r="A958" s="360" t="s">
        <v>372</v>
      </c>
      <c r="B958" s="340">
        <v>46297</v>
      </c>
      <c r="C958" s="181">
        <v>51670</v>
      </c>
      <c r="D958" s="30">
        <v>46297</v>
      </c>
      <c r="E958" s="30">
        <v>46296</v>
      </c>
      <c r="F958" s="30">
        <v>46302</v>
      </c>
      <c r="G958" s="37">
        <v>4420234481</v>
      </c>
      <c r="H958" s="37" t="s">
        <v>373</v>
      </c>
      <c r="I958" s="37">
        <v>9040040699</v>
      </c>
      <c r="J958" s="37" t="s">
        <v>27</v>
      </c>
      <c r="K958" s="325" t="s">
        <v>28</v>
      </c>
      <c r="L958" s="181">
        <v>13</v>
      </c>
      <c r="M958" s="181" t="s">
        <v>375</v>
      </c>
      <c r="N958" s="37" t="s">
        <v>384</v>
      </c>
      <c r="O958" s="31">
        <f>IF(F958&gt;0,F958-AB958,"")</f>
        <v>-12</v>
      </c>
      <c r="P958" s="37" t="str">
        <f>IF(F958&gt;0,IF(AB958="","PLANNING SUPPLY",IF(AB958&lt;=F958,"ONTIME DELIVERY","DELAY")),"")</f>
        <v>DELAY</v>
      </c>
      <c r="Q958" s="181" t="str">
        <f>IFERROR(IF(J961&gt;0,VLOOKUP(J961,#REF!,MATCH($Q$6,#REF!,0),0),""),"")</f>
        <v/>
      </c>
      <c r="R958" s="181" t="str">
        <f>IFERROR(IF(J961&gt;0,VLOOKUP(J961,#REF!,MATCH($R$6,#REF!,0),0),""),"")</f>
        <v/>
      </c>
      <c r="S958" s="181" t="e">
        <f>IF(I961&gt;0,Q958+R958,"")</f>
        <v>#VALUE!</v>
      </c>
      <c r="T958" s="181"/>
      <c r="U958" s="181"/>
      <c r="V958" s="37"/>
      <c r="W958" s="181" t="e">
        <f>IF(I961&gt;0,IF(S958&gt;L958,"READY STOCK",IF(S958=0,"OUT OF STOCK",IF(S958&lt;L958,"LOW STOCK",""))),"")</f>
        <v>#VALUE!</v>
      </c>
      <c r="X958" s="38"/>
      <c r="Y958" s="38"/>
      <c r="Z958" s="38"/>
      <c r="AA958" s="38"/>
      <c r="AB958" s="50">
        <v>46314</v>
      </c>
      <c r="AC958" s="44" t="s">
        <v>1380</v>
      </c>
      <c r="AD958" s="51">
        <v>13</v>
      </c>
      <c r="AE958" s="37" t="s">
        <v>387</v>
      </c>
      <c r="AF958" s="37" t="s">
        <v>381</v>
      </c>
      <c r="AG958" s="33" t="str">
        <f>IF(G958&gt;0,IF(AD958&gt;0,IF(AD958=0,"Waiting",IF(AD958&lt;L958,"Partial",IF(AD958=L958,"Full Supply",IF(AD958&gt;L958,"Over Shared")))),"Waiting"),"")</f>
        <v>Full Supply</v>
      </c>
      <c r="AH958" s="37"/>
      <c r="AI958" s="37"/>
      <c r="AJ958" s="181"/>
      <c r="AK958" s="37"/>
      <c r="AL958" s="37"/>
      <c r="AM958" s="181"/>
      <c r="AN958" s="37"/>
      <c r="AO958" s="37"/>
      <c r="AP958" s="37"/>
      <c r="AQ958" s="37"/>
      <c r="AR958" s="37"/>
      <c r="AS958" s="37"/>
      <c r="AT958" s="37"/>
      <c r="AU958" s="37"/>
      <c r="AV958" s="37"/>
      <c r="AW958" s="37"/>
      <c r="AX958" s="37"/>
      <c r="AY958" s="37"/>
      <c r="AZ958" s="181">
        <f>L958-AD958</f>
        <v>0</v>
      </c>
    </row>
    <row r="959" spans="1:52" ht="15.5" customHeight="1">
      <c r="A959" s="360" t="s">
        <v>372</v>
      </c>
      <c r="B959" s="340">
        <v>46297</v>
      </c>
      <c r="C959" s="181">
        <v>51670</v>
      </c>
      <c r="D959" s="30">
        <v>46297</v>
      </c>
      <c r="E959" s="30">
        <v>46296</v>
      </c>
      <c r="F959" s="30">
        <v>46302</v>
      </c>
      <c r="G959" s="37">
        <v>4420234481</v>
      </c>
      <c r="H959" s="37" t="s">
        <v>373</v>
      </c>
      <c r="I959" s="37">
        <v>9040076744</v>
      </c>
      <c r="J959" s="37" t="s">
        <v>3</v>
      </c>
      <c r="K959" s="325" t="s">
        <v>4</v>
      </c>
      <c r="L959" s="181">
        <v>3</v>
      </c>
      <c r="M959" s="181" t="s">
        <v>375</v>
      </c>
      <c r="N959" s="37" t="s">
        <v>384</v>
      </c>
      <c r="O959" s="31">
        <f>IF(F959&gt;0,F959-AB959,"")</f>
        <v>-2</v>
      </c>
      <c r="P959" s="37" t="str">
        <f>IF(F959&gt;0,IF(AB959="","PLANNING SUPPLY",IF(AB959&lt;=F959,"ONTIME DELIVERY","DELAY")),"")</f>
        <v>DELAY</v>
      </c>
      <c r="Q959" s="181" t="str">
        <f>IFERROR(IF(J962&gt;0,VLOOKUP(J962,#REF!,MATCH($Q$6,#REF!,0),0),""),"")</f>
        <v/>
      </c>
      <c r="R959" s="181" t="str">
        <f>IFERROR(IF(J962&gt;0,VLOOKUP(J962,#REF!,MATCH($R$6,#REF!,0),0),""),"")</f>
        <v/>
      </c>
      <c r="S959" s="181" t="e">
        <f>IF(I962&gt;0,Q959+R959,"")</f>
        <v>#VALUE!</v>
      </c>
      <c r="T959" s="181"/>
      <c r="U959" s="181"/>
      <c r="V959" s="37"/>
      <c r="W959" s="181" t="e">
        <f>IF(I962&gt;0,IF(S959&gt;L959,"READY STOCK",IF(S959=0,"OUT OF STOCK",IF(S959&lt;L959,"LOW STOCK",""))),"")</f>
        <v>#VALUE!</v>
      </c>
      <c r="X959" s="38"/>
      <c r="Y959" s="38"/>
      <c r="Z959" s="38"/>
      <c r="AA959" s="38"/>
      <c r="AB959" s="57">
        <v>46304</v>
      </c>
      <c r="AC959" s="181">
        <v>34885</v>
      </c>
      <c r="AD959" s="53">
        <v>3</v>
      </c>
      <c r="AE959" s="58" t="s">
        <v>387</v>
      </c>
      <c r="AF959" s="58" t="s">
        <v>381</v>
      </c>
      <c r="AG959" s="33" t="str">
        <f>IF(G959&gt;0,IF(AD959&gt;0,IF(AD959=0,"Waiting",IF(AD959&lt;L959,"Partial",IF(AD959=L959,"Full Supply",IF(AD959&gt;L959,"Over Shared")))),"Waiting"),"")</f>
        <v>Full Supply</v>
      </c>
      <c r="AH959" s="233">
        <v>46297</v>
      </c>
      <c r="AI959" s="37" t="s">
        <v>1369</v>
      </c>
      <c r="AJ959" s="181">
        <v>10</v>
      </c>
      <c r="AK959" s="37"/>
      <c r="AL959" s="37"/>
      <c r="AM959" s="181"/>
      <c r="AN959" s="37"/>
      <c r="AO959" s="37"/>
      <c r="AP959" s="37"/>
      <c r="AQ959" s="37"/>
      <c r="AR959" s="37"/>
      <c r="AS959" s="37"/>
      <c r="AT959" s="37"/>
      <c r="AU959" s="37"/>
      <c r="AV959" s="37"/>
      <c r="AW959" s="37"/>
      <c r="AX959" s="37"/>
      <c r="AY959" s="37"/>
      <c r="AZ959" s="181">
        <f>L959-AD959</f>
        <v>0</v>
      </c>
    </row>
    <row r="960" spans="1:52" ht="15.5" customHeight="1">
      <c r="A960" s="360" t="s">
        <v>372</v>
      </c>
      <c r="B960" s="340">
        <v>46297</v>
      </c>
      <c r="C960" s="181">
        <v>51671</v>
      </c>
      <c r="D960" s="30">
        <v>46297</v>
      </c>
      <c r="E960" s="30">
        <v>46296</v>
      </c>
      <c r="F960" s="30">
        <v>46323</v>
      </c>
      <c r="G960" s="37">
        <v>4420234483</v>
      </c>
      <c r="H960" s="37" t="s">
        <v>373</v>
      </c>
      <c r="I960" s="37">
        <v>9040018351</v>
      </c>
      <c r="J960" s="37" t="s">
        <v>147</v>
      </c>
      <c r="K960" s="325" t="s">
        <v>148</v>
      </c>
      <c r="L960" s="181">
        <v>8</v>
      </c>
      <c r="M960" s="181" t="s">
        <v>478</v>
      </c>
      <c r="N960" s="37" t="s">
        <v>408</v>
      </c>
      <c r="O960" s="31">
        <f>IF(F960&gt;0,F960-AB960,"")</f>
        <v>19</v>
      </c>
      <c r="P960" s="37" t="str">
        <f>IF(F960&gt;0,IF(AB960="","PLANNING SUPPLY",IF(AB960&lt;=F960,"ONTIME DELIVERY","DELAY")),"")</f>
        <v>ONTIME DELIVERY</v>
      </c>
      <c r="Q960" s="181" t="str">
        <f>IFERROR(IF(J963&gt;0,VLOOKUP(J963,#REF!,MATCH($Q$6,#REF!,0),0),""),"")</f>
        <v/>
      </c>
      <c r="R960" s="181" t="str">
        <f>IFERROR(IF(J963&gt;0,VLOOKUP(J963,#REF!,MATCH($R$6,#REF!,0),0),""),"")</f>
        <v/>
      </c>
      <c r="S960" s="181" t="e">
        <f>IF(I963&gt;0,Q960+R960,"")</f>
        <v>#VALUE!</v>
      </c>
      <c r="T960" s="181"/>
      <c r="U960" s="181"/>
      <c r="V960" s="37"/>
      <c r="W960" s="181" t="e">
        <f>IF(I963&gt;0,IF(S960&gt;L960,"READY STOCK",IF(S960=0,"OUT OF STOCK",IF(S960&lt;L960,"LOW STOCK",""))),"")</f>
        <v>#VALUE!</v>
      </c>
      <c r="X960" s="38"/>
      <c r="Y960" s="38"/>
      <c r="Z960" s="38"/>
      <c r="AA960" s="38"/>
      <c r="AB960" s="57">
        <v>46304</v>
      </c>
      <c r="AC960" s="181">
        <v>34889</v>
      </c>
      <c r="AD960" s="53">
        <v>5</v>
      </c>
      <c r="AE960" s="58" t="s">
        <v>387</v>
      </c>
      <c r="AF960" s="58" t="s">
        <v>381</v>
      </c>
      <c r="AG960" s="33" t="str">
        <f>IF(G960&gt;0,IF(AD960&gt;0,IF(AD960=0,"Waiting",IF(AD960&lt;L960,"Partial",IF(AD960=L960,"Full Supply",IF(AD960&gt;L960,"Over Shared")))),"Waiting"),"")</f>
        <v>Partial</v>
      </c>
      <c r="AH960" s="37"/>
      <c r="AI960" s="37"/>
      <c r="AJ960" s="181"/>
      <c r="AK960" s="37"/>
      <c r="AL960" s="37"/>
      <c r="AM960" s="181"/>
      <c r="AN960" s="37"/>
      <c r="AO960" s="37"/>
      <c r="AP960" s="37"/>
      <c r="AQ960" s="37"/>
      <c r="AR960" s="37"/>
      <c r="AS960" s="37"/>
      <c r="AT960" s="37"/>
      <c r="AU960" s="37"/>
      <c r="AV960" s="37"/>
      <c r="AW960" s="37"/>
      <c r="AX960" s="37"/>
      <c r="AY960" s="37"/>
      <c r="AZ960" s="181">
        <f>L960-AD960</f>
        <v>3</v>
      </c>
    </row>
    <row r="961" spans="1:52" ht="15.5" customHeight="1">
      <c r="A961" s="360" t="s">
        <v>372</v>
      </c>
      <c r="B961" s="340">
        <v>46297</v>
      </c>
      <c r="C961" s="181">
        <v>51672</v>
      </c>
      <c r="D961" s="30">
        <v>46297</v>
      </c>
      <c r="E961" s="30">
        <v>46296</v>
      </c>
      <c r="F961" s="30">
        <v>46323</v>
      </c>
      <c r="G961" s="37">
        <v>4420234502</v>
      </c>
      <c r="H961" s="37" t="s">
        <v>373</v>
      </c>
      <c r="I961" s="37">
        <v>9040042224</v>
      </c>
      <c r="J961" s="37" t="s">
        <v>195</v>
      </c>
      <c r="K961" s="325" t="s">
        <v>196</v>
      </c>
      <c r="L961" s="181">
        <v>5</v>
      </c>
      <c r="M961" s="181" t="s">
        <v>421</v>
      </c>
      <c r="N961" s="37" t="s">
        <v>408</v>
      </c>
      <c r="O961" s="31">
        <f>IF(F961&gt;0,F961-AB961,"")</f>
        <v>9</v>
      </c>
      <c r="P961" s="37" t="str">
        <f>IF(F961&gt;0,IF(AB961="","PLANNING SUPPLY",IF(AB961&lt;=F961,"ONTIME DELIVERY","DELAY")),"")</f>
        <v>ONTIME DELIVERY</v>
      </c>
      <c r="Q961" s="181" t="str">
        <f>IFERROR(IF(J964&gt;0,VLOOKUP(J964,#REF!,MATCH($Q$6,#REF!,0),0),""),"")</f>
        <v/>
      </c>
      <c r="R961" s="181" t="str">
        <f>IFERROR(IF(J964&gt;0,VLOOKUP(J964,#REF!,MATCH($R$6,#REF!,0),0),""),"")</f>
        <v/>
      </c>
      <c r="S961" s="181" t="e">
        <f>IF(I964&gt;0,Q961+R961,"")</f>
        <v>#VALUE!</v>
      </c>
      <c r="T961" s="181"/>
      <c r="U961" s="181"/>
      <c r="V961" s="37"/>
      <c r="W961" s="181" t="e">
        <f>IF(I964&gt;0,IF(S961&gt;L961,"READY STOCK",IF(S961=0,"OUT OF STOCK",IF(S961&lt;L961,"LOW STOCK",""))),"")</f>
        <v>#VALUE!</v>
      </c>
      <c r="X961" s="38"/>
      <c r="Y961" s="38"/>
      <c r="Z961" s="38"/>
      <c r="AA961" s="38"/>
      <c r="AB961" s="50">
        <v>46314</v>
      </c>
      <c r="AC961" s="44" t="s">
        <v>1381</v>
      </c>
      <c r="AD961" s="51">
        <v>5</v>
      </c>
      <c r="AE961" s="37" t="s">
        <v>387</v>
      </c>
      <c r="AF961" s="37" t="s">
        <v>381</v>
      </c>
      <c r="AG961" s="33" t="str">
        <f>IF(G961&gt;0,IF(AD961&gt;0,IF(AD961=0,"Waiting",IF(AD961&lt;L961,"Partial",IF(AD961=L961,"Full Supply",IF(AD961&gt;L961,"Over Shared")))),"Waiting"),"")</f>
        <v>Full Supply</v>
      </c>
      <c r="AH961" s="37"/>
      <c r="AI961" s="37"/>
      <c r="AJ961" s="181"/>
      <c r="AK961" s="37"/>
      <c r="AL961" s="37"/>
      <c r="AM961" s="181"/>
      <c r="AN961" s="37"/>
      <c r="AO961" s="37"/>
      <c r="AP961" s="37"/>
      <c r="AQ961" s="37"/>
      <c r="AR961" s="37"/>
      <c r="AS961" s="37"/>
      <c r="AT961" s="37"/>
      <c r="AU961" s="37"/>
      <c r="AV961" s="37"/>
      <c r="AW961" s="37"/>
      <c r="AX961" s="37"/>
      <c r="AY961" s="37"/>
      <c r="AZ961" s="181">
        <f>L961-AD961</f>
        <v>0</v>
      </c>
    </row>
    <row r="962" spans="1:52" ht="15.5" customHeight="1">
      <c r="A962" s="360" t="s">
        <v>372</v>
      </c>
      <c r="B962" s="340">
        <v>46297</v>
      </c>
      <c r="C962" s="181">
        <v>51672</v>
      </c>
      <c r="D962" s="30">
        <v>46297</v>
      </c>
      <c r="E962" s="30">
        <v>46296</v>
      </c>
      <c r="F962" s="30">
        <v>46323</v>
      </c>
      <c r="G962" s="37">
        <v>4420234502</v>
      </c>
      <c r="H962" s="37" t="s">
        <v>373</v>
      </c>
      <c r="I962" s="37">
        <v>9040024721</v>
      </c>
      <c r="J962" s="37" t="s">
        <v>239</v>
      </c>
      <c r="K962" s="325" t="s">
        <v>240</v>
      </c>
      <c r="L962" s="181">
        <v>2</v>
      </c>
      <c r="M962" s="181" t="s">
        <v>389</v>
      </c>
      <c r="N962" s="37" t="s">
        <v>408</v>
      </c>
      <c r="O962" s="31">
        <f>IF(F962&gt;0,F962-AB962,"")</f>
        <v>46323</v>
      </c>
      <c r="P962" s="37" t="str">
        <f>IF(F962&gt;0,IF(AB962="","PLANNING SUPPLY",IF(AB962&lt;=F962,"ONTIME DELIVERY","DELAY")),"")</f>
        <v>PLANNING SUPPLY</v>
      </c>
      <c r="Q962" s="181" t="str">
        <f>IFERROR(IF(J965&gt;0,VLOOKUP(J965,#REF!,MATCH($Q$6,#REF!,0),0),""),"")</f>
        <v/>
      </c>
      <c r="R962" s="181" t="str">
        <f>IFERROR(IF(J965&gt;0,VLOOKUP(J965,#REF!,MATCH($R$6,#REF!,0),0),""),"")</f>
        <v/>
      </c>
      <c r="S962" s="181" t="e">
        <f>IF(I965&gt;0,Q962+R962,"")</f>
        <v>#VALUE!</v>
      </c>
      <c r="T962" s="181"/>
      <c r="U962" s="181"/>
      <c r="V962" s="37"/>
      <c r="W962" s="181" t="e">
        <f>IF(I965&gt;0,IF(S962&gt;L962,"READY STOCK",IF(S962=0,"OUT OF STOCK",IF(S962&lt;L962,"LOW STOCK",""))),"")</f>
        <v>#VALUE!</v>
      </c>
      <c r="X962" s="38"/>
      <c r="Y962" s="38"/>
      <c r="Z962" s="38"/>
      <c r="AA962" s="38"/>
      <c r="AB962" s="50"/>
      <c r="AC962" s="181"/>
      <c r="AD962" s="51"/>
      <c r="AE962" s="37"/>
      <c r="AF962" s="37"/>
      <c r="AG962" s="33" t="str">
        <f>IF(G962&gt;0,IF(AD962&gt;0,IF(AD962=0,"Waiting",IF(AD962&lt;L962,"Partial",IF(AD962=L962,"Full Supply",IF(AD962&gt;L962,"Over Shared")))),"Waiting"),"")</f>
        <v>Waiting</v>
      </c>
      <c r="AH962" s="233">
        <v>46297</v>
      </c>
      <c r="AI962" s="37" t="s">
        <v>1369</v>
      </c>
      <c r="AJ962" s="181">
        <v>2</v>
      </c>
      <c r="AK962" s="37"/>
      <c r="AL962" s="37"/>
      <c r="AM962" s="181"/>
      <c r="AN962" s="37"/>
      <c r="AO962" s="37"/>
      <c r="AP962" s="37"/>
      <c r="AQ962" s="37"/>
      <c r="AR962" s="37"/>
      <c r="AS962" s="37"/>
      <c r="AT962" s="37"/>
      <c r="AU962" s="37"/>
      <c r="AV962" s="37"/>
      <c r="AW962" s="37"/>
      <c r="AX962" s="37"/>
      <c r="AY962" s="37"/>
      <c r="AZ962" s="181">
        <f>L962-AD962</f>
        <v>2</v>
      </c>
    </row>
    <row r="963" spans="1:52" ht="15.5" customHeight="1">
      <c r="A963" s="360" t="s">
        <v>372</v>
      </c>
      <c r="B963" s="340">
        <v>46297</v>
      </c>
      <c r="C963" s="181">
        <v>51678</v>
      </c>
      <c r="D963" s="30">
        <v>46297</v>
      </c>
      <c r="E963" s="30">
        <v>46294</v>
      </c>
      <c r="F963" s="30">
        <v>46324</v>
      </c>
      <c r="G963" s="37">
        <v>4420234291</v>
      </c>
      <c r="H963" s="37" t="s">
        <v>373</v>
      </c>
      <c r="I963" s="37">
        <v>9040016343</v>
      </c>
      <c r="J963" s="37" t="s">
        <v>211</v>
      </c>
      <c r="K963" s="325" t="s">
        <v>212</v>
      </c>
      <c r="L963" s="181">
        <v>20</v>
      </c>
      <c r="M963" s="181" t="s">
        <v>421</v>
      </c>
      <c r="N963" s="37" t="s">
        <v>376</v>
      </c>
      <c r="O963" s="31">
        <f>IF(F963&gt;0,F963-AB963,"")</f>
        <v>10</v>
      </c>
      <c r="P963" s="37" t="str">
        <f>IF(F963&gt;0,IF(AB963="","PLANNING SUPPLY",IF(AB963&lt;=F963,"ONTIME DELIVERY","DELAY")),"")</f>
        <v>ONTIME DELIVERY</v>
      </c>
      <c r="Q963" s="181" t="str">
        <f>IFERROR(IF(J966&gt;0,VLOOKUP(J966,#REF!,MATCH($Q$6,#REF!,0),0),""),"")</f>
        <v/>
      </c>
      <c r="R963" s="181" t="str">
        <f>IFERROR(IF(J966&gt;0,VLOOKUP(J966,#REF!,MATCH($R$6,#REF!,0),0),""),"")</f>
        <v/>
      </c>
      <c r="S963" s="181" t="e">
        <f>IF(I966&gt;0,Q963+R963,"")</f>
        <v>#VALUE!</v>
      </c>
      <c r="T963" s="181"/>
      <c r="U963" s="181"/>
      <c r="V963" s="37"/>
      <c r="W963" s="181" t="e">
        <f>IF(I966&gt;0,IF(S963&gt;L963,"READY STOCK",IF(S963=0,"OUT OF STOCK",IF(S963&lt;L963,"LOW STOCK",""))),"")</f>
        <v>#VALUE!</v>
      </c>
      <c r="X963" s="38"/>
      <c r="Y963" s="38"/>
      <c r="Z963" s="38"/>
      <c r="AA963" s="38"/>
      <c r="AB963" s="50">
        <v>46314</v>
      </c>
      <c r="AC963" s="44" t="s">
        <v>1382</v>
      </c>
      <c r="AD963" s="51">
        <v>20</v>
      </c>
      <c r="AE963" s="37" t="s">
        <v>387</v>
      </c>
      <c r="AF963" s="37" t="s">
        <v>381</v>
      </c>
      <c r="AG963" s="33" t="str">
        <f>IF(G963&gt;0,IF(AD963&gt;0,IF(AD963=0,"Waiting",IF(AD963&lt;L963,"Partial",IF(AD963=L963,"Full Supply",IF(AD963&gt;L963,"Over Shared")))),"Waiting"),"")</f>
        <v>Full Supply</v>
      </c>
      <c r="AH963" s="37"/>
      <c r="AI963" s="37"/>
      <c r="AJ963" s="181"/>
      <c r="AK963" s="37"/>
      <c r="AL963" s="37"/>
      <c r="AM963" s="181"/>
      <c r="AN963" s="37"/>
      <c r="AO963" s="37"/>
      <c r="AP963" s="37"/>
      <c r="AQ963" s="37"/>
      <c r="AR963" s="37"/>
      <c r="AS963" s="37"/>
      <c r="AT963" s="37"/>
      <c r="AU963" s="37"/>
      <c r="AV963" s="37"/>
      <c r="AW963" s="37"/>
      <c r="AX963" s="37"/>
      <c r="AY963" s="37"/>
      <c r="AZ963" s="181">
        <f>L963-AD963</f>
        <v>0</v>
      </c>
    </row>
    <row r="964" spans="1:52" ht="15.5" customHeight="1">
      <c r="A964" s="360" t="s">
        <v>372</v>
      </c>
      <c r="B964" s="340">
        <v>46297</v>
      </c>
      <c r="C964" s="181">
        <v>51678</v>
      </c>
      <c r="D964" s="30">
        <v>46297</v>
      </c>
      <c r="E964" s="30">
        <v>46294</v>
      </c>
      <c r="F964" s="30">
        <v>46324</v>
      </c>
      <c r="G964" s="37">
        <v>4420234291</v>
      </c>
      <c r="H964" s="37" t="s">
        <v>373</v>
      </c>
      <c r="I964" s="37">
        <v>9040040390</v>
      </c>
      <c r="J964" s="37" t="s">
        <v>209</v>
      </c>
      <c r="K964" s="325" t="s">
        <v>210</v>
      </c>
      <c r="L964" s="181">
        <v>10</v>
      </c>
      <c r="M964" s="181" t="s">
        <v>421</v>
      </c>
      <c r="N964" s="37" t="s">
        <v>376</v>
      </c>
      <c r="O964" s="31">
        <f>IF(F964&gt;0,F964-AB964,"")</f>
        <v>46324</v>
      </c>
      <c r="P964" s="37" t="str">
        <f>IF(F964&gt;0,IF(AB964="","PLANNING SUPPLY",IF(AB964&lt;=F964,"ONTIME DELIVERY","DELAY")),"")</f>
        <v>PLANNING SUPPLY</v>
      </c>
      <c r="Q964" s="181" t="str">
        <f>IFERROR(IF(J967&gt;0,VLOOKUP(J967,#REF!,MATCH($Q$6,#REF!,0),0),""),"")</f>
        <v/>
      </c>
      <c r="R964" s="181" t="str">
        <f>IFERROR(IF(J967&gt;0,VLOOKUP(J967,#REF!,MATCH($R$6,#REF!,0),0),""),"")</f>
        <v/>
      </c>
      <c r="S964" s="181" t="e">
        <f>IF(I967&gt;0,Q964+R964,"")</f>
        <v>#VALUE!</v>
      </c>
      <c r="T964" s="181"/>
      <c r="U964" s="181"/>
      <c r="V964" s="37"/>
      <c r="W964" s="181" t="e">
        <f>IF(I967&gt;0,IF(S964&gt;L964,"READY STOCK",IF(S964=0,"OUT OF STOCK",IF(S964&lt;L964,"LOW STOCK",""))),"")</f>
        <v>#VALUE!</v>
      </c>
      <c r="X964" s="38"/>
      <c r="Y964" s="38"/>
      <c r="Z964" s="38"/>
      <c r="AA964" s="38"/>
      <c r="AB964" s="50"/>
      <c r="AC964" s="181"/>
      <c r="AD964" s="51"/>
      <c r="AE964" s="37"/>
      <c r="AF964" s="37"/>
      <c r="AG964" s="33" t="str">
        <f>IF(G964&gt;0,IF(AD964&gt;0,IF(AD964=0,"Waiting",IF(AD964&lt;L964,"Partial",IF(AD964=L964,"Full Supply",IF(AD964&gt;L964,"Over Shared")))),"Waiting"),"")</f>
        <v>Waiting</v>
      </c>
      <c r="AH964" s="37"/>
      <c r="AI964" s="37"/>
      <c r="AJ964" s="181"/>
      <c r="AK964" s="37"/>
      <c r="AL964" s="37"/>
      <c r="AM964" s="181"/>
      <c r="AN964" s="37"/>
      <c r="AO964" s="37"/>
      <c r="AP964" s="37"/>
      <c r="AQ964" s="37"/>
      <c r="AR964" s="37"/>
      <c r="AS964" s="37"/>
      <c r="AT964" s="37"/>
      <c r="AU964" s="37"/>
      <c r="AV964" s="37"/>
      <c r="AW964" s="37"/>
      <c r="AX964" s="37"/>
      <c r="AY964" s="37"/>
      <c r="AZ964" s="181">
        <f>L964-AD964</f>
        <v>10</v>
      </c>
    </row>
    <row r="965" spans="1:52" ht="15.5" customHeight="1">
      <c r="A965" s="360" t="s">
        <v>372</v>
      </c>
      <c r="B965" s="340">
        <v>46297</v>
      </c>
      <c r="C965" s="181">
        <v>51678</v>
      </c>
      <c r="D965" s="30">
        <v>46297</v>
      </c>
      <c r="E965" s="30">
        <v>46294</v>
      </c>
      <c r="F965" s="30">
        <v>46324</v>
      </c>
      <c r="G965" s="37">
        <v>4420234291</v>
      </c>
      <c r="H965" s="37" t="s">
        <v>373</v>
      </c>
      <c r="I965" s="37">
        <v>9040042224</v>
      </c>
      <c r="J965" s="37" t="s">
        <v>195</v>
      </c>
      <c r="K965" s="325" t="s">
        <v>196</v>
      </c>
      <c r="L965" s="181">
        <v>50</v>
      </c>
      <c r="M965" s="181" t="s">
        <v>421</v>
      </c>
      <c r="N965" s="37" t="s">
        <v>376</v>
      </c>
      <c r="O965" s="31">
        <f>IF(F965&gt;0,F965-AB965,"")</f>
        <v>10</v>
      </c>
      <c r="P965" s="37" t="str">
        <f>IF(F965&gt;0,IF(AB965="","PLANNING SUPPLY",IF(AB965&lt;=F965,"ONTIME DELIVERY","DELAY")),"")</f>
        <v>ONTIME DELIVERY</v>
      </c>
      <c r="Q965" s="181" t="str">
        <f>IFERROR(IF(J968&gt;0,VLOOKUP(J968,#REF!,MATCH($Q$6,#REF!,0),0),""),"")</f>
        <v/>
      </c>
      <c r="R965" s="181" t="str">
        <f>IFERROR(IF(J968&gt;0,VLOOKUP(J968,#REF!,MATCH($R$6,#REF!,0),0),""),"")</f>
        <v/>
      </c>
      <c r="S965" s="181" t="e">
        <f>IF(I968&gt;0,Q965+R965,"")</f>
        <v>#VALUE!</v>
      </c>
      <c r="T965" s="181"/>
      <c r="U965" s="181"/>
      <c r="V965" s="37"/>
      <c r="W965" s="181" t="e">
        <f>IF(I968&gt;0,IF(S965&gt;L965,"READY STOCK",IF(S965=0,"OUT OF STOCK",IF(S965&lt;L965,"LOW STOCK",""))),"")</f>
        <v>#VALUE!</v>
      </c>
      <c r="X965" s="38"/>
      <c r="Y965" s="38"/>
      <c r="Z965" s="38"/>
      <c r="AA965" s="38"/>
      <c r="AB965" s="50">
        <v>46314</v>
      </c>
      <c r="AC965" s="44" t="s">
        <v>1382</v>
      </c>
      <c r="AD965" s="51">
        <v>50</v>
      </c>
      <c r="AE965" s="37" t="s">
        <v>387</v>
      </c>
      <c r="AF965" s="37" t="s">
        <v>381</v>
      </c>
      <c r="AG965" s="33" t="str">
        <f>IF(G965&gt;0,IF(AD965&gt;0,IF(AD965=0,"Waiting",IF(AD965&lt;L965,"Partial",IF(AD965=L965,"Full Supply",IF(AD965&gt;L965,"Over Shared")))),"Waiting"),"")</f>
        <v>Full Supply</v>
      </c>
      <c r="AH965" s="37"/>
      <c r="AI965" s="37"/>
      <c r="AJ965" s="181"/>
      <c r="AK965" s="37"/>
      <c r="AL965" s="37"/>
      <c r="AM965" s="181"/>
      <c r="AN965" s="37"/>
      <c r="AO965" s="37"/>
      <c r="AP965" s="37"/>
      <c r="AQ965" s="37"/>
      <c r="AR965" s="37"/>
      <c r="AS965" s="37"/>
      <c r="AT965" s="37"/>
      <c r="AU965" s="37"/>
      <c r="AV965" s="37"/>
      <c r="AW965" s="37"/>
      <c r="AX965" s="37"/>
      <c r="AY965" s="37"/>
      <c r="AZ965" s="181">
        <f>L965-AD965</f>
        <v>0</v>
      </c>
    </row>
    <row r="966" spans="1:52" ht="15.5" customHeight="1">
      <c r="A966" s="360" t="s">
        <v>372</v>
      </c>
      <c r="B966" s="340">
        <v>46297</v>
      </c>
      <c r="C966" s="181">
        <v>51678</v>
      </c>
      <c r="D966" s="30">
        <v>46297</v>
      </c>
      <c r="E966" s="30">
        <v>46294</v>
      </c>
      <c r="F966" s="30">
        <v>46324</v>
      </c>
      <c r="G966" s="37">
        <v>4420234291</v>
      </c>
      <c r="H966" s="37" t="s">
        <v>373</v>
      </c>
      <c r="I966" s="37">
        <v>9040028877</v>
      </c>
      <c r="J966" s="37" t="s">
        <v>199</v>
      </c>
      <c r="K966" s="325" t="s">
        <v>200</v>
      </c>
      <c r="L966" s="181">
        <v>60</v>
      </c>
      <c r="M966" s="181" t="s">
        <v>425</v>
      </c>
      <c r="N966" s="37" t="s">
        <v>376</v>
      </c>
      <c r="O966" s="31">
        <f>IF(F966&gt;0,F966-AB966,"")</f>
        <v>46324</v>
      </c>
      <c r="P966" s="37" t="str">
        <f>IF(F966&gt;0,IF(AB966="","PLANNING SUPPLY",IF(AB966&lt;=F966,"ONTIME DELIVERY","DELAY")),"")</f>
        <v>PLANNING SUPPLY</v>
      </c>
      <c r="Q966" s="181" t="str">
        <f>IFERROR(IF(#REF!&gt;0,VLOOKUP(#REF!,#REF!,MATCH($Q$6,#REF!,0),0),""),"")</f>
        <v/>
      </c>
      <c r="R966" s="181" t="str">
        <f>IFERROR(IF(#REF!&gt;0,VLOOKUP(#REF!,#REF!,MATCH($R$6,#REF!,0),0),""),"")</f>
        <v/>
      </c>
      <c r="S966" s="181" t="e">
        <f>IF(#REF!&gt;0,Q966+R966,"")</f>
        <v>#REF!</v>
      </c>
      <c r="T966" s="181"/>
      <c r="U966" s="181"/>
      <c r="V966" s="37"/>
      <c r="W966" s="181" t="e">
        <f>IF(#REF!&gt;0,IF(S966&gt;L966,"READY STOCK",IF(S966=0,"OUT OF STOCK",IF(S966&lt;L966,"LOW STOCK",""))),"")</f>
        <v>#REF!</v>
      </c>
      <c r="X966" s="38"/>
      <c r="Y966" s="38"/>
      <c r="Z966" s="38"/>
      <c r="AA966" s="38"/>
      <c r="AB966" s="50"/>
      <c r="AC966" s="181"/>
      <c r="AD966" s="51"/>
      <c r="AE966" s="37"/>
      <c r="AF966" s="37"/>
      <c r="AG966" s="33" t="str">
        <f>IF(G966&gt;0,IF(AD966&gt;0,IF(AD966=0,"Waiting",IF(AD966&lt;L966,"Partial",IF(AD966=L966,"Full Supply",IF(AD966&gt;L966,"Over Shared")))),"Waiting"),"")</f>
        <v>Waiting</v>
      </c>
      <c r="AH966" s="37"/>
      <c r="AI966" s="37"/>
      <c r="AJ966" s="181"/>
      <c r="AK966" s="37"/>
      <c r="AL966" s="37"/>
      <c r="AM966" s="181"/>
      <c r="AN966" s="37"/>
      <c r="AO966" s="37"/>
      <c r="AP966" s="37"/>
      <c r="AQ966" s="37"/>
      <c r="AR966" s="37"/>
      <c r="AS966" s="37"/>
      <c r="AT966" s="37"/>
      <c r="AU966" s="37"/>
      <c r="AV966" s="37"/>
      <c r="AW966" s="37"/>
      <c r="AX966" s="37"/>
      <c r="AY966" s="37"/>
      <c r="AZ966" s="181">
        <f>L966-AD966</f>
        <v>60</v>
      </c>
    </row>
    <row r="967" spans="1:52" ht="15.5" customHeight="1">
      <c r="A967" s="360" t="s">
        <v>372</v>
      </c>
      <c r="B967" s="340">
        <v>46297</v>
      </c>
      <c r="C967" s="181">
        <v>51678</v>
      </c>
      <c r="D967" s="30">
        <v>46297</v>
      </c>
      <c r="E967" s="30">
        <v>46294</v>
      </c>
      <c r="F967" s="30">
        <v>46324</v>
      </c>
      <c r="G967" s="37">
        <v>4420234291</v>
      </c>
      <c r="H967" s="37" t="s">
        <v>373</v>
      </c>
      <c r="I967" s="37">
        <v>9040049046</v>
      </c>
      <c r="J967" s="37" t="s">
        <v>127</v>
      </c>
      <c r="K967" s="325" t="s">
        <v>128</v>
      </c>
      <c r="L967" s="181">
        <v>3</v>
      </c>
      <c r="M967" s="181" t="s">
        <v>427</v>
      </c>
      <c r="N967" s="37" t="s">
        <v>376</v>
      </c>
      <c r="O967" s="31">
        <f>IF(F967&gt;0,F967-AB967,"")</f>
        <v>46324</v>
      </c>
      <c r="P967" s="37" t="str">
        <f>IF(F967&gt;0,IF(AB967="","PLANNING SUPPLY",IF(AB967&lt;=F967,"ONTIME DELIVERY","DELAY")),"")</f>
        <v>PLANNING SUPPLY</v>
      </c>
      <c r="Q967" s="181" t="str">
        <f>IFERROR(IF(#REF!&gt;0,VLOOKUP(#REF!,#REF!,MATCH($Q$6,#REF!,0),0),""),"")</f>
        <v/>
      </c>
      <c r="R967" s="181" t="str">
        <f>IFERROR(IF(#REF!&gt;0,VLOOKUP(#REF!,#REF!,MATCH($R$6,#REF!,0),0),""),"")</f>
        <v/>
      </c>
      <c r="S967" s="181" t="e">
        <f>IF(#REF!&gt;0,Q967+R967,"")</f>
        <v>#REF!</v>
      </c>
      <c r="T967" s="181"/>
      <c r="U967" s="181"/>
      <c r="V967" s="37"/>
      <c r="W967" s="181" t="e">
        <f>IF(#REF!&gt;0,IF(S967&gt;L967,"READY STOCK",IF(S967=0,"OUT OF STOCK",IF(S967&lt;L967,"LOW STOCK",""))),"")</f>
        <v>#REF!</v>
      </c>
      <c r="X967" s="38"/>
      <c r="Y967" s="38"/>
      <c r="Z967" s="38"/>
      <c r="AA967" s="38"/>
      <c r="AB967" s="50"/>
      <c r="AC967" s="181"/>
      <c r="AD967" s="51"/>
      <c r="AE967" s="37"/>
      <c r="AF967" s="37"/>
      <c r="AG967" s="33" t="str">
        <f>IF(G967&gt;0,IF(AD967&gt;0,IF(AD967=0,"Waiting",IF(AD967&lt;L967,"Partial",IF(AD967=L967,"Full Supply",IF(AD967&gt;L967,"Over Shared")))),"Waiting"),"")</f>
        <v>Waiting</v>
      </c>
      <c r="AH967" s="37"/>
      <c r="AI967" s="37"/>
      <c r="AJ967" s="181"/>
      <c r="AK967" s="37"/>
      <c r="AL967" s="37"/>
      <c r="AM967" s="181"/>
      <c r="AN967" s="37"/>
      <c r="AO967" s="37"/>
      <c r="AP967" s="37"/>
      <c r="AQ967" s="37"/>
      <c r="AR967" s="37"/>
      <c r="AS967" s="37"/>
      <c r="AT967" s="37"/>
      <c r="AU967" s="37"/>
      <c r="AV967" s="37"/>
      <c r="AW967" s="37"/>
      <c r="AX967" s="37"/>
      <c r="AY967" s="37"/>
      <c r="AZ967" s="181">
        <f>L967-AD967</f>
        <v>3</v>
      </c>
    </row>
    <row r="968" spans="1:52" ht="15.5" customHeight="1">
      <c r="A968" s="360" t="s">
        <v>372</v>
      </c>
      <c r="B968" s="340">
        <v>46297</v>
      </c>
      <c r="C968" s="181">
        <v>51678</v>
      </c>
      <c r="D968" s="30">
        <v>46297</v>
      </c>
      <c r="E968" s="30">
        <v>46294</v>
      </c>
      <c r="F968" s="30">
        <v>46324</v>
      </c>
      <c r="G968" s="37">
        <v>4420234291</v>
      </c>
      <c r="H968" s="37" t="s">
        <v>373</v>
      </c>
      <c r="I968" s="37">
        <v>9040051092</v>
      </c>
      <c r="J968" s="37" t="s">
        <v>89</v>
      </c>
      <c r="K968" s="325" t="s">
        <v>90</v>
      </c>
      <c r="L968" s="181">
        <v>3</v>
      </c>
      <c r="M968" s="181" t="s">
        <v>375</v>
      </c>
      <c r="N968" s="37" t="s">
        <v>376</v>
      </c>
      <c r="O968" s="31">
        <f>IF(F968&gt;0,F968-AB968,"")</f>
        <v>10</v>
      </c>
      <c r="P968" s="37" t="str">
        <f>IF(F968&gt;0,IF(AB968="","PLANNING SUPPLY",IF(AB968&lt;=F968,"ONTIME DELIVERY","DELAY")),"")</f>
        <v>ONTIME DELIVERY</v>
      </c>
      <c r="Q968" s="181" t="str">
        <f>IFERROR(IF(#REF!&gt;0,VLOOKUP(#REF!,#REF!,MATCH($Q$6,#REF!,0),0),""),"")</f>
        <v/>
      </c>
      <c r="R968" s="181" t="str">
        <f>IFERROR(IF(#REF!&gt;0,VLOOKUP(#REF!,#REF!,MATCH($R$6,#REF!,0),0),""),"")</f>
        <v/>
      </c>
      <c r="S968" s="181" t="e">
        <f>IF(#REF!&gt;0,Q968+R968,"")</f>
        <v>#REF!</v>
      </c>
      <c r="T968" s="181"/>
      <c r="U968" s="181"/>
      <c r="V968" s="37"/>
      <c r="W968" s="181" t="e">
        <f>IF(#REF!&gt;0,IF(S968&gt;L968,"READY STOCK",IF(S968=0,"OUT OF STOCK",IF(S968&lt;L968,"LOW STOCK",""))),"")</f>
        <v>#REF!</v>
      </c>
      <c r="X968" s="38"/>
      <c r="Y968" s="38"/>
      <c r="Z968" s="38"/>
      <c r="AA968" s="38"/>
      <c r="AB968" s="50">
        <v>46314</v>
      </c>
      <c r="AC968" s="44" t="s">
        <v>1382</v>
      </c>
      <c r="AD968" s="51">
        <v>3</v>
      </c>
      <c r="AE968" s="37" t="s">
        <v>387</v>
      </c>
      <c r="AF968" s="37" t="s">
        <v>381</v>
      </c>
      <c r="AG968" s="33" t="str">
        <f>IF(G968&gt;0,IF(AD968&gt;0,IF(AD968=0,"Waiting",IF(AD968&lt;L968,"Partial",IF(AD968=L968,"Full Supply",IF(AD968&gt;L968,"Over Shared")))),"Waiting"),"")</f>
        <v>Full Supply</v>
      </c>
      <c r="AH968" s="37"/>
      <c r="AI968" s="37"/>
      <c r="AJ968" s="181"/>
      <c r="AK968" s="37"/>
      <c r="AL968" s="37"/>
      <c r="AM968" s="181"/>
      <c r="AN968" s="37"/>
      <c r="AO968" s="37"/>
      <c r="AP968" s="37"/>
      <c r="AQ968" s="37"/>
      <c r="AR968" s="37"/>
      <c r="AS968" s="37"/>
      <c r="AT968" s="37"/>
      <c r="AU968" s="37"/>
      <c r="AV968" s="37"/>
      <c r="AW968" s="37"/>
      <c r="AX968" s="37"/>
      <c r="AY968" s="37"/>
      <c r="AZ968" s="181">
        <f>L968-AD968</f>
        <v>0</v>
      </c>
    </row>
    <row r="969" spans="1:52" ht="15.5" customHeight="1">
      <c r="A969" s="360" t="s">
        <v>372</v>
      </c>
      <c r="B969" s="340">
        <v>46300</v>
      </c>
      <c r="C969" s="181">
        <v>51772</v>
      </c>
      <c r="D969" s="30">
        <v>46300</v>
      </c>
      <c r="E969" s="30">
        <v>46297</v>
      </c>
      <c r="F969" s="30">
        <v>46323</v>
      </c>
      <c r="G969" s="37">
        <v>4420234586</v>
      </c>
      <c r="H969" s="37" t="s">
        <v>373</v>
      </c>
      <c r="I969" s="37">
        <v>9040040446</v>
      </c>
      <c r="J969" s="37" t="s">
        <v>189</v>
      </c>
      <c r="K969" s="325" t="s">
        <v>190</v>
      </c>
      <c r="L969" s="181">
        <v>13</v>
      </c>
      <c r="M969" s="181" t="s">
        <v>421</v>
      </c>
      <c r="N969" s="37" t="s">
        <v>408</v>
      </c>
      <c r="O969" s="31">
        <f>IF(F969&gt;0,F969-AB969,"")</f>
        <v>7</v>
      </c>
      <c r="P969" s="37" t="str">
        <f>IF(F969&gt;0,IF(AB969="","PLANNING SUPPLY",IF(AB969&lt;=F969,"ONTIME DELIVERY","DELAY")),"")</f>
        <v>ONTIME DELIVERY</v>
      </c>
      <c r="Q969" s="181" t="str">
        <f>IFERROR(IF(J969&gt;0,VLOOKUP(J969,#REF!,MATCH($Q$6,#REF!,0),0),""),"")</f>
        <v/>
      </c>
      <c r="R969" s="181" t="str">
        <f>IFERROR(IF(J969&gt;0,VLOOKUP(J969,#REF!,MATCH($R$6,#REF!,0),0),""),"")</f>
        <v/>
      </c>
      <c r="S969" s="181" t="e">
        <f>IF(I969&gt;0,Q969+R969,"")</f>
        <v>#VALUE!</v>
      </c>
      <c r="T969" s="181"/>
      <c r="U969" s="181"/>
      <c r="V969" s="37"/>
      <c r="W969" s="181" t="e">
        <f>IF(I969&gt;0,IF(S969&gt;L969,"READY STOCK",IF(S969=0,"OUT OF STOCK",IF(S969&lt;L969,"LOW STOCK",""))),"")</f>
        <v>#VALUE!</v>
      </c>
      <c r="X969" s="38"/>
      <c r="Y969" s="38"/>
      <c r="Z969" s="38"/>
      <c r="AA969" s="38"/>
      <c r="AB969" s="50">
        <v>46316</v>
      </c>
      <c r="AC969" s="44" t="s">
        <v>1383</v>
      </c>
      <c r="AD969" s="51">
        <v>13</v>
      </c>
      <c r="AE969" s="37" t="s">
        <v>387</v>
      </c>
      <c r="AF969" s="37" t="s">
        <v>381</v>
      </c>
      <c r="AG969" s="33" t="str">
        <f>IF(G969&gt;0,IF(AD969&gt;0,IF(AD969=0,"Waiting",IF(AD969&lt;L969,"Partial",IF(AD969=L969,"Full Supply",IF(AD969&gt;L969,"Over Shared")))),"Waiting"),"")</f>
        <v>Full Supply</v>
      </c>
      <c r="AH969" s="37"/>
      <c r="AI969" s="37"/>
      <c r="AJ969" s="181"/>
      <c r="AK969" s="37"/>
      <c r="AL969" s="37"/>
      <c r="AM969" s="181"/>
      <c r="AN969" s="37"/>
      <c r="AO969" s="37"/>
      <c r="AP969" s="37"/>
      <c r="AQ969" s="37"/>
      <c r="AR969" s="37"/>
      <c r="AS969" s="37"/>
      <c r="AT969" s="37"/>
      <c r="AU969" s="37"/>
      <c r="AV969" s="37"/>
      <c r="AW969" s="37"/>
      <c r="AX969" s="37"/>
      <c r="AY969" s="37"/>
      <c r="AZ969" s="37"/>
    </row>
    <row r="970" spans="1:52" ht="15.5" customHeight="1">
      <c r="A970" s="360" t="s">
        <v>372</v>
      </c>
      <c r="B970" s="340">
        <v>46300</v>
      </c>
      <c r="C970" s="181">
        <v>51772</v>
      </c>
      <c r="D970" s="30">
        <v>46300</v>
      </c>
      <c r="E970" s="30">
        <v>46297</v>
      </c>
      <c r="F970" s="30">
        <v>46323</v>
      </c>
      <c r="G970" s="37">
        <v>4420234586</v>
      </c>
      <c r="H970" s="37" t="s">
        <v>373</v>
      </c>
      <c r="I970" s="37">
        <v>9040042224</v>
      </c>
      <c r="J970" s="37" t="s">
        <v>195</v>
      </c>
      <c r="K970" s="325" t="s">
        <v>196</v>
      </c>
      <c r="L970" s="181">
        <v>23</v>
      </c>
      <c r="M970" s="181" t="s">
        <v>421</v>
      </c>
      <c r="N970" s="37" t="s">
        <v>408</v>
      </c>
      <c r="O970" s="31">
        <f>IF(F970&gt;0,F970-AB970,"")</f>
        <v>9</v>
      </c>
      <c r="P970" s="37" t="str">
        <f>IF(F970&gt;0,IF(AB970="","PLANNING SUPPLY",IF(AB970&lt;=F970,"ONTIME DELIVERY","DELAY")),"")</f>
        <v>ONTIME DELIVERY</v>
      </c>
      <c r="Q970" s="181" t="str">
        <f>IFERROR(IF(J970&gt;0,VLOOKUP(J970,#REF!,MATCH($Q$6,#REF!,0),0),""),"")</f>
        <v/>
      </c>
      <c r="R970" s="181" t="str">
        <f>IFERROR(IF(J970&gt;0,VLOOKUP(J970,#REF!,MATCH($R$6,#REF!,0),0),""),"")</f>
        <v/>
      </c>
      <c r="S970" s="181" t="e">
        <f>IF(I970&gt;0,Q970+R970,"")</f>
        <v>#VALUE!</v>
      </c>
      <c r="T970" s="181"/>
      <c r="U970" s="181"/>
      <c r="V970" s="37"/>
      <c r="W970" s="181" t="e">
        <f>IF(I970&gt;0,IF(S970&gt;L970,"READY STOCK",IF(S970=0,"OUT OF STOCK",IF(S970&lt;L970,"LOW STOCK",""))),"")</f>
        <v>#VALUE!</v>
      </c>
      <c r="X970" s="38"/>
      <c r="Y970" s="38"/>
      <c r="Z970" s="38"/>
      <c r="AA970" s="38"/>
      <c r="AB970" s="50">
        <v>46314</v>
      </c>
      <c r="AC970" s="44" t="s">
        <v>1384</v>
      </c>
      <c r="AD970" s="51">
        <v>23</v>
      </c>
      <c r="AE970" s="37" t="s">
        <v>387</v>
      </c>
      <c r="AF970" s="37" t="s">
        <v>381</v>
      </c>
      <c r="AG970" s="33" t="str">
        <f>IF(G970&gt;0,IF(AD970&gt;0,IF(AD970=0,"Waiting",IF(AD970&lt;L970,"Partial",IF(AD970=L970,"Full Supply",IF(AD970&gt;L970,"Over Shared")))),"Waiting"),"")</f>
        <v>Full Supply</v>
      </c>
      <c r="AH970" s="37"/>
      <c r="AI970" s="37"/>
      <c r="AJ970" s="181"/>
      <c r="AK970" s="37"/>
      <c r="AL970" s="37"/>
      <c r="AM970" s="181"/>
      <c r="AN970" s="37"/>
      <c r="AO970" s="37"/>
      <c r="AP970" s="37"/>
      <c r="AQ970" s="37"/>
      <c r="AR970" s="37"/>
      <c r="AS970" s="37"/>
      <c r="AT970" s="37"/>
      <c r="AU970" s="37"/>
      <c r="AV970" s="37"/>
      <c r="AW970" s="37"/>
      <c r="AX970" s="37"/>
      <c r="AY970" s="37"/>
      <c r="AZ970" s="37"/>
    </row>
    <row r="971" spans="1:52" ht="15.5" customHeight="1">
      <c r="A971" s="360" t="s">
        <v>372</v>
      </c>
      <c r="B971" s="340">
        <v>46300</v>
      </c>
      <c r="C971" s="181">
        <v>51783</v>
      </c>
      <c r="D971" s="30">
        <v>46300</v>
      </c>
      <c r="E971" s="30">
        <v>46294</v>
      </c>
      <c r="F971" s="30">
        <v>46324</v>
      </c>
      <c r="G971" s="37">
        <v>4420234249</v>
      </c>
      <c r="H971" s="37" t="s">
        <v>373</v>
      </c>
      <c r="I971" s="37">
        <v>9040040699</v>
      </c>
      <c r="J971" s="37" t="s">
        <v>27</v>
      </c>
      <c r="K971" s="325" t="s">
        <v>28</v>
      </c>
      <c r="L971" s="181">
        <v>5</v>
      </c>
      <c r="M971" s="181" t="s">
        <v>375</v>
      </c>
      <c r="N971" s="37" t="s">
        <v>1284</v>
      </c>
      <c r="O971" s="31">
        <f>IF(F971&gt;0,F971-AB971,"")</f>
        <v>10</v>
      </c>
      <c r="P971" s="37" t="str">
        <f>IF(F971&gt;0,IF(AB971="","PLANNING SUPPLY",IF(AB971&lt;=F971,"ONTIME DELIVERY","DELAY")),"")</f>
        <v>ONTIME DELIVERY</v>
      </c>
      <c r="Q971" s="181" t="str">
        <f>IFERROR(IF(J971&gt;0,VLOOKUP(J971,#REF!,MATCH($Q$6,#REF!,0),0),""),"")</f>
        <v/>
      </c>
      <c r="R971" s="181" t="str">
        <f>IFERROR(IF(J971&gt;0,VLOOKUP(J971,#REF!,MATCH($R$6,#REF!,0),0),""),"")</f>
        <v/>
      </c>
      <c r="S971" s="181" t="e">
        <f>IF(I971&gt;0,Q971+R971,"")</f>
        <v>#VALUE!</v>
      </c>
      <c r="T971" s="181"/>
      <c r="U971" s="181"/>
      <c r="V971" s="37"/>
      <c r="W971" s="181" t="e">
        <f>IF(I971&gt;0,IF(S971&gt;L971,"READY STOCK",IF(S971=0,"OUT OF STOCK",IF(S971&lt;L971,"LOW STOCK",""))),"")</f>
        <v>#VALUE!</v>
      </c>
      <c r="X971" s="38"/>
      <c r="Y971" s="38"/>
      <c r="Z971" s="38"/>
      <c r="AA971" s="38"/>
      <c r="AB971" s="50">
        <v>46314</v>
      </c>
      <c r="AC971" s="44" t="s">
        <v>1385</v>
      </c>
      <c r="AD971" s="51">
        <v>5</v>
      </c>
      <c r="AE971" s="37" t="s">
        <v>387</v>
      </c>
      <c r="AF971" s="37" t="s">
        <v>381</v>
      </c>
      <c r="AG971" s="33" t="str">
        <f>IF(G971&gt;0,IF(AD971&gt;0,IF(AD971=0,"Waiting",IF(AD971&lt;L971,"Partial",IF(AD971=L971,"Full Supply",IF(AD971&gt;L971,"Over Shared")))),"Waiting"),"")</f>
        <v>Full Supply</v>
      </c>
      <c r="AH971" s="37"/>
      <c r="AI971" s="37"/>
      <c r="AJ971" s="181"/>
      <c r="AK971" s="37"/>
      <c r="AL971" s="37"/>
      <c r="AM971" s="181"/>
      <c r="AN971" s="37"/>
      <c r="AO971" s="37"/>
      <c r="AP971" s="37"/>
      <c r="AQ971" s="37"/>
      <c r="AR971" s="37"/>
      <c r="AS971" s="37"/>
      <c r="AT971" s="37"/>
      <c r="AU971" s="37"/>
      <c r="AV971" s="37"/>
      <c r="AW971" s="37"/>
      <c r="AX971" s="37"/>
      <c r="AY971" s="37"/>
      <c r="AZ971" s="37"/>
    </row>
    <row r="972" spans="1:52" ht="15.5" customHeight="1">
      <c r="A972" s="360" t="s">
        <v>372</v>
      </c>
      <c r="B972" s="340">
        <v>46300</v>
      </c>
      <c r="C972" s="181">
        <v>51783</v>
      </c>
      <c r="D972" s="30">
        <v>46300</v>
      </c>
      <c r="E972" s="30">
        <v>46294</v>
      </c>
      <c r="F972" s="30">
        <v>46324</v>
      </c>
      <c r="G972" s="37">
        <v>4420234249</v>
      </c>
      <c r="H972" s="37" t="s">
        <v>373</v>
      </c>
      <c r="I972" s="37">
        <v>9040041385</v>
      </c>
      <c r="J972" s="37" t="s">
        <v>6</v>
      </c>
      <c r="K972" s="325" t="s">
        <v>7</v>
      </c>
      <c r="L972" s="181">
        <v>5</v>
      </c>
      <c r="M972" s="181" t="s">
        <v>375</v>
      </c>
      <c r="N972" s="37" t="s">
        <v>1284</v>
      </c>
      <c r="O972" s="31">
        <f>IF(F972&gt;0,F972-AB972,"")</f>
        <v>10</v>
      </c>
      <c r="P972" s="37" t="str">
        <f>IF(F972&gt;0,IF(AB972="","PLANNING SUPPLY",IF(AB972&lt;=F972,"ONTIME DELIVERY","DELAY")),"")</f>
        <v>ONTIME DELIVERY</v>
      </c>
      <c r="Q972" s="181" t="str">
        <f>IFERROR(IF(J972&gt;0,VLOOKUP(J972,#REF!,MATCH($Q$6,#REF!,0),0),""),"")</f>
        <v/>
      </c>
      <c r="R972" s="181" t="str">
        <f>IFERROR(IF(J972&gt;0,VLOOKUP(J972,#REF!,MATCH($R$6,#REF!,0),0),""),"")</f>
        <v/>
      </c>
      <c r="S972" s="181" t="e">
        <f>IF(I972&gt;0,Q972+R972,"")</f>
        <v>#VALUE!</v>
      </c>
      <c r="T972" s="181"/>
      <c r="U972" s="181"/>
      <c r="V972" s="37"/>
      <c r="W972" s="181" t="e">
        <f>IF(I972&gt;0,IF(S972&gt;L972,"READY STOCK",IF(S972=0,"OUT OF STOCK",IF(S972&lt;L972,"LOW STOCK",""))),"")</f>
        <v>#VALUE!</v>
      </c>
      <c r="X972" s="38"/>
      <c r="Y972" s="38"/>
      <c r="Z972" s="38"/>
      <c r="AA972" s="38"/>
      <c r="AB972" s="50">
        <v>46314</v>
      </c>
      <c r="AC972" s="44" t="s">
        <v>1385</v>
      </c>
      <c r="AD972" s="51">
        <v>5</v>
      </c>
      <c r="AE972" s="37" t="s">
        <v>387</v>
      </c>
      <c r="AF972" s="37" t="s">
        <v>381</v>
      </c>
      <c r="AG972" s="33" t="str">
        <f>IF(G972&gt;0,IF(AD972&gt;0,IF(AD972=0,"Waiting",IF(AD972&lt;L972,"Partial",IF(AD972=L972,"Full Supply",IF(AD972&gt;L972,"Over Shared")))),"Waiting"),"")</f>
        <v>Full Supply</v>
      </c>
      <c r="AH972" s="37"/>
      <c r="AI972" s="37"/>
      <c r="AJ972" s="181"/>
      <c r="AK972" s="37"/>
      <c r="AL972" s="37"/>
      <c r="AM972" s="181"/>
      <c r="AN972" s="37"/>
      <c r="AO972" s="37"/>
      <c r="AP972" s="37"/>
      <c r="AQ972" s="37"/>
      <c r="AR972" s="37"/>
      <c r="AS972" s="37"/>
      <c r="AT972" s="37"/>
      <c r="AU972" s="37"/>
      <c r="AV972" s="37"/>
      <c r="AW972" s="37"/>
      <c r="AX972" s="37"/>
      <c r="AY972" s="37"/>
      <c r="AZ972" s="37"/>
    </row>
    <row r="973" spans="1:52" ht="15.5" customHeight="1">
      <c r="A973" s="360" t="s">
        <v>372</v>
      </c>
      <c r="B973" s="340">
        <v>46300</v>
      </c>
      <c r="C973" s="181">
        <v>51783</v>
      </c>
      <c r="D973" s="30">
        <v>46300</v>
      </c>
      <c r="E973" s="30">
        <v>46294</v>
      </c>
      <c r="F973" s="30">
        <v>46324</v>
      </c>
      <c r="G973" s="37">
        <v>4420234249</v>
      </c>
      <c r="H973" s="37" t="s">
        <v>373</v>
      </c>
      <c r="I973" s="37">
        <v>9040041393</v>
      </c>
      <c r="J973" s="37" t="s">
        <v>191</v>
      </c>
      <c r="K973" s="325" t="s">
        <v>192</v>
      </c>
      <c r="L973" s="181">
        <v>50</v>
      </c>
      <c r="M973" s="181" t="s">
        <v>375</v>
      </c>
      <c r="N973" s="37" t="s">
        <v>1284</v>
      </c>
      <c r="O973" s="31">
        <f>IF(F973&gt;0,F973-AB973,"")</f>
        <v>10</v>
      </c>
      <c r="P973" s="37" t="str">
        <f>IF(F973&gt;0,IF(AB973="","PLANNING SUPPLY",IF(AB973&lt;=F973,"ONTIME DELIVERY","DELAY")),"")</f>
        <v>ONTIME DELIVERY</v>
      </c>
      <c r="Q973" s="181" t="str">
        <f>IFERROR(IF(J973&gt;0,VLOOKUP(J973,#REF!,MATCH($Q$6,#REF!,0),0),""),"")</f>
        <v/>
      </c>
      <c r="R973" s="181" t="str">
        <f>IFERROR(IF(J973&gt;0,VLOOKUP(J973,#REF!,MATCH($R$6,#REF!,0),0),""),"")</f>
        <v/>
      </c>
      <c r="S973" s="181" t="e">
        <f>IF(I973&gt;0,Q973+R973,"")</f>
        <v>#VALUE!</v>
      </c>
      <c r="T973" s="181"/>
      <c r="U973" s="181"/>
      <c r="V973" s="37"/>
      <c r="W973" s="181" t="e">
        <f>IF(I973&gt;0,IF(S973&gt;L973,"READY STOCK",IF(S973=0,"OUT OF STOCK",IF(S973&lt;L973,"LOW STOCK",""))),"")</f>
        <v>#VALUE!</v>
      </c>
      <c r="X973" s="38"/>
      <c r="Y973" s="38"/>
      <c r="Z973" s="38"/>
      <c r="AA973" s="38"/>
      <c r="AB973" s="50">
        <v>46314</v>
      </c>
      <c r="AC973" s="44" t="s">
        <v>1385</v>
      </c>
      <c r="AD973" s="51">
        <v>50</v>
      </c>
      <c r="AE973" s="37" t="s">
        <v>387</v>
      </c>
      <c r="AF973" s="37" t="s">
        <v>381</v>
      </c>
      <c r="AG973" s="33" t="str">
        <f>IF(G973&gt;0,IF(AD973&gt;0,IF(AD973=0,"Waiting",IF(AD973&lt;L973,"Partial",IF(AD973=L973,"Full Supply",IF(AD973&gt;L973,"Over Shared")))),"Waiting"),"")</f>
        <v>Full Supply</v>
      </c>
      <c r="AH973" s="37"/>
      <c r="AI973" s="37"/>
      <c r="AJ973" s="181"/>
      <c r="AK973" s="37"/>
      <c r="AL973" s="37"/>
      <c r="AM973" s="181"/>
      <c r="AN973" s="37"/>
      <c r="AO973" s="37"/>
      <c r="AP973" s="37"/>
      <c r="AQ973" s="37"/>
      <c r="AR973" s="37"/>
      <c r="AS973" s="37"/>
      <c r="AT973" s="37"/>
      <c r="AU973" s="37"/>
      <c r="AV973" s="37"/>
      <c r="AW973" s="37"/>
      <c r="AX973" s="37"/>
      <c r="AY973" s="37"/>
      <c r="AZ973" s="37"/>
    </row>
    <row r="974" spans="1:52" ht="15.5" customHeight="1">
      <c r="A974" s="360" t="s">
        <v>372</v>
      </c>
      <c r="B974" s="340">
        <v>46300</v>
      </c>
      <c r="C974" s="181">
        <v>51783</v>
      </c>
      <c r="D974" s="30">
        <v>46300</v>
      </c>
      <c r="E974" s="30">
        <v>46294</v>
      </c>
      <c r="F974" s="30">
        <v>46324</v>
      </c>
      <c r="G974" s="37">
        <v>4420234249</v>
      </c>
      <c r="H974" s="37" t="s">
        <v>373</v>
      </c>
      <c r="I974" s="37">
        <v>9040044209</v>
      </c>
      <c r="J974" s="37" t="s">
        <v>270</v>
      </c>
      <c r="K974" s="325" t="s">
        <v>271</v>
      </c>
      <c r="L974" s="181">
        <v>70</v>
      </c>
      <c r="M974" s="181" t="s">
        <v>375</v>
      </c>
      <c r="N974" s="37" t="s">
        <v>1284</v>
      </c>
      <c r="O974" s="31">
        <f>IF(F974&gt;0,F974-AB974,"")</f>
        <v>16</v>
      </c>
      <c r="P974" s="37" t="str">
        <f>IF(F974&gt;0,IF(AB974="","PLANNING SUPPLY",IF(AB974&lt;=F974,"ONTIME DELIVERY","DELAY")),"")</f>
        <v>ONTIME DELIVERY</v>
      </c>
      <c r="Q974" s="181" t="str">
        <f>IFERROR(IF(J974&gt;0,VLOOKUP(J974,#REF!,MATCH($Q$6,#REF!,0),0),""),"")</f>
        <v/>
      </c>
      <c r="R974" s="181" t="str">
        <f>IFERROR(IF(J974&gt;0,VLOOKUP(J974,#REF!,MATCH($R$6,#REF!,0),0),""),"")</f>
        <v/>
      </c>
      <c r="S974" s="181" t="e">
        <f>IF(I974&gt;0,Q974+R974,"")</f>
        <v>#VALUE!</v>
      </c>
      <c r="T974" s="181"/>
      <c r="U974" s="181"/>
      <c r="V974" s="37"/>
      <c r="W974" s="181" t="e">
        <f>IF(I974&gt;0,IF(S974&gt;L974,"READY STOCK",IF(S974=0,"OUT OF STOCK",IF(S974&lt;L974,"LOW STOCK",""))),"")</f>
        <v>#VALUE!</v>
      </c>
      <c r="X974" s="38"/>
      <c r="Y974" s="38"/>
      <c r="Z974" s="38"/>
      <c r="AA974" s="38"/>
      <c r="AB974" s="57">
        <v>46308</v>
      </c>
      <c r="AC974" s="246">
        <v>35009</v>
      </c>
      <c r="AD974" s="53">
        <v>70</v>
      </c>
      <c r="AE974" s="58" t="s">
        <v>387</v>
      </c>
      <c r="AF974" s="58" t="s">
        <v>381</v>
      </c>
      <c r="AG974" s="33" t="str">
        <f>IF(G974&gt;0,IF(AD974&gt;0,IF(AD974=0,"Waiting",IF(AD974&lt;L974,"Partial",IF(AD974=L974,"Full Supply",IF(AD974&gt;L974,"Over Shared")))),"Waiting"),"")</f>
        <v>Full Supply</v>
      </c>
      <c r="AH974" s="37"/>
      <c r="AI974" s="37"/>
      <c r="AJ974" s="181"/>
      <c r="AK974" s="37"/>
      <c r="AL974" s="37"/>
      <c r="AM974" s="181"/>
      <c r="AN974" s="37"/>
      <c r="AO974" s="37"/>
      <c r="AP974" s="37"/>
      <c r="AQ974" s="37"/>
      <c r="AR974" s="37"/>
      <c r="AS974" s="37"/>
      <c r="AT974" s="37"/>
      <c r="AU974" s="37"/>
      <c r="AV974" s="37"/>
      <c r="AW974" s="37"/>
      <c r="AX974" s="37"/>
      <c r="AY974" s="37"/>
      <c r="AZ974" s="37"/>
    </row>
    <row r="975" spans="1:52" ht="15.5" customHeight="1">
      <c r="A975" s="360" t="s">
        <v>372</v>
      </c>
      <c r="B975" s="340">
        <v>46300</v>
      </c>
      <c r="C975" s="181">
        <v>51783</v>
      </c>
      <c r="D975" s="30">
        <v>46300</v>
      </c>
      <c r="E975" s="30">
        <v>46294</v>
      </c>
      <c r="F975" s="30">
        <v>46324</v>
      </c>
      <c r="G975" s="37">
        <v>4420234249</v>
      </c>
      <c r="H975" s="37" t="s">
        <v>373</v>
      </c>
      <c r="I975" s="37">
        <v>9040044449</v>
      </c>
      <c r="J975" s="37" t="s">
        <v>165</v>
      </c>
      <c r="K975" s="325" t="s">
        <v>166</v>
      </c>
      <c r="L975" s="181">
        <v>6</v>
      </c>
      <c r="M975" s="181" t="s">
        <v>375</v>
      </c>
      <c r="N975" s="37" t="s">
        <v>1284</v>
      </c>
      <c r="O975" s="31">
        <f>IF(F975&gt;0,F975-AB975,"")</f>
        <v>17</v>
      </c>
      <c r="P975" s="37" t="str">
        <f>IF(F975&gt;0,IF(AB975="","PLANNING SUPPLY",IF(AB975&lt;=F975,"ONTIME DELIVERY","DELAY")),"")</f>
        <v>ONTIME DELIVERY</v>
      </c>
      <c r="Q975" s="181" t="str">
        <f>IFERROR(IF(J975&gt;0,VLOOKUP(J975,#REF!,MATCH($Q$6,#REF!,0),0),""),"")</f>
        <v/>
      </c>
      <c r="R975" s="181" t="str">
        <f>IFERROR(IF(J975&gt;0,VLOOKUP(J975,#REF!,MATCH($R$6,#REF!,0),0),""),"")</f>
        <v/>
      </c>
      <c r="S975" s="181" t="e">
        <f>IF(I975&gt;0,Q975+R975,"")</f>
        <v>#VALUE!</v>
      </c>
      <c r="T975" s="181"/>
      <c r="U975" s="181"/>
      <c r="V975" s="37"/>
      <c r="W975" s="181" t="e">
        <f>IF(I975&gt;0,IF(S975&gt;L975,"READY STOCK",IF(S975=0,"OUT OF STOCK",IF(S975&lt;L975,"LOW STOCK",""))),"")</f>
        <v>#VALUE!</v>
      </c>
      <c r="X975" s="38"/>
      <c r="Y975" s="38"/>
      <c r="Z975" s="38"/>
      <c r="AA975" s="38"/>
      <c r="AB975" s="50">
        <v>46307</v>
      </c>
      <c r="AC975" s="181">
        <v>34931</v>
      </c>
      <c r="AD975" s="51">
        <v>6</v>
      </c>
      <c r="AE975" s="37"/>
      <c r="AF975" s="37"/>
      <c r="AG975" s="33" t="str">
        <f>IF(G975&gt;0,IF(AD975&gt;0,IF(AD975=0,"Waiting",IF(AD975&lt;L975,"Partial",IF(AD975=L975,"Full Supply",IF(AD975&gt;L975,"Over Shared")))),"Waiting"),"")</f>
        <v>Full Supply</v>
      </c>
      <c r="AH975" s="37"/>
      <c r="AI975" s="37"/>
      <c r="AJ975" s="181"/>
      <c r="AK975" s="37"/>
      <c r="AL975" s="37"/>
      <c r="AM975" s="181"/>
      <c r="AN975" s="37"/>
      <c r="AO975" s="37"/>
      <c r="AP975" s="37"/>
      <c r="AQ975" s="37"/>
      <c r="AR975" s="37"/>
      <c r="AS975" s="37"/>
      <c r="AT975" s="37"/>
      <c r="AU975" s="37"/>
      <c r="AV975" s="37"/>
      <c r="AW975" s="37"/>
      <c r="AX975" s="37"/>
      <c r="AY975" s="37"/>
      <c r="AZ975" s="37"/>
    </row>
    <row r="976" spans="1:52" ht="15.5" customHeight="1">
      <c r="A976" s="360" t="s">
        <v>372</v>
      </c>
      <c r="B976" s="340">
        <v>46300</v>
      </c>
      <c r="C976" s="181">
        <v>51783</v>
      </c>
      <c r="D976" s="30">
        <v>46300</v>
      </c>
      <c r="E976" s="30">
        <v>46294</v>
      </c>
      <c r="F976" s="30">
        <v>46324</v>
      </c>
      <c r="G976" s="37">
        <v>4420234249</v>
      </c>
      <c r="H976" s="37" t="s">
        <v>373</v>
      </c>
      <c r="I976" s="37">
        <v>9040052369</v>
      </c>
      <c r="J976" s="37" t="s">
        <v>199</v>
      </c>
      <c r="K976" s="325" t="s">
        <v>200</v>
      </c>
      <c r="L976" s="181">
        <v>21</v>
      </c>
      <c r="M976" s="181" t="s">
        <v>375</v>
      </c>
      <c r="N976" s="37" t="s">
        <v>1284</v>
      </c>
      <c r="O976" s="31">
        <f>IF(F976&gt;0,F976-AB976,"")</f>
        <v>46324</v>
      </c>
      <c r="P976" s="37" t="str">
        <f>IF(F976&gt;0,IF(AB976="","PLANNING SUPPLY",IF(AB976&lt;=F976,"ONTIME DELIVERY","DELAY")),"")</f>
        <v>PLANNING SUPPLY</v>
      </c>
      <c r="Q976" s="181" t="str">
        <f>IFERROR(IF(J976&gt;0,VLOOKUP(J976,#REF!,MATCH($Q$6,#REF!,0),0),""),"")</f>
        <v/>
      </c>
      <c r="R976" s="181" t="str">
        <f>IFERROR(IF(J976&gt;0,VLOOKUP(J976,#REF!,MATCH($R$6,#REF!,0),0),""),"")</f>
        <v/>
      </c>
      <c r="S976" s="181" t="e">
        <f>IF(I976&gt;0,Q976+R976,"")</f>
        <v>#VALUE!</v>
      </c>
      <c r="T976" s="181"/>
      <c r="U976" s="181"/>
      <c r="V976" s="37"/>
      <c r="W976" s="181" t="e">
        <f>IF(I976&gt;0,IF(S976&gt;L976,"READY STOCK",IF(S976=0,"OUT OF STOCK",IF(S976&lt;L976,"LOW STOCK",""))),"")</f>
        <v>#VALUE!</v>
      </c>
      <c r="X976" s="38"/>
      <c r="Y976" s="38"/>
      <c r="Z976" s="38"/>
      <c r="AA976" s="38"/>
      <c r="AB976" s="50"/>
      <c r="AC976" s="181"/>
      <c r="AD976" s="51"/>
      <c r="AE976" s="37"/>
      <c r="AF976" s="37"/>
      <c r="AG976" s="33" t="str">
        <f>IF(G976&gt;0,IF(AD976&gt;0,IF(AD976=0,"Waiting",IF(AD976&lt;L976,"Partial",IF(AD976=L976,"Full Supply",IF(AD976&gt;L976,"Over Shared")))),"Waiting"),"")</f>
        <v>Waiting</v>
      </c>
      <c r="AH976" s="37"/>
      <c r="AI976" s="37"/>
      <c r="AJ976" s="181"/>
      <c r="AK976" s="37"/>
      <c r="AL976" s="37"/>
      <c r="AM976" s="181"/>
      <c r="AN976" s="37"/>
      <c r="AO976" s="37"/>
      <c r="AP976" s="37"/>
      <c r="AQ976" s="37"/>
      <c r="AR976" s="37"/>
      <c r="AS976" s="37"/>
      <c r="AT976" s="37"/>
      <c r="AU976" s="37"/>
      <c r="AV976" s="37"/>
      <c r="AW976" s="37"/>
      <c r="AX976" s="37"/>
      <c r="AY976" s="37"/>
      <c r="AZ976" s="37"/>
    </row>
    <row r="977" spans="1:52" ht="15.5" customHeight="1">
      <c r="A977" s="360" t="s">
        <v>372</v>
      </c>
      <c r="B977" s="340">
        <v>46300</v>
      </c>
      <c r="C977" s="181">
        <v>51783</v>
      </c>
      <c r="D977" s="30">
        <v>46300</v>
      </c>
      <c r="E977" s="30">
        <v>46294</v>
      </c>
      <c r="F977" s="30">
        <v>46324</v>
      </c>
      <c r="G977" s="37">
        <v>4420234249</v>
      </c>
      <c r="H977" s="37" t="s">
        <v>373</v>
      </c>
      <c r="I977" s="37">
        <v>9040052401</v>
      </c>
      <c r="J977" s="37" t="s">
        <v>252</v>
      </c>
      <c r="K977" s="325" t="s">
        <v>253</v>
      </c>
      <c r="L977" s="181">
        <v>15</v>
      </c>
      <c r="M977" s="181" t="s">
        <v>375</v>
      </c>
      <c r="N977" s="37" t="s">
        <v>1284</v>
      </c>
      <c r="O977" s="31">
        <f>IF(F977&gt;0,F977-AB977,"")</f>
        <v>16</v>
      </c>
      <c r="P977" s="37" t="str">
        <f>IF(F977&gt;0,IF(AB977="","PLANNING SUPPLY",IF(AB977&lt;=F977,"ONTIME DELIVERY","DELAY")),"")</f>
        <v>ONTIME DELIVERY</v>
      </c>
      <c r="Q977" s="181" t="str">
        <f>IFERROR(IF(J977&gt;0,VLOOKUP(J977,#REF!,MATCH($Q$6,#REF!,0),0),""),"")</f>
        <v/>
      </c>
      <c r="R977" s="181" t="str">
        <f>IFERROR(IF(J977&gt;0,VLOOKUP(J977,#REF!,MATCH($R$6,#REF!,0),0),""),"")</f>
        <v/>
      </c>
      <c r="S977" s="181" t="e">
        <f>IF(I977&gt;0,Q977+R977,"")</f>
        <v>#VALUE!</v>
      </c>
      <c r="T977" s="181"/>
      <c r="U977" s="181"/>
      <c r="V977" s="37"/>
      <c r="W977" s="181" t="e">
        <f>IF(I977&gt;0,IF(S977&gt;L977,"READY STOCK",IF(S977=0,"OUT OF STOCK",IF(S977&lt;L977,"LOW STOCK",""))),"")</f>
        <v>#VALUE!</v>
      </c>
      <c r="X977" s="38"/>
      <c r="Y977" s="38"/>
      <c r="Z977" s="38"/>
      <c r="AA977" s="38"/>
      <c r="AB977" s="57">
        <v>46308</v>
      </c>
      <c r="AC977" s="246">
        <v>35009</v>
      </c>
      <c r="AD977" s="53">
        <v>15</v>
      </c>
      <c r="AE977" s="58" t="s">
        <v>387</v>
      </c>
      <c r="AF977" s="58" t="s">
        <v>381</v>
      </c>
      <c r="AG977" s="33" t="str">
        <f>IF(G977&gt;0,IF(AD977&gt;0,IF(AD977=0,"Waiting",IF(AD977&lt;L977,"Partial",IF(AD977=L977,"Full Supply",IF(AD977&gt;L977,"Over Shared")))),"Waiting"),"")</f>
        <v>Full Supply</v>
      </c>
      <c r="AH977" s="37"/>
      <c r="AI977" s="37"/>
      <c r="AJ977" s="181"/>
      <c r="AK977" s="37"/>
      <c r="AL977" s="37"/>
      <c r="AM977" s="181"/>
      <c r="AN977" s="37"/>
      <c r="AO977" s="37"/>
      <c r="AP977" s="37"/>
      <c r="AQ977" s="37"/>
      <c r="AR977" s="37"/>
      <c r="AS977" s="37"/>
      <c r="AT977" s="37"/>
      <c r="AU977" s="37"/>
      <c r="AV977" s="37"/>
      <c r="AW977" s="37"/>
      <c r="AX977" s="37"/>
      <c r="AY977" s="37"/>
      <c r="AZ977" s="37"/>
    </row>
    <row r="978" spans="1:52" ht="15.5" customHeight="1">
      <c r="A978" s="360" t="s">
        <v>372</v>
      </c>
      <c r="B978" s="340">
        <v>46300</v>
      </c>
      <c r="C978" s="181">
        <v>51783</v>
      </c>
      <c r="D978" s="30">
        <v>46300</v>
      </c>
      <c r="E978" s="30">
        <v>46294</v>
      </c>
      <c r="F978" s="30">
        <v>46324</v>
      </c>
      <c r="G978" s="37">
        <v>4420234249</v>
      </c>
      <c r="H978" s="37" t="s">
        <v>373</v>
      </c>
      <c r="I978" s="37">
        <v>9040055051</v>
      </c>
      <c r="J978" s="37" t="s">
        <v>10</v>
      </c>
      <c r="K978" s="325" t="s">
        <v>149</v>
      </c>
      <c r="L978" s="181">
        <v>7</v>
      </c>
      <c r="M978" s="181" t="s">
        <v>375</v>
      </c>
      <c r="N978" s="37" t="s">
        <v>1284</v>
      </c>
      <c r="O978" s="31">
        <f>IF(F978&gt;0,F978-AB978,"")</f>
        <v>16</v>
      </c>
      <c r="P978" s="37" t="str">
        <f>IF(F978&gt;0,IF(AB978="","PLANNING SUPPLY",IF(AB978&lt;=F978,"ONTIME DELIVERY","DELAY")),"")</f>
        <v>ONTIME DELIVERY</v>
      </c>
      <c r="Q978" s="181" t="str">
        <f>IFERROR(IF(J978&gt;0,VLOOKUP(J978,#REF!,MATCH($Q$6,#REF!,0),0),""),"")</f>
        <v/>
      </c>
      <c r="R978" s="181" t="str">
        <f>IFERROR(IF(J978&gt;0,VLOOKUP(J978,#REF!,MATCH($R$6,#REF!,0),0),""),"")</f>
        <v/>
      </c>
      <c r="S978" s="181" t="e">
        <f>IF(I978&gt;0,Q978+R978,"")</f>
        <v>#VALUE!</v>
      </c>
      <c r="T978" s="181"/>
      <c r="U978" s="181"/>
      <c r="V978" s="37"/>
      <c r="W978" s="181" t="e">
        <f>IF(I978&gt;0,IF(S978&gt;L978,"READY STOCK",IF(S978=0,"OUT OF STOCK",IF(S978&lt;L978,"LOW STOCK",""))),"")</f>
        <v>#VALUE!</v>
      </c>
      <c r="X978" s="38"/>
      <c r="Y978" s="38"/>
      <c r="Z978" s="38"/>
      <c r="AA978" s="38"/>
      <c r="AB978" s="57">
        <v>46308</v>
      </c>
      <c r="AC978" s="246">
        <v>35009</v>
      </c>
      <c r="AD978" s="53">
        <v>7</v>
      </c>
      <c r="AE978" s="58" t="s">
        <v>387</v>
      </c>
      <c r="AF978" s="58" t="s">
        <v>381</v>
      </c>
      <c r="AG978" s="33" t="str">
        <f>IF(G978&gt;0,IF(AD978&gt;0,IF(AD978=0,"Waiting",IF(AD978&lt;L978,"Partial",IF(AD978=L978,"Full Supply",IF(AD978&gt;L978,"Over Shared")))),"Waiting"),"")</f>
        <v>Full Supply</v>
      </c>
      <c r="AH978" s="37"/>
      <c r="AI978" s="37"/>
      <c r="AJ978" s="181"/>
      <c r="AK978" s="37"/>
      <c r="AL978" s="37"/>
      <c r="AM978" s="181"/>
      <c r="AN978" s="37"/>
      <c r="AO978" s="37"/>
      <c r="AP978" s="37"/>
      <c r="AQ978" s="37"/>
      <c r="AR978" s="37"/>
      <c r="AS978" s="37"/>
      <c r="AT978" s="37"/>
      <c r="AU978" s="36" t="str">
        <f>IF(AR978=0,"Waiting",IF(AR978&lt;AH978,"Kurang",IF(AR978=AH978,"Sesuai",IF(AR978&gt;AH978,"Over Shared"))))</f>
        <v>Waiting</v>
      </c>
      <c r="AV978" s="37"/>
      <c r="AW978" s="37"/>
      <c r="AX978" s="37"/>
      <c r="AY978" s="37"/>
      <c r="AZ978" s="37"/>
    </row>
    <row r="979" spans="1:52" ht="15.5" customHeight="1">
      <c r="A979" s="360" t="s">
        <v>372</v>
      </c>
      <c r="B979" s="340">
        <v>46300</v>
      </c>
      <c r="C979" s="181">
        <v>51783</v>
      </c>
      <c r="D979" s="30">
        <v>46300</v>
      </c>
      <c r="E979" s="30">
        <v>46294</v>
      </c>
      <c r="F979" s="30">
        <v>46324</v>
      </c>
      <c r="G979" s="37">
        <v>4420234249</v>
      </c>
      <c r="H979" s="37" t="s">
        <v>373</v>
      </c>
      <c r="I979" s="37">
        <v>9040021297</v>
      </c>
      <c r="J979" s="37" t="s">
        <v>108</v>
      </c>
      <c r="K979" s="325" t="s">
        <v>109</v>
      </c>
      <c r="L979" s="181">
        <v>8</v>
      </c>
      <c r="M979" s="181" t="s">
        <v>375</v>
      </c>
      <c r="N979" s="37" t="s">
        <v>1284</v>
      </c>
      <c r="O979" s="31">
        <f>IF(F979&gt;0,F979-AB979,"")</f>
        <v>10</v>
      </c>
      <c r="P979" s="37" t="str">
        <f>IF(F979&gt;0,IF(AB979="","PLANNING SUPPLY",IF(AB979&lt;=F979,"ONTIME DELIVERY","DELAY")),"")</f>
        <v>ONTIME DELIVERY</v>
      </c>
      <c r="Q979" s="181" t="str">
        <f>IFERROR(IF(J979&gt;0,VLOOKUP(J979,#REF!,MATCH($Q$6,#REF!,0),0),""),"")</f>
        <v/>
      </c>
      <c r="R979" s="181" t="str">
        <f>IFERROR(IF(J979&gt;0,VLOOKUP(J979,#REF!,MATCH($R$6,#REF!,0),0),""),"")</f>
        <v/>
      </c>
      <c r="S979" s="181" t="e">
        <f>IF(I979&gt;0,Q979+R979,"")</f>
        <v>#VALUE!</v>
      </c>
      <c r="T979" s="181"/>
      <c r="U979" s="181"/>
      <c r="V979" s="37"/>
      <c r="W979" s="181" t="e">
        <f>IF(I979&gt;0,IF(S979&gt;L979,"READY STOCK",IF(S979=0,"OUT OF STOCK",IF(S979&lt;L979,"LOW STOCK",""))),"")</f>
        <v>#VALUE!</v>
      </c>
      <c r="X979" s="38"/>
      <c r="Y979" s="38"/>
      <c r="Z979" s="38"/>
      <c r="AA979" s="38"/>
      <c r="AB979" s="50">
        <v>46314</v>
      </c>
      <c r="AC979" s="44" t="s">
        <v>1385</v>
      </c>
      <c r="AD979" s="51">
        <v>8</v>
      </c>
      <c r="AE979" s="37" t="s">
        <v>387</v>
      </c>
      <c r="AF979" s="37" t="s">
        <v>381</v>
      </c>
      <c r="AG979" s="33" t="str">
        <f>IF(G979&gt;0,IF(AD979&gt;0,IF(AD979=0,"Waiting",IF(AD979&lt;L979,"Partial",IF(AD979=L979,"Full Supply",IF(AD979&gt;L979,"Over Shared")))),"Waiting"),"")</f>
        <v>Full Supply</v>
      </c>
      <c r="AH979" s="37"/>
      <c r="AI979" s="37"/>
      <c r="AJ979" s="181"/>
      <c r="AK979" s="37"/>
      <c r="AL979" s="37"/>
      <c r="AM979" s="181"/>
      <c r="AN979" s="37"/>
      <c r="AO979" s="37"/>
      <c r="AP979" s="37"/>
      <c r="AQ979" s="37"/>
      <c r="AR979" s="37"/>
      <c r="AS979" s="37"/>
      <c r="AT979" s="37"/>
      <c r="AU979" s="37"/>
      <c r="AV979" s="37"/>
      <c r="AW979" s="37"/>
      <c r="AX979" s="37"/>
      <c r="AY979" s="37"/>
      <c r="AZ979" s="37"/>
    </row>
    <row r="980" spans="1:52" ht="15.5" customHeight="1">
      <c r="A980" s="360" t="s">
        <v>372</v>
      </c>
      <c r="B980" s="340">
        <v>46300</v>
      </c>
      <c r="C980" s="181">
        <v>51783</v>
      </c>
      <c r="D980" s="30">
        <v>46300</v>
      </c>
      <c r="E980" s="30">
        <v>46294</v>
      </c>
      <c r="F980" s="30">
        <v>46324</v>
      </c>
      <c r="G980" s="37">
        <v>4420234249</v>
      </c>
      <c r="H980" s="37" t="s">
        <v>373</v>
      </c>
      <c r="I980" s="37">
        <v>9040024384</v>
      </c>
      <c r="J980" s="37" t="s">
        <v>54</v>
      </c>
      <c r="K980" s="325" t="s">
        <v>55</v>
      </c>
      <c r="L980" s="181">
        <v>4</v>
      </c>
      <c r="M980" s="181" t="s">
        <v>427</v>
      </c>
      <c r="N980" s="37" t="s">
        <v>1284</v>
      </c>
      <c r="O980" s="31">
        <f>IF(F980&gt;0,F980-AB980,"")</f>
        <v>17</v>
      </c>
      <c r="P980" s="37" t="str">
        <f>IF(F980&gt;0,IF(AB980="","PLANNING SUPPLY",IF(AB980&lt;=F980,"ONTIME DELIVERY","DELAY")),"")</f>
        <v>ONTIME DELIVERY</v>
      </c>
      <c r="Q980" s="181" t="str">
        <f>IFERROR(IF(J980&gt;0,VLOOKUP(J980,#REF!,MATCH($Q$6,#REF!,0),0),""),"")</f>
        <v/>
      </c>
      <c r="R980" s="181" t="str">
        <f>IFERROR(IF(J980&gt;0,VLOOKUP(J980,#REF!,MATCH($R$6,#REF!,0),0),""),"")</f>
        <v/>
      </c>
      <c r="S980" s="181" t="e">
        <f>IF(I980&gt;0,Q980+R980,"")</f>
        <v>#VALUE!</v>
      </c>
      <c r="T980" s="181"/>
      <c r="U980" s="181"/>
      <c r="V980" s="37"/>
      <c r="W980" s="181" t="e">
        <f>IF(I980&gt;0,IF(S980&gt;L980,"READY STOCK",IF(S980=0,"OUT OF STOCK",IF(S980&lt;L980,"LOW STOCK",""))),"")</f>
        <v>#VALUE!</v>
      </c>
      <c r="X980" s="38"/>
      <c r="Y980" s="38"/>
      <c r="Z980" s="38"/>
      <c r="AA980" s="38"/>
      <c r="AB980" s="50">
        <v>46307</v>
      </c>
      <c r="AC980" s="181">
        <v>34931</v>
      </c>
      <c r="AD980" s="51">
        <v>4</v>
      </c>
      <c r="AE980" s="37"/>
      <c r="AF980" s="37"/>
      <c r="AG980" s="33" t="str">
        <f>IF(G980&gt;0,IF(AD980&gt;0,IF(AD980=0,"Waiting",IF(AD980&lt;L980,"Partial",IF(AD980=L980,"Full Supply",IF(AD980&gt;L980,"Over Shared")))),"Waiting"),"")</f>
        <v>Full Supply</v>
      </c>
      <c r="AH980" s="37"/>
      <c r="AI980" s="37"/>
      <c r="AJ980" s="181"/>
      <c r="AK980" s="37"/>
      <c r="AL980" s="37"/>
      <c r="AM980" s="181"/>
      <c r="AN980" s="37"/>
      <c r="AO980" s="37"/>
      <c r="AP980" s="37"/>
      <c r="AQ980" s="37"/>
      <c r="AR980" s="37"/>
      <c r="AS980" s="37"/>
      <c r="AT980" s="37"/>
      <c r="AU980" s="37"/>
      <c r="AV980" s="37"/>
      <c r="AW980" s="37"/>
      <c r="AX980" s="37"/>
      <c r="AY980" s="37"/>
      <c r="AZ980" s="37"/>
    </row>
    <row r="981" spans="1:52" ht="15.5" customHeight="1">
      <c r="A981" s="360" t="s">
        <v>372</v>
      </c>
      <c r="B981" s="340">
        <v>46300</v>
      </c>
      <c r="C981" s="181">
        <v>51786</v>
      </c>
      <c r="D981" s="30">
        <v>46300</v>
      </c>
      <c r="E981" s="30">
        <v>46297</v>
      </c>
      <c r="F981" s="30">
        <v>46298</v>
      </c>
      <c r="G981" s="37">
        <v>4420234538</v>
      </c>
      <c r="H981" s="37" t="s">
        <v>373</v>
      </c>
      <c r="I981" s="37">
        <v>9040017179</v>
      </c>
      <c r="J981" s="37" t="s">
        <v>91</v>
      </c>
      <c r="K981" s="325" t="s">
        <v>92</v>
      </c>
      <c r="L981" s="181">
        <v>4</v>
      </c>
      <c r="M981" s="181" t="s">
        <v>375</v>
      </c>
      <c r="N981" s="37" t="s">
        <v>432</v>
      </c>
      <c r="O981" s="31">
        <f>IF(F981&gt;0,F981-AB981,"")</f>
        <v>46298</v>
      </c>
      <c r="P981" s="37" t="str">
        <f>IF(F981&gt;0,IF(AB981="","PLANNING SUPPLY",IF(AB981&lt;=F981,"ONTIME DELIVERY","DELAY")),"")</f>
        <v>PLANNING SUPPLY</v>
      </c>
      <c r="Q981" s="181" t="str">
        <f>IFERROR(IF(J981&gt;0,VLOOKUP(J981,#REF!,MATCH($Q$6,#REF!,0),0),""),"")</f>
        <v/>
      </c>
      <c r="R981" s="181" t="str">
        <f>IFERROR(IF(J981&gt;0,VLOOKUP(J981,#REF!,MATCH($R$6,#REF!,0),0),""),"")</f>
        <v/>
      </c>
      <c r="S981" s="181" t="e">
        <f>IF(I981&gt;0,Q981+R981,"")</f>
        <v>#VALUE!</v>
      </c>
      <c r="T981" s="181"/>
      <c r="U981" s="181"/>
      <c r="V981" s="37"/>
      <c r="W981" s="181" t="e">
        <f>IF(I981&gt;0,IF(S981&gt;L981,"READY STOCK",IF(S981=0,"OUT OF STOCK",IF(S981&lt;L981,"LOW STOCK",""))),"")</f>
        <v>#VALUE!</v>
      </c>
      <c r="X981" s="38"/>
      <c r="Y981" s="38"/>
      <c r="Z981" s="38"/>
      <c r="AA981" s="38"/>
      <c r="AB981" s="50"/>
      <c r="AC981" s="181"/>
      <c r="AD981" s="51"/>
      <c r="AE981" s="37"/>
      <c r="AF981" s="37"/>
      <c r="AG981" s="33" t="str">
        <f>IF(G981&gt;0,IF(AD981&gt;0,IF(AD981=0,"Waiting",IF(AD981&lt;L981,"Partial",IF(AD981=L981,"Full Supply",IF(AD981&gt;L981,"Over Shared")))),"Waiting"),"")</f>
        <v>Waiting</v>
      </c>
      <c r="AH981" s="37"/>
      <c r="AI981" s="37"/>
      <c r="AJ981" s="181"/>
      <c r="AK981" s="37"/>
      <c r="AL981" s="37"/>
      <c r="AM981" s="181"/>
      <c r="AN981" s="37"/>
      <c r="AO981" s="37"/>
      <c r="AP981" s="37"/>
      <c r="AQ981" s="37"/>
      <c r="AR981" s="37"/>
      <c r="AS981" s="37"/>
      <c r="AT981" s="37"/>
      <c r="AU981" s="37"/>
      <c r="AV981" s="37"/>
      <c r="AW981" s="37"/>
      <c r="AX981" s="37"/>
      <c r="AY981" s="37"/>
      <c r="AZ981" s="37"/>
    </row>
    <row r="982" spans="1:52" ht="15.5" customHeight="1">
      <c r="A982" s="360" t="s">
        <v>372</v>
      </c>
      <c r="B982" s="340">
        <v>46300</v>
      </c>
      <c r="C982" s="181">
        <v>51786</v>
      </c>
      <c r="D982" s="30">
        <v>46300</v>
      </c>
      <c r="E982" s="30">
        <v>46297</v>
      </c>
      <c r="F982" s="30">
        <v>46298</v>
      </c>
      <c r="G982" s="37">
        <v>4420234538</v>
      </c>
      <c r="H982" s="37" t="s">
        <v>373</v>
      </c>
      <c r="I982" s="37">
        <v>9040040636</v>
      </c>
      <c r="J982" s="37" t="s">
        <v>167</v>
      </c>
      <c r="K982" s="325" t="s">
        <v>168</v>
      </c>
      <c r="L982" s="181">
        <v>50</v>
      </c>
      <c r="M982" s="181" t="s">
        <v>375</v>
      </c>
      <c r="N982" s="37" t="s">
        <v>432</v>
      </c>
      <c r="O982" s="31">
        <f>IF(F982&gt;0,F982-AB982,"")</f>
        <v>-9</v>
      </c>
      <c r="P982" s="37" t="str">
        <f>IF(F982&gt;0,IF(AB982="","PLANNING SUPPLY",IF(AB982&lt;=F982,"ONTIME DELIVERY","DELAY")),"")</f>
        <v>DELAY</v>
      </c>
      <c r="Q982" s="181" t="str">
        <f>IFERROR(IF(J982&gt;0,VLOOKUP(J982,#REF!,MATCH($Q$6,#REF!,0),0),""),"")</f>
        <v/>
      </c>
      <c r="R982" s="181" t="str">
        <f>IFERROR(IF(J982&gt;0,VLOOKUP(J982,#REF!,MATCH($R$6,#REF!,0),0),""),"")</f>
        <v/>
      </c>
      <c r="S982" s="181" t="e">
        <f>IF(I982&gt;0,Q982+R982,"")</f>
        <v>#VALUE!</v>
      </c>
      <c r="T982" s="181"/>
      <c r="U982" s="181"/>
      <c r="V982" s="37"/>
      <c r="W982" s="181" t="e">
        <f>IF(I982&gt;0,IF(S982&gt;L982,"READY STOCK",IF(S982=0,"OUT OF STOCK",IF(S982&lt;L982,"LOW STOCK",""))),"")</f>
        <v>#VALUE!</v>
      </c>
      <c r="X982" s="38"/>
      <c r="Y982" s="38"/>
      <c r="Z982" s="38"/>
      <c r="AA982" s="38"/>
      <c r="AB982" s="50">
        <v>46307</v>
      </c>
      <c r="AC982" s="181">
        <v>34942</v>
      </c>
      <c r="AD982" s="51">
        <v>50</v>
      </c>
      <c r="AE982" s="37" t="s">
        <v>387</v>
      </c>
      <c r="AF982" s="37" t="s">
        <v>381</v>
      </c>
      <c r="AG982" s="33" t="str">
        <f>IF(G982&gt;0,IF(AD982&gt;0,IF(AD982=0,"Waiting",IF(AD982&lt;L982,"Partial",IF(AD982=L982,"Full Supply",IF(AD982&gt;L982,"Over Shared")))),"Waiting"),"")</f>
        <v>Full Supply</v>
      </c>
      <c r="AH982" s="37"/>
      <c r="AI982" s="37"/>
      <c r="AJ982" s="181"/>
      <c r="AK982" s="37"/>
      <c r="AL982" s="37"/>
      <c r="AM982" s="181"/>
      <c r="AN982" s="37"/>
      <c r="AO982" s="37"/>
      <c r="AP982" s="37"/>
      <c r="AQ982" s="37"/>
      <c r="AR982" s="37"/>
      <c r="AS982" s="37"/>
      <c r="AT982" s="37"/>
      <c r="AU982" s="37"/>
      <c r="AV982" s="37"/>
      <c r="AW982" s="37"/>
      <c r="AX982" s="37"/>
      <c r="AY982" s="37"/>
      <c r="AZ982" s="37"/>
    </row>
    <row r="983" spans="1:52" ht="15.5" customHeight="1">
      <c r="A983" s="360" t="s">
        <v>372</v>
      </c>
      <c r="B983" s="340">
        <v>46301</v>
      </c>
      <c r="C983" s="181">
        <v>51825</v>
      </c>
      <c r="D983" s="30">
        <v>46301</v>
      </c>
      <c r="E983" s="30">
        <v>46300</v>
      </c>
      <c r="F983" s="30">
        <v>46314</v>
      </c>
      <c r="G983" s="37">
        <v>4420234694</v>
      </c>
      <c r="H983" s="37" t="s">
        <v>373</v>
      </c>
      <c r="I983" s="37">
        <v>9040044191</v>
      </c>
      <c r="J983" s="37" t="s">
        <v>187</v>
      </c>
      <c r="K983" s="325" t="s">
        <v>188</v>
      </c>
      <c r="L983" s="181">
        <v>7</v>
      </c>
      <c r="M983" s="181" t="s">
        <v>375</v>
      </c>
      <c r="N983" s="37" t="s">
        <v>410</v>
      </c>
      <c r="O983" s="31">
        <f>IF(F983&gt;0,F983-AB983,"")</f>
        <v>10</v>
      </c>
      <c r="P983" s="37" t="str">
        <f>IF(F983&gt;0,IF(AB983="","PLANNING SUPPLY",IF(AB983&lt;=F983,"ONTIME DELIVERY","DELAY")),"")</f>
        <v>ONTIME DELIVERY</v>
      </c>
      <c r="Q983" s="181" t="str">
        <f>IFERROR(IF(J983&gt;0,VLOOKUP(J983,#REF!,MATCH($Q$6,#REF!,0),0),""),"")</f>
        <v/>
      </c>
      <c r="R983" s="181" t="str">
        <f>IFERROR(IF(J983&gt;0,VLOOKUP(J983,#REF!,MATCH($R$6,#REF!,0),0),""),"")</f>
        <v/>
      </c>
      <c r="S983" s="181" t="e">
        <f>IF(I983&gt;0,Q983+R983,"")</f>
        <v>#VALUE!</v>
      </c>
      <c r="T983" s="181"/>
      <c r="U983" s="181"/>
      <c r="V983" s="37"/>
      <c r="W983" s="181" t="e">
        <f>IF(I983&gt;0,IF(S983&gt;L983,"READY STOCK",IF(S983=0,"OUT OF STOCK",IF(S983&lt;L983,"LOW STOCK",""))),"")</f>
        <v>#VALUE!</v>
      </c>
      <c r="X983" s="38"/>
      <c r="Y983" s="38"/>
      <c r="Z983" s="38"/>
      <c r="AA983" s="38"/>
      <c r="AB983" s="57">
        <v>46304</v>
      </c>
      <c r="AC983" s="181">
        <v>34743</v>
      </c>
      <c r="AD983" s="53">
        <v>7</v>
      </c>
      <c r="AE983" s="58" t="s">
        <v>387</v>
      </c>
      <c r="AF983" s="58" t="s">
        <v>381</v>
      </c>
      <c r="AG983" s="33" t="str">
        <f>IF(G983&gt;0,IF(AD983&gt;0,IF(AD983=0,"Waiting",IF(AD983&lt;L983,"Partial",IF(AD983=L983,"Full Supply",IF(AD983&gt;L983,"Over Shared")))),"Waiting"),"")</f>
        <v>Full Supply</v>
      </c>
      <c r="AH983" s="37"/>
      <c r="AI983" s="37"/>
      <c r="AJ983" s="181"/>
      <c r="AK983" s="37"/>
      <c r="AL983" s="37"/>
      <c r="AM983" s="181"/>
      <c r="AN983" s="37"/>
      <c r="AO983" s="37"/>
      <c r="AP983" s="37"/>
      <c r="AQ983" s="37"/>
      <c r="AR983" s="37"/>
      <c r="AS983" s="37"/>
      <c r="AT983" s="37"/>
      <c r="AU983" s="37"/>
      <c r="AV983" s="37"/>
      <c r="AW983" s="37"/>
      <c r="AX983" s="37"/>
      <c r="AY983" s="37"/>
      <c r="AZ983" s="37"/>
    </row>
    <row r="984" spans="1:52" ht="15.5" customHeight="1">
      <c r="A984" s="360" t="s">
        <v>372</v>
      </c>
      <c r="B984" s="340">
        <v>46301</v>
      </c>
      <c r="C984" s="181">
        <v>51833</v>
      </c>
      <c r="D984" s="30">
        <v>46301</v>
      </c>
      <c r="E984" s="30">
        <v>46300</v>
      </c>
      <c r="F984" s="30">
        <v>46321</v>
      </c>
      <c r="G984" s="37">
        <v>4420234644</v>
      </c>
      <c r="H984" s="37" t="s">
        <v>373</v>
      </c>
      <c r="I984" s="37">
        <v>9040134520</v>
      </c>
      <c r="J984" s="37" t="s">
        <v>129</v>
      </c>
      <c r="K984" s="325" t="s">
        <v>130</v>
      </c>
      <c r="L984" s="181">
        <v>1</v>
      </c>
      <c r="M984" s="181" t="s">
        <v>375</v>
      </c>
      <c r="N984" s="37" t="s">
        <v>431</v>
      </c>
      <c r="O984" s="31">
        <f>IF(F984&gt;0,F984-AB984,"")</f>
        <v>46321</v>
      </c>
      <c r="P984" s="37" t="str">
        <f>IF(F984&gt;0,IF(AB984="","PLANNING SUPPLY",IF(AB984&lt;=F984,"ONTIME DELIVERY","DELAY")),"")</f>
        <v>PLANNING SUPPLY</v>
      </c>
      <c r="Q984" s="181" t="str">
        <f>IFERROR(IF(J984&gt;0,VLOOKUP(J984,#REF!,MATCH($Q$6,#REF!,0),0),""),"")</f>
        <v/>
      </c>
      <c r="R984" s="181" t="str">
        <f>IFERROR(IF(J984&gt;0,VLOOKUP(J984,#REF!,MATCH($R$6,#REF!,0),0),""),"")</f>
        <v/>
      </c>
      <c r="S984" s="181" t="e">
        <f>IF(I984&gt;0,Q984+R984,"")</f>
        <v>#VALUE!</v>
      </c>
      <c r="T984" s="181"/>
      <c r="U984" s="181"/>
      <c r="V984" s="37"/>
      <c r="W984" s="181" t="e">
        <f>IF(I984&gt;0,IF(S984&gt;L984,"READY STOCK",IF(S984=0,"OUT OF STOCK",IF(S984&lt;L984,"LOW STOCK",""))),"")</f>
        <v>#VALUE!</v>
      </c>
      <c r="X984" s="38"/>
      <c r="Y984" s="38"/>
      <c r="Z984" s="38"/>
      <c r="AA984" s="38"/>
      <c r="AB984" s="50"/>
      <c r="AC984" s="181"/>
      <c r="AD984" s="51"/>
      <c r="AE984" s="37"/>
      <c r="AF984" s="37"/>
      <c r="AG984" s="33" t="str">
        <f>IF(G984&gt;0,IF(AD984&gt;0,IF(AD984=0,"Waiting",IF(AD984&lt;L984,"Partial",IF(AD984=L984,"Full Supply",IF(AD984&gt;L984,"Over Shared")))),"Waiting"),"")</f>
        <v>Waiting</v>
      </c>
      <c r="AH984" s="56">
        <v>46282</v>
      </c>
      <c r="AI984" s="37" t="s">
        <v>1362</v>
      </c>
      <c r="AJ984" s="181">
        <v>20</v>
      </c>
      <c r="AK984" s="37"/>
      <c r="AL984" s="37"/>
      <c r="AM984" s="181"/>
      <c r="AN984" s="37"/>
      <c r="AO984" s="37"/>
      <c r="AP984" s="37"/>
      <c r="AQ984" s="37"/>
      <c r="AR984" s="37"/>
      <c r="AS984" s="37"/>
      <c r="AT984" s="37"/>
      <c r="AU984" s="37"/>
      <c r="AV984" s="37"/>
      <c r="AW984" s="37"/>
      <c r="AX984" s="37"/>
      <c r="AY984" s="37"/>
      <c r="AZ984" s="37"/>
    </row>
    <row r="985" spans="1:52" ht="15.5" customHeight="1">
      <c r="A985" s="360" t="s">
        <v>372</v>
      </c>
      <c r="B985" s="340">
        <v>46301</v>
      </c>
      <c r="C985" s="181">
        <v>51833</v>
      </c>
      <c r="D985" s="30">
        <v>46301</v>
      </c>
      <c r="E985" s="30">
        <v>46300</v>
      </c>
      <c r="F985" s="30">
        <v>46321</v>
      </c>
      <c r="G985" s="37">
        <v>4420234644</v>
      </c>
      <c r="H985" s="37" t="s">
        <v>373</v>
      </c>
      <c r="I985" s="37">
        <v>9040134520</v>
      </c>
      <c r="J985" s="37" t="s">
        <v>129</v>
      </c>
      <c r="K985" s="325" t="s">
        <v>130</v>
      </c>
      <c r="L985" s="181">
        <v>1</v>
      </c>
      <c r="M985" s="181" t="s">
        <v>375</v>
      </c>
      <c r="N985" s="37" t="s">
        <v>431</v>
      </c>
      <c r="O985" s="31">
        <f>IF(F985&gt;0,F985-AB985,"")</f>
        <v>46321</v>
      </c>
      <c r="P985" s="37" t="str">
        <f>IF(F985&gt;0,IF(AB985="","PLANNING SUPPLY",IF(AB985&lt;=F985,"ONTIME DELIVERY","DELAY")),"")</f>
        <v>PLANNING SUPPLY</v>
      </c>
      <c r="Q985" s="181" t="str">
        <f>IFERROR(IF(B984&gt;0,VLOOKUP(B984,#REF!,MATCH($Q$6,#REF!,0),0),""),"")</f>
        <v/>
      </c>
      <c r="R985" s="181" t="str">
        <f>IFERROR(IF(B984&gt;0,VLOOKUP(B984,#REF!,MATCH($R$6,#REF!,0),0),""),"")</f>
        <v/>
      </c>
      <c r="S985" s="181" t="e">
        <f>IF(I985&gt;0,Q985+R985,"")</f>
        <v>#VALUE!</v>
      </c>
      <c r="T985" s="181"/>
      <c r="U985" s="181"/>
      <c r="V985" s="37"/>
      <c r="W985" s="181" t="e">
        <f>IF(I985&gt;0,IF(S985&gt;L985,"READY STOCK",IF(S985=0,"OUT OF STOCK",IF(S985&lt;L985,"LOW STOCK",""))),"")</f>
        <v>#VALUE!</v>
      </c>
      <c r="X985" s="38"/>
      <c r="Y985" s="38"/>
      <c r="Z985" s="38"/>
      <c r="AA985" s="38"/>
      <c r="AB985" s="50"/>
      <c r="AC985" s="181"/>
      <c r="AD985" s="51"/>
      <c r="AE985" s="37"/>
      <c r="AF985" s="37"/>
      <c r="AG985" s="33" t="str">
        <f>IF(G985&gt;0,IF(AD985&gt;0,IF(AD985=0,"Waiting",IF(AD985&lt;L985,"Partial",IF(AD985=L985,"Full Supply",IF(AD985&gt;L985,"Over Shared")))),"Waiting"),"")</f>
        <v>Waiting</v>
      </c>
      <c r="AH985" s="56">
        <v>46282</v>
      </c>
      <c r="AI985" s="37" t="s">
        <v>1362</v>
      </c>
      <c r="AJ985" s="181">
        <v>20</v>
      </c>
      <c r="AK985" s="37"/>
      <c r="AL985" s="37"/>
      <c r="AM985" s="181"/>
      <c r="AN985" s="37"/>
      <c r="AO985" s="37"/>
      <c r="AP985" s="37"/>
      <c r="AQ985" s="37"/>
      <c r="AR985" s="37"/>
      <c r="AS985" s="37"/>
      <c r="AT985" s="37"/>
      <c r="AU985" s="37"/>
      <c r="AV985" s="37"/>
      <c r="AW985" s="37"/>
      <c r="AX985" s="37"/>
      <c r="AY985" s="37"/>
      <c r="AZ985" s="37"/>
    </row>
    <row r="986" spans="1:52" ht="15.5" customHeight="1">
      <c r="A986" s="360" t="s">
        <v>372</v>
      </c>
      <c r="B986" s="340">
        <v>46301</v>
      </c>
      <c r="C986" s="181">
        <v>51833</v>
      </c>
      <c r="D986" s="30">
        <v>46301</v>
      </c>
      <c r="E986" s="30">
        <v>46300</v>
      </c>
      <c r="F986" s="30">
        <v>46321</v>
      </c>
      <c r="G986" s="37">
        <v>4420234644</v>
      </c>
      <c r="H986" s="37" t="s">
        <v>373</v>
      </c>
      <c r="I986" s="37">
        <v>9040132279</v>
      </c>
      <c r="J986" s="37" t="s">
        <v>247</v>
      </c>
      <c r="K986" s="325" t="s">
        <v>248</v>
      </c>
      <c r="L986" s="181">
        <v>10</v>
      </c>
      <c r="M986" s="181" t="s">
        <v>375</v>
      </c>
      <c r="N986" s="37" t="s">
        <v>431</v>
      </c>
      <c r="O986" s="31">
        <f>IF(F986&gt;0,F986-AB986,"")</f>
        <v>46321</v>
      </c>
      <c r="P986" s="37" t="str">
        <f>IF(F986&gt;0,IF(AB986="","PLANNING SUPPLY",IF(AB986&lt;=F986,"ONTIME DELIVERY","DELAY")),"")</f>
        <v>PLANNING SUPPLY</v>
      </c>
      <c r="Q986" s="181" t="str">
        <f>IFERROR(IF(J986&gt;0,VLOOKUP(J986,#REF!,MATCH($Q$6,#REF!,0),0),""),"")</f>
        <v/>
      </c>
      <c r="R986" s="181" t="str">
        <f>IFERROR(IF(J986&gt;0,VLOOKUP(J986,#REF!,MATCH($R$6,#REF!,0),0),""),"")</f>
        <v/>
      </c>
      <c r="S986" s="181" t="e">
        <f>IF(I986&gt;0,Q986+R986,"")</f>
        <v>#VALUE!</v>
      </c>
      <c r="T986" s="181"/>
      <c r="U986" s="181"/>
      <c r="V986" s="37"/>
      <c r="W986" s="181" t="e">
        <f>IF(I986&gt;0,IF(S986&gt;L986,"READY STOCK",IF(S986=0,"OUT OF STOCK",IF(S986&lt;L986,"LOW STOCK",""))),"")</f>
        <v>#VALUE!</v>
      </c>
      <c r="X986" s="38"/>
      <c r="Y986" s="38"/>
      <c r="Z986" s="38"/>
      <c r="AA986" s="38"/>
      <c r="AB986" s="50"/>
      <c r="AC986" s="181"/>
      <c r="AD986" s="51"/>
      <c r="AE986" s="37"/>
      <c r="AF986" s="37"/>
      <c r="AG986" s="33" t="str">
        <f>IF(G986&gt;0,IF(AD986&gt;0,IF(AD986=0,"Waiting",IF(AD986&lt;L986,"Partial",IF(AD986=L986,"Full Supply",IF(AD986&gt;L986,"Over Shared")))),"Waiting"),"")</f>
        <v>Waiting</v>
      </c>
      <c r="AH986" s="56">
        <v>46282</v>
      </c>
      <c r="AI986" s="37" t="s">
        <v>1362</v>
      </c>
      <c r="AJ986" s="181">
        <v>100</v>
      </c>
      <c r="AK986" s="37"/>
      <c r="AL986" s="37"/>
      <c r="AM986" s="181"/>
      <c r="AN986" s="37"/>
      <c r="AO986" s="37"/>
      <c r="AP986" s="37"/>
      <c r="AQ986" s="37"/>
      <c r="AR986" s="37"/>
      <c r="AS986" s="37"/>
      <c r="AT986" s="37"/>
      <c r="AU986" s="37"/>
      <c r="AV986" s="37"/>
      <c r="AW986" s="37"/>
      <c r="AX986" s="37"/>
      <c r="AY986" s="37"/>
      <c r="AZ986" s="37"/>
    </row>
    <row r="987" spans="1:52" ht="15.5" customHeight="1">
      <c r="A987" s="360" t="s">
        <v>372</v>
      </c>
      <c r="B987" s="340">
        <v>46301</v>
      </c>
      <c r="C987" s="181">
        <v>51833</v>
      </c>
      <c r="D987" s="30">
        <v>46301</v>
      </c>
      <c r="E987" s="30">
        <v>46300</v>
      </c>
      <c r="F987" s="30">
        <v>46321</v>
      </c>
      <c r="G987" s="37">
        <v>4420234644</v>
      </c>
      <c r="H987" s="37" t="s">
        <v>373</v>
      </c>
      <c r="I987" s="37">
        <v>9040135879</v>
      </c>
      <c r="J987" s="37" t="s">
        <v>123</v>
      </c>
      <c r="K987" s="325" t="s">
        <v>124</v>
      </c>
      <c r="L987" s="181">
        <v>1</v>
      </c>
      <c r="M987" s="181" t="s">
        <v>375</v>
      </c>
      <c r="N987" s="37" t="s">
        <v>431</v>
      </c>
      <c r="O987" s="31">
        <f>IF(F987&gt;0,F987-AB987,"")</f>
        <v>46321</v>
      </c>
      <c r="P987" s="37" t="str">
        <f>IF(F987&gt;0,IF(AB987="","PLANNING SUPPLY",IF(AB987&lt;=F987,"ONTIME DELIVERY","DELAY")),"")</f>
        <v>PLANNING SUPPLY</v>
      </c>
      <c r="Q987" s="181" t="str">
        <f>IFERROR(IF(J987&gt;0,VLOOKUP(J987,#REF!,MATCH($Q$6,#REF!,0),0),""),"")</f>
        <v/>
      </c>
      <c r="R987" s="181" t="str">
        <f>IFERROR(IF(J987&gt;0,VLOOKUP(J987,#REF!,MATCH($R$6,#REF!,0),0),""),"")</f>
        <v/>
      </c>
      <c r="S987" s="181" t="e">
        <f>IF(I987&gt;0,Q987+R987,"")</f>
        <v>#VALUE!</v>
      </c>
      <c r="T987" s="181"/>
      <c r="U987" s="181"/>
      <c r="V987" s="37"/>
      <c r="W987" s="181" t="e">
        <f>IF(I987&gt;0,IF(S987&gt;L987,"READY STOCK",IF(S987=0,"OUT OF STOCK",IF(S987&lt;L987,"LOW STOCK",""))),"")</f>
        <v>#VALUE!</v>
      </c>
      <c r="X987" s="38"/>
      <c r="Y987" s="38"/>
      <c r="Z987" s="38"/>
      <c r="AA987" s="38"/>
      <c r="AB987" s="50"/>
      <c r="AC987" s="181"/>
      <c r="AD987" s="51"/>
      <c r="AE987" s="37"/>
      <c r="AF987" s="37"/>
      <c r="AG987" s="33" t="str">
        <f>IF(G987&gt;0,IF(AD987&gt;0,IF(AD987=0,"Waiting",IF(AD987&lt;L987,"Partial",IF(AD987=L987,"Full Supply",IF(AD987&gt;L987,"Over Shared")))),"Waiting"),"")</f>
        <v>Waiting</v>
      </c>
      <c r="AH987" s="37"/>
      <c r="AI987" s="37"/>
      <c r="AJ987" s="181"/>
      <c r="AK987" s="37"/>
      <c r="AL987" s="37"/>
      <c r="AM987" s="181"/>
      <c r="AN987" s="37"/>
      <c r="AO987" s="37"/>
      <c r="AP987" s="37"/>
      <c r="AQ987" s="37"/>
      <c r="AR987" s="37"/>
      <c r="AS987" s="37"/>
      <c r="AT987" s="37"/>
      <c r="AU987" s="37"/>
      <c r="AV987" s="37"/>
      <c r="AW987" s="37"/>
      <c r="AX987" s="37"/>
      <c r="AY987" s="37"/>
      <c r="AZ987" s="37"/>
    </row>
    <row r="988" spans="1:52" ht="15.5" customHeight="1">
      <c r="A988" s="360" t="s">
        <v>372</v>
      </c>
      <c r="B988" s="340">
        <v>46301</v>
      </c>
      <c r="C988" s="181">
        <v>51840</v>
      </c>
      <c r="D988" s="30">
        <v>46301</v>
      </c>
      <c r="E988" s="30">
        <v>46300</v>
      </c>
      <c r="F988" s="30">
        <v>46323</v>
      </c>
      <c r="G988" s="37">
        <v>4420234725</v>
      </c>
      <c r="H988" s="37" t="s">
        <v>373</v>
      </c>
      <c r="I988" s="37">
        <v>9040039404</v>
      </c>
      <c r="J988" s="37" t="s">
        <v>295</v>
      </c>
      <c r="K988" s="325" t="s">
        <v>296</v>
      </c>
      <c r="L988" s="181">
        <v>13</v>
      </c>
      <c r="M988" s="181" t="s">
        <v>375</v>
      </c>
      <c r="N988" s="37" t="s">
        <v>408</v>
      </c>
      <c r="O988" s="31">
        <f>IF(F988&gt;0,F988-AB988,"")</f>
        <v>16</v>
      </c>
      <c r="P988" s="37" t="str">
        <f>IF(F988&gt;0,IF(AB988="","PLANNING SUPPLY",IF(AB988&lt;=F988,"ONTIME DELIVERY","DELAY")),"")</f>
        <v>ONTIME DELIVERY</v>
      </c>
      <c r="Q988" s="181" t="str">
        <f>IFERROR(IF(J988&gt;0,VLOOKUP(J988,#REF!,MATCH($Q$6,#REF!,0),0),""),"")</f>
        <v/>
      </c>
      <c r="R988" s="181" t="str">
        <f>IFERROR(IF(J988&gt;0,VLOOKUP(J988,#REF!,MATCH($R$6,#REF!,0),0),""),"")</f>
        <v/>
      </c>
      <c r="S988" s="181" t="e">
        <f>IF(I988&gt;0,Q988+R988,"")</f>
        <v>#VALUE!</v>
      </c>
      <c r="T988" s="181"/>
      <c r="U988" s="181"/>
      <c r="V988" s="37"/>
      <c r="W988" s="181" t="e">
        <f>IF(I988&gt;0,IF(S988&gt;L988,"READY STOCK",IF(S988=0,"OUT OF STOCK",IF(S988&lt;L988,"LOW STOCK",""))),"")</f>
        <v>#VALUE!</v>
      </c>
      <c r="X988" s="38"/>
      <c r="Y988" s="38"/>
      <c r="Z988" s="38"/>
      <c r="AA988" s="38"/>
      <c r="AB988" s="50">
        <v>46307</v>
      </c>
      <c r="AC988" s="181">
        <v>34961</v>
      </c>
      <c r="AD988" s="51">
        <v>13</v>
      </c>
      <c r="AE988" s="37" t="s">
        <v>387</v>
      </c>
      <c r="AF988" s="37" t="s">
        <v>381</v>
      </c>
      <c r="AG988" s="33" t="str">
        <f>IF(G988&gt;0,IF(AD988&gt;0,IF(AD988=0,"Waiting",IF(AD988&lt;L988,"Partial",IF(AD988=L988,"Full Supply",IF(AD988&gt;L988,"Over Shared")))),"Waiting"),"")</f>
        <v>Full Supply</v>
      </c>
      <c r="AH988" s="37"/>
      <c r="AI988" s="37"/>
      <c r="AJ988" s="181"/>
      <c r="AK988" s="37"/>
      <c r="AL988" s="37"/>
      <c r="AM988" s="181"/>
      <c r="AN988" s="37"/>
      <c r="AO988" s="37"/>
      <c r="AP988" s="37"/>
      <c r="AQ988" s="37"/>
      <c r="AR988" s="37"/>
      <c r="AS988" s="37"/>
      <c r="AT988" s="37"/>
      <c r="AU988" s="37"/>
      <c r="AV988" s="37"/>
      <c r="AW988" s="37"/>
      <c r="AX988" s="37"/>
      <c r="AY988" s="37"/>
      <c r="AZ988" s="37"/>
    </row>
    <row r="989" spans="1:52" ht="15.5" customHeight="1">
      <c r="A989" s="360" t="s">
        <v>372</v>
      </c>
      <c r="B989" s="340">
        <v>46301</v>
      </c>
      <c r="C989" s="181">
        <v>51840</v>
      </c>
      <c r="D989" s="30">
        <v>46301</v>
      </c>
      <c r="E989" s="30">
        <v>46300</v>
      </c>
      <c r="F989" s="30">
        <v>46323</v>
      </c>
      <c r="G989" s="37">
        <v>4420234725</v>
      </c>
      <c r="H989" s="37" t="s">
        <v>373</v>
      </c>
      <c r="I989" s="37">
        <v>9040040636</v>
      </c>
      <c r="J989" s="37" t="s">
        <v>167</v>
      </c>
      <c r="K989" s="325" t="s">
        <v>168</v>
      </c>
      <c r="L989" s="181">
        <v>12</v>
      </c>
      <c r="M989" s="181" t="s">
        <v>375</v>
      </c>
      <c r="N989" s="37" t="s">
        <v>408</v>
      </c>
      <c r="O989" s="31">
        <f>IF(F989&gt;0,F989-AB989,"")</f>
        <v>19</v>
      </c>
      <c r="P989" s="37" t="str">
        <f>IF(F989&gt;0,IF(AB989="","PLANNING SUPPLY",IF(AB989&lt;=F989,"ONTIME DELIVERY","DELAY")),"")</f>
        <v>ONTIME DELIVERY</v>
      </c>
      <c r="Q989" s="181" t="str">
        <f>IFERROR(IF(J989&gt;0,VLOOKUP(J989,#REF!,MATCH($Q$6,#REF!,0),0),""),"")</f>
        <v/>
      </c>
      <c r="R989" s="181" t="str">
        <f>IFERROR(IF(J989&gt;0,VLOOKUP(J989,#REF!,MATCH($R$6,#REF!,0),0),""),"")</f>
        <v/>
      </c>
      <c r="S989" s="181" t="e">
        <f>IF(I989&gt;0,Q989+R989,"")</f>
        <v>#VALUE!</v>
      </c>
      <c r="T989" s="181"/>
      <c r="U989" s="181"/>
      <c r="V989" s="37"/>
      <c r="W989" s="181" t="e">
        <f>IF(I989&gt;0,IF(S989&gt;L989,"READY STOCK",IF(S989=0,"OUT OF STOCK",IF(S989&lt;L989,"LOW STOCK",""))),"")</f>
        <v>#VALUE!</v>
      </c>
      <c r="X989" s="38"/>
      <c r="Y989" s="38"/>
      <c r="Z989" s="38"/>
      <c r="AA989" s="38"/>
      <c r="AB989" s="57">
        <v>46304</v>
      </c>
      <c r="AC989" s="181">
        <v>34872</v>
      </c>
      <c r="AD989" s="53">
        <v>12</v>
      </c>
      <c r="AE989" s="58" t="s">
        <v>387</v>
      </c>
      <c r="AF989" s="58" t="s">
        <v>381</v>
      </c>
      <c r="AG989" s="33" t="str">
        <f>IF(G989&gt;0,IF(AD989&gt;0,IF(AD989=0,"Waiting",IF(AD989&lt;L989,"Partial",IF(AD989=L989,"Full Supply",IF(AD989&gt;L989,"Over Shared")))),"Waiting"),"")</f>
        <v>Full Supply</v>
      </c>
      <c r="AH989" s="37"/>
      <c r="AI989" s="37"/>
      <c r="AJ989" s="181"/>
      <c r="AK989" s="37"/>
      <c r="AL989" s="37"/>
      <c r="AM989" s="181"/>
      <c r="AN989" s="37"/>
      <c r="AO989" s="37"/>
      <c r="AP989" s="37"/>
      <c r="AQ989" s="37"/>
      <c r="AR989" s="37"/>
      <c r="AS989" s="37"/>
      <c r="AT989" s="37"/>
      <c r="AU989" s="37"/>
      <c r="AV989" s="37"/>
      <c r="AW989" s="37"/>
      <c r="AX989" s="37"/>
      <c r="AY989" s="37"/>
      <c r="AZ989" s="37"/>
    </row>
    <row r="990" spans="1:52" ht="15.5" customHeight="1">
      <c r="A990" s="360" t="s">
        <v>372</v>
      </c>
      <c r="B990" s="340">
        <v>46301</v>
      </c>
      <c r="C990" s="181">
        <v>51840</v>
      </c>
      <c r="D990" s="30">
        <v>46301</v>
      </c>
      <c r="E990" s="30">
        <v>46300</v>
      </c>
      <c r="F990" s="30">
        <v>46323</v>
      </c>
      <c r="G990" s="37">
        <v>4420234725</v>
      </c>
      <c r="H990" s="37" t="s">
        <v>373</v>
      </c>
      <c r="I990" s="37">
        <v>9040052369</v>
      </c>
      <c r="J990" s="37" t="s">
        <v>199</v>
      </c>
      <c r="K990" s="325" t="s">
        <v>200</v>
      </c>
      <c r="L990" s="181">
        <v>63</v>
      </c>
      <c r="M990" s="181" t="s">
        <v>375</v>
      </c>
      <c r="N990" s="37" t="s">
        <v>408</v>
      </c>
      <c r="O990" s="31">
        <f>IF(F990&gt;0,F990-AB990,"")</f>
        <v>9</v>
      </c>
      <c r="P990" s="37" t="str">
        <f>IF(F990&gt;0,IF(AB990="","PLANNING SUPPLY",IF(AB990&lt;=F990,"ONTIME DELIVERY","DELAY")),"")</f>
        <v>ONTIME DELIVERY</v>
      </c>
      <c r="Q990" s="181" t="str">
        <f>IFERROR(IF(J990&gt;0,VLOOKUP(J990,#REF!,MATCH($Q$6,#REF!,0),0),""),"")</f>
        <v/>
      </c>
      <c r="R990" s="181" t="str">
        <f>IFERROR(IF(J990&gt;0,VLOOKUP(J990,#REF!,MATCH($R$6,#REF!,0),0),""),"")</f>
        <v/>
      </c>
      <c r="S990" s="181" t="e">
        <f>IF(I990&gt;0,Q990+R990,"")</f>
        <v>#VALUE!</v>
      </c>
      <c r="T990" s="181"/>
      <c r="U990" s="181"/>
      <c r="V990" s="37"/>
      <c r="W990" s="181" t="e">
        <f>IF(I990&gt;0,IF(S990&gt;L990,"READY STOCK",IF(S990=0,"OUT OF STOCK",IF(S990&lt;L990,"LOW STOCK",""))),"")</f>
        <v>#VALUE!</v>
      </c>
      <c r="X990" s="38"/>
      <c r="Y990" s="38"/>
      <c r="Z990" s="38"/>
      <c r="AA990" s="38"/>
      <c r="AB990" s="50">
        <v>46314</v>
      </c>
      <c r="AC990" s="44" t="s">
        <v>1386</v>
      </c>
      <c r="AD990" s="51">
        <v>54</v>
      </c>
      <c r="AE990" s="37" t="s">
        <v>387</v>
      </c>
      <c r="AF990" s="37" t="s">
        <v>381</v>
      </c>
      <c r="AG990" s="33" t="str">
        <f>IF(G990&gt;0,IF(AD990&gt;0,IF(AD990=0,"Waiting",IF(AD990&lt;L990,"Partial",IF(AD990=L990,"Full Supply",IF(AD990&gt;L990,"Over Shared")))),"Waiting"),"")</f>
        <v>Partial</v>
      </c>
      <c r="AH990" s="37"/>
      <c r="AI990" s="37"/>
      <c r="AJ990" s="181"/>
      <c r="AK990" s="37"/>
      <c r="AL990" s="37"/>
      <c r="AM990" s="181"/>
      <c r="AN990" s="37"/>
      <c r="AO990" s="37"/>
      <c r="AP990" s="37"/>
      <c r="AQ990" s="37"/>
      <c r="AR990" s="37"/>
      <c r="AS990" s="37"/>
      <c r="AT990" s="37"/>
      <c r="AU990" s="37"/>
      <c r="AV990" s="37"/>
      <c r="AW990" s="37"/>
      <c r="AX990" s="37"/>
      <c r="AY990" s="37"/>
      <c r="AZ990" s="37"/>
    </row>
    <row r="991" spans="1:52" ht="15.5" customHeight="1">
      <c r="A991" s="360" t="s">
        <v>372</v>
      </c>
      <c r="B991" s="340">
        <v>46303</v>
      </c>
      <c r="C991" s="181">
        <v>51919</v>
      </c>
      <c r="D991" s="30">
        <v>46303</v>
      </c>
      <c r="E991" s="30">
        <v>46302</v>
      </c>
      <c r="F991" s="30">
        <v>46320</v>
      </c>
      <c r="G991" s="37">
        <v>4420234846</v>
      </c>
      <c r="H991" s="37" t="s">
        <v>373</v>
      </c>
      <c r="I991" s="37">
        <v>9040016343</v>
      </c>
      <c r="J991" s="37" t="s">
        <v>211</v>
      </c>
      <c r="K991" s="325" t="s">
        <v>212</v>
      </c>
      <c r="L991" s="181">
        <v>45</v>
      </c>
      <c r="M991" s="181" t="s">
        <v>421</v>
      </c>
      <c r="N991" s="37" t="s">
        <v>399</v>
      </c>
      <c r="O991" s="31"/>
      <c r="P991" s="37"/>
      <c r="Q991" s="181"/>
      <c r="R991" s="181"/>
      <c r="S991" s="181"/>
      <c r="T991" s="181"/>
      <c r="U991" s="181"/>
      <c r="V991" s="37"/>
      <c r="W991" s="181"/>
      <c r="X991" s="38"/>
      <c r="Y991" s="38"/>
      <c r="Z991" s="38"/>
      <c r="AA991" s="38"/>
      <c r="AB991" s="50">
        <v>46314</v>
      </c>
      <c r="AC991" s="44" t="s">
        <v>1387</v>
      </c>
      <c r="AD991" s="51">
        <v>25</v>
      </c>
      <c r="AE991" s="37" t="s">
        <v>387</v>
      </c>
      <c r="AF991" s="37" t="s">
        <v>381</v>
      </c>
      <c r="AG991" s="33"/>
      <c r="AH991" s="37"/>
      <c r="AI991" s="37"/>
      <c r="AJ991" s="181"/>
      <c r="AK991" s="37">
        <v>26689</v>
      </c>
      <c r="AL991" s="244">
        <v>46308</v>
      </c>
      <c r="AM991" s="181">
        <v>50</v>
      </c>
      <c r="AN991" s="37"/>
      <c r="AO991" s="37"/>
      <c r="AP991" s="37"/>
      <c r="AQ991" s="37"/>
      <c r="AR991" s="37"/>
      <c r="AS991" s="37"/>
      <c r="AT991" s="37"/>
      <c r="AU991" s="37"/>
      <c r="AV991" s="37"/>
      <c r="AW991" s="37"/>
      <c r="AX991" s="37"/>
      <c r="AY991" s="37"/>
      <c r="AZ991" s="37"/>
    </row>
    <row r="992" spans="1:52" ht="15.5" customHeight="1">
      <c r="A992" s="360" t="s">
        <v>372</v>
      </c>
      <c r="B992" s="340">
        <v>46303</v>
      </c>
      <c r="C992" s="181">
        <v>51919</v>
      </c>
      <c r="D992" s="30">
        <v>46303</v>
      </c>
      <c r="E992" s="30">
        <v>46302</v>
      </c>
      <c r="F992" s="30">
        <v>46320</v>
      </c>
      <c r="G992" s="37">
        <v>4420234846</v>
      </c>
      <c r="H992" s="37" t="s">
        <v>373</v>
      </c>
      <c r="I992" s="37">
        <v>9040017584</v>
      </c>
      <c r="J992" s="37" t="s">
        <v>37</v>
      </c>
      <c r="K992" s="325" t="s">
        <v>38</v>
      </c>
      <c r="L992" s="181">
        <v>14</v>
      </c>
      <c r="M992" s="181" t="s">
        <v>375</v>
      </c>
      <c r="N992" s="37" t="s">
        <v>399</v>
      </c>
      <c r="O992" s="31"/>
      <c r="P992" s="37"/>
      <c r="Q992" s="181"/>
      <c r="R992" s="181"/>
      <c r="S992" s="181"/>
      <c r="T992" s="181"/>
      <c r="U992" s="181"/>
      <c r="V992" s="37"/>
      <c r="W992" s="181"/>
      <c r="X992" s="38"/>
      <c r="Y992" s="38"/>
      <c r="Z992" s="38"/>
      <c r="AA992" s="38"/>
      <c r="AB992" s="50"/>
      <c r="AC992" s="246"/>
      <c r="AD992" s="51"/>
      <c r="AE992" s="37"/>
      <c r="AF992" s="37"/>
      <c r="AG992" s="33"/>
      <c r="AH992" s="37"/>
      <c r="AI992" s="37"/>
      <c r="AJ992" s="181"/>
      <c r="AK992" s="37"/>
      <c r="AL992" s="37"/>
      <c r="AM992" s="181"/>
      <c r="AN992" s="37"/>
      <c r="AO992" s="37"/>
      <c r="AP992" s="37"/>
      <c r="AQ992" s="37"/>
      <c r="AR992" s="37"/>
      <c r="AS992" s="37"/>
      <c r="AT992" s="37"/>
      <c r="AU992" s="37"/>
      <c r="AV992" s="37"/>
      <c r="AW992" s="37"/>
      <c r="AX992" s="37"/>
      <c r="AY992" s="37"/>
      <c r="AZ992" s="37"/>
    </row>
    <row r="993" spans="1:52" ht="15.5" customHeight="1">
      <c r="A993" s="360" t="s">
        <v>372</v>
      </c>
      <c r="B993" s="340">
        <v>46303</v>
      </c>
      <c r="C993" s="181">
        <v>51919</v>
      </c>
      <c r="D993" s="30">
        <v>46303</v>
      </c>
      <c r="E993" s="30">
        <v>46302</v>
      </c>
      <c r="F993" s="30">
        <v>46320</v>
      </c>
      <c r="G993" s="37">
        <v>4420234846</v>
      </c>
      <c r="H993" s="37" t="s">
        <v>373</v>
      </c>
      <c r="I993" s="37">
        <v>9040017824</v>
      </c>
      <c r="J993" s="37" t="s">
        <v>37</v>
      </c>
      <c r="K993" s="325" t="s">
        <v>38</v>
      </c>
      <c r="L993" s="181">
        <v>17</v>
      </c>
      <c r="M993" s="181" t="s">
        <v>375</v>
      </c>
      <c r="N993" s="37" t="s">
        <v>399</v>
      </c>
      <c r="O993" s="31"/>
      <c r="P993" s="37"/>
      <c r="Q993" s="181"/>
      <c r="R993" s="181"/>
      <c r="S993" s="181"/>
      <c r="T993" s="181"/>
      <c r="U993" s="181"/>
      <c r="V993" s="37"/>
      <c r="W993" s="181"/>
      <c r="X993" s="38"/>
      <c r="Y993" s="38"/>
      <c r="Z993" s="38"/>
      <c r="AA993" s="38"/>
      <c r="AB993" s="50"/>
      <c r="AC993" s="246"/>
      <c r="AD993" s="51"/>
      <c r="AE993" s="37"/>
      <c r="AF993" s="37"/>
      <c r="AG993" s="33"/>
      <c r="AH993" s="37"/>
      <c r="AI993" s="37"/>
      <c r="AJ993" s="181"/>
      <c r="AK993" s="37"/>
      <c r="AL993" s="37"/>
      <c r="AM993" s="181"/>
      <c r="AN993" s="37"/>
      <c r="AO993" s="37"/>
      <c r="AP993" s="37"/>
      <c r="AQ993" s="37"/>
      <c r="AR993" s="37"/>
      <c r="AS993" s="37"/>
      <c r="AT993" s="37"/>
      <c r="AU993" s="37"/>
      <c r="AV993" s="37"/>
      <c r="AW993" s="37"/>
      <c r="AX993" s="37"/>
      <c r="AY993" s="37"/>
      <c r="AZ993" s="37"/>
    </row>
    <row r="994" spans="1:52" ht="15.5" customHeight="1">
      <c r="A994" s="360" t="s">
        <v>372</v>
      </c>
      <c r="B994" s="340">
        <v>46303</v>
      </c>
      <c r="C994" s="181">
        <v>51919</v>
      </c>
      <c r="D994" s="30">
        <v>46303</v>
      </c>
      <c r="E994" s="30">
        <v>46302</v>
      </c>
      <c r="F994" s="30">
        <v>46320</v>
      </c>
      <c r="G994" s="37">
        <v>4420234846</v>
      </c>
      <c r="H994" s="37" t="s">
        <v>373</v>
      </c>
      <c r="I994" s="37">
        <v>9040040446</v>
      </c>
      <c r="J994" s="37" t="s">
        <v>189</v>
      </c>
      <c r="K994" s="325" t="s">
        <v>190</v>
      </c>
      <c r="L994" s="181">
        <v>4</v>
      </c>
      <c r="M994" s="181" t="s">
        <v>421</v>
      </c>
      <c r="N994" s="37" t="s">
        <v>399</v>
      </c>
      <c r="O994" s="31"/>
      <c r="P994" s="37"/>
      <c r="Q994" s="181"/>
      <c r="R994" s="181"/>
      <c r="S994" s="181"/>
      <c r="T994" s="181"/>
      <c r="U994" s="181"/>
      <c r="V994" s="37"/>
      <c r="W994" s="181"/>
      <c r="X994" s="38"/>
      <c r="Y994" s="38"/>
      <c r="Z994" s="38"/>
      <c r="AA994" s="38"/>
      <c r="AB994" s="50">
        <v>46316</v>
      </c>
      <c r="AC994" s="44" t="s">
        <v>1388</v>
      </c>
      <c r="AD994" s="51">
        <v>2</v>
      </c>
      <c r="AE994" s="37" t="s">
        <v>387</v>
      </c>
      <c r="AF994" s="37" t="s">
        <v>381</v>
      </c>
      <c r="AG994" s="33"/>
      <c r="AH994" s="37"/>
      <c r="AI994" s="37"/>
      <c r="AJ994" s="181"/>
      <c r="AK994" s="37">
        <v>26690</v>
      </c>
      <c r="AL994" s="37"/>
      <c r="AM994" s="181"/>
      <c r="AN994" s="37"/>
      <c r="AO994" s="37"/>
      <c r="AP994" s="37"/>
      <c r="AQ994" s="37"/>
      <c r="AR994" s="37"/>
      <c r="AS994" s="37"/>
      <c r="AT994" s="37"/>
      <c r="AU994" s="37"/>
      <c r="AV994" s="37"/>
      <c r="AW994" s="37"/>
      <c r="AX994" s="37"/>
      <c r="AY994" s="37"/>
      <c r="AZ994" s="37"/>
    </row>
    <row r="995" spans="1:52" ht="15.5" customHeight="1">
      <c r="A995" s="360" t="s">
        <v>372</v>
      </c>
      <c r="B995" s="340">
        <v>46303</v>
      </c>
      <c r="C995" s="181">
        <v>51919</v>
      </c>
      <c r="D995" s="30">
        <v>46303</v>
      </c>
      <c r="E995" s="30">
        <v>46302</v>
      </c>
      <c r="F995" s="30">
        <v>46320</v>
      </c>
      <c r="G995" s="37">
        <v>4420234846</v>
      </c>
      <c r="H995" s="37" t="s">
        <v>373</v>
      </c>
      <c r="I995" s="37">
        <v>9040040834</v>
      </c>
      <c r="J995" s="245" t="s">
        <v>207</v>
      </c>
      <c r="K995" s="325" t="s">
        <v>208</v>
      </c>
      <c r="L995" s="181">
        <v>2</v>
      </c>
      <c r="M995" s="181" t="s">
        <v>389</v>
      </c>
      <c r="N995" s="37" t="s">
        <v>399</v>
      </c>
      <c r="O995" s="31"/>
      <c r="P995" s="37"/>
      <c r="Q995" s="181"/>
      <c r="R995" s="181"/>
      <c r="S995" s="181"/>
      <c r="T995" s="181"/>
      <c r="U995" s="181"/>
      <c r="V995" s="37"/>
      <c r="W995" s="181"/>
      <c r="X995" s="38"/>
      <c r="Y995" s="38"/>
      <c r="Z995" s="38"/>
      <c r="AA995" s="38"/>
      <c r="AB995" s="50"/>
      <c r="AC995" s="181"/>
      <c r="AD995" s="51"/>
      <c r="AE995" s="37"/>
      <c r="AF995" s="37"/>
      <c r="AG995" s="33"/>
      <c r="AH995" s="37"/>
      <c r="AI995" s="37"/>
      <c r="AJ995" s="181"/>
      <c r="AK995" s="37">
        <v>26768</v>
      </c>
      <c r="AL995" s="244">
        <v>46311</v>
      </c>
      <c r="AM995" s="181">
        <v>100</v>
      </c>
      <c r="AN995" s="37"/>
      <c r="AO995" s="37"/>
      <c r="AP995" s="37"/>
      <c r="AQ995" s="37"/>
      <c r="AR995" s="37"/>
      <c r="AS995" s="37"/>
      <c r="AT995" s="37"/>
      <c r="AU995" s="37"/>
      <c r="AV995" s="37"/>
      <c r="AW995" s="37"/>
      <c r="AX995" s="37"/>
      <c r="AY995" s="37"/>
      <c r="AZ995" s="37"/>
    </row>
    <row r="996" spans="1:52" ht="15.5" customHeight="1">
      <c r="A996" s="360" t="s">
        <v>372</v>
      </c>
      <c r="B996" s="340">
        <v>46304</v>
      </c>
      <c r="C996" s="181">
        <v>51946</v>
      </c>
      <c r="D996" s="30">
        <v>46304</v>
      </c>
      <c r="E996" s="30">
        <v>46301</v>
      </c>
      <c r="F996" s="30">
        <v>46325</v>
      </c>
      <c r="G996" s="37">
        <v>4420234783</v>
      </c>
      <c r="H996" s="37" t="s">
        <v>373</v>
      </c>
      <c r="I996" s="37">
        <v>9040040636</v>
      </c>
      <c r="J996" s="37" t="s">
        <v>167</v>
      </c>
      <c r="K996" s="325" t="s">
        <v>168</v>
      </c>
      <c r="L996" s="181">
        <v>5</v>
      </c>
      <c r="M996" s="181" t="s">
        <v>375</v>
      </c>
      <c r="N996" s="37" t="s">
        <v>376</v>
      </c>
      <c r="O996" s="31"/>
      <c r="P996" s="37"/>
      <c r="Q996" s="181"/>
      <c r="R996" s="181"/>
      <c r="S996" s="181"/>
      <c r="T996" s="181"/>
      <c r="U996" s="181"/>
      <c r="V996" s="37"/>
      <c r="W996" s="181"/>
      <c r="X996" s="38"/>
      <c r="Y996" s="38"/>
      <c r="Z996" s="38"/>
      <c r="AA996" s="38"/>
      <c r="AB996" s="50">
        <v>46314</v>
      </c>
      <c r="AC996" s="44" t="s">
        <v>1389</v>
      </c>
      <c r="AD996" s="51">
        <v>5</v>
      </c>
      <c r="AE996" s="37" t="s">
        <v>387</v>
      </c>
      <c r="AF996" s="37" t="s">
        <v>381</v>
      </c>
      <c r="AG996" s="33"/>
      <c r="AH996" s="37"/>
      <c r="AI996" s="37"/>
      <c r="AJ996" s="181"/>
      <c r="AK996" s="37"/>
      <c r="AL996" s="37"/>
      <c r="AM996" s="181"/>
      <c r="AN996" s="37"/>
      <c r="AO996" s="37"/>
      <c r="AP996" s="37"/>
      <c r="AQ996" s="37"/>
      <c r="AR996" s="37"/>
      <c r="AS996" s="37"/>
      <c r="AT996" s="37"/>
      <c r="AU996" s="37"/>
      <c r="AV996" s="37"/>
      <c r="AW996" s="37"/>
      <c r="AX996" s="37"/>
      <c r="AY996" s="37"/>
      <c r="AZ996" s="37"/>
    </row>
    <row r="997" spans="1:52" ht="15.5" customHeight="1">
      <c r="A997" s="360" t="s">
        <v>372</v>
      </c>
      <c r="B997" s="340">
        <v>46304</v>
      </c>
      <c r="C997" s="181">
        <v>52010</v>
      </c>
      <c r="D997" s="30">
        <v>46304</v>
      </c>
      <c r="E997" s="30">
        <v>46304</v>
      </c>
      <c r="F997" s="30">
        <v>46325</v>
      </c>
      <c r="G997" s="37">
        <v>4420234755</v>
      </c>
      <c r="H997" s="37" t="s">
        <v>373</v>
      </c>
      <c r="I997" s="37">
        <v>9040024721</v>
      </c>
      <c r="J997" s="37" t="s">
        <v>239</v>
      </c>
      <c r="K997" s="325" t="s">
        <v>240</v>
      </c>
      <c r="L997" s="181">
        <v>2</v>
      </c>
      <c r="M997" s="181" t="s">
        <v>389</v>
      </c>
      <c r="N997" s="37" t="s">
        <v>382</v>
      </c>
      <c r="O997" s="31"/>
      <c r="P997" s="37"/>
      <c r="Q997" s="181"/>
      <c r="R997" s="181"/>
      <c r="S997" s="181"/>
      <c r="T997" s="181"/>
      <c r="U997" s="181"/>
      <c r="V997" s="37"/>
      <c r="W997" s="181"/>
      <c r="X997" s="38"/>
      <c r="Y997" s="38"/>
      <c r="Z997" s="38"/>
      <c r="AA997" s="38"/>
      <c r="AB997" s="50"/>
      <c r="AC997" s="181"/>
      <c r="AD997" s="51"/>
      <c r="AE997" s="37"/>
      <c r="AF997" s="37"/>
      <c r="AG997" s="33"/>
      <c r="AH997" s="37"/>
      <c r="AI997" s="37"/>
      <c r="AJ997" s="181"/>
      <c r="AK997" s="37">
        <v>26691</v>
      </c>
      <c r="AL997" s="244">
        <v>46308</v>
      </c>
      <c r="AM997" s="181">
        <v>10</v>
      </c>
      <c r="AN997" s="37"/>
      <c r="AO997" s="37"/>
      <c r="AP997" s="37"/>
      <c r="AQ997" s="37"/>
      <c r="AR997" s="37"/>
      <c r="AS997" s="37"/>
      <c r="AT997" s="37"/>
      <c r="AU997" s="37"/>
      <c r="AV997" s="37"/>
      <c r="AW997" s="37"/>
      <c r="AX997" s="37"/>
      <c r="AY997" s="37"/>
      <c r="AZ997" s="37"/>
    </row>
    <row r="998" spans="1:52" ht="15.5" customHeight="1">
      <c r="A998" s="360" t="s">
        <v>372</v>
      </c>
      <c r="B998" s="340">
        <v>46304</v>
      </c>
      <c r="C998" s="181">
        <v>52010</v>
      </c>
      <c r="D998" s="30">
        <v>46304</v>
      </c>
      <c r="E998" s="30">
        <v>46304</v>
      </c>
      <c r="F998" s="30">
        <v>46325</v>
      </c>
      <c r="G998" s="37">
        <v>4420234755</v>
      </c>
      <c r="H998" s="37" t="s">
        <v>373</v>
      </c>
      <c r="I998" s="37">
        <v>9040051092</v>
      </c>
      <c r="J998" s="37" t="s">
        <v>89</v>
      </c>
      <c r="K998" s="325" t="s">
        <v>90</v>
      </c>
      <c r="L998" s="181">
        <v>6</v>
      </c>
      <c r="M998" s="181" t="s">
        <v>375</v>
      </c>
      <c r="N998" s="37" t="s">
        <v>382</v>
      </c>
      <c r="O998" s="31"/>
      <c r="P998" s="37"/>
      <c r="Q998" s="181"/>
      <c r="R998" s="181"/>
      <c r="S998" s="181"/>
      <c r="T998" s="181"/>
      <c r="U998" s="181"/>
      <c r="V998" s="37"/>
      <c r="W998" s="181"/>
      <c r="X998" s="38"/>
      <c r="Y998" s="38"/>
      <c r="Z998" s="38"/>
      <c r="AA998" s="38"/>
      <c r="AB998" s="50"/>
      <c r="AC998" s="181"/>
      <c r="AD998" s="51"/>
      <c r="AE998" s="37"/>
      <c r="AF998" s="37"/>
      <c r="AG998" s="33"/>
      <c r="AH998" s="37"/>
      <c r="AI998" s="37"/>
      <c r="AJ998" s="181"/>
      <c r="AK998" s="37">
        <v>26692</v>
      </c>
      <c r="AL998" s="37"/>
      <c r="AM998" s="181"/>
      <c r="AN998" s="37"/>
      <c r="AO998" s="37"/>
      <c r="AP998" s="37"/>
      <c r="AQ998" s="37"/>
      <c r="AR998" s="37"/>
      <c r="AS998" s="37"/>
      <c r="AT998" s="37"/>
      <c r="AU998" s="37"/>
      <c r="AV998" s="37"/>
      <c r="AW998" s="37"/>
      <c r="AX998" s="37"/>
      <c r="AY998" s="37"/>
      <c r="AZ998" s="37"/>
    </row>
    <row r="999" spans="1:52" ht="15.5" customHeight="1">
      <c r="A999" s="360" t="s">
        <v>372</v>
      </c>
      <c r="B999" s="340">
        <v>46304</v>
      </c>
      <c r="C999" s="181">
        <v>52010</v>
      </c>
      <c r="D999" s="30">
        <v>46304</v>
      </c>
      <c r="E999" s="30">
        <v>46304</v>
      </c>
      <c r="F999" s="30">
        <v>46325</v>
      </c>
      <c r="G999" s="37">
        <v>4420234755</v>
      </c>
      <c r="H999" s="37" t="s">
        <v>373</v>
      </c>
      <c r="I999" s="37">
        <v>9040073264</v>
      </c>
      <c r="J999" s="37" t="s">
        <v>85</v>
      </c>
      <c r="K999" s="325" t="s">
        <v>86</v>
      </c>
      <c r="L999" s="181">
        <v>3</v>
      </c>
      <c r="M999" s="181" t="s">
        <v>375</v>
      </c>
      <c r="N999" s="37" t="s">
        <v>382</v>
      </c>
      <c r="O999" s="31"/>
      <c r="P999" s="37"/>
      <c r="Q999" s="181"/>
      <c r="R999" s="181"/>
      <c r="S999" s="181"/>
      <c r="T999" s="181"/>
      <c r="U999" s="181"/>
      <c r="V999" s="37"/>
      <c r="W999" s="181"/>
      <c r="X999" s="38"/>
      <c r="Y999" s="38"/>
      <c r="Z999" s="38"/>
      <c r="AA999" s="38"/>
      <c r="AB999" s="50"/>
      <c r="AC999" s="181"/>
      <c r="AD999" s="51"/>
      <c r="AE999" s="37"/>
      <c r="AF999" s="37"/>
      <c r="AG999" s="33"/>
      <c r="AH999" s="37"/>
      <c r="AI999" s="37"/>
      <c r="AJ999" s="181"/>
      <c r="AK999" s="37">
        <v>26692</v>
      </c>
      <c r="AL999" s="37"/>
      <c r="AM999" s="181"/>
      <c r="AN999" s="37"/>
      <c r="AO999" s="37"/>
      <c r="AP999" s="37"/>
      <c r="AQ999" s="37"/>
      <c r="AR999" s="37"/>
      <c r="AS999" s="37"/>
      <c r="AT999" s="37"/>
      <c r="AU999" s="37"/>
      <c r="AV999" s="37"/>
      <c r="AW999" s="37"/>
      <c r="AX999" s="37"/>
      <c r="AY999" s="37"/>
      <c r="AZ999" s="37"/>
    </row>
    <row r="1000" spans="1:52" ht="15.5" customHeight="1">
      <c r="A1000" s="360" t="s">
        <v>372</v>
      </c>
      <c r="B1000" s="340">
        <v>46304</v>
      </c>
      <c r="C1000" s="181">
        <v>52010</v>
      </c>
      <c r="D1000" s="30">
        <v>46304</v>
      </c>
      <c r="E1000" s="30">
        <v>46304</v>
      </c>
      <c r="F1000" s="30">
        <v>46325</v>
      </c>
      <c r="G1000" s="37">
        <v>4420234755</v>
      </c>
      <c r="H1000" s="37" t="s">
        <v>373</v>
      </c>
      <c r="I1000" s="37">
        <v>9040024721</v>
      </c>
      <c r="J1000" s="37" t="s">
        <v>239</v>
      </c>
      <c r="K1000" s="325" t="s">
        <v>240</v>
      </c>
      <c r="L1000" s="181">
        <v>1</v>
      </c>
      <c r="M1000" s="181" t="s">
        <v>389</v>
      </c>
      <c r="N1000" s="37" t="s">
        <v>382</v>
      </c>
      <c r="O1000" s="31"/>
      <c r="P1000" s="37"/>
      <c r="Q1000" s="181"/>
      <c r="R1000" s="181"/>
      <c r="S1000" s="181"/>
      <c r="T1000" s="181"/>
      <c r="U1000" s="181"/>
      <c r="V1000" s="37"/>
      <c r="W1000" s="181"/>
      <c r="X1000" s="38"/>
      <c r="Y1000" s="38"/>
      <c r="Z1000" s="38"/>
      <c r="AA1000" s="38"/>
      <c r="AB1000" s="50"/>
      <c r="AC1000" s="181"/>
      <c r="AD1000" s="51"/>
      <c r="AE1000" s="37"/>
      <c r="AF1000" s="37"/>
      <c r="AG1000" s="33"/>
      <c r="AH1000" s="37"/>
      <c r="AI1000" s="37"/>
      <c r="AJ1000" s="181"/>
      <c r="AK1000" s="37">
        <v>26691</v>
      </c>
      <c r="AL1000" s="244">
        <v>46308</v>
      </c>
      <c r="AM1000" s="181">
        <v>10</v>
      </c>
      <c r="AN1000" s="37"/>
      <c r="AO1000" s="37"/>
      <c r="AP1000" s="37"/>
      <c r="AQ1000" s="37"/>
      <c r="AR1000" s="37"/>
      <c r="AS1000" s="37"/>
      <c r="AT1000" s="37"/>
      <c r="AU1000" s="37"/>
      <c r="AV1000" s="37"/>
      <c r="AW1000" s="37"/>
      <c r="AX1000" s="37"/>
      <c r="AY1000" s="37"/>
      <c r="AZ1000" s="37"/>
    </row>
    <row r="1001" spans="1:52" ht="15.5" customHeight="1">
      <c r="A1001" s="360" t="s">
        <v>372</v>
      </c>
      <c r="B1001" s="340">
        <v>46304</v>
      </c>
      <c r="C1001" s="181">
        <v>52010</v>
      </c>
      <c r="D1001" s="30">
        <v>46304</v>
      </c>
      <c r="E1001" s="30">
        <v>46304</v>
      </c>
      <c r="F1001" s="30">
        <v>46325</v>
      </c>
      <c r="G1001" s="37">
        <v>4420234755</v>
      </c>
      <c r="H1001" s="37" t="s">
        <v>373</v>
      </c>
      <c r="I1001" s="37">
        <v>9040022848</v>
      </c>
      <c r="J1001" s="37" t="s">
        <v>27</v>
      </c>
      <c r="K1001" s="325" t="s">
        <v>28</v>
      </c>
      <c r="L1001" s="181">
        <v>1</v>
      </c>
      <c r="M1001" s="181" t="s">
        <v>375</v>
      </c>
      <c r="N1001" s="37" t="s">
        <v>382</v>
      </c>
      <c r="O1001" s="31"/>
      <c r="P1001" s="37"/>
      <c r="Q1001" s="181"/>
      <c r="R1001" s="181"/>
      <c r="S1001" s="181"/>
      <c r="T1001" s="181"/>
      <c r="U1001" s="181"/>
      <c r="V1001" s="37"/>
      <c r="W1001" s="181"/>
      <c r="X1001" s="38"/>
      <c r="Y1001" s="38"/>
      <c r="Z1001" s="38"/>
      <c r="AA1001" s="38"/>
      <c r="AB1001" s="50"/>
      <c r="AC1001" s="181"/>
      <c r="AD1001" s="51"/>
      <c r="AE1001" s="37"/>
      <c r="AF1001" s="37"/>
      <c r="AG1001" s="33"/>
      <c r="AH1001" s="37"/>
      <c r="AI1001" s="37"/>
      <c r="AJ1001" s="181"/>
      <c r="AK1001" s="37">
        <v>26767</v>
      </c>
      <c r="AL1001" s="244">
        <v>46311</v>
      </c>
      <c r="AM1001" s="181">
        <v>17</v>
      </c>
      <c r="AN1001" s="37"/>
      <c r="AO1001" s="37"/>
      <c r="AP1001" s="37"/>
      <c r="AQ1001" s="37"/>
      <c r="AR1001" s="37"/>
      <c r="AS1001" s="37"/>
      <c r="AT1001" s="37"/>
      <c r="AU1001" s="37"/>
      <c r="AV1001" s="37"/>
      <c r="AW1001" s="37"/>
      <c r="AX1001" s="37"/>
      <c r="AY1001" s="37"/>
      <c r="AZ1001" s="37"/>
    </row>
    <row r="1002" spans="1:52" ht="15.5" customHeight="1">
      <c r="A1002" s="360" t="s">
        <v>372</v>
      </c>
      <c r="B1002" s="340">
        <v>46304</v>
      </c>
      <c r="C1002" s="181">
        <v>52010</v>
      </c>
      <c r="D1002" s="30">
        <v>46304</v>
      </c>
      <c r="E1002" s="30">
        <v>46304</v>
      </c>
      <c r="F1002" s="30">
        <v>46325</v>
      </c>
      <c r="G1002" s="37">
        <v>4420234755</v>
      </c>
      <c r="H1002" s="37" t="s">
        <v>373</v>
      </c>
      <c r="I1002" s="37">
        <v>9040028402</v>
      </c>
      <c r="J1002" s="37" t="s">
        <v>133</v>
      </c>
      <c r="K1002" s="325" t="s">
        <v>134</v>
      </c>
      <c r="L1002" s="181">
        <v>2</v>
      </c>
      <c r="M1002" s="181" t="s">
        <v>375</v>
      </c>
      <c r="N1002" s="37" t="s">
        <v>382</v>
      </c>
      <c r="O1002" s="31"/>
      <c r="P1002" s="37"/>
      <c r="Q1002" s="181"/>
      <c r="R1002" s="181"/>
      <c r="S1002" s="181"/>
      <c r="T1002" s="181"/>
      <c r="U1002" s="181"/>
      <c r="V1002" s="37"/>
      <c r="W1002" s="181"/>
      <c r="X1002" s="38"/>
      <c r="Y1002" s="38"/>
      <c r="Z1002" s="38"/>
      <c r="AA1002" s="38"/>
      <c r="AB1002" s="50">
        <v>46317</v>
      </c>
      <c r="AC1002" s="238" t="s">
        <v>1390</v>
      </c>
      <c r="AD1002" s="51">
        <v>2</v>
      </c>
      <c r="AE1002" s="37" t="s">
        <v>387</v>
      </c>
      <c r="AF1002" s="37" t="s">
        <v>381</v>
      </c>
      <c r="AG1002" s="33"/>
      <c r="AH1002" s="37"/>
      <c r="AI1002" s="37"/>
      <c r="AJ1002" s="181"/>
      <c r="AK1002" s="37"/>
      <c r="AL1002" s="37"/>
      <c r="AM1002" s="181"/>
      <c r="AN1002" s="37"/>
      <c r="AO1002" s="37"/>
      <c r="AP1002" s="37"/>
      <c r="AQ1002" s="37"/>
      <c r="AR1002" s="37"/>
      <c r="AS1002" s="37"/>
      <c r="AT1002" s="37"/>
      <c r="AU1002" s="37"/>
      <c r="AV1002" s="37"/>
      <c r="AW1002" s="37"/>
      <c r="AX1002" s="37"/>
      <c r="AY1002" s="37"/>
      <c r="AZ1002" s="37"/>
    </row>
    <row r="1003" spans="1:52" ht="15.5" customHeight="1">
      <c r="A1003" s="360" t="s">
        <v>372</v>
      </c>
      <c r="B1003" s="340">
        <v>46304</v>
      </c>
      <c r="C1003" s="181">
        <v>52010</v>
      </c>
      <c r="D1003" s="30">
        <v>46304</v>
      </c>
      <c r="E1003" s="30">
        <v>46304</v>
      </c>
      <c r="F1003" s="30">
        <v>46325</v>
      </c>
      <c r="G1003" s="37">
        <v>4420234755</v>
      </c>
      <c r="H1003" s="37" t="s">
        <v>373</v>
      </c>
      <c r="I1003" s="37">
        <v>9040037431</v>
      </c>
      <c r="J1003" s="37" t="s">
        <v>102</v>
      </c>
      <c r="K1003" s="325" t="s">
        <v>103</v>
      </c>
      <c r="L1003" s="181">
        <v>1</v>
      </c>
      <c r="M1003" s="181" t="s">
        <v>375</v>
      </c>
      <c r="N1003" s="37" t="s">
        <v>382</v>
      </c>
      <c r="O1003" s="31"/>
      <c r="P1003" s="37"/>
      <c r="Q1003" s="181"/>
      <c r="R1003" s="181"/>
      <c r="S1003" s="181"/>
      <c r="T1003" s="181"/>
      <c r="U1003" s="181"/>
      <c r="V1003" s="37"/>
      <c r="W1003" s="181"/>
      <c r="X1003" s="38"/>
      <c r="Y1003" s="38"/>
      <c r="Z1003" s="38"/>
      <c r="AA1003" s="38"/>
      <c r="AB1003" s="50"/>
      <c r="AC1003" s="181"/>
      <c r="AD1003" s="51"/>
      <c r="AE1003" s="37"/>
      <c r="AF1003" s="37"/>
      <c r="AG1003" s="33"/>
      <c r="AH1003" s="37"/>
      <c r="AI1003" s="37"/>
      <c r="AJ1003" s="181"/>
      <c r="AK1003" s="37">
        <v>26692</v>
      </c>
      <c r="AL1003" s="37"/>
      <c r="AM1003" s="181"/>
      <c r="AN1003" s="37"/>
      <c r="AO1003" s="37"/>
      <c r="AP1003" s="37"/>
      <c r="AQ1003" s="37"/>
      <c r="AR1003" s="37"/>
      <c r="AS1003" s="37"/>
      <c r="AT1003" s="37"/>
      <c r="AU1003" s="37"/>
      <c r="AV1003" s="37"/>
      <c r="AW1003" s="37"/>
      <c r="AX1003" s="37"/>
      <c r="AY1003" s="37"/>
      <c r="AZ1003" s="37"/>
    </row>
    <row r="1004" spans="1:52" ht="15.5" customHeight="1">
      <c r="A1004" s="360" t="s">
        <v>372</v>
      </c>
      <c r="B1004" s="340">
        <v>46304</v>
      </c>
      <c r="C1004" s="181">
        <v>52010</v>
      </c>
      <c r="D1004" s="30">
        <v>46304</v>
      </c>
      <c r="E1004" s="30">
        <v>46304</v>
      </c>
      <c r="F1004" s="30">
        <v>46325</v>
      </c>
      <c r="G1004" s="37">
        <v>4420234755</v>
      </c>
      <c r="H1004" s="37" t="s">
        <v>373</v>
      </c>
      <c r="I1004" s="37">
        <v>9040056135</v>
      </c>
      <c r="J1004" s="37" t="s">
        <v>139</v>
      </c>
      <c r="K1004" s="325" t="s">
        <v>140</v>
      </c>
      <c r="L1004" s="181">
        <v>1</v>
      </c>
      <c r="M1004" s="181" t="s">
        <v>375</v>
      </c>
      <c r="N1004" s="37" t="s">
        <v>382</v>
      </c>
      <c r="O1004" s="31"/>
      <c r="P1004" s="37"/>
      <c r="Q1004" s="181"/>
      <c r="R1004" s="181"/>
      <c r="S1004" s="181"/>
      <c r="T1004" s="181"/>
      <c r="U1004" s="181"/>
      <c r="V1004" s="37"/>
      <c r="W1004" s="181"/>
      <c r="X1004" s="38"/>
      <c r="Y1004" s="38"/>
      <c r="Z1004" s="38"/>
      <c r="AA1004" s="38"/>
      <c r="AB1004" s="50"/>
      <c r="AC1004" s="181"/>
      <c r="AD1004" s="51"/>
      <c r="AE1004" s="37"/>
      <c r="AF1004" s="37"/>
      <c r="AG1004" s="33"/>
      <c r="AH1004" s="37"/>
      <c r="AI1004" s="37"/>
      <c r="AJ1004" s="181"/>
      <c r="AK1004" s="37"/>
      <c r="AL1004" s="37"/>
      <c r="AM1004" s="181"/>
      <c r="AN1004" s="37"/>
      <c r="AO1004" s="37"/>
      <c r="AP1004" s="37"/>
      <c r="AQ1004" s="37"/>
      <c r="AR1004" s="37"/>
      <c r="AS1004" s="37"/>
      <c r="AT1004" s="37"/>
      <c r="AU1004" s="37"/>
      <c r="AV1004" s="37"/>
      <c r="AW1004" s="37"/>
      <c r="AX1004" s="37"/>
      <c r="AY1004" s="37"/>
      <c r="AZ1004" s="37"/>
    </row>
    <row r="1005" spans="1:52" ht="15.5" customHeight="1">
      <c r="A1005" s="360" t="s">
        <v>372</v>
      </c>
      <c r="B1005" s="340">
        <v>46304</v>
      </c>
      <c r="C1005" s="181">
        <v>52010</v>
      </c>
      <c r="D1005" s="30">
        <v>46304</v>
      </c>
      <c r="E1005" s="30">
        <v>46304</v>
      </c>
      <c r="F1005" s="30">
        <v>46325</v>
      </c>
      <c r="G1005" s="37">
        <v>4420234755</v>
      </c>
      <c r="H1005" s="37" t="s">
        <v>373</v>
      </c>
      <c r="I1005" s="37">
        <v>9040060831</v>
      </c>
      <c r="J1005" s="37" t="s">
        <v>280</v>
      </c>
      <c r="K1005" s="325" t="s">
        <v>281</v>
      </c>
      <c r="L1005" s="181">
        <v>10</v>
      </c>
      <c r="M1005" s="181" t="s">
        <v>421</v>
      </c>
      <c r="N1005" s="37" t="s">
        <v>382</v>
      </c>
      <c r="O1005" s="31"/>
      <c r="P1005" s="37"/>
      <c r="Q1005" s="181"/>
      <c r="R1005" s="181"/>
      <c r="S1005" s="181"/>
      <c r="T1005" s="181"/>
      <c r="U1005" s="181"/>
      <c r="V1005" s="37"/>
      <c r="W1005" s="181"/>
      <c r="X1005" s="38"/>
      <c r="Y1005" s="38"/>
      <c r="Z1005" s="38"/>
      <c r="AA1005" s="38"/>
      <c r="AB1005" s="50"/>
      <c r="AC1005" s="181"/>
      <c r="AD1005" s="51"/>
      <c r="AE1005" s="37"/>
      <c r="AF1005" s="37"/>
      <c r="AG1005" s="33"/>
      <c r="AH1005" s="37"/>
      <c r="AI1005" s="37"/>
      <c r="AJ1005" s="181"/>
      <c r="AK1005" s="37"/>
      <c r="AL1005" s="37"/>
      <c r="AM1005" s="181"/>
      <c r="AN1005" s="37"/>
      <c r="AO1005" s="37"/>
      <c r="AP1005" s="37"/>
      <c r="AQ1005" s="37"/>
      <c r="AR1005" s="37"/>
      <c r="AS1005" s="37"/>
      <c r="AT1005" s="37"/>
      <c r="AU1005" s="37"/>
      <c r="AV1005" s="37"/>
      <c r="AW1005" s="37"/>
      <c r="AX1005" s="37"/>
      <c r="AY1005" s="37"/>
      <c r="AZ1005" s="37"/>
    </row>
    <row r="1006" spans="1:52" ht="15.5" customHeight="1">
      <c r="A1006" s="360" t="s">
        <v>372</v>
      </c>
      <c r="B1006" s="340">
        <v>46304</v>
      </c>
      <c r="C1006" s="181">
        <v>52010</v>
      </c>
      <c r="D1006" s="30">
        <v>46304</v>
      </c>
      <c r="E1006" s="30">
        <v>46304</v>
      </c>
      <c r="F1006" s="30">
        <v>46325</v>
      </c>
      <c r="G1006" s="37">
        <v>4420234755</v>
      </c>
      <c r="H1006" s="37" t="s">
        <v>373</v>
      </c>
      <c r="I1006" s="37">
        <v>9040073265</v>
      </c>
      <c r="J1006" s="37" t="s">
        <v>135</v>
      </c>
      <c r="K1006" s="325" t="s">
        <v>136</v>
      </c>
      <c r="L1006" s="181">
        <v>1</v>
      </c>
      <c r="M1006" s="181" t="s">
        <v>375</v>
      </c>
      <c r="N1006" s="37" t="s">
        <v>382</v>
      </c>
      <c r="O1006" s="31"/>
      <c r="P1006" s="37"/>
      <c r="Q1006" s="181"/>
      <c r="R1006" s="181"/>
      <c r="S1006" s="181"/>
      <c r="T1006" s="181"/>
      <c r="U1006" s="181"/>
      <c r="V1006" s="37"/>
      <c r="W1006" s="181"/>
      <c r="X1006" s="38"/>
      <c r="Y1006" s="38"/>
      <c r="Z1006" s="38"/>
      <c r="AA1006" s="38"/>
      <c r="AB1006" s="50"/>
      <c r="AC1006" s="181"/>
      <c r="AD1006" s="51"/>
      <c r="AE1006" s="37"/>
      <c r="AF1006" s="37"/>
      <c r="AG1006" s="33"/>
      <c r="AH1006" s="37"/>
      <c r="AI1006" s="37"/>
      <c r="AJ1006" s="181"/>
      <c r="AK1006" s="37"/>
      <c r="AL1006" s="37"/>
      <c r="AM1006" s="181"/>
      <c r="AN1006" s="37"/>
      <c r="AO1006" s="37"/>
      <c r="AP1006" s="37"/>
      <c r="AQ1006" s="37"/>
      <c r="AR1006" s="37"/>
      <c r="AS1006" s="37"/>
      <c r="AT1006" s="37"/>
      <c r="AU1006" s="37"/>
      <c r="AV1006" s="37"/>
      <c r="AW1006" s="37"/>
      <c r="AX1006" s="37"/>
      <c r="AY1006" s="37"/>
      <c r="AZ1006" s="37"/>
    </row>
    <row r="1007" spans="1:52" ht="15.5" customHeight="1">
      <c r="A1007" s="360" t="s">
        <v>372</v>
      </c>
      <c r="B1007" s="340">
        <v>46304</v>
      </c>
      <c r="C1007" s="181">
        <v>52010</v>
      </c>
      <c r="D1007" s="30">
        <v>46304</v>
      </c>
      <c r="E1007" s="30">
        <v>46304</v>
      </c>
      <c r="F1007" s="30">
        <v>46325</v>
      </c>
      <c r="G1007" s="37">
        <v>4420234755</v>
      </c>
      <c r="H1007" s="37" t="s">
        <v>373</v>
      </c>
      <c r="I1007" s="37">
        <v>9040073267</v>
      </c>
      <c r="J1007" s="37" t="s">
        <v>83</v>
      </c>
      <c r="K1007" s="325" t="s">
        <v>84</v>
      </c>
      <c r="L1007" s="181">
        <v>1</v>
      </c>
      <c r="M1007" s="181" t="s">
        <v>375</v>
      </c>
      <c r="N1007" s="37" t="s">
        <v>382</v>
      </c>
      <c r="O1007" s="31"/>
      <c r="P1007" s="37"/>
      <c r="Q1007" s="181"/>
      <c r="R1007" s="181"/>
      <c r="S1007" s="181"/>
      <c r="T1007" s="181"/>
      <c r="U1007" s="181"/>
      <c r="V1007" s="37"/>
      <c r="W1007" s="181"/>
      <c r="X1007" s="38"/>
      <c r="Y1007" s="38"/>
      <c r="Z1007" s="38"/>
      <c r="AA1007" s="38"/>
      <c r="AB1007" s="50"/>
      <c r="AC1007" s="181"/>
      <c r="AD1007" s="51"/>
      <c r="AE1007" s="37"/>
      <c r="AF1007" s="37"/>
      <c r="AG1007" s="33"/>
      <c r="AH1007" s="37"/>
      <c r="AI1007" s="37"/>
      <c r="AJ1007" s="181"/>
      <c r="AK1007" s="37">
        <v>26692</v>
      </c>
      <c r="AL1007" s="37"/>
      <c r="AM1007" s="181"/>
      <c r="AN1007" s="37"/>
      <c r="AO1007" s="37"/>
      <c r="AP1007" s="37"/>
      <c r="AQ1007" s="37"/>
      <c r="AR1007" s="37"/>
      <c r="AS1007" s="37"/>
      <c r="AT1007" s="37"/>
      <c r="AU1007" s="37"/>
      <c r="AV1007" s="37"/>
      <c r="AW1007" s="37"/>
      <c r="AX1007" s="37"/>
      <c r="AY1007" s="37"/>
      <c r="AZ1007" s="37"/>
    </row>
    <row r="1008" spans="1:52" ht="15.5" customHeight="1">
      <c r="A1008" s="360" t="s">
        <v>372</v>
      </c>
      <c r="B1008" s="340">
        <v>46304</v>
      </c>
      <c r="C1008" s="181">
        <v>52010</v>
      </c>
      <c r="D1008" s="30">
        <v>46304</v>
      </c>
      <c r="E1008" s="30">
        <v>46304</v>
      </c>
      <c r="F1008" s="30">
        <v>46325</v>
      </c>
      <c r="G1008" s="37">
        <v>4420234755</v>
      </c>
      <c r="H1008" s="37" t="s">
        <v>373</v>
      </c>
      <c r="I1008" s="37">
        <v>9040107088</v>
      </c>
      <c r="J1008" s="37" t="s">
        <v>114</v>
      </c>
      <c r="K1008" s="325" t="s">
        <v>115</v>
      </c>
      <c r="L1008" s="181">
        <v>15</v>
      </c>
      <c r="M1008" s="181" t="s">
        <v>375</v>
      </c>
      <c r="N1008" s="37" t="s">
        <v>382</v>
      </c>
      <c r="O1008" s="31"/>
      <c r="P1008" s="37"/>
      <c r="Q1008" s="181"/>
      <c r="R1008" s="181"/>
      <c r="S1008" s="181"/>
      <c r="T1008" s="181"/>
      <c r="U1008" s="181"/>
      <c r="V1008" s="37"/>
      <c r="W1008" s="181"/>
      <c r="X1008" s="38"/>
      <c r="Y1008" s="38"/>
      <c r="Z1008" s="38"/>
      <c r="AA1008" s="38"/>
      <c r="AB1008" s="50"/>
      <c r="AC1008" s="181"/>
      <c r="AD1008" s="51"/>
      <c r="AE1008" s="37"/>
      <c r="AF1008" s="37"/>
      <c r="AG1008" s="33"/>
      <c r="AH1008" s="37"/>
      <c r="AI1008" s="37"/>
      <c r="AJ1008" s="181"/>
      <c r="AK1008" s="37">
        <v>26692</v>
      </c>
      <c r="AL1008" s="37"/>
      <c r="AM1008" s="181"/>
      <c r="AN1008" s="37"/>
      <c r="AO1008" s="37"/>
      <c r="AP1008" s="37"/>
      <c r="AQ1008" s="37"/>
      <c r="AR1008" s="37"/>
      <c r="AS1008" s="37"/>
      <c r="AT1008" s="37"/>
      <c r="AU1008" s="37"/>
      <c r="AV1008" s="37"/>
      <c r="AW1008" s="37"/>
      <c r="AX1008" s="37"/>
      <c r="AY1008" s="37"/>
      <c r="AZ1008" s="37"/>
    </row>
    <row r="1009" spans="1:52" ht="15.5" customHeight="1">
      <c r="A1009" s="360" t="s">
        <v>372</v>
      </c>
      <c r="B1009" s="340">
        <v>46304</v>
      </c>
      <c r="C1009" s="181">
        <v>52010</v>
      </c>
      <c r="D1009" s="30">
        <v>46304</v>
      </c>
      <c r="E1009" s="30">
        <v>46304</v>
      </c>
      <c r="F1009" s="30">
        <v>46325</v>
      </c>
      <c r="G1009" s="37">
        <v>4420234755</v>
      </c>
      <c r="H1009" s="37" t="s">
        <v>373</v>
      </c>
      <c r="I1009" s="37">
        <v>9040126434</v>
      </c>
      <c r="J1009" s="37" t="s">
        <v>243</v>
      </c>
      <c r="K1009" s="325" t="s">
        <v>244</v>
      </c>
      <c r="L1009" s="181">
        <v>20</v>
      </c>
      <c r="M1009" s="181" t="s">
        <v>458</v>
      </c>
      <c r="N1009" s="37" t="s">
        <v>382</v>
      </c>
      <c r="O1009" s="31"/>
      <c r="P1009" s="37"/>
      <c r="Q1009" s="181"/>
      <c r="R1009" s="181"/>
      <c r="S1009" s="181"/>
      <c r="T1009" s="181"/>
      <c r="U1009" s="181"/>
      <c r="V1009" s="37"/>
      <c r="W1009" s="181"/>
      <c r="X1009" s="38"/>
      <c r="Y1009" s="38"/>
      <c r="Z1009" s="38"/>
      <c r="AA1009" s="38"/>
      <c r="AB1009" s="50"/>
      <c r="AC1009" s="181"/>
      <c r="AD1009" s="51"/>
      <c r="AE1009" s="37"/>
      <c r="AF1009" s="37"/>
      <c r="AG1009" s="33"/>
      <c r="AH1009" s="37"/>
      <c r="AI1009" s="37"/>
      <c r="AJ1009" s="181"/>
      <c r="AK1009" s="37"/>
      <c r="AL1009" s="37"/>
      <c r="AM1009" s="181"/>
      <c r="AN1009" s="37"/>
      <c r="AO1009" s="37"/>
      <c r="AP1009" s="37"/>
      <c r="AQ1009" s="37"/>
      <c r="AR1009" s="37"/>
      <c r="AS1009" s="37"/>
      <c r="AT1009" s="37"/>
      <c r="AU1009" s="37"/>
      <c r="AV1009" s="37"/>
      <c r="AW1009" s="37"/>
      <c r="AX1009" s="37"/>
      <c r="AY1009" s="37"/>
      <c r="AZ1009" s="37"/>
    </row>
    <row r="1010" spans="1:52" ht="15.5" customHeight="1">
      <c r="A1010" s="360" t="s">
        <v>372</v>
      </c>
      <c r="B1010" s="340">
        <v>46304</v>
      </c>
      <c r="C1010" s="181">
        <v>52010</v>
      </c>
      <c r="D1010" s="30">
        <v>46304</v>
      </c>
      <c r="E1010" s="30">
        <v>46304</v>
      </c>
      <c r="F1010" s="30">
        <v>46325</v>
      </c>
      <c r="G1010" s="37">
        <v>4420234755</v>
      </c>
      <c r="H1010" s="37" t="s">
        <v>373</v>
      </c>
      <c r="I1010" s="37">
        <v>9040126455</v>
      </c>
      <c r="J1010" s="37" t="s">
        <v>141</v>
      </c>
      <c r="K1010" s="325" t="s">
        <v>142</v>
      </c>
      <c r="L1010" s="181">
        <v>10</v>
      </c>
      <c r="M1010" s="181" t="s">
        <v>375</v>
      </c>
      <c r="N1010" s="37" t="s">
        <v>382</v>
      </c>
      <c r="O1010" s="31"/>
      <c r="P1010" s="37"/>
      <c r="Q1010" s="181"/>
      <c r="R1010" s="181"/>
      <c r="S1010" s="181"/>
      <c r="T1010" s="181"/>
      <c r="U1010" s="181"/>
      <c r="V1010" s="37"/>
      <c r="W1010" s="181"/>
      <c r="X1010" s="38"/>
      <c r="Y1010" s="38"/>
      <c r="Z1010" s="38"/>
      <c r="AA1010" s="38"/>
      <c r="AB1010" s="50"/>
      <c r="AC1010" s="181"/>
      <c r="AD1010" s="51"/>
      <c r="AE1010" s="37"/>
      <c r="AF1010" s="37"/>
      <c r="AG1010" s="33"/>
      <c r="AH1010" s="37"/>
      <c r="AI1010" s="37"/>
      <c r="AJ1010" s="181"/>
      <c r="AK1010" s="37">
        <v>26692</v>
      </c>
      <c r="AL1010" s="37"/>
      <c r="AM1010" s="181"/>
      <c r="AN1010" s="37"/>
      <c r="AO1010" s="37"/>
      <c r="AP1010" s="37"/>
      <c r="AQ1010" s="37"/>
      <c r="AR1010" s="37"/>
      <c r="AS1010" s="37"/>
      <c r="AT1010" s="37"/>
      <c r="AU1010" s="37"/>
      <c r="AV1010" s="37"/>
      <c r="AW1010" s="37"/>
      <c r="AX1010" s="37"/>
      <c r="AY1010" s="37"/>
      <c r="AZ1010" s="37"/>
    </row>
    <row r="1011" spans="1:52" ht="15.5" customHeight="1">
      <c r="A1011" s="360" t="s">
        <v>372</v>
      </c>
      <c r="B1011" s="340">
        <v>46304</v>
      </c>
      <c r="C1011" s="181">
        <v>52010</v>
      </c>
      <c r="D1011" s="30">
        <v>46304</v>
      </c>
      <c r="E1011" s="30">
        <v>46304</v>
      </c>
      <c r="F1011" s="30">
        <v>46325</v>
      </c>
      <c r="G1011" s="37">
        <v>4420234755</v>
      </c>
      <c r="H1011" s="37" t="s">
        <v>373</v>
      </c>
      <c r="I1011" s="37">
        <v>9040126458</v>
      </c>
      <c r="J1011" s="37" t="s">
        <v>217</v>
      </c>
      <c r="K1011" s="325" t="s">
        <v>218</v>
      </c>
      <c r="L1011" s="181">
        <v>1</v>
      </c>
      <c r="M1011" s="181" t="s">
        <v>389</v>
      </c>
      <c r="N1011" s="37" t="s">
        <v>382</v>
      </c>
      <c r="O1011" s="31"/>
      <c r="P1011" s="37"/>
      <c r="Q1011" s="181"/>
      <c r="R1011" s="181"/>
      <c r="S1011" s="181"/>
      <c r="T1011" s="181"/>
      <c r="U1011" s="181"/>
      <c r="V1011" s="37"/>
      <c r="W1011" s="181"/>
      <c r="X1011" s="38"/>
      <c r="Y1011" s="38"/>
      <c r="Z1011" s="38"/>
      <c r="AA1011" s="38"/>
      <c r="AB1011" s="50"/>
      <c r="AC1011" s="181"/>
      <c r="AD1011" s="51"/>
      <c r="AE1011" s="37"/>
      <c r="AF1011" s="37"/>
      <c r="AG1011" s="33"/>
      <c r="AH1011" s="37"/>
      <c r="AI1011" s="37"/>
      <c r="AJ1011" s="181"/>
      <c r="AK1011" s="37"/>
      <c r="AL1011" s="37"/>
      <c r="AM1011" s="181"/>
      <c r="AN1011" s="37"/>
      <c r="AO1011" s="37"/>
      <c r="AP1011" s="37"/>
      <c r="AQ1011" s="37"/>
      <c r="AR1011" s="37"/>
      <c r="AS1011" s="37"/>
      <c r="AT1011" s="37"/>
      <c r="AU1011" s="37"/>
      <c r="AV1011" s="37"/>
      <c r="AW1011" s="37"/>
      <c r="AX1011" s="37"/>
      <c r="AY1011" s="37"/>
      <c r="AZ1011" s="37"/>
    </row>
    <row r="1012" spans="1:52" ht="15.5" customHeight="1">
      <c r="A1012" s="360" t="s">
        <v>372</v>
      </c>
      <c r="B1012" s="340">
        <v>46304</v>
      </c>
      <c r="C1012" s="181">
        <v>52010</v>
      </c>
      <c r="D1012" s="30">
        <v>46304</v>
      </c>
      <c r="E1012" s="30">
        <v>46304</v>
      </c>
      <c r="F1012" s="30">
        <v>46325</v>
      </c>
      <c r="G1012" s="37">
        <v>4420234755</v>
      </c>
      <c r="H1012" s="37" t="s">
        <v>373</v>
      </c>
      <c r="I1012" s="37">
        <v>9040126460</v>
      </c>
      <c r="J1012" s="37" t="s">
        <v>131</v>
      </c>
      <c r="K1012" s="325" t="s">
        <v>132</v>
      </c>
      <c r="L1012" s="181">
        <v>10</v>
      </c>
      <c r="M1012" s="181" t="s">
        <v>375</v>
      </c>
      <c r="N1012" s="37" t="s">
        <v>382</v>
      </c>
      <c r="O1012" s="31"/>
      <c r="P1012" s="37"/>
      <c r="Q1012" s="181"/>
      <c r="R1012" s="181"/>
      <c r="S1012" s="181"/>
      <c r="T1012" s="181"/>
      <c r="U1012" s="181"/>
      <c r="V1012" s="37"/>
      <c r="W1012" s="181"/>
      <c r="X1012" s="38"/>
      <c r="Y1012" s="38"/>
      <c r="Z1012" s="38"/>
      <c r="AA1012" s="38"/>
      <c r="AB1012" s="50"/>
      <c r="AC1012" s="181"/>
      <c r="AD1012" s="51"/>
      <c r="AE1012" s="37"/>
      <c r="AF1012" s="37"/>
      <c r="AG1012" s="33"/>
      <c r="AH1012" s="37"/>
      <c r="AI1012" s="37"/>
      <c r="AJ1012" s="181"/>
      <c r="AK1012" s="37">
        <v>26716</v>
      </c>
      <c r="AL1012" s="244">
        <v>46309</v>
      </c>
      <c r="AM1012" s="181">
        <v>10</v>
      </c>
      <c r="AN1012" s="37"/>
      <c r="AO1012" s="244">
        <v>46311</v>
      </c>
      <c r="AP1012" s="37"/>
      <c r="AQ1012" s="37"/>
      <c r="AR1012" s="37"/>
      <c r="AS1012" s="37"/>
      <c r="AT1012" s="37"/>
      <c r="AU1012" s="37"/>
      <c r="AV1012" s="37"/>
      <c r="AW1012" s="37"/>
      <c r="AX1012" s="37"/>
      <c r="AY1012" s="37"/>
      <c r="AZ1012" s="37"/>
    </row>
    <row r="1013" spans="1:52" ht="15.5" customHeight="1">
      <c r="A1013" s="360" t="s">
        <v>372</v>
      </c>
      <c r="B1013" s="340">
        <v>46304</v>
      </c>
      <c r="C1013" s="181">
        <v>52010</v>
      </c>
      <c r="D1013" s="30">
        <v>46304</v>
      </c>
      <c r="E1013" s="30">
        <v>46304</v>
      </c>
      <c r="F1013" s="30">
        <v>46325</v>
      </c>
      <c r="G1013" s="37">
        <v>4420234755</v>
      </c>
      <c r="H1013" s="37" t="s">
        <v>373</v>
      </c>
      <c r="I1013" s="37">
        <v>9040126461</v>
      </c>
      <c r="J1013" s="37" t="s">
        <v>116</v>
      </c>
      <c r="K1013" s="325" t="s">
        <v>117</v>
      </c>
      <c r="L1013" s="181">
        <v>10</v>
      </c>
      <c r="M1013" s="181" t="s">
        <v>375</v>
      </c>
      <c r="N1013" s="37" t="s">
        <v>382</v>
      </c>
      <c r="O1013" s="31"/>
      <c r="P1013" s="37"/>
      <c r="Q1013" s="181"/>
      <c r="R1013" s="181"/>
      <c r="S1013" s="181"/>
      <c r="T1013" s="181"/>
      <c r="U1013" s="181"/>
      <c r="V1013" s="37"/>
      <c r="W1013" s="181"/>
      <c r="X1013" s="38"/>
      <c r="Y1013" s="38"/>
      <c r="Z1013" s="38"/>
      <c r="AA1013" s="38"/>
      <c r="AB1013" s="50"/>
      <c r="AC1013" s="181"/>
      <c r="AD1013" s="51"/>
      <c r="AE1013" s="37"/>
      <c r="AF1013" s="37"/>
      <c r="AG1013" s="33"/>
      <c r="AH1013" s="37"/>
      <c r="AI1013" s="37"/>
      <c r="AJ1013" s="181"/>
      <c r="AK1013" s="37">
        <v>26716</v>
      </c>
      <c r="AL1013" s="244">
        <v>46309</v>
      </c>
      <c r="AM1013" s="181">
        <v>10</v>
      </c>
      <c r="AN1013" s="37"/>
      <c r="AO1013" s="244">
        <v>46311</v>
      </c>
      <c r="AP1013" s="37"/>
      <c r="AQ1013" s="37"/>
      <c r="AR1013" s="37"/>
      <c r="AS1013" s="37"/>
      <c r="AT1013" s="37"/>
      <c r="AU1013" s="37"/>
      <c r="AV1013" s="37"/>
      <c r="AW1013" s="37"/>
      <c r="AX1013" s="37"/>
      <c r="AY1013" s="37"/>
      <c r="AZ1013" s="37"/>
    </row>
    <row r="1014" spans="1:52" ht="15.5" customHeight="1">
      <c r="A1014" s="360" t="s">
        <v>372</v>
      </c>
      <c r="B1014" s="340">
        <v>46304</v>
      </c>
      <c r="C1014" s="181">
        <v>52010</v>
      </c>
      <c r="D1014" s="30">
        <v>46304</v>
      </c>
      <c r="E1014" s="30">
        <v>46304</v>
      </c>
      <c r="F1014" s="30">
        <v>46325</v>
      </c>
      <c r="G1014" s="37">
        <v>4420234755</v>
      </c>
      <c r="H1014" s="37" t="s">
        <v>373</v>
      </c>
      <c r="I1014" s="37">
        <v>9040126462</v>
      </c>
      <c r="J1014" s="37" t="s">
        <v>118</v>
      </c>
      <c r="K1014" s="325" t="s">
        <v>119</v>
      </c>
      <c r="L1014" s="181">
        <v>10</v>
      </c>
      <c r="M1014" s="181" t="s">
        <v>375</v>
      </c>
      <c r="N1014" s="37" t="s">
        <v>382</v>
      </c>
      <c r="O1014" s="31"/>
      <c r="P1014" s="37"/>
      <c r="Q1014" s="181"/>
      <c r="R1014" s="181"/>
      <c r="S1014" s="181"/>
      <c r="T1014" s="181"/>
      <c r="U1014" s="181"/>
      <c r="V1014" s="37"/>
      <c r="W1014" s="181"/>
      <c r="X1014" s="38"/>
      <c r="Y1014" s="38"/>
      <c r="Z1014" s="38"/>
      <c r="AA1014" s="38"/>
      <c r="AB1014" s="50"/>
      <c r="AC1014" s="181"/>
      <c r="AD1014" s="51"/>
      <c r="AE1014" s="37"/>
      <c r="AF1014" s="37"/>
      <c r="AG1014" s="33"/>
      <c r="AH1014" s="37"/>
      <c r="AI1014" s="37"/>
      <c r="AJ1014" s="181"/>
      <c r="AK1014" s="37">
        <v>26716</v>
      </c>
      <c r="AL1014" s="244">
        <v>46309</v>
      </c>
      <c r="AM1014" s="181">
        <v>10</v>
      </c>
      <c r="AN1014" s="37"/>
      <c r="AO1014" s="244">
        <v>46311</v>
      </c>
      <c r="AP1014" s="37"/>
      <c r="AQ1014" s="37"/>
      <c r="AR1014" s="37"/>
      <c r="AS1014" s="37"/>
      <c r="AT1014" s="37"/>
      <c r="AU1014" s="37"/>
      <c r="AV1014" s="37"/>
      <c r="AW1014" s="37"/>
      <c r="AX1014" s="37"/>
      <c r="AY1014" s="37"/>
      <c r="AZ1014" s="37"/>
    </row>
    <row r="1015" spans="1:52" ht="15.5" customHeight="1">
      <c r="A1015" s="360" t="s">
        <v>372</v>
      </c>
      <c r="B1015" s="340">
        <v>46304</v>
      </c>
      <c r="C1015" s="181">
        <v>52010</v>
      </c>
      <c r="D1015" s="30">
        <v>46304</v>
      </c>
      <c r="E1015" s="30">
        <v>46304</v>
      </c>
      <c r="F1015" s="30">
        <v>46325</v>
      </c>
      <c r="G1015" s="37">
        <v>4420234755</v>
      </c>
      <c r="H1015" s="37" t="s">
        <v>373</v>
      </c>
      <c r="I1015" s="37">
        <v>9040126464</v>
      </c>
      <c r="J1015" s="37" t="s">
        <v>137</v>
      </c>
      <c r="K1015" s="325" t="s">
        <v>138</v>
      </c>
      <c r="L1015" s="181">
        <v>6</v>
      </c>
      <c r="M1015" s="181" t="s">
        <v>375</v>
      </c>
      <c r="N1015" s="37" t="s">
        <v>382</v>
      </c>
      <c r="O1015" s="31"/>
      <c r="P1015" s="37"/>
      <c r="Q1015" s="181"/>
      <c r="R1015" s="181"/>
      <c r="S1015" s="181"/>
      <c r="T1015" s="181"/>
      <c r="U1015" s="181"/>
      <c r="V1015" s="37"/>
      <c r="W1015" s="181"/>
      <c r="X1015" s="38"/>
      <c r="Y1015" s="38"/>
      <c r="Z1015" s="38"/>
      <c r="AA1015" s="38"/>
      <c r="AB1015" s="50"/>
      <c r="AC1015" s="181"/>
      <c r="AD1015" s="51"/>
      <c r="AE1015" s="37"/>
      <c r="AF1015" s="37"/>
      <c r="AG1015" s="33"/>
      <c r="AH1015" s="37"/>
      <c r="AI1015" s="37"/>
      <c r="AJ1015" s="181"/>
      <c r="AK1015" s="37">
        <v>26692</v>
      </c>
      <c r="AL1015" s="37"/>
      <c r="AM1015" s="181"/>
      <c r="AN1015" s="37"/>
      <c r="AO1015" s="244"/>
      <c r="AP1015" s="37"/>
      <c r="AQ1015" s="37"/>
      <c r="AR1015" s="37"/>
      <c r="AS1015" s="37"/>
      <c r="AT1015" s="37"/>
      <c r="AU1015" s="37"/>
      <c r="AV1015" s="37"/>
      <c r="AW1015" s="37"/>
      <c r="AX1015" s="37"/>
      <c r="AY1015" s="37"/>
      <c r="AZ1015" s="37"/>
    </row>
    <row r="1016" spans="1:52" ht="15.5" customHeight="1">
      <c r="A1016" s="360" t="s">
        <v>372</v>
      </c>
      <c r="B1016" s="340">
        <v>46304</v>
      </c>
      <c r="C1016" s="181">
        <v>52010</v>
      </c>
      <c r="D1016" s="30">
        <v>46304</v>
      </c>
      <c r="E1016" s="30">
        <v>46304</v>
      </c>
      <c r="F1016" s="30">
        <v>46325</v>
      </c>
      <c r="G1016" s="37">
        <v>4420234755</v>
      </c>
      <c r="H1016" s="37" t="s">
        <v>373</v>
      </c>
      <c r="I1016" s="37">
        <v>9040126471</v>
      </c>
      <c r="J1016" s="37" t="s">
        <v>81</v>
      </c>
      <c r="K1016" s="325" t="s">
        <v>82</v>
      </c>
      <c r="L1016" s="181">
        <v>1</v>
      </c>
      <c r="M1016" s="181" t="s">
        <v>421</v>
      </c>
      <c r="N1016" s="37" t="s">
        <v>382</v>
      </c>
      <c r="O1016" s="31"/>
      <c r="P1016" s="37"/>
      <c r="Q1016" s="181"/>
      <c r="R1016" s="181"/>
      <c r="S1016" s="181"/>
      <c r="T1016" s="181"/>
      <c r="U1016" s="181"/>
      <c r="V1016" s="37"/>
      <c r="W1016" s="181"/>
      <c r="X1016" s="38"/>
      <c r="Y1016" s="38"/>
      <c r="Z1016" s="38"/>
      <c r="AA1016" s="38"/>
      <c r="AB1016" s="50"/>
      <c r="AC1016" s="181"/>
      <c r="AD1016" s="51"/>
      <c r="AE1016" s="37"/>
      <c r="AF1016" s="37"/>
      <c r="AG1016" s="33"/>
      <c r="AH1016" s="37"/>
      <c r="AI1016" s="37"/>
      <c r="AJ1016" s="181"/>
      <c r="AK1016" s="37"/>
      <c r="AL1016" s="37"/>
      <c r="AM1016" s="181"/>
      <c r="AN1016" s="37"/>
      <c r="AO1016" s="37"/>
      <c r="AP1016" s="37"/>
      <c r="AQ1016" s="37"/>
      <c r="AR1016" s="37"/>
      <c r="AS1016" s="37"/>
      <c r="AT1016" s="37"/>
      <c r="AU1016" s="37"/>
      <c r="AV1016" s="37"/>
      <c r="AW1016" s="37"/>
      <c r="AX1016" s="37"/>
      <c r="AY1016" s="37"/>
      <c r="AZ1016" s="37"/>
    </row>
    <row r="1017" spans="1:52" ht="15.5" customHeight="1">
      <c r="A1017" s="360" t="s">
        <v>372</v>
      </c>
      <c r="B1017" s="340">
        <v>46307</v>
      </c>
      <c r="C1017" s="181">
        <v>52030</v>
      </c>
      <c r="D1017" s="30">
        <v>46307</v>
      </c>
      <c r="E1017" s="30">
        <v>46302</v>
      </c>
      <c r="F1017" s="30">
        <v>46319</v>
      </c>
      <c r="G1017" s="37">
        <v>4420234873</v>
      </c>
      <c r="H1017" s="37" t="s">
        <v>373</v>
      </c>
      <c r="I1017" s="37">
        <v>9040040588</v>
      </c>
      <c r="J1017" s="37" t="s">
        <v>76</v>
      </c>
      <c r="K1017" s="325" t="s">
        <v>77</v>
      </c>
      <c r="L1017" s="181">
        <v>50</v>
      </c>
      <c r="M1017" s="181" t="s">
        <v>375</v>
      </c>
      <c r="N1017" s="37" t="s">
        <v>451</v>
      </c>
      <c r="O1017" s="31"/>
      <c r="P1017" s="37"/>
      <c r="Q1017" s="181"/>
      <c r="R1017" s="181"/>
      <c r="S1017" s="181"/>
      <c r="T1017" s="181"/>
      <c r="U1017" s="181"/>
      <c r="V1017" s="37"/>
      <c r="W1017" s="181"/>
      <c r="X1017" s="181"/>
      <c r="Y1017" s="38"/>
      <c r="Z1017" s="38"/>
      <c r="AA1017" s="38"/>
      <c r="AB1017" s="50"/>
      <c r="AC1017" s="246"/>
      <c r="AD1017" s="51"/>
      <c r="AE1017" s="37"/>
      <c r="AF1017" s="37"/>
      <c r="AG1017" s="33"/>
      <c r="AH1017" s="37"/>
      <c r="AI1017" s="37"/>
      <c r="AJ1017" s="181"/>
      <c r="AK1017" s="37">
        <v>26642</v>
      </c>
      <c r="AL1017" s="241">
        <v>46303</v>
      </c>
      <c r="AM1017" s="181">
        <v>650</v>
      </c>
      <c r="AN1017" s="37"/>
      <c r="AO1017" s="244">
        <v>46311</v>
      </c>
      <c r="AP1017" s="37"/>
      <c r="AQ1017" s="37"/>
      <c r="AR1017" s="37"/>
      <c r="AS1017" s="37"/>
      <c r="AT1017" s="37"/>
      <c r="AU1017" s="37"/>
      <c r="AV1017" s="37"/>
      <c r="AW1017" s="37"/>
      <c r="AX1017" s="37"/>
      <c r="AY1017" s="37"/>
      <c r="AZ1017" s="37"/>
    </row>
    <row r="1018" spans="1:52" ht="15.5" customHeight="1">
      <c r="A1018" s="360" t="s">
        <v>372</v>
      </c>
      <c r="B1018" s="340">
        <v>46307</v>
      </c>
      <c r="C1018" s="181">
        <v>52030</v>
      </c>
      <c r="D1018" s="30">
        <v>46307</v>
      </c>
      <c r="E1018" s="30">
        <v>46302</v>
      </c>
      <c r="F1018" s="30">
        <v>46319</v>
      </c>
      <c r="G1018" s="37">
        <v>4420234873</v>
      </c>
      <c r="H1018" s="37" t="s">
        <v>373</v>
      </c>
      <c r="I1018" s="37">
        <v>9040042096</v>
      </c>
      <c r="J1018" s="37" t="s">
        <v>159</v>
      </c>
      <c r="K1018" s="325" t="s">
        <v>160</v>
      </c>
      <c r="L1018" s="181">
        <v>11</v>
      </c>
      <c r="M1018" s="181" t="s">
        <v>375</v>
      </c>
      <c r="N1018" s="37" t="s">
        <v>451</v>
      </c>
      <c r="O1018" s="31"/>
      <c r="P1018" s="37"/>
      <c r="Q1018" s="181"/>
      <c r="R1018" s="181"/>
      <c r="S1018" s="181"/>
      <c r="T1018" s="181"/>
      <c r="U1018" s="181"/>
      <c r="V1018" s="37"/>
      <c r="W1018" s="181"/>
      <c r="X1018" s="38"/>
      <c r="Y1018" s="38"/>
      <c r="Z1018" s="38"/>
      <c r="AA1018" s="38"/>
      <c r="AB1018" s="50">
        <v>46316</v>
      </c>
      <c r="AC1018" s="44" t="s">
        <v>1391</v>
      </c>
      <c r="AD1018" s="51">
        <v>11</v>
      </c>
      <c r="AE1018" s="37" t="s">
        <v>387</v>
      </c>
      <c r="AF1018" s="37" t="s">
        <v>381</v>
      </c>
      <c r="AG1018" s="33"/>
      <c r="AH1018" s="37"/>
      <c r="AI1018" s="37"/>
      <c r="AJ1018" s="181"/>
      <c r="AK1018" s="37"/>
      <c r="AL1018" s="37"/>
      <c r="AM1018" s="181"/>
      <c r="AN1018" s="37"/>
      <c r="AO1018" s="37"/>
      <c r="AP1018" s="37"/>
      <c r="AQ1018" s="37"/>
      <c r="AR1018" s="37"/>
      <c r="AS1018" s="37"/>
      <c r="AT1018" s="37"/>
      <c r="AU1018" s="37"/>
      <c r="AV1018" s="37"/>
      <c r="AW1018" s="37"/>
      <c r="AX1018" s="37"/>
      <c r="AY1018" s="37"/>
      <c r="AZ1018" s="37"/>
    </row>
    <row r="1019" spans="1:52" ht="15.5" customHeight="1">
      <c r="A1019" s="360" t="s">
        <v>372</v>
      </c>
      <c r="B1019" s="340">
        <v>46307</v>
      </c>
      <c r="C1019" s="181">
        <v>52030</v>
      </c>
      <c r="D1019" s="30">
        <v>46307</v>
      </c>
      <c r="E1019" s="30">
        <v>46302</v>
      </c>
      <c r="F1019" s="30">
        <v>46319</v>
      </c>
      <c r="G1019" s="37">
        <v>4420234873</v>
      </c>
      <c r="H1019" s="37" t="s">
        <v>373</v>
      </c>
      <c r="I1019" s="37">
        <v>9040040486</v>
      </c>
      <c r="J1019" s="37" t="s">
        <v>165</v>
      </c>
      <c r="K1019" s="325" t="s">
        <v>166</v>
      </c>
      <c r="L1019" s="181">
        <v>21</v>
      </c>
      <c r="M1019" s="181" t="s">
        <v>375</v>
      </c>
      <c r="N1019" s="37" t="s">
        <v>451</v>
      </c>
      <c r="O1019" s="31"/>
      <c r="P1019" s="37"/>
      <c r="Q1019" s="181"/>
      <c r="R1019" s="181"/>
      <c r="S1019" s="181"/>
      <c r="T1019" s="181"/>
      <c r="U1019" s="181"/>
      <c r="V1019" s="37"/>
      <c r="W1019" s="181"/>
      <c r="X1019" s="38"/>
      <c r="Y1019" s="38"/>
      <c r="Z1019" s="38"/>
      <c r="AA1019" s="38"/>
      <c r="AB1019" s="50">
        <v>46314</v>
      </c>
      <c r="AC1019" s="44" t="s">
        <v>1392</v>
      </c>
      <c r="AD1019" s="51">
        <v>21</v>
      </c>
      <c r="AE1019" s="37" t="s">
        <v>387</v>
      </c>
      <c r="AF1019" s="37" t="s">
        <v>381</v>
      </c>
      <c r="AG1019" s="33"/>
      <c r="AH1019" s="37"/>
      <c r="AI1019" s="37"/>
      <c r="AJ1019" s="181"/>
      <c r="AK1019" s="37"/>
      <c r="AL1019" s="37"/>
      <c r="AM1019" s="181"/>
      <c r="AN1019" s="37"/>
      <c r="AO1019" s="37"/>
      <c r="AP1019" s="37"/>
      <c r="AQ1019" s="37"/>
      <c r="AR1019" s="37"/>
      <c r="AS1019" s="37"/>
      <c r="AT1019" s="37"/>
      <c r="AU1019" s="37"/>
      <c r="AV1019" s="37"/>
      <c r="AW1019" s="37"/>
      <c r="AX1019" s="37"/>
      <c r="AY1019" s="37"/>
      <c r="AZ1019" s="37"/>
    </row>
    <row r="1020" spans="1:52" ht="15.5" customHeight="1">
      <c r="A1020" s="360" t="s">
        <v>372</v>
      </c>
      <c r="B1020" s="340">
        <v>46307</v>
      </c>
      <c r="C1020" s="181">
        <v>52030</v>
      </c>
      <c r="D1020" s="30">
        <v>46307</v>
      </c>
      <c r="E1020" s="30">
        <v>46302</v>
      </c>
      <c r="F1020" s="30">
        <v>46319</v>
      </c>
      <c r="G1020" s="37">
        <v>4420234873</v>
      </c>
      <c r="H1020" s="37" t="s">
        <v>373</v>
      </c>
      <c r="I1020" s="37">
        <v>9040041393</v>
      </c>
      <c r="J1020" s="37" t="s">
        <v>191</v>
      </c>
      <c r="K1020" s="325" t="s">
        <v>192</v>
      </c>
      <c r="L1020" s="181">
        <v>3</v>
      </c>
      <c r="M1020" s="181" t="s">
        <v>375</v>
      </c>
      <c r="N1020" s="37" t="s">
        <v>451</v>
      </c>
      <c r="O1020" s="31"/>
      <c r="P1020" s="37"/>
      <c r="Q1020" s="181"/>
      <c r="R1020" s="181"/>
      <c r="S1020" s="181"/>
      <c r="T1020" s="181"/>
      <c r="U1020" s="181"/>
      <c r="V1020" s="37"/>
      <c r="W1020" s="181"/>
      <c r="X1020" s="38"/>
      <c r="Y1020" s="38"/>
      <c r="Z1020" s="38"/>
      <c r="AA1020" s="38"/>
      <c r="AB1020" s="50">
        <v>46314</v>
      </c>
      <c r="AC1020" s="44" t="s">
        <v>1392</v>
      </c>
      <c r="AD1020" s="51">
        <v>3</v>
      </c>
      <c r="AE1020" s="37" t="s">
        <v>387</v>
      </c>
      <c r="AF1020" s="37" t="s">
        <v>381</v>
      </c>
      <c r="AG1020" s="33"/>
      <c r="AH1020" s="37"/>
      <c r="AI1020" s="37"/>
      <c r="AJ1020" s="181"/>
      <c r="AK1020" s="37"/>
      <c r="AL1020" s="37"/>
      <c r="AM1020" s="181"/>
      <c r="AN1020" s="37"/>
      <c r="AO1020" s="37"/>
      <c r="AP1020" s="37"/>
      <c r="AQ1020" s="37"/>
      <c r="AR1020" s="37"/>
      <c r="AS1020" s="37"/>
      <c r="AT1020" s="37"/>
      <c r="AU1020" s="37"/>
      <c r="AV1020" s="37"/>
      <c r="AW1020" s="37"/>
      <c r="AX1020" s="37"/>
      <c r="AY1020" s="37"/>
      <c r="AZ1020" s="37"/>
    </row>
    <row r="1021" spans="1:52" ht="15.5" customHeight="1">
      <c r="A1021" s="360" t="s">
        <v>372</v>
      </c>
      <c r="B1021" s="340">
        <v>46307</v>
      </c>
      <c r="C1021" s="181">
        <v>52030</v>
      </c>
      <c r="D1021" s="30">
        <v>46307</v>
      </c>
      <c r="E1021" s="30">
        <v>46302</v>
      </c>
      <c r="F1021" s="30">
        <v>46319</v>
      </c>
      <c r="G1021" s="37">
        <v>4420234873</v>
      </c>
      <c r="H1021" s="37" t="s">
        <v>373</v>
      </c>
      <c r="I1021" s="37">
        <v>9040040450</v>
      </c>
      <c r="J1021" s="37" t="s">
        <v>176</v>
      </c>
      <c r="K1021" s="325" t="s">
        <v>177</v>
      </c>
      <c r="L1021" s="181">
        <v>3</v>
      </c>
      <c r="M1021" s="181" t="s">
        <v>421</v>
      </c>
      <c r="N1021" s="37" t="s">
        <v>451</v>
      </c>
      <c r="O1021" s="31"/>
      <c r="P1021" s="37"/>
      <c r="Q1021" s="181"/>
      <c r="R1021" s="181"/>
      <c r="S1021" s="181"/>
      <c r="T1021" s="181"/>
      <c r="U1021" s="181"/>
      <c r="V1021" s="37"/>
      <c r="W1021" s="181"/>
      <c r="X1021" s="38"/>
      <c r="Y1021" s="38"/>
      <c r="Z1021" s="38"/>
      <c r="AA1021" s="38"/>
      <c r="AB1021" s="50"/>
      <c r="AC1021" s="181"/>
      <c r="AD1021" s="51"/>
      <c r="AE1021" s="37"/>
      <c r="AF1021" s="37"/>
      <c r="AG1021" s="33"/>
      <c r="AH1021" s="37"/>
      <c r="AI1021" s="37"/>
      <c r="AJ1021" s="181"/>
      <c r="AK1021" s="37">
        <v>26731</v>
      </c>
      <c r="AL1021" s="244">
        <v>46310</v>
      </c>
      <c r="AM1021" s="181">
        <v>25</v>
      </c>
      <c r="AN1021" s="37"/>
      <c r="AO1021" s="37"/>
      <c r="AP1021" s="37"/>
      <c r="AQ1021" s="37"/>
      <c r="AR1021" s="37"/>
      <c r="AS1021" s="37"/>
      <c r="AT1021" s="37"/>
      <c r="AU1021" s="37"/>
      <c r="AV1021" s="37"/>
      <c r="AW1021" s="37"/>
      <c r="AX1021" s="37"/>
      <c r="AY1021" s="37"/>
      <c r="AZ1021" s="37"/>
    </row>
    <row r="1022" spans="1:52" ht="15.5" customHeight="1">
      <c r="A1022" s="360" t="s">
        <v>372</v>
      </c>
      <c r="B1022" s="340">
        <v>46307</v>
      </c>
      <c r="C1022" s="181">
        <v>52030</v>
      </c>
      <c r="D1022" s="30">
        <v>46307</v>
      </c>
      <c r="E1022" s="30">
        <v>46302</v>
      </c>
      <c r="F1022" s="30">
        <v>46319</v>
      </c>
      <c r="G1022" s="37">
        <v>4420234873</v>
      </c>
      <c r="H1022" s="37" t="s">
        <v>373</v>
      </c>
      <c r="I1022" s="37">
        <v>9040008107</v>
      </c>
      <c r="J1022" s="217" t="s">
        <v>227</v>
      </c>
      <c r="K1022" s="325" t="s">
        <v>228</v>
      </c>
      <c r="L1022" s="181">
        <v>5</v>
      </c>
      <c r="M1022" s="181" t="s">
        <v>389</v>
      </c>
      <c r="N1022" s="37" t="s">
        <v>451</v>
      </c>
      <c r="O1022" s="31"/>
      <c r="P1022" s="37"/>
      <c r="Q1022" s="181"/>
      <c r="R1022" s="181"/>
      <c r="S1022" s="181"/>
      <c r="T1022" s="181"/>
      <c r="U1022" s="181"/>
      <c r="V1022" s="37"/>
      <c r="W1022" s="181"/>
      <c r="X1022" s="38"/>
      <c r="Y1022" s="38"/>
      <c r="Z1022" s="38"/>
      <c r="AA1022" s="38"/>
      <c r="AB1022" s="50"/>
      <c r="AC1022" s="181"/>
      <c r="AD1022" s="51"/>
      <c r="AE1022" s="37"/>
      <c r="AF1022" s="37"/>
      <c r="AG1022" s="33"/>
      <c r="AH1022" s="37"/>
      <c r="AI1022" s="37"/>
      <c r="AJ1022" s="181"/>
      <c r="AK1022" s="37"/>
      <c r="AL1022" s="37"/>
      <c r="AM1022" s="181"/>
      <c r="AN1022" s="37"/>
      <c r="AO1022" s="37"/>
      <c r="AP1022" s="37"/>
      <c r="AQ1022" s="37"/>
      <c r="AR1022" s="37"/>
      <c r="AS1022" s="37"/>
      <c r="AT1022" s="37"/>
      <c r="AU1022" s="37"/>
      <c r="AV1022" s="37"/>
      <c r="AW1022" s="37"/>
      <c r="AX1022" s="37"/>
      <c r="AY1022" s="37"/>
      <c r="AZ1022" s="37"/>
    </row>
    <row r="1023" spans="1:52" ht="15.5" customHeight="1">
      <c r="A1023" s="360" t="s">
        <v>372</v>
      </c>
      <c r="B1023" s="340">
        <v>46307</v>
      </c>
      <c r="C1023" s="181">
        <v>52031</v>
      </c>
      <c r="D1023" s="30">
        <v>46307</v>
      </c>
      <c r="E1023" s="30">
        <v>46302</v>
      </c>
      <c r="F1023" s="30">
        <v>46333</v>
      </c>
      <c r="G1023" s="37">
        <v>4420234834</v>
      </c>
      <c r="H1023" s="37" t="s">
        <v>373</v>
      </c>
      <c r="I1023" s="37">
        <v>9040012343</v>
      </c>
      <c r="J1023" s="37" t="s">
        <v>303</v>
      </c>
      <c r="K1023" s="325" t="s">
        <v>304</v>
      </c>
      <c r="L1023" s="181">
        <v>5</v>
      </c>
      <c r="M1023" s="181" t="s">
        <v>375</v>
      </c>
      <c r="N1023" s="37" t="s">
        <v>376</v>
      </c>
      <c r="O1023" s="31"/>
      <c r="P1023" s="37"/>
      <c r="Q1023" s="181"/>
      <c r="R1023" s="181"/>
      <c r="S1023" s="181"/>
      <c r="T1023" s="181"/>
      <c r="U1023" s="181"/>
      <c r="V1023" s="37"/>
      <c r="W1023" s="181"/>
      <c r="X1023" s="38"/>
      <c r="Y1023" s="38"/>
      <c r="Z1023" s="38"/>
      <c r="AA1023" s="38"/>
      <c r="AB1023" s="50"/>
      <c r="AC1023" s="181"/>
      <c r="AD1023" s="51"/>
      <c r="AE1023" s="37"/>
      <c r="AF1023" s="37"/>
      <c r="AG1023" s="33"/>
      <c r="AH1023" s="37"/>
      <c r="AI1023" s="37"/>
      <c r="AJ1023" s="181"/>
      <c r="AK1023" s="37"/>
      <c r="AL1023" s="37"/>
      <c r="AM1023" s="181"/>
      <c r="AN1023" s="37"/>
      <c r="AO1023" s="37"/>
      <c r="AP1023" s="37"/>
      <c r="AQ1023" s="37"/>
      <c r="AR1023" s="37"/>
      <c r="AS1023" s="37"/>
      <c r="AT1023" s="37"/>
      <c r="AU1023" s="37"/>
      <c r="AV1023" s="37"/>
      <c r="AW1023" s="37"/>
      <c r="AX1023" s="37"/>
      <c r="AY1023" s="37"/>
      <c r="AZ1023" s="37"/>
    </row>
    <row r="1024" spans="1:52" ht="15.5" customHeight="1">
      <c r="A1024" s="360" t="s">
        <v>372</v>
      </c>
      <c r="B1024" s="340">
        <v>46307</v>
      </c>
      <c r="C1024" s="181">
        <v>52031</v>
      </c>
      <c r="D1024" s="30">
        <v>46307</v>
      </c>
      <c r="E1024" s="30">
        <v>46302</v>
      </c>
      <c r="F1024" s="30">
        <v>46333</v>
      </c>
      <c r="G1024" s="37">
        <v>4420234834</v>
      </c>
      <c r="H1024" s="37" t="s">
        <v>373</v>
      </c>
      <c r="I1024" s="37">
        <v>9040016581</v>
      </c>
      <c r="J1024" s="37" t="s">
        <v>185</v>
      </c>
      <c r="K1024" s="325" t="s">
        <v>186</v>
      </c>
      <c r="L1024" s="181">
        <v>3</v>
      </c>
      <c r="M1024" s="181" t="s">
        <v>375</v>
      </c>
      <c r="N1024" s="37" t="s">
        <v>376</v>
      </c>
      <c r="O1024" s="31"/>
      <c r="P1024" s="37"/>
      <c r="Q1024" s="181"/>
      <c r="R1024" s="181"/>
      <c r="S1024" s="181"/>
      <c r="T1024" s="181"/>
      <c r="U1024" s="181"/>
      <c r="V1024" s="37"/>
      <c r="W1024" s="181"/>
      <c r="X1024" s="38"/>
      <c r="Y1024" s="38"/>
      <c r="Z1024" s="38"/>
      <c r="AA1024" s="38"/>
      <c r="AB1024" s="50"/>
      <c r="AC1024" s="181"/>
      <c r="AD1024" s="51"/>
      <c r="AE1024" s="37"/>
      <c r="AF1024" s="37"/>
      <c r="AG1024" s="33"/>
      <c r="AH1024" s="37"/>
      <c r="AI1024" s="37"/>
      <c r="AJ1024" s="181"/>
      <c r="AK1024" s="37"/>
      <c r="AL1024" s="37"/>
      <c r="AM1024" s="181"/>
      <c r="AN1024" s="37"/>
      <c r="AO1024" s="37"/>
      <c r="AP1024" s="37"/>
      <c r="AQ1024" s="37"/>
      <c r="AR1024" s="37"/>
      <c r="AS1024" s="37"/>
      <c r="AT1024" s="37"/>
      <c r="AU1024" s="37"/>
      <c r="AV1024" s="37"/>
      <c r="AW1024" s="37"/>
      <c r="AX1024" s="37"/>
      <c r="AY1024" s="37"/>
      <c r="AZ1024" s="37"/>
    </row>
    <row r="1025" spans="1:52" ht="15.5" customHeight="1">
      <c r="A1025" s="360" t="s">
        <v>372</v>
      </c>
      <c r="B1025" s="340">
        <v>46307</v>
      </c>
      <c r="C1025" s="181">
        <v>52031</v>
      </c>
      <c r="D1025" s="30">
        <v>46307</v>
      </c>
      <c r="E1025" s="30">
        <v>46302</v>
      </c>
      <c r="F1025" s="30">
        <v>46333</v>
      </c>
      <c r="G1025" s="37">
        <v>4420234834</v>
      </c>
      <c r="H1025" s="37" t="s">
        <v>373</v>
      </c>
      <c r="I1025" s="37">
        <v>9040040420</v>
      </c>
      <c r="J1025" s="37" t="s">
        <v>219</v>
      </c>
      <c r="K1025" s="325" t="s">
        <v>220</v>
      </c>
      <c r="L1025" s="181">
        <v>2</v>
      </c>
      <c r="M1025" s="181" t="s">
        <v>389</v>
      </c>
      <c r="N1025" s="37" t="s">
        <v>376</v>
      </c>
      <c r="O1025" s="31"/>
      <c r="P1025" s="37"/>
      <c r="Q1025" s="181"/>
      <c r="R1025" s="181"/>
      <c r="S1025" s="181"/>
      <c r="T1025" s="181"/>
      <c r="U1025" s="181"/>
      <c r="V1025" s="37"/>
      <c r="W1025" s="181"/>
      <c r="X1025" s="38"/>
      <c r="Y1025" s="38"/>
      <c r="Z1025" s="38"/>
      <c r="AA1025" s="38"/>
      <c r="AB1025" s="50"/>
      <c r="AC1025" s="181"/>
      <c r="AD1025" s="51"/>
      <c r="AE1025" s="37"/>
      <c r="AF1025" s="37"/>
      <c r="AG1025" s="33"/>
      <c r="AH1025" s="37"/>
      <c r="AI1025" s="37"/>
      <c r="AJ1025" s="181"/>
      <c r="AK1025" s="37">
        <v>26706</v>
      </c>
      <c r="AL1025" s="244">
        <v>46309</v>
      </c>
      <c r="AM1025" s="181">
        <v>16</v>
      </c>
      <c r="AN1025" s="37"/>
      <c r="AO1025" s="244">
        <v>46311</v>
      </c>
      <c r="AP1025" s="37"/>
      <c r="AQ1025" s="37"/>
      <c r="AR1025" s="37"/>
      <c r="AS1025" s="37"/>
      <c r="AT1025" s="37"/>
      <c r="AU1025" s="37"/>
      <c r="AV1025" s="37"/>
      <c r="AW1025" s="37"/>
      <c r="AX1025" s="37"/>
      <c r="AY1025" s="37"/>
      <c r="AZ1025" s="37"/>
    </row>
    <row r="1026" spans="1:52" ht="15.5" customHeight="1">
      <c r="A1026" s="360" t="s">
        <v>372</v>
      </c>
      <c r="B1026" s="340">
        <v>46307</v>
      </c>
      <c r="C1026" s="181">
        <v>52031</v>
      </c>
      <c r="D1026" s="30">
        <v>46307</v>
      </c>
      <c r="E1026" s="30">
        <v>46302</v>
      </c>
      <c r="F1026" s="30">
        <v>46333</v>
      </c>
      <c r="G1026" s="37">
        <v>4420234834</v>
      </c>
      <c r="H1026" s="37" t="s">
        <v>373</v>
      </c>
      <c r="I1026" s="37">
        <v>9040040588</v>
      </c>
      <c r="J1026" s="37" t="s">
        <v>76</v>
      </c>
      <c r="K1026" s="325" t="s">
        <v>77</v>
      </c>
      <c r="L1026" s="181">
        <v>7</v>
      </c>
      <c r="M1026" s="181" t="s">
        <v>375</v>
      </c>
      <c r="N1026" s="37" t="s">
        <v>376</v>
      </c>
      <c r="O1026" s="31"/>
      <c r="P1026" s="37"/>
      <c r="Q1026" s="181"/>
      <c r="R1026" s="181"/>
      <c r="S1026" s="181"/>
      <c r="T1026" s="181"/>
      <c r="U1026" s="181"/>
      <c r="V1026" s="37"/>
      <c r="W1026" s="181"/>
      <c r="X1026" s="38"/>
      <c r="Y1026" s="38"/>
      <c r="Z1026" s="38"/>
      <c r="AA1026" s="38"/>
      <c r="AB1026" s="50"/>
      <c r="AC1026" s="181"/>
      <c r="AD1026" s="51"/>
      <c r="AE1026" s="37"/>
      <c r="AF1026" s="37"/>
      <c r="AG1026" s="33"/>
      <c r="AH1026" s="37"/>
      <c r="AI1026" s="37"/>
      <c r="AJ1026" s="181"/>
      <c r="AK1026" s="37">
        <v>26642</v>
      </c>
      <c r="AL1026" s="241">
        <v>46303</v>
      </c>
      <c r="AM1026" s="181">
        <v>650</v>
      </c>
      <c r="AN1026" s="37"/>
      <c r="AO1026" s="244">
        <v>46311</v>
      </c>
      <c r="AP1026" s="37"/>
      <c r="AQ1026" s="37"/>
      <c r="AR1026" s="37"/>
      <c r="AS1026" s="37"/>
      <c r="AT1026" s="37"/>
      <c r="AU1026" s="37"/>
      <c r="AV1026" s="37"/>
      <c r="AW1026" s="37"/>
      <c r="AX1026" s="37"/>
      <c r="AY1026" s="37"/>
      <c r="AZ1026" s="37"/>
    </row>
    <row r="1027" spans="1:52" ht="15.5" customHeight="1">
      <c r="A1027" s="360" t="s">
        <v>372</v>
      </c>
      <c r="B1027" s="340">
        <v>46307</v>
      </c>
      <c r="C1027" s="181">
        <v>52031</v>
      </c>
      <c r="D1027" s="30">
        <v>46307</v>
      </c>
      <c r="E1027" s="30">
        <v>46302</v>
      </c>
      <c r="F1027" s="30">
        <v>46333</v>
      </c>
      <c r="G1027" s="37">
        <v>4420234834</v>
      </c>
      <c r="H1027" s="37" t="s">
        <v>373</v>
      </c>
      <c r="I1027" s="37">
        <v>9040041393</v>
      </c>
      <c r="J1027" s="37" t="s">
        <v>191</v>
      </c>
      <c r="K1027" s="325" t="s">
        <v>192</v>
      </c>
      <c r="L1027" s="181">
        <v>200</v>
      </c>
      <c r="M1027" s="181" t="s">
        <v>375</v>
      </c>
      <c r="N1027" s="37" t="s">
        <v>376</v>
      </c>
      <c r="O1027" s="31"/>
      <c r="P1027" s="37"/>
      <c r="Q1027" s="181"/>
      <c r="R1027" s="181"/>
      <c r="S1027" s="181"/>
      <c r="T1027" s="181"/>
      <c r="U1027" s="181"/>
      <c r="V1027" s="37"/>
      <c r="W1027" s="181"/>
      <c r="X1027" s="38"/>
      <c r="Y1027" s="38"/>
      <c r="Z1027" s="38"/>
      <c r="AA1027" s="38"/>
      <c r="AB1027" s="50"/>
      <c r="AC1027" s="181"/>
      <c r="AD1027" s="51"/>
      <c r="AE1027" s="37"/>
      <c r="AF1027" s="37"/>
      <c r="AG1027" s="33"/>
      <c r="AH1027" s="37"/>
      <c r="AI1027" s="37"/>
      <c r="AJ1027" s="181"/>
      <c r="AK1027" s="37"/>
      <c r="AL1027" s="37"/>
      <c r="AM1027" s="181"/>
      <c r="AN1027" s="37"/>
      <c r="AO1027" s="37"/>
      <c r="AP1027" s="37"/>
      <c r="AQ1027" s="37"/>
      <c r="AR1027" s="37"/>
      <c r="AS1027" s="37"/>
      <c r="AT1027" s="37"/>
      <c r="AU1027" s="37"/>
      <c r="AV1027" s="37"/>
      <c r="AW1027" s="37"/>
      <c r="AX1027" s="37"/>
      <c r="AY1027" s="37"/>
      <c r="AZ1027" s="37"/>
    </row>
    <row r="1028" spans="1:52" ht="15.5" customHeight="1">
      <c r="A1028" s="360" t="s">
        <v>372</v>
      </c>
      <c r="B1028" s="340">
        <v>46307</v>
      </c>
      <c r="C1028" s="181">
        <v>52031</v>
      </c>
      <c r="D1028" s="30">
        <v>46307</v>
      </c>
      <c r="E1028" s="30">
        <v>46302</v>
      </c>
      <c r="F1028" s="30">
        <v>46333</v>
      </c>
      <c r="G1028" s="37">
        <v>4420234834</v>
      </c>
      <c r="H1028" s="37" t="s">
        <v>373</v>
      </c>
      <c r="I1028" s="37">
        <v>9040044191</v>
      </c>
      <c r="J1028" s="37" t="s">
        <v>187</v>
      </c>
      <c r="K1028" s="325" t="s">
        <v>188</v>
      </c>
      <c r="L1028" s="181">
        <v>5</v>
      </c>
      <c r="M1028" s="181" t="s">
        <v>375</v>
      </c>
      <c r="N1028" s="37" t="s">
        <v>376</v>
      </c>
      <c r="O1028" s="31"/>
      <c r="P1028" s="37"/>
      <c r="Q1028" s="181"/>
      <c r="R1028" s="181"/>
      <c r="S1028" s="181"/>
      <c r="T1028" s="181"/>
      <c r="U1028" s="181"/>
      <c r="V1028" s="37"/>
      <c r="W1028" s="181"/>
      <c r="X1028" s="38"/>
      <c r="Y1028" s="38"/>
      <c r="Z1028" s="38"/>
      <c r="AA1028" s="38"/>
      <c r="AB1028" s="50">
        <v>46314</v>
      </c>
      <c r="AC1028" s="44" t="s">
        <v>1393</v>
      </c>
      <c r="AD1028" s="51">
        <v>5</v>
      </c>
      <c r="AE1028" s="37" t="s">
        <v>387</v>
      </c>
      <c r="AF1028" s="37" t="s">
        <v>381</v>
      </c>
      <c r="AG1028" s="33"/>
      <c r="AH1028" s="37"/>
      <c r="AI1028" s="37"/>
      <c r="AJ1028" s="181"/>
      <c r="AK1028" s="37"/>
      <c r="AL1028" s="37"/>
      <c r="AM1028" s="181"/>
      <c r="AN1028" s="37"/>
      <c r="AO1028" s="37"/>
      <c r="AP1028" s="37"/>
      <c r="AQ1028" s="37"/>
      <c r="AR1028" s="37"/>
      <c r="AS1028" s="37"/>
      <c r="AT1028" s="37"/>
      <c r="AU1028" s="37"/>
      <c r="AV1028" s="37"/>
      <c r="AW1028" s="37"/>
      <c r="AX1028" s="37"/>
      <c r="AY1028" s="37"/>
      <c r="AZ1028" s="37"/>
    </row>
    <row r="1029" spans="1:52" ht="15.5" customHeight="1">
      <c r="A1029" s="360" t="s">
        <v>372</v>
      </c>
      <c r="B1029" s="340">
        <v>46307</v>
      </c>
      <c r="C1029" s="181">
        <v>52031</v>
      </c>
      <c r="D1029" s="30">
        <v>46307</v>
      </c>
      <c r="E1029" s="30">
        <v>46302</v>
      </c>
      <c r="F1029" s="30">
        <v>46333</v>
      </c>
      <c r="G1029" s="37">
        <v>4420234834</v>
      </c>
      <c r="H1029" s="37" t="s">
        <v>373</v>
      </c>
      <c r="I1029" s="37">
        <v>9040052401</v>
      </c>
      <c r="J1029" s="37" t="s">
        <v>252</v>
      </c>
      <c r="K1029" s="325" t="s">
        <v>253</v>
      </c>
      <c r="L1029" s="181">
        <v>2</v>
      </c>
      <c r="M1029" s="181" t="s">
        <v>375</v>
      </c>
      <c r="N1029" s="37" t="s">
        <v>376</v>
      </c>
      <c r="O1029" s="31"/>
      <c r="P1029" s="37"/>
      <c r="Q1029" s="181"/>
      <c r="R1029" s="181"/>
      <c r="S1029" s="181"/>
      <c r="T1029" s="181"/>
      <c r="U1029" s="181"/>
      <c r="V1029" s="37"/>
      <c r="W1029" s="181"/>
      <c r="X1029" s="38"/>
      <c r="Y1029" s="38"/>
      <c r="Z1029" s="38"/>
      <c r="AA1029" s="38"/>
      <c r="AB1029" s="50">
        <v>46314</v>
      </c>
      <c r="AC1029" s="44" t="s">
        <v>1393</v>
      </c>
      <c r="AD1029" s="51">
        <v>2</v>
      </c>
      <c r="AE1029" s="37" t="s">
        <v>387</v>
      </c>
      <c r="AF1029" s="37" t="s">
        <v>381</v>
      </c>
      <c r="AG1029" s="33"/>
      <c r="AH1029" s="37"/>
      <c r="AI1029" s="37"/>
      <c r="AJ1029" s="181"/>
      <c r="AK1029" s="37"/>
      <c r="AL1029" s="37"/>
      <c r="AM1029" s="181"/>
      <c r="AN1029" s="37"/>
      <c r="AO1029" s="37"/>
      <c r="AP1029" s="37"/>
      <c r="AQ1029" s="37"/>
      <c r="AR1029" s="37"/>
      <c r="AS1029" s="37"/>
      <c r="AT1029" s="37"/>
      <c r="AU1029" s="37"/>
      <c r="AV1029" s="37"/>
      <c r="AW1029" s="37"/>
      <c r="AX1029" s="37"/>
      <c r="AY1029" s="37"/>
      <c r="AZ1029" s="37"/>
    </row>
    <row r="1030" spans="1:52" ht="15.5" customHeight="1">
      <c r="A1030" s="360" t="s">
        <v>372</v>
      </c>
      <c r="B1030" s="340">
        <v>46307</v>
      </c>
      <c r="C1030" s="181">
        <v>52032</v>
      </c>
      <c r="D1030" s="30">
        <v>46307</v>
      </c>
      <c r="E1030" s="30">
        <v>46306</v>
      </c>
      <c r="F1030" s="30">
        <v>46313</v>
      </c>
      <c r="G1030" s="37">
        <v>4420235050</v>
      </c>
      <c r="H1030" s="37" t="s">
        <v>373</v>
      </c>
      <c r="I1030" s="37">
        <v>9040014656</v>
      </c>
      <c r="J1030" s="217" t="s">
        <v>205</v>
      </c>
      <c r="K1030" s="325" t="s">
        <v>206</v>
      </c>
      <c r="L1030" s="181">
        <v>2</v>
      </c>
      <c r="M1030" s="181" t="s">
        <v>389</v>
      </c>
      <c r="N1030" s="37" t="s">
        <v>400</v>
      </c>
      <c r="O1030" s="31"/>
      <c r="P1030" s="37"/>
      <c r="Q1030" s="181"/>
      <c r="R1030" s="181"/>
      <c r="S1030" s="181"/>
      <c r="T1030" s="181"/>
      <c r="U1030" s="181"/>
      <c r="V1030" s="37"/>
      <c r="W1030" s="181"/>
      <c r="X1030" s="38"/>
      <c r="Y1030" s="38"/>
      <c r="Z1030" s="38"/>
      <c r="AA1030" s="38"/>
      <c r="AB1030" s="50"/>
      <c r="AC1030" s="181"/>
      <c r="AD1030" s="51"/>
      <c r="AE1030" s="37"/>
      <c r="AF1030" s="37"/>
      <c r="AG1030" s="33"/>
      <c r="AH1030" s="37"/>
      <c r="AI1030" s="37"/>
      <c r="AJ1030" s="181"/>
      <c r="AK1030" s="37"/>
      <c r="AL1030" s="37"/>
      <c r="AM1030" s="181"/>
      <c r="AN1030" s="37"/>
      <c r="AO1030" s="37"/>
      <c r="AP1030" s="37"/>
      <c r="AQ1030" s="37"/>
      <c r="AR1030" s="37"/>
      <c r="AS1030" s="37"/>
      <c r="AT1030" s="37"/>
      <c r="AU1030" s="37"/>
      <c r="AV1030" s="37"/>
      <c r="AW1030" s="37"/>
      <c r="AX1030" s="37"/>
      <c r="AY1030" s="37"/>
      <c r="AZ1030" s="37"/>
    </row>
    <row r="1031" spans="1:52" ht="15.5" customHeight="1">
      <c r="A1031" s="360" t="s">
        <v>372</v>
      </c>
      <c r="B1031" s="340">
        <v>46307</v>
      </c>
      <c r="C1031" s="181">
        <v>52032</v>
      </c>
      <c r="D1031" s="30">
        <v>46307</v>
      </c>
      <c r="E1031" s="30">
        <v>46306</v>
      </c>
      <c r="F1031" s="30">
        <v>46313</v>
      </c>
      <c r="G1031" s="37">
        <v>4420235050</v>
      </c>
      <c r="H1031" s="37" t="s">
        <v>373</v>
      </c>
      <c r="I1031" s="37">
        <v>9040054960</v>
      </c>
      <c r="J1031" s="37" t="s">
        <v>306</v>
      </c>
      <c r="K1031" s="325" t="s">
        <v>307</v>
      </c>
      <c r="L1031" s="181">
        <v>1</v>
      </c>
      <c r="M1031" s="181" t="s">
        <v>421</v>
      </c>
      <c r="N1031" s="37" t="s">
        <v>400</v>
      </c>
      <c r="O1031" s="31"/>
      <c r="P1031" s="37"/>
      <c r="Q1031" s="181"/>
      <c r="R1031" s="181"/>
      <c r="S1031" s="181"/>
      <c r="T1031" s="181"/>
      <c r="U1031" s="181"/>
      <c r="V1031" s="37"/>
      <c r="W1031" s="181"/>
      <c r="X1031" s="38"/>
      <c r="Y1031" s="38"/>
      <c r="Z1031" s="38"/>
      <c r="AA1031" s="38"/>
      <c r="AB1031" s="50"/>
      <c r="AC1031" s="181"/>
      <c r="AD1031" s="51"/>
      <c r="AE1031" s="37"/>
      <c r="AF1031" s="37"/>
      <c r="AG1031" s="33"/>
      <c r="AH1031" s="37"/>
      <c r="AI1031" s="37"/>
      <c r="AJ1031" s="181"/>
      <c r="AK1031" s="37">
        <v>26715</v>
      </c>
      <c r="AL1031" s="244">
        <v>46309</v>
      </c>
      <c r="AM1031" s="181"/>
      <c r="AN1031" s="37"/>
      <c r="AO1031" s="37"/>
      <c r="AP1031" s="37"/>
      <c r="AQ1031" s="37"/>
      <c r="AR1031" s="37"/>
      <c r="AS1031" s="37"/>
      <c r="AT1031" s="37"/>
      <c r="AU1031" s="37"/>
      <c r="AV1031" s="37"/>
      <c r="AW1031" s="37"/>
      <c r="AX1031" s="37"/>
      <c r="AY1031" s="37"/>
      <c r="AZ1031" s="37"/>
    </row>
    <row r="1032" spans="1:52" ht="15.5" customHeight="1">
      <c r="A1032" s="360" t="s">
        <v>372</v>
      </c>
      <c r="B1032" s="340">
        <v>46307</v>
      </c>
      <c r="C1032" s="181">
        <v>52032</v>
      </c>
      <c r="D1032" s="30">
        <v>46307</v>
      </c>
      <c r="E1032" s="30">
        <v>46306</v>
      </c>
      <c r="F1032" s="30">
        <v>46313</v>
      </c>
      <c r="G1032" s="37">
        <v>4420235050</v>
      </c>
      <c r="H1032" s="37" t="s">
        <v>373</v>
      </c>
      <c r="I1032" s="37">
        <v>9040028877</v>
      </c>
      <c r="J1032" s="37" t="s">
        <v>199</v>
      </c>
      <c r="K1032" s="325" t="s">
        <v>200</v>
      </c>
      <c r="L1032" s="181">
        <v>52</v>
      </c>
      <c r="M1032" s="181" t="s">
        <v>375</v>
      </c>
      <c r="N1032" s="37" t="s">
        <v>400</v>
      </c>
      <c r="O1032" s="31"/>
      <c r="P1032" s="37"/>
      <c r="Q1032" s="181"/>
      <c r="R1032" s="181"/>
      <c r="S1032" s="181"/>
      <c r="T1032" s="181"/>
      <c r="U1032" s="181"/>
      <c r="V1032" s="37"/>
      <c r="W1032" s="181"/>
      <c r="X1032" s="38"/>
      <c r="Y1032" s="38"/>
      <c r="Z1032" s="38"/>
      <c r="AA1032" s="38"/>
      <c r="AB1032" s="50"/>
      <c r="AC1032" s="181"/>
      <c r="AD1032" s="51"/>
      <c r="AE1032" s="37"/>
      <c r="AF1032" s="37"/>
      <c r="AG1032" s="33"/>
      <c r="AH1032" s="37"/>
      <c r="AI1032" s="37"/>
      <c r="AJ1032" s="181"/>
      <c r="AK1032" s="37"/>
      <c r="AL1032" s="37"/>
      <c r="AM1032" s="181"/>
      <c r="AN1032" s="37"/>
      <c r="AO1032" s="37"/>
      <c r="AP1032" s="37"/>
      <c r="AQ1032" s="37"/>
      <c r="AR1032" s="37"/>
      <c r="AS1032" s="37"/>
      <c r="AT1032" s="37"/>
      <c r="AU1032" s="37"/>
      <c r="AV1032" s="37"/>
      <c r="AW1032" s="37"/>
      <c r="AX1032" s="37"/>
      <c r="AY1032" s="37"/>
      <c r="AZ1032" s="37"/>
    </row>
    <row r="1033" spans="1:52" ht="15.5" customHeight="1">
      <c r="A1033" s="360" t="s">
        <v>372</v>
      </c>
      <c r="B1033" s="340">
        <v>46307</v>
      </c>
      <c r="C1033" s="181">
        <v>52032</v>
      </c>
      <c r="D1033" s="30">
        <v>46307</v>
      </c>
      <c r="E1033" s="30">
        <v>46306</v>
      </c>
      <c r="F1033" s="30">
        <v>46313</v>
      </c>
      <c r="G1033" s="37">
        <v>4420235050</v>
      </c>
      <c r="H1033" s="37" t="s">
        <v>373</v>
      </c>
      <c r="I1033" s="37">
        <v>9040040446</v>
      </c>
      <c r="J1033" s="37" t="s">
        <v>189</v>
      </c>
      <c r="K1033" s="325" t="s">
        <v>190</v>
      </c>
      <c r="L1033" s="181">
        <v>12</v>
      </c>
      <c r="M1033" s="181" t="s">
        <v>421</v>
      </c>
      <c r="N1033" s="37" t="s">
        <v>400</v>
      </c>
      <c r="O1033" s="31"/>
      <c r="P1033" s="37"/>
      <c r="Q1033" s="181"/>
      <c r="R1033" s="181"/>
      <c r="S1033" s="181"/>
      <c r="T1033" s="181"/>
      <c r="U1033" s="181"/>
      <c r="V1033" s="37"/>
      <c r="W1033" s="181"/>
      <c r="X1033" s="38"/>
      <c r="Y1033" s="38"/>
      <c r="Z1033" s="38"/>
      <c r="AA1033" s="38"/>
      <c r="AB1033" s="50"/>
      <c r="AC1033" s="181"/>
      <c r="AD1033" s="51"/>
      <c r="AE1033" s="37"/>
      <c r="AF1033" s="37"/>
      <c r="AG1033" s="33"/>
      <c r="AH1033" s="37"/>
      <c r="AI1033" s="37"/>
      <c r="AJ1033" s="181"/>
      <c r="AK1033" s="37">
        <v>26690</v>
      </c>
      <c r="AL1033" s="37"/>
      <c r="AM1033" s="181"/>
      <c r="AN1033" s="37"/>
      <c r="AO1033" s="37"/>
      <c r="AP1033" s="37"/>
      <c r="AQ1033" s="37"/>
      <c r="AR1033" s="37"/>
      <c r="AS1033" s="37"/>
      <c r="AT1033" s="37"/>
      <c r="AU1033" s="37"/>
      <c r="AV1033" s="37"/>
      <c r="AW1033" s="37"/>
      <c r="AX1033" s="37"/>
      <c r="AY1033" s="37"/>
      <c r="AZ1033" s="37"/>
    </row>
    <row r="1034" spans="1:52" ht="15.5" customHeight="1">
      <c r="A1034" s="360" t="s">
        <v>372</v>
      </c>
      <c r="B1034" s="340">
        <v>46307</v>
      </c>
      <c r="C1034" s="181">
        <v>52032</v>
      </c>
      <c r="D1034" s="30">
        <v>46307</v>
      </c>
      <c r="E1034" s="30">
        <v>46306</v>
      </c>
      <c r="F1034" s="30">
        <v>46313</v>
      </c>
      <c r="G1034" s="37">
        <v>4420235050</v>
      </c>
      <c r="H1034" s="37" t="s">
        <v>373</v>
      </c>
      <c r="I1034" s="37">
        <v>9040042224</v>
      </c>
      <c r="J1034" s="37" t="s">
        <v>195</v>
      </c>
      <c r="K1034" s="325" t="s">
        <v>196</v>
      </c>
      <c r="L1034" s="181">
        <v>28</v>
      </c>
      <c r="M1034" s="181" t="s">
        <v>421</v>
      </c>
      <c r="N1034" s="37" t="s">
        <v>400</v>
      </c>
      <c r="O1034" s="31"/>
      <c r="P1034" s="37"/>
      <c r="Q1034" s="181"/>
      <c r="R1034" s="181"/>
      <c r="S1034" s="181"/>
      <c r="T1034" s="181"/>
      <c r="U1034" s="181"/>
      <c r="V1034" s="37"/>
      <c r="W1034" s="181"/>
      <c r="X1034" s="38"/>
      <c r="Y1034" s="38"/>
      <c r="Z1034" s="38"/>
      <c r="AA1034" s="38"/>
      <c r="AB1034" s="50"/>
      <c r="AC1034" s="181"/>
      <c r="AD1034" s="51"/>
      <c r="AE1034" s="37"/>
      <c r="AF1034" s="37"/>
      <c r="AG1034" s="33"/>
      <c r="AH1034" s="37"/>
      <c r="AI1034" s="37"/>
      <c r="AJ1034" s="181"/>
      <c r="AK1034" s="37">
        <v>26690</v>
      </c>
      <c r="AL1034" s="37"/>
      <c r="AM1034" s="181"/>
      <c r="AN1034" s="37"/>
      <c r="AO1034" s="37"/>
      <c r="AP1034" s="37"/>
      <c r="AQ1034" s="37"/>
      <c r="AR1034" s="37"/>
      <c r="AS1034" s="37"/>
      <c r="AT1034" s="37"/>
      <c r="AU1034" s="37"/>
      <c r="AV1034" s="37"/>
      <c r="AW1034" s="37"/>
      <c r="AX1034" s="37"/>
      <c r="AY1034" s="37"/>
      <c r="AZ1034" s="37"/>
    </row>
    <row r="1035" spans="1:52" ht="15.5" customHeight="1">
      <c r="A1035" s="360" t="s">
        <v>372</v>
      </c>
      <c r="B1035" s="340">
        <v>46307</v>
      </c>
      <c r="C1035" s="181">
        <v>52032</v>
      </c>
      <c r="D1035" s="30">
        <v>46307</v>
      </c>
      <c r="E1035" s="30">
        <v>46306</v>
      </c>
      <c r="F1035" s="30">
        <v>46313</v>
      </c>
      <c r="G1035" s="37">
        <v>4420235050</v>
      </c>
      <c r="H1035" s="37" t="s">
        <v>373</v>
      </c>
      <c r="I1035" s="37">
        <v>9040022707</v>
      </c>
      <c r="J1035" s="37" t="s">
        <v>79</v>
      </c>
      <c r="K1035" s="325" t="s">
        <v>80</v>
      </c>
      <c r="L1035" s="181">
        <v>3</v>
      </c>
      <c r="M1035" s="181" t="s">
        <v>375</v>
      </c>
      <c r="N1035" s="37" t="s">
        <v>400</v>
      </c>
      <c r="O1035" s="31"/>
      <c r="P1035" s="37"/>
      <c r="Q1035" s="181"/>
      <c r="R1035" s="181"/>
      <c r="S1035" s="181"/>
      <c r="T1035" s="181"/>
      <c r="U1035" s="181"/>
      <c r="V1035" s="37"/>
      <c r="W1035" s="181"/>
      <c r="X1035" s="38"/>
      <c r="Y1035" s="38"/>
      <c r="Z1035" s="38"/>
      <c r="AA1035" s="38"/>
      <c r="AB1035" s="50"/>
      <c r="AC1035" s="181"/>
      <c r="AD1035" s="51"/>
      <c r="AE1035" s="37"/>
      <c r="AF1035" s="37"/>
      <c r="AG1035" s="33"/>
      <c r="AH1035" s="37"/>
      <c r="AI1035" s="37"/>
      <c r="AJ1035" s="181"/>
      <c r="AK1035" s="37">
        <v>26761</v>
      </c>
      <c r="AL1035" s="244">
        <v>46311</v>
      </c>
      <c r="AM1035" s="181"/>
      <c r="AN1035" s="37"/>
      <c r="AO1035" s="37"/>
      <c r="AP1035" s="37"/>
      <c r="AQ1035" s="37"/>
      <c r="AR1035" s="37"/>
      <c r="AS1035" s="37"/>
      <c r="AT1035" s="37"/>
      <c r="AU1035" s="37"/>
      <c r="AV1035" s="37"/>
      <c r="AW1035" s="37"/>
      <c r="AX1035" s="37"/>
      <c r="AY1035" s="37"/>
      <c r="AZ1035" s="37"/>
    </row>
    <row r="1036" spans="1:52" ht="15.5" customHeight="1">
      <c r="A1036" s="360" t="s">
        <v>372</v>
      </c>
      <c r="B1036" s="340">
        <v>46307</v>
      </c>
      <c r="C1036" s="181">
        <v>52032</v>
      </c>
      <c r="D1036" s="30">
        <v>46307</v>
      </c>
      <c r="E1036" s="30">
        <v>46306</v>
      </c>
      <c r="F1036" s="30">
        <v>46313</v>
      </c>
      <c r="G1036" s="37">
        <v>4420235050</v>
      </c>
      <c r="H1036" s="37" t="s">
        <v>373</v>
      </c>
      <c r="I1036" s="37">
        <v>9040040588</v>
      </c>
      <c r="J1036" s="37" t="s">
        <v>76</v>
      </c>
      <c r="K1036" s="325" t="s">
        <v>77</v>
      </c>
      <c r="L1036" s="181">
        <v>55</v>
      </c>
      <c r="M1036" s="181" t="s">
        <v>375</v>
      </c>
      <c r="N1036" s="37" t="s">
        <v>400</v>
      </c>
      <c r="O1036" s="31"/>
      <c r="P1036" s="37"/>
      <c r="Q1036" s="181"/>
      <c r="R1036" s="181"/>
      <c r="S1036" s="181"/>
      <c r="T1036" s="181"/>
      <c r="U1036" s="181"/>
      <c r="V1036" s="37"/>
      <c r="W1036" s="181"/>
      <c r="X1036" s="38"/>
      <c r="Y1036" s="38"/>
      <c r="Z1036" s="38"/>
      <c r="AA1036" s="38"/>
      <c r="AB1036" s="50"/>
      <c r="AC1036" s="181"/>
      <c r="AD1036" s="51"/>
      <c r="AE1036" s="37"/>
      <c r="AF1036" s="37"/>
      <c r="AG1036" s="33"/>
      <c r="AH1036" s="37"/>
      <c r="AI1036" s="37"/>
      <c r="AJ1036" s="181"/>
      <c r="AK1036" s="37">
        <v>26642</v>
      </c>
      <c r="AL1036" s="241">
        <v>46303</v>
      </c>
      <c r="AM1036" s="181">
        <v>650</v>
      </c>
      <c r="AN1036" s="37"/>
      <c r="AO1036" s="244">
        <v>46311</v>
      </c>
      <c r="AP1036" s="37"/>
      <c r="AQ1036" s="37"/>
      <c r="AR1036" s="37"/>
      <c r="AS1036" s="37"/>
      <c r="AT1036" s="37"/>
      <c r="AU1036" s="37"/>
      <c r="AV1036" s="37"/>
      <c r="AW1036" s="37"/>
      <c r="AX1036" s="37"/>
      <c r="AY1036" s="37"/>
      <c r="AZ1036" s="37"/>
    </row>
    <row r="1037" spans="1:52" ht="15.5" customHeight="1">
      <c r="A1037" s="360" t="s">
        <v>372</v>
      </c>
      <c r="B1037" s="340">
        <v>46307</v>
      </c>
      <c r="C1037" s="181">
        <v>52033</v>
      </c>
      <c r="D1037" s="30">
        <v>46307</v>
      </c>
      <c r="E1037" s="30">
        <v>46304</v>
      </c>
      <c r="F1037" s="30">
        <v>46323</v>
      </c>
      <c r="G1037" s="37">
        <v>4420234967</v>
      </c>
      <c r="H1037" s="37" t="s">
        <v>373</v>
      </c>
      <c r="I1037" s="37">
        <v>9040040588</v>
      </c>
      <c r="J1037" s="37" t="s">
        <v>76</v>
      </c>
      <c r="K1037" s="325" t="s">
        <v>77</v>
      </c>
      <c r="L1037" s="181">
        <v>8</v>
      </c>
      <c r="M1037" s="181" t="s">
        <v>375</v>
      </c>
      <c r="N1037" s="37" t="s">
        <v>408</v>
      </c>
      <c r="O1037" s="31"/>
      <c r="P1037" s="37"/>
      <c r="Q1037" s="181"/>
      <c r="R1037" s="181"/>
      <c r="S1037" s="181"/>
      <c r="T1037" s="181"/>
      <c r="U1037" s="181"/>
      <c r="V1037" s="37"/>
      <c r="W1037" s="181"/>
      <c r="X1037" s="38"/>
      <c r="Y1037" s="38"/>
      <c r="Z1037" s="38"/>
      <c r="AA1037" s="38"/>
      <c r="AB1037" s="50"/>
      <c r="AC1037" s="181"/>
      <c r="AD1037" s="51"/>
      <c r="AE1037" s="37"/>
      <c r="AF1037" s="37"/>
      <c r="AG1037" s="33"/>
      <c r="AH1037" s="37"/>
      <c r="AI1037" s="37"/>
      <c r="AJ1037" s="181"/>
      <c r="AK1037" s="37">
        <v>26642</v>
      </c>
      <c r="AL1037" s="241">
        <v>46303</v>
      </c>
      <c r="AM1037" s="181">
        <v>650</v>
      </c>
      <c r="AN1037" s="37"/>
      <c r="AO1037" s="244">
        <v>46311</v>
      </c>
      <c r="AP1037" s="37"/>
      <c r="AQ1037" s="37"/>
      <c r="AR1037" s="37"/>
      <c r="AS1037" s="37"/>
      <c r="AT1037" s="37"/>
      <c r="AU1037" s="37"/>
      <c r="AV1037" s="37"/>
      <c r="AW1037" s="37"/>
      <c r="AX1037" s="37"/>
      <c r="AY1037" s="37"/>
      <c r="AZ1037" s="37"/>
    </row>
    <row r="1038" spans="1:52" ht="15.5" customHeight="1">
      <c r="A1038" s="360" t="s">
        <v>372</v>
      </c>
      <c r="B1038" s="340">
        <v>46307</v>
      </c>
      <c r="C1038" s="181">
        <v>52033</v>
      </c>
      <c r="D1038" s="30">
        <v>46307</v>
      </c>
      <c r="E1038" s="30">
        <v>46304</v>
      </c>
      <c r="F1038" s="30">
        <v>46323</v>
      </c>
      <c r="G1038" s="37">
        <v>4420234967</v>
      </c>
      <c r="H1038" s="37" t="s">
        <v>373</v>
      </c>
      <c r="I1038" s="37">
        <v>9040040420</v>
      </c>
      <c r="J1038" s="37" t="s">
        <v>219</v>
      </c>
      <c r="K1038" s="325" t="s">
        <v>220</v>
      </c>
      <c r="L1038" s="181">
        <v>9</v>
      </c>
      <c r="M1038" s="181" t="s">
        <v>389</v>
      </c>
      <c r="N1038" s="37" t="s">
        <v>408</v>
      </c>
      <c r="O1038" s="31"/>
      <c r="P1038" s="37"/>
      <c r="Q1038" s="181"/>
      <c r="R1038" s="181"/>
      <c r="S1038" s="181"/>
      <c r="T1038" s="181"/>
      <c r="U1038" s="181"/>
      <c r="V1038" s="37"/>
      <c r="W1038" s="181"/>
      <c r="X1038" s="38"/>
      <c r="Y1038" s="38"/>
      <c r="Z1038" s="38"/>
      <c r="AA1038" s="38"/>
      <c r="AB1038" s="50"/>
      <c r="AC1038" s="181"/>
      <c r="AD1038" s="51"/>
      <c r="AE1038" s="37"/>
      <c r="AF1038" s="37"/>
      <c r="AG1038" s="33"/>
      <c r="AH1038" s="37"/>
      <c r="AI1038" s="37"/>
      <c r="AJ1038" s="181"/>
      <c r="AK1038" s="37">
        <v>26706</v>
      </c>
      <c r="AL1038" s="244">
        <v>46309</v>
      </c>
      <c r="AM1038" s="181">
        <v>16</v>
      </c>
      <c r="AN1038" s="37"/>
      <c r="AO1038" s="244">
        <v>46311</v>
      </c>
      <c r="AP1038" s="37"/>
      <c r="AQ1038" s="37"/>
      <c r="AR1038" s="37"/>
      <c r="AS1038" s="37"/>
      <c r="AT1038" s="37"/>
      <c r="AU1038" s="37"/>
      <c r="AV1038" s="37"/>
      <c r="AW1038" s="37"/>
      <c r="AX1038" s="37"/>
      <c r="AY1038" s="37"/>
      <c r="AZ1038" s="37"/>
    </row>
    <row r="1039" spans="1:52" ht="15.5" customHeight="1">
      <c r="A1039" s="360" t="s">
        <v>372</v>
      </c>
      <c r="B1039" s="340">
        <v>46307</v>
      </c>
      <c r="C1039" s="181">
        <v>52034</v>
      </c>
      <c r="D1039" s="30">
        <v>46307</v>
      </c>
      <c r="E1039" s="30">
        <v>46304</v>
      </c>
      <c r="F1039" s="30">
        <v>46325</v>
      </c>
      <c r="G1039" s="37">
        <v>4420234972</v>
      </c>
      <c r="H1039" s="37" t="s">
        <v>373</v>
      </c>
      <c r="I1039" s="37">
        <v>9040003053</v>
      </c>
      <c r="J1039" s="37" t="s">
        <v>98</v>
      </c>
      <c r="K1039" s="325" t="s">
        <v>99</v>
      </c>
      <c r="L1039" s="181">
        <v>3</v>
      </c>
      <c r="M1039" s="181" t="s">
        <v>375</v>
      </c>
      <c r="N1039" s="37" t="s">
        <v>410</v>
      </c>
      <c r="O1039" s="31"/>
      <c r="P1039" s="37"/>
      <c r="Q1039" s="181"/>
      <c r="R1039" s="181"/>
      <c r="S1039" s="181"/>
      <c r="T1039" s="181"/>
      <c r="U1039" s="181"/>
      <c r="V1039" s="37"/>
      <c r="W1039" s="181"/>
      <c r="X1039" s="38"/>
      <c r="Y1039" s="38"/>
      <c r="Z1039" s="38"/>
      <c r="AA1039" s="38"/>
      <c r="AB1039" s="50"/>
      <c r="AC1039" s="181"/>
      <c r="AD1039" s="51"/>
      <c r="AE1039" s="37"/>
      <c r="AF1039" s="37"/>
      <c r="AG1039" s="33"/>
      <c r="AH1039" s="37"/>
      <c r="AI1039" s="37"/>
      <c r="AJ1039" s="181"/>
      <c r="AK1039" s="37"/>
      <c r="AL1039" s="37"/>
      <c r="AM1039" s="181"/>
      <c r="AN1039" s="37"/>
      <c r="AO1039" s="37"/>
      <c r="AP1039" s="37"/>
      <c r="AQ1039" s="37"/>
      <c r="AR1039" s="37"/>
      <c r="AS1039" s="37"/>
      <c r="AT1039" s="37"/>
      <c r="AU1039" s="37"/>
      <c r="AV1039" s="37"/>
      <c r="AW1039" s="37"/>
      <c r="AX1039" s="37"/>
      <c r="AY1039" s="37"/>
      <c r="AZ1039" s="37"/>
    </row>
    <row r="1040" spans="1:52" ht="15.5" customHeight="1">
      <c r="A1040" s="360" t="s">
        <v>372</v>
      </c>
      <c r="B1040" s="340">
        <v>46307</v>
      </c>
      <c r="C1040" s="181">
        <v>52034</v>
      </c>
      <c r="D1040" s="30">
        <v>46307</v>
      </c>
      <c r="E1040" s="30">
        <v>46304</v>
      </c>
      <c r="F1040" s="30">
        <v>46325</v>
      </c>
      <c r="G1040" s="37">
        <v>4420234972</v>
      </c>
      <c r="H1040" s="37" t="s">
        <v>373</v>
      </c>
      <c r="I1040" s="37">
        <v>9040005049</v>
      </c>
      <c r="J1040" s="37" t="s">
        <v>74</v>
      </c>
      <c r="K1040" s="325" t="s">
        <v>75</v>
      </c>
      <c r="L1040" s="181">
        <v>2</v>
      </c>
      <c r="M1040" s="181" t="s">
        <v>478</v>
      </c>
      <c r="N1040" s="37" t="s">
        <v>410</v>
      </c>
      <c r="O1040" s="31"/>
      <c r="P1040" s="37"/>
      <c r="Q1040" s="181"/>
      <c r="R1040" s="181"/>
      <c r="S1040" s="181"/>
      <c r="T1040" s="181"/>
      <c r="U1040" s="181"/>
      <c r="V1040" s="37"/>
      <c r="W1040" s="181"/>
      <c r="X1040" s="38"/>
      <c r="Y1040" s="38"/>
      <c r="Z1040" s="38"/>
      <c r="AA1040" s="38"/>
      <c r="AB1040" s="50"/>
      <c r="AC1040" s="181"/>
      <c r="AD1040" s="51"/>
      <c r="AE1040" s="37"/>
      <c r="AF1040" s="37"/>
      <c r="AG1040" s="33"/>
      <c r="AH1040" s="37"/>
      <c r="AI1040" s="37"/>
      <c r="AJ1040" s="181"/>
      <c r="AK1040" s="37"/>
      <c r="AL1040" s="37"/>
      <c r="AM1040" s="181"/>
      <c r="AN1040" s="37"/>
      <c r="AO1040" s="37"/>
      <c r="AP1040" s="37"/>
      <c r="AQ1040" s="37"/>
      <c r="AR1040" s="37"/>
      <c r="AS1040" s="37"/>
      <c r="AT1040" s="37"/>
      <c r="AU1040" s="37"/>
      <c r="AV1040" s="37"/>
      <c r="AW1040" s="37"/>
      <c r="AX1040" s="37"/>
      <c r="AY1040" s="37"/>
      <c r="AZ1040" s="37"/>
    </row>
    <row r="1041" spans="1:52" ht="15.5" customHeight="1">
      <c r="A1041" s="360" t="s">
        <v>372</v>
      </c>
      <c r="B1041" s="340">
        <v>46307</v>
      </c>
      <c r="C1041" s="181">
        <v>52034</v>
      </c>
      <c r="D1041" s="30">
        <v>46307</v>
      </c>
      <c r="E1041" s="30">
        <v>46304</v>
      </c>
      <c r="F1041" s="30">
        <v>46325</v>
      </c>
      <c r="G1041" s="37">
        <v>4420234972</v>
      </c>
      <c r="H1041" s="37" t="s">
        <v>373</v>
      </c>
      <c r="I1041" s="37">
        <v>9040009393</v>
      </c>
      <c r="J1041" s="37" t="s">
        <v>161</v>
      </c>
      <c r="K1041" s="325" t="s">
        <v>162</v>
      </c>
      <c r="L1041" s="181">
        <v>3</v>
      </c>
      <c r="M1041" s="181" t="s">
        <v>375</v>
      </c>
      <c r="N1041" s="37" t="s">
        <v>410</v>
      </c>
      <c r="O1041" s="31"/>
      <c r="P1041" s="37"/>
      <c r="Q1041" s="181"/>
      <c r="R1041" s="181"/>
      <c r="S1041" s="181"/>
      <c r="T1041" s="181"/>
      <c r="U1041" s="181"/>
      <c r="V1041" s="37"/>
      <c r="W1041" s="181"/>
      <c r="X1041" s="38"/>
      <c r="Y1041" s="38"/>
      <c r="Z1041" s="38"/>
      <c r="AA1041" s="38"/>
      <c r="AB1041" s="50">
        <v>46314</v>
      </c>
      <c r="AC1041" s="44" t="s">
        <v>1394</v>
      </c>
      <c r="AD1041" s="51">
        <v>3</v>
      </c>
      <c r="AE1041" s="37" t="s">
        <v>387</v>
      </c>
      <c r="AF1041" s="37" t="s">
        <v>381</v>
      </c>
      <c r="AG1041" s="33"/>
      <c r="AH1041" s="37"/>
      <c r="AI1041" s="37"/>
      <c r="AJ1041" s="181"/>
      <c r="AK1041" s="37"/>
      <c r="AL1041" s="37"/>
      <c r="AM1041" s="181"/>
      <c r="AN1041" s="37"/>
      <c r="AO1041" s="37"/>
      <c r="AP1041" s="37"/>
      <c r="AQ1041" s="37"/>
      <c r="AR1041" s="37"/>
      <c r="AS1041" s="37"/>
      <c r="AT1041" s="37"/>
      <c r="AU1041" s="37"/>
      <c r="AV1041" s="37"/>
      <c r="AW1041" s="37"/>
      <c r="AX1041" s="37"/>
      <c r="AY1041" s="37"/>
      <c r="AZ1041" s="37"/>
    </row>
    <row r="1042" spans="1:52" ht="15.5" customHeight="1">
      <c r="A1042" s="360" t="s">
        <v>372</v>
      </c>
      <c r="B1042" s="340">
        <v>46307</v>
      </c>
      <c r="C1042" s="181">
        <v>52035</v>
      </c>
      <c r="D1042" s="30">
        <v>46307</v>
      </c>
      <c r="E1042" s="30">
        <v>46305</v>
      </c>
      <c r="F1042" s="30">
        <v>46311</v>
      </c>
      <c r="G1042" s="37">
        <v>4420235029</v>
      </c>
      <c r="H1042" s="37" t="s">
        <v>373</v>
      </c>
      <c r="I1042" s="37">
        <v>9040015386</v>
      </c>
      <c r="J1042" s="37" t="s">
        <v>122</v>
      </c>
      <c r="K1042" s="325" t="s">
        <v>319</v>
      </c>
      <c r="L1042" s="181">
        <v>6</v>
      </c>
      <c r="M1042" s="181" t="s">
        <v>375</v>
      </c>
      <c r="N1042" s="37" t="s">
        <v>384</v>
      </c>
      <c r="O1042" s="31"/>
      <c r="P1042" s="37"/>
      <c r="Q1042" s="181"/>
      <c r="R1042" s="181"/>
      <c r="S1042" s="181"/>
      <c r="T1042" s="181"/>
      <c r="U1042" s="181"/>
      <c r="V1042" s="37"/>
      <c r="W1042" s="181"/>
      <c r="X1042" s="38"/>
      <c r="Y1042" s="38"/>
      <c r="Z1042" s="38"/>
      <c r="AA1042" s="38"/>
      <c r="AB1042" s="50"/>
      <c r="AC1042" s="181"/>
      <c r="AD1042" s="51"/>
      <c r="AE1042" s="37"/>
      <c r="AF1042" s="37"/>
      <c r="AG1042" s="33"/>
      <c r="AH1042" s="37"/>
      <c r="AI1042" s="37"/>
      <c r="AJ1042" s="181"/>
      <c r="AK1042" s="37"/>
      <c r="AL1042" s="37"/>
      <c r="AM1042" s="181"/>
      <c r="AN1042" s="37"/>
      <c r="AO1042" s="37"/>
      <c r="AP1042" s="37"/>
      <c r="AQ1042" s="37"/>
      <c r="AR1042" s="37"/>
      <c r="AS1042" s="37"/>
      <c r="AT1042" s="37"/>
      <c r="AU1042" s="37"/>
      <c r="AV1042" s="37"/>
      <c r="AW1042" s="37"/>
      <c r="AX1042" s="37"/>
      <c r="AY1042" s="37"/>
      <c r="AZ1042" s="37"/>
    </row>
    <row r="1043" spans="1:52" ht="15.5" customHeight="1">
      <c r="A1043" s="360" t="s">
        <v>372</v>
      </c>
      <c r="B1043" s="340">
        <v>46307</v>
      </c>
      <c r="C1043" s="181">
        <v>52035</v>
      </c>
      <c r="D1043" s="30">
        <v>46307</v>
      </c>
      <c r="E1043" s="30">
        <v>46305</v>
      </c>
      <c r="F1043" s="30">
        <v>46311</v>
      </c>
      <c r="G1043" s="37">
        <v>4420235029</v>
      </c>
      <c r="H1043" s="37" t="s">
        <v>373</v>
      </c>
      <c r="I1043" s="37">
        <v>9040045070</v>
      </c>
      <c r="J1043" s="217" t="s">
        <v>221</v>
      </c>
      <c r="K1043" s="325" t="s">
        <v>222</v>
      </c>
      <c r="L1043" s="181">
        <v>7</v>
      </c>
      <c r="M1043" s="181" t="s">
        <v>389</v>
      </c>
      <c r="N1043" s="37" t="s">
        <v>384</v>
      </c>
      <c r="O1043" s="31"/>
      <c r="P1043" s="37"/>
      <c r="Q1043" s="181"/>
      <c r="R1043" s="181"/>
      <c r="S1043" s="181"/>
      <c r="T1043" s="181"/>
      <c r="U1043" s="181"/>
      <c r="V1043" s="37"/>
      <c r="W1043" s="181"/>
      <c r="X1043" s="38"/>
      <c r="Y1043" s="38"/>
      <c r="Z1043" s="38"/>
      <c r="AA1043" s="38"/>
      <c r="AB1043" s="50"/>
      <c r="AC1043" s="181"/>
      <c r="AD1043" s="51"/>
      <c r="AE1043" s="37"/>
      <c r="AF1043" s="37"/>
      <c r="AG1043" s="33"/>
      <c r="AH1043" s="37"/>
      <c r="AI1043" s="37"/>
      <c r="AJ1043" s="181"/>
      <c r="AK1043" s="37"/>
      <c r="AL1043" s="37"/>
      <c r="AM1043" s="181"/>
      <c r="AN1043" s="37"/>
      <c r="AO1043" s="37"/>
      <c r="AP1043" s="37"/>
      <c r="AQ1043" s="37"/>
      <c r="AR1043" s="37"/>
      <c r="AS1043" s="37"/>
      <c r="AT1043" s="37"/>
      <c r="AU1043" s="37"/>
      <c r="AV1043" s="37"/>
      <c r="AW1043" s="37"/>
      <c r="AX1043" s="37"/>
      <c r="AY1043" s="37"/>
      <c r="AZ1043" s="37"/>
    </row>
    <row r="1044" spans="1:52" ht="15.5" customHeight="1">
      <c r="A1044" s="360" t="s">
        <v>372</v>
      </c>
      <c r="B1044" s="340">
        <v>46307</v>
      </c>
      <c r="C1044" s="181">
        <v>52035</v>
      </c>
      <c r="D1044" s="30">
        <v>46307</v>
      </c>
      <c r="E1044" s="30">
        <v>46305</v>
      </c>
      <c r="F1044" s="30">
        <v>46311</v>
      </c>
      <c r="G1044" s="37">
        <v>4420235029</v>
      </c>
      <c r="H1044" s="37" t="s">
        <v>373</v>
      </c>
      <c r="I1044" s="37">
        <v>9040052369</v>
      </c>
      <c r="J1044" s="37" t="s">
        <v>199</v>
      </c>
      <c r="K1044" s="325" t="s">
        <v>200</v>
      </c>
      <c r="L1044" s="181">
        <v>205</v>
      </c>
      <c r="M1044" s="181" t="s">
        <v>375</v>
      </c>
      <c r="N1044" s="37" t="s">
        <v>384</v>
      </c>
      <c r="O1044" s="31"/>
      <c r="P1044" s="37"/>
      <c r="Q1044" s="181"/>
      <c r="R1044" s="181"/>
      <c r="S1044" s="181"/>
      <c r="T1044" s="181"/>
      <c r="U1044" s="181"/>
      <c r="V1044" s="37"/>
      <c r="W1044" s="181"/>
      <c r="X1044" s="38"/>
      <c r="Y1044" s="38"/>
      <c r="Z1044" s="38"/>
      <c r="AA1044" s="38"/>
      <c r="AB1044" s="50"/>
      <c r="AC1044" s="181"/>
      <c r="AD1044" s="51"/>
      <c r="AE1044" s="37"/>
      <c r="AF1044" s="37"/>
      <c r="AG1044" s="33"/>
      <c r="AH1044" s="37"/>
      <c r="AI1044" s="37"/>
      <c r="AJ1044" s="181"/>
      <c r="AK1044" s="37"/>
      <c r="AL1044" s="37"/>
      <c r="AM1044" s="181"/>
      <c r="AN1044" s="37"/>
      <c r="AO1044" s="37"/>
      <c r="AP1044" s="37"/>
      <c r="AQ1044" s="37"/>
      <c r="AR1044" s="37"/>
      <c r="AS1044" s="37"/>
      <c r="AT1044" s="37"/>
      <c r="AU1044" s="37"/>
      <c r="AV1044" s="37"/>
      <c r="AW1044" s="37"/>
      <c r="AX1044" s="37"/>
      <c r="AY1044" s="37"/>
      <c r="AZ1044" s="37"/>
    </row>
    <row r="1045" spans="1:52" ht="15.5" customHeight="1">
      <c r="A1045" s="360" t="s">
        <v>372</v>
      </c>
      <c r="B1045" s="340">
        <v>46307</v>
      </c>
      <c r="C1045" s="181">
        <v>52035</v>
      </c>
      <c r="D1045" s="30">
        <v>46307</v>
      </c>
      <c r="E1045" s="30">
        <v>46305</v>
      </c>
      <c r="F1045" s="30">
        <v>46311</v>
      </c>
      <c r="G1045" s="37">
        <v>4420235029</v>
      </c>
      <c r="H1045" s="37" t="s">
        <v>373</v>
      </c>
      <c r="I1045" s="37">
        <v>9040040588</v>
      </c>
      <c r="J1045" s="37" t="s">
        <v>76</v>
      </c>
      <c r="K1045" s="325" t="s">
        <v>77</v>
      </c>
      <c r="L1045" s="181">
        <v>92</v>
      </c>
      <c r="M1045" s="181" t="s">
        <v>375</v>
      </c>
      <c r="N1045" s="37" t="s">
        <v>384</v>
      </c>
      <c r="O1045" s="31"/>
      <c r="P1045" s="37"/>
      <c r="Q1045" s="181"/>
      <c r="R1045" s="181"/>
      <c r="S1045" s="181"/>
      <c r="T1045" s="181"/>
      <c r="U1045" s="181"/>
      <c r="V1045" s="37"/>
      <c r="W1045" s="181"/>
      <c r="X1045" s="38"/>
      <c r="Y1045" s="38"/>
      <c r="Z1045" s="38"/>
      <c r="AA1045" s="38"/>
      <c r="AB1045" s="50"/>
      <c r="AC1045" s="181"/>
      <c r="AD1045" s="51"/>
      <c r="AE1045" s="37"/>
      <c r="AF1045" s="37"/>
      <c r="AG1045" s="33"/>
      <c r="AH1045" s="37"/>
      <c r="AI1045" s="37"/>
      <c r="AJ1045" s="181"/>
      <c r="AK1045" s="37">
        <v>26642</v>
      </c>
      <c r="AL1045" s="241">
        <v>46303</v>
      </c>
      <c r="AM1045" s="181">
        <v>650</v>
      </c>
      <c r="AN1045" s="37"/>
      <c r="AO1045" s="244">
        <v>46311</v>
      </c>
      <c r="AP1045" s="37"/>
      <c r="AQ1045" s="37"/>
      <c r="AR1045" s="37"/>
      <c r="AS1045" s="37"/>
      <c r="AT1045" s="37"/>
      <c r="AU1045" s="37"/>
      <c r="AV1045" s="37"/>
      <c r="AW1045" s="37"/>
      <c r="AX1045" s="37"/>
      <c r="AY1045" s="37"/>
      <c r="AZ1045" s="37"/>
    </row>
    <row r="1046" spans="1:52" ht="15.5" customHeight="1">
      <c r="A1046" s="360" t="s">
        <v>372</v>
      </c>
      <c r="B1046" s="340">
        <v>46307</v>
      </c>
      <c r="C1046" s="181">
        <v>52035</v>
      </c>
      <c r="D1046" s="30">
        <v>46307</v>
      </c>
      <c r="E1046" s="30">
        <v>46305</v>
      </c>
      <c r="F1046" s="30">
        <v>46311</v>
      </c>
      <c r="G1046" s="37">
        <v>4420235029</v>
      </c>
      <c r="H1046" s="37" t="s">
        <v>373</v>
      </c>
      <c r="I1046" s="37">
        <v>9040042451</v>
      </c>
      <c r="J1046" s="37" t="s">
        <v>295</v>
      </c>
      <c r="K1046" s="325" t="s">
        <v>296</v>
      </c>
      <c r="L1046" s="181">
        <v>26</v>
      </c>
      <c r="M1046" s="181" t="s">
        <v>375</v>
      </c>
      <c r="N1046" s="37" t="s">
        <v>384</v>
      </c>
      <c r="O1046" s="31"/>
      <c r="P1046" s="37"/>
      <c r="Q1046" s="181"/>
      <c r="R1046" s="181"/>
      <c r="S1046" s="181"/>
      <c r="T1046" s="181"/>
      <c r="U1046" s="181"/>
      <c r="V1046" s="37"/>
      <c r="W1046" s="181"/>
      <c r="X1046" s="38"/>
      <c r="Y1046" s="38"/>
      <c r="Z1046" s="38"/>
      <c r="AA1046" s="38"/>
      <c r="AB1046" s="50">
        <v>46317</v>
      </c>
      <c r="AC1046" s="231" t="s">
        <v>1395</v>
      </c>
      <c r="AD1046" s="51">
        <v>26</v>
      </c>
      <c r="AE1046" s="37" t="s">
        <v>387</v>
      </c>
      <c r="AF1046" s="37" t="s">
        <v>381</v>
      </c>
      <c r="AG1046" s="33"/>
      <c r="AH1046" s="37"/>
      <c r="AI1046" s="37"/>
      <c r="AJ1046" s="181"/>
      <c r="AK1046" s="37"/>
      <c r="AL1046" s="37"/>
      <c r="AM1046" s="181"/>
      <c r="AN1046" s="37"/>
      <c r="AO1046" s="37"/>
      <c r="AP1046" s="37"/>
      <c r="AQ1046" s="37"/>
      <c r="AR1046" s="37"/>
      <c r="AS1046" s="37"/>
      <c r="AT1046" s="37"/>
      <c r="AU1046" s="37"/>
      <c r="AV1046" s="37"/>
      <c r="AW1046" s="37"/>
      <c r="AX1046" s="37"/>
      <c r="AY1046" s="37"/>
      <c r="AZ1046" s="37"/>
    </row>
    <row r="1047" spans="1:52" ht="15.5" customHeight="1">
      <c r="A1047" s="360" t="s">
        <v>372</v>
      </c>
      <c r="B1047" s="340">
        <v>46307</v>
      </c>
      <c r="C1047" s="181">
        <v>52035</v>
      </c>
      <c r="D1047" s="30">
        <v>46307</v>
      </c>
      <c r="E1047" s="30">
        <v>46305</v>
      </c>
      <c r="F1047" s="30">
        <v>46311</v>
      </c>
      <c r="G1047" s="37">
        <v>4420235029</v>
      </c>
      <c r="H1047" s="37" t="s">
        <v>373</v>
      </c>
      <c r="I1047" s="37">
        <v>9040001301</v>
      </c>
      <c r="J1047" s="37" t="s">
        <v>33</v>
      </c>
      <c r="K1047" s="325" t="s">
        <v>34</v>
      </c>
      <c r="L1047" s="181">
        <v>6</v>
      </c>
      <c r="M1047" s="181" t="s">
        <v>375</v>
      </c>
      <c r="N1047" s="37" t="s">
        <v>384</v>
      </c>
      <c r="O1047" s="31"/>
      <c r="P1047" s="37"/>
      <c r="Q1047" s="181"/>
      <c r="R1047" s="181"/>
      <c r="S1047" s="181"/>
      <c r="T1047" s="181"/>
      <c r="U1047" s="181"/>
      <c r="V1047" s="37"/>
      <c r="W1047" s="181"/>
      <c r="X1047" s="38"/>
      <c r="Y1047" s="38"/>
      <c r="Z1047" s="38"/>
      <c r="AA1047" s="38"/>
      <c r="AB1047" s="50"/>
      <c r="AC1047" s="181"/>
      <c r="AD1047" s="51"/>
      <c r="AE1047" s="37"/>
      <c r="AF1047" s="37"/>
      <c r="AG1047" s="33"/>
      <c r="AH1047" s="37"/>
      <c r="AI1047" s="37"/>
      <c r="AJ1047" s="181"/>
      <c r="AK1047" s="37"/>
      <c r="AL1047" s="37"/>
      <c r="AM1047" s="181"/>
      <c r="AN1047" s="37"/>
      <c r="AO1047" s="37"/>
      <c r="AP1047" s="37"/>
      <c r="AQ1047" s="37"/>
      <c r="AR1047" s="37"/>
      <c r="AS1047" s="37"/>
      <c r="AT1047" s="37"/>
      <c r="AU1047" s="37"/>
      <c r="AV1047" s="37"/>
      <c r="AW1047" s="37"/>
      <c r="AX1047" s="37"/>
      <c r="AY1047" s="37"/>
      <c r="AZ1047" s="37"/>
    </row>
    <row r="1048" spans="1:52" ht="15.5" customHeight="1">
      <c r="A1048" s="360" t="s">
        <v>372</v>
      </c>
      <c r="B1048" s="340">
        <v>46307</v>
      </c>
      <c r="C1048" s="181">
        <v>52035</v>
      </c>
      <c r="D1048" s="30">
        <v>46307</v>
      </c>
      <c r="E1048" s="30">
        <v>46305</v>
      </c>
      <c r="F1048" s="30">
        <v>46311</v>
      </c>
      <c r="G1048" s="37">
        <v>4420235029</v>
      </c>
      <c r="H1048" s="37" t="s">
        <v>373</v>
      </c>
      <c r="I1048" s="37">
        <v>9040040390</v>
      </c>
      <c r="J1048" s="37" t="s">
        <v>209</v>
      </c>
      <c r="K1048" s="325" t="s">
        <v>210</v>
      </c>
      <c r="L1048" s="181">
        <v>6</v>
      </c>
      <c r="M1048" s="181" t="s">
        <v>421</v>
      </c>
      <c r="N1048" s="37" t="s">
        <v>384</v>
      </c>
      <c r="O1048" s="31"/>
      <c r="P1048" s="37"/>
      <c r="Q1048" s="181"/>
      <c r="R1048" s="181"/>
      <c r="S1048" s="181"/>
      <c r="T1048" s="181"/>
      <c r="U1048" s="181"/>
      <c r="V1048" s="37"/>
      <c r="W1048" s="181"/>
      <c r="X1048" s="38"/>
      <c r="Y1048" s="38"/>
      <c r="Z1048" s="38"/>
      <c r="AA1048" s="38"/>
      <c r="AB1048" s="50"/>
      <c r="AC1048" s="181"/>
      <c r="AD1048" s="51"/>
      <c r="AE1048" s="37"/>
      <c r="AF1048" s="37"/>
      <c r="AG1048" s="33"/>
      <c r="AH1048" s="37"/>
      <c r="AI1048" s="37"/>
      <c r="AJ1048" s="181"/>
      <c r="AK1048" s="37">
        <v>26690</v>
      </c>
      <c r="AL1048" s="37"/>
      <c r="AM1048" s="181"/>
      <c r="AN1048" s="37"/>
      <c r="AO1048" s="37"/>
      <c r="AP1048" s="37"/>
      <c r="AQ1048" s="37"/>
      <c r="AR1048" s="37"/>
      <c r="AS1048" s="37"/>
      <c r="AT1048" s="37"/>
      <c r="AU1048" s="37"/>
      <c r="AV1048" s="37"/>
      <c r="AW1048" s="37"/>
      <c r="AX1048" s="37"/>
      <c r="AY1048" s="37"/>
      <c r="AZ1048" s="37"/>
    </row>
    <row r="1049" spans="1:52" ht="15.5" customHeight="1">
      <c r="A1049" s="360" t="s">
        <v>372</v>
      </c>
      <c r="B1049" s="340">
        <v>46308</v>
      </c>
      <c r="C1049" s="181">
        <v>52062</v>
      </c>
      <c r="D1049" s="30">
        <v>46308</v>
      </c>
      <c r="E1049" s="30">
        <v>46304</v>
      </c>
      <c r="F1049" s="30">
        <v>46318</v>
      </c>
      <c r="G1049" s="37">
        <v>4420234980</v>
      </c>
      <c r="H1049" s="37" t="s">
        <v>373</v>
      </c>
      <c r="I1049" s="37">
        <v>9040040445</v>
      </c>
      <c r="J1049" s="37" t="s">
        <v>193</v>
      </c>
      <c r="K1049" s="325" t="s">
        <v>194</v>
      </c>
      <c r="L1049" s="181">
        <v>15</v>
      </c>
      <c r="M1049" s="181" t="s">
        <v>421</v>
      </c>
      <c r="N1049" s="37" t="s">
        <v>482</v>
      </c>
      <c r="O1049" s="31"/>
      <c r="P1049" s="37"/>
      <c r="Q1049" s="181"/>
      <c r="R1049" s="181"/>
      <c r="S1049" s="181"/>
      <c r="T1049" s="181"/>
      <c r="U1049" s="181"/>
      <c r="V1049" s="37"/>
      <c r="W1049" s="181"/>
      <c r="X1049" s="38"/>
      <c r="Y1049" s="38"/>
      <c r="Z1049" s="38"/>
      <c r="AA1049" s="38"/>
      <c r="AB1049" s="50"/>
      <c r="AC1049" s="181"/>
      <c r="AD1049" s="51"/>
      <c r="AE1049" s="37"/>
      <c r="AF1049" s="37"/>
      <c r="AG1049" s="33"/>
      <c r="AH1049" s="37"/>
      <c r="AI1049" s="37"/>
      <c r="AJ1049" s="181"/>
      <c r="AK1049" s="37">
        <v>26690</v>
      </c>
      <c r="AL1049" s="37"/>
      <c r="AM1049" s="181"/>
      <c r="AN1049" s="37"/>
      <c r="AO1049" s="37"/>
      <c r="AP1049" s="37"/>
      <c r="AQ1049" s="37"/>
      <c r="AR1049" s="37"/>
      <c r="AS1049" s="37"/>
      <c r="AT1049" s="37"/>
      <c r="AU1049" s="37"/>
      <c r="AV1049" s="37"/>
      <c r="AW1049" s="37"/>
      <c r="AX1049" s="37"/>
      <c r="AY1049" s="37"/>
      <c r="AZ1049" s="37"/>
    </row>
    <row r="1050" spans="1:52" ht="15.5" customHeight="1">
      <c r="A1050" s="360" t="s">
        <v>372</v>
      </c>
      <c r="B1050" s="340">
        <v>46308</v>
      </c>
      <c r="C1050" s="181">
        <v>52062</v>
      </c>
      <c r="D1050" s="30">
        <v>46308</v>
      </c>
      <c r="E1050" s="30">
        <v>46304</v>
      </c>
      <c r="F1050" s="30">
        <v>46318</v>
      </c>
      <c r="G1050" s="37">
        <v>4420234980</v>
      </c>
      <c r="H1050" s="37" t="s">
        <v>373</v>
      </c>
      <c r="I1050" s="37">
        <v>9040040588</v>
      </c>
      <c r="J1050" s="37" t="s">
        <v>76</v>
      </c>
      <c r="K1050" s="325" t="s">
        <v>77</v>
      </c>
      <c r="L1050" s="181">
        <v>20</v>
      </c>
      <c r="M1050" s="181" t="s">
        <v>375</v>
      </c>
      <c r="N1050" s="37" t="s">
        <v>482</v>
      </c>
      <c r="O1050" s="31"/>
      <c r="P1050" s="37"/>
      <c r="Q1050" s="181"/>
      <c r="R1050" s="181"/>
      <c r="S1050" s="181"/>
      <c r="T1050" s="181"/>
      <c r="U1050" s="181"/>
      <c r="V1050" s="37"/>
      <c r="W1050" s="181"/>
      <c r="X1050" s="38"/>
      <c r="Y1050" s="38"/>
      <c r="Z1050" s="38"/>
      <c r="AA1050" s="38"/>
      <c r="AB1050" s="50"/>
      <c r="AC1050" s="181"/>
      <c r="AD1050" s="51"/>
      <c r="AE1050" s="37"/>
      <c r="AF1050" s="37"/>
      <c r="AG1050" s="33"/>
      <c r="AH1050" s="37"/>
      <c r="AI1050" s="37"/>
      <c r="AJ1050" s="181"/>
      <c r="AK1050" s="37">
        <v>26642</v>
      </c>
      <c r="AL1050" s="241">
        <v>46303</v>
      </c>
      <c r="AM1050" s="181">
        <v>650</v>
      </c>
      <c r="AN1050" s="37"/>
      <c r="AO1050" s="244">
        <v>46311</v>
      </c>
      <c r="AP1050" s="37"/>
      <c r="AQ1050" s="37"/>
      <c r="AR1050" s="37"/>
      <c r="AS1050" s="37"/>
      <c r="AT1050" s="37"/>
      <c r="AU1050" s="37"/>
      <c r="AV1050" s="37"/>
      <c r="AW1050" s="37"/>
      <c r="AX1050" s="37"/>
      <c r="AY1050" s="37"/>
      <c r="AZ1050" s="37"/>
    </row>
    <row r="1051" spans="1:52" ht="15.5" customHeight="1">
      <c r="A1051" s="360" t="s">
        <v>372</v>
      </c>
      <c r="B1051" s="340">
        <v>46308</v>
      </c>
      <c r="C1051" s="181">
        <v>52062</v>
      </c>
      <c r="D1051" s="30">
        <v>46308</v>
      </c>
      <c r="E1051" s="30">
        <v>46304</v>
      </c>
      <c r="F1051" s="30">
        <v>46318</v>
      </c>
      <c r="G1051" s="37">
        <v>4420234980</v>
      </c>
      <c r="H1051" s="37" t="s">
        <v>373</v>
      </c>
      <c r="I1051" s="37">
        <v>9040040699</v>
      </c>
      <c r="J1051" s="37" t="s">
        <v>27</v>
      </c>
      <c r="K1051" s="325" t="s">
        <v>28</v>
      </c>
      <c r="L1051" s="181">
        <v>2</v>
      </c>
      <c r="M1051" s="181" t="s">
        <v>375</v>
      </c>
      <c r="N1051" s="37" t="s">
        <v>482</v>
      </c>
      <c r="O1051" s="31"/>
      <c r="P1051" s="37"/>
      <c r="Q1051" s="181"/>
      <c r="R1051" s="181"/>
      <c r="S1051" s="181"/>
      <c r="T1051" s="181"/>
      <c r="U1051" s="181"/>
      <c r="V1051" s="37"/>
      <c r="W1051" s="181"/>
      <c r="X1051" s="38"/>
      <c r="Y1051" s="38"/>
      <c r="Z1051" s="38"/>
      <c r="AA1051" s="38"/>
      <c r="AB1051" s="50"/>
      <c r="AC1051" s="181"/>
      <c r="AD1051" s="51"/>
      <c r="AE1051" s="37"/>
      <c r="AF1051" s="37"/>
      <c r="AG1051" s="33"/>
      <c r="AH1051" s="37"/>
      <c r="AI1051" s="37"/>
      <c r="AJ1051" s="181"/>
      <c r="AK1051" s="37">
        <v>26767</v>
      </c>
      <c r="AL1051" s="244">
        <v>46311</v>
      </c>
      <c r="AM1051" s="181">
        <v>17</v>
      </c>
      <c r="AN1051" s="37"/>
      <c r="AO1051" s="37"/>
      <c r="AP1051" s="37"/>
      <c r="AQ1051" s="37"/>
      <c r="AR1051" s="37"/>
      <c r="AS1051" s="37"/>
      <c r="AT1051" s="37"/>
      <c r="AU1051" s="37"/>
      <c r="AV1051" s="37"/>
      <c r="AW1051" s="37"/>
      <c r="AX1051" s="37"/>
      <c r="AY1051" s="37"/>
      <c r="AZ1051" s="37"/>
    </row>
    <row r="1052" spans="1:52" ht="15.5" customHeight="1">
      <c r="A1052" s="360" t="s">
        <v>372</v>
      </c>
      <c r="B1052" s="340">
        <v>46308</v>
      </c>
      <c r="C1052" s="181">
        <v>52062</v>
      </c>
      <c r="D1052" s="30">
        <v>46308</v>
      </c>
      <c r="E1052" s="30">
        <v>46304</v>
      </c>
      <c r="F1052" s="30">
        <v>46318</v>
      </c>
      <c r="G1052" s="37">
        <v>4420234980</v>
      </c>
      <c r="H1052" s="37" t="s">
        <v>373</v>
      </c>
      <c r="I1052" s="37">
        <v>9040052402</v>
      </c>
      <c r="J1052" s="37" t="s">
        <v>197</v>
      </c>
      <c r="K1052" s="325" t="s">
        <v>198</v>
      </c>
      <c r="L1052" s="181">
        <v>8</v>
      </c>
      <c r="M1052" s="181" t="s">
        <v>375</v>
      </c>
      <c r="N1052" s="37" t="s">
        <v>482</v>
      </c>
      <c r="O1052" s="31"/>
      <c r="P1052" s="37"/>
      <c r="Q1052" s="181"/>
      <c r="R1052" s="181"/>
      <c r="S1052" s="181"/>
      <c r="T1052" s="181"/>
      <c r="U1052" s="181"/>
      <c r="V1052" s="37"/>
      <c r="W1052" s="181"/>
      <c r="X1052" s="38"/>
      <c r="Y1052" s="38"/>
      <c r="Z1052" s="38"/>
      <c r="AA1052" s="38"/>
      <c r="AB1052" s="50"/>
      <c r="AC1052" s="181"/>
      <c r="AD1052" s="51"/>
      <c r="AE1052" s="37"/>
      <c r="AF1052" s="37"/>
      <c r="AG1052" s="33"/>
      <c r="AH1052" s="37"/>
      <c r="AI1052" s="37"/>
      <c r="AJ1052" s="181"/>
      <c r="AK1052" s="37"/>
      <c r="AL1052" s="37"/>
      <c r="AM1052" s="181"/>
      <c r="AN1052" s="37"/>
      <c r="AO1052" s="37"/>
      <c r="AP1052" s="37"/>
      <c r="AQ1052" s="37"/>
      <c r="AR1052" s="37"/>
      <c r="AS1052" s="37"/>
      <c r="AT1052" s="37"/>
      <c r="AU1052" s="37"/>
      <c r="AV1052" s="37"/>
      <c r="AW1052" s="37"/>
      <c r="AX1052" s="37"/>
      <c r="AY1052" s="37"/>
      <c r="AZ1052" s="37"/>
    </row>
    <row r="1053" spans="1:52" ht="15.5" customHeight="1">
      <c r="A1053" s="360" t="s">
        <v>372</v>
      </c>
      <c r="B1053" s="340">
        <v>46308</v>
      </c>
      <c r="C1053" s="181">
        <v>52062</v>
      </c>
      <c r="D1053" s="30">
        <v>46308</v>
      </c>
      <c r="E1053" s="30">
        <v>46304</v>
      </c>
      <c r="F1053" s="30">
        <v>46318</v>
      </c>
      <c r="G1053" s="37">
        <v>4420234980</v>
      </c>
      <c r="H1053" s="37" t="s">
        <v>373</v>
      </c>
      <c r="I1053" s="37">
        <v>9040052403</v>
      </c>
      <c r="J1053" s="37" t="s">
        <v>257</v>
      </c>
      <c r="K1053" s="325" t="s">
        <v>258</v>
      </c>
      <c r="L1053" s="181">
        <v>6</v>
      </c>
      <c r="M1053" s="181" t="s">
        <v>375</v>
      </c>
      <c r="N1053" s="37" t="s">
        <v>482</v>
      </c>
      <c r="O1053" s="31"/>
      <c r="P1053" s="37"/>
      <c r="Q1053" s="181"/>
      <c r="R1053" s="181"/>
      <c r="S1053" s="181"/>
      <c r="T1053" s="181"/>
      <c r="U1053" s="181"/>
      <c r="V1053" s="37"/>
      <c r="W1053" s="181"/>
      <c r="X1053" s="38"/>
      <c r="Y1053" s="38"/>
      <c r="Z1053" s="38"/>
      <c r="AA1053" s="38"/>
      <c r="AB1053" s="50">
        <v>46314</v>
      </c>
      <c r="AC1053" s="44" t="s">
        <v>1396</v>
      </c>
      <c r="AD1053" s="51">
        <v>6</v>
      </c>
      <c r="AE1053" s="37" t="s">
        <v>387</v>
      </c>
      <c r="AF1053" s="37" t="s">
        <v>381</v>
      </c>
      <c r="AG1053" s="33"/>
      <c r="AH1053" s="37"/>
      <c r="AI1053" s="37"/>
      <c r="AJ1053" s="181"/>
      <c r="AK1053" s="37"/>
      <c r="AL1053" s="37"/>
      <c r="AM1053" s="181"/>
      <c r="AN1053" s="37"/>
      <c r="AO1053" s="37"/>
      <c r="AP1053" s="37"/>
      <c r="AQ1053" s="37"/>
      <c r="AR1053" s="37"/>
      <c r="AS1053" s="37"/>
      <c r="AT1053" s="37"/>
      <c r="AU1053" s="37"/>
      <c r="AV1053" s="37"/>
      <c r="AW1053" s="37"/>
      <c r="AX1053" s="37"/>
      <c r="AY1053" s="37"/>
      <c r="AZ1053" s="37"/>
    </row>
    <row r="1054" spans="1:52" ht="15.5" customHeight="1">
      <c r="A1054" s="360" t="s">
        <v>372</v>
      </c>
      <c r="B1054" s="340">
        <v>46308</v>
      </c>
      <c r="C1054" s="181">
        <v>52062</v>
      </c>
      <c r="D1054" s="30">
        <v>46308</v>
      </c>
      <c r="E1054" s="30">
        <v>46304</v>
      </c>
      <c r="F1054" s="30">
        <v>46318</v>
      </c>
      <c r="G1054" s="37">
        <v>4420234980</v>
      </c>
      <c r="H1054" s="37" t="s">
        <v>373</v>
      </c>
      <c r="I1054" s="37">
        <v>9040052369</v>
      </c>
      <c r="J1054" s="37" t="s">
        <v>199</v>
      </c>
      <c r="K1054" s="325" t="s">
        <v>200</v>
      </c>
      <c r="L1054" s="181">
        <v>50</v>
      </c>
      <c r="M1054" s="181" t="s">
        <v>375</v>
      </c>
      <c r="N1054" s="37" t="s">
        <v>482</v>
      </c>
      <c r="O1054" s="31"/>
      <c r="P1054" s="37"/>
      <c r="Q1054" s="181"/>
      <c r="R1054" s="181"/>
      <c r="S1054" s="181"/>
      <c r="T1054" s="181"/>
      <c r="U1054" s="181"/>
      <c r="V1054" s="37"/>
      <c r="W1054" s="181"/>
      <c r="X1054" s="38"/>
      <c r="Y1054" s="38"/>
      <c r="Z1054" s="38"/>
      <c r="AA1054" s="38"/>
      <c r="AB1054" s="50"/>
      <c r="AC1054" s="181"/>
      <c r="AD1054" s="51"/>
      <c r="AE1054" s="37"/>
      <c r="AF1054" s="37"/>
      <c r="AG1054" s="33"/>
      <c r="AH1054" s="37"/>
      <c r="AI1054" s="37"/>
      <c r="AJ1054" s="181"/>
      <c r="AK1054" s="37"/>
      <c r="AL1054" s="37"/>
      <c r="AM1054" s="181"/>
      <c r="AN1054" s="37"/>
      <c r="AO1054" s="37"/>
      <c r="AP1054" s="37"/>
      <c r="AQ1054" s="37"/>
      <c r="AR1054" s="37"/>
      <c r="AS1054" s="37"/>
      <c r="AT1054" s="37"/>
      <c r="AU1054" s="37"/>
      <c r="AV1054" s="37"/>
      <c r="AW1054" s="37"/>
      <c r="AX1054" s="37"/>
      <c r="AY1054" s="37"/>
      <c r="AZ1054" s="37"/>
    </row>
    <row r="1055" spans="1:52" ht="15.5" customHeight="1">
      <c r="A1055" s="360" t="s">
        <v>372</v>
      </c>
      <c r="B1055" s="340">
        <v>46308</v>
      </c>
      <c r="C1055" s="181">
        <v>52062</v>
      </c>
      <c r="D1055" s="30">
        <v>46308</v>
      </c>
      <c r="E1055" s="30">
        <v>46304</v>
      </c>
      <c r="F1055" s="30">
        <v>46318</v>
      </c>
      <c r="G1055" s="37">
        <v>4420234980</v>
      </c>
      <c r="H1055" s="37" t="s">
        <v>373</v>
      </c>
      <c r="I1055" s="37">
        <v>9040052401</v>
      </c>
      <c r="J1055" s="37" t="s">
        <v>252</v>
      </c>
      <c r="K1055" s="325" t="s">
        <v>253</v>
      </c>
      <c r="L1055" s="181">
        <v>10</v>
      </c>
      <c r="M1055" s="181" t="s">
        <v>375</v>
      </c>
      <c r="N1055" s="37" t="s">
        <v>482</v>
      </c>
      <c r="O1055" s="31"/>
      <c r="P1055" s="37"/>
      <c r="Q1055" s="181"/>
      <c r="R1055" s="181"/>
      <c r="S1055" s="181"/>
      <c r="T1055" s="181"/>
      <c r="U1055" s="181"/>
      <c r="V1055" s="37"/>
      <c r="W1055" s="181"/>
      <c r="X1055" s="38"/>
      <c r="Y1055" s="38"/>
      <c r="Z1055" s="38"/>
      <c r="AA1055" s="38"/>
      <c r="AB1055" s="50">
        <v>46314</v>
      </c>
      <c r="AC1055" s="44" t="s">
        <v>1396</v>
      </c>
      <c r="AD1055" s="51">
        <v>6</v>
      </c>
      <c r="AE1055" s="37" t="s">
        <v>387</v>
      </c>
      <c r="AF1055" s="37" t="s">
        <v>381</v>
      </c>
      <c r="AG1055" s="33"/>
      <c r="AH1055" s="37"/>
      <c r="AI1055" s="37"/>
      <c r="AJ1055" s="181"/>
      <c r="AK1055" s="37"/>
      <c r="AL1055" s="37"/>
      <c r="AM1055" s="181"/>
      <c r="AN1055" s="37"/>
      <c r="AO1055" s="37"/>
      <c r="AP1055" s="37"/>
      <c r="AQ1055" s="37"/>
      <c r="AR1055" s="37"/>
      <c r="AS1055" s="37"/>
      <c r="AT1055" s="37"/>
      <c r="AU1055" s="37"/>
      <c r="AV1055" s="37"/>
      <c r="AW1055" s="37"/>
      <c r="AX1055" s="37"/>
      <c r="AY1055" s="37"/>
      <c r="AZ1055" s="37"/>
    </row>
    <row r="1056" spans="1:52" ht="15.5" customHeight="1">
      <c r="A1056" s="360" t="s">
        <v>372</v>
      </c>
      <c r="B1056" s="340">
        <v>46308</v>
      </c>
      <c r="C1056" s="181">
        <v>52062</v>
      </c>
      <c r="D1056" s="30">
        <v>46308</v>
      </c>
      <c r="E1056" s="30">
        <v>46304</v>
      </c>
      <c r="F1056" s="30">
        <v>46318</v>
      </c>
      <c r="G1056" s="37">
        <v>4420234980</v>
      </c>
      <c r="H1056" s="37" t="s">
        <v>373</v>
      </c>
      <c r="I1056" s="37">
        <v>9040056162</v>
      </c>
      <c r="J1056" s="37" t="s">
        <v>10</v>
      </c>
      <c r="K1056" s="325" t="s">
        <v>149</v>
      </c>
      <c r="L1056" s="181">
        <v>10</v>
      </c>
      <c r="M1056" s="181" t="s">
        <v>375</v>
      </c>
      <c r="N1056" s="37" t="s">
        <v>482</v>
      </c>
      <c r="O1056" s="31"/>
      <c r="P1056" s="37"/>
      <c r="Q1056" s="181"/>
      <c r="R1056" s="181"/>
      <c r="S1056" s="181"/>
      <c r="T1056" s="181"/>
      <c r="U1056" s="181"/>
      <c r="V1056" s="37"/>
      <c r="W1056" s="181"/>
      <c r="X1056" s="38"/>
      <c r="Y1056" s="38"/>
      <c r="Z1056" s="38"/>
      <c r="AA1056" s="38"/>
      <c r="AB1056" s="50"/>
      <c r="AC1056" s="181"/>
      <c r="AD1056" s="51"/>
      <c r="AE1056" s="37"/>
      <c r="AF1056" s="37"/>
      <c r="AG1056" s="33"/>
      <c r="AH1056" s="37"/>
      <c r="AI1056" s="37"/>
      <c r="AJ1056" s="181"/>
      <c r="AK1056" s="37"/>
      <c r="AL1056" s="37"/>
      <c r="AM1056" s="181"/>
      <c r="AN1056" s="37"/>
      <c r="AO1056" s="37"/>
      <c r="AP1056" s="37"/>
      <c r="AQ1056" s="37"/>
      <c r="AR1056" s="37"/>
      <c r="AS1056" s="37"/>
      <c r="AT1056" s="37"/>
      <c r="AU1056" s="36" t="str">
        <f>IF(AR1056=0,"Waiting",IF(AR1056&lt;AH1056,"Kurang",IF(AR1056=AH1056,"Sesuai",IF(AR1056&gt;AH1056,"Over Shared"))))</f>
        <v>Waiting</v>
      </c>
      <c r="AV1056" s="37"/>
      <c r="AW1056" s="37"/>
      <c r="AX1056" s="37"/>
      <c r="AY1056" s="37"/>
      <c r="AZ1056" s="37"/>
    </row>
    <row r="1057" spans="1:52" ht="15.5" customHeight="1">
      <c r="A1057" s="360" t="s">
        <v>372</v>
      </c>
      <c r="B1057" s="340">
        <v>46308</v>
      </c>
      <c r="C1057" s="181">
        <v>52062</v>
      </c>
      <c r="D1057" s="30">
        <v>46308</v>
      </c>
      <c r="E1057" s="30">
        <v>46304</v>
      </c>
      <c r="F1057" s="30">
        <v>46318</v>
      </c>
      <c r="G1057" s="37">
        <v>4420234980</v>
      </c>
      <c r="H1057" s="37" t="s">
        <v>373</v>
      </c>
      <c r="I1057" s="37">
        <v>9040053265</v>
      </c>
      <c r="J1057" s="37" t="s">
        <v>6</v>
      </c>
      <c r="K1057" s="325" t="s">
        <v>7</v>
      </c>
      <c r="L1057" s="181">
        <v>2</v>
      </c>
      <c r="M1057" s="181" t="s">
        <v>375</v>
      </c>
      <c r="N1057" s="37" t="s">
        <v>482</v>
      </c>
      <c r="O1057" s="31"/>
      <c r="P1057" s="37"/>
      <c r="Q1057" s="181"/>
      <c r="R1057" s="181"/>
      <c r="S1057" s="181"/>
      <c r="T1057" s="181"/>
      <c r="U1057" s="181"/>
      <c r="V1057" s="37"/>
      <c r="W1057" s="181"/>
      <c r="X1057" s="38"/>
      <c r="Y1057" s="38"/>
      <c r="Z1057" s="38"/>
      <c r="AA1057" s="38"/>
      <c r="AB1057" s="50"/>
      <c r="AC1057" s="181"/>
      <c r="AD1057" s="51"/>
      <c r="AE1057" s="37"/>
      <c r="AF1057" s="37"/>
      <c r="AG1057" s="33"/>
      <c r="AH1057" s="37"/>
      <c r="AI1057" s="37"/>
      <c r="AJ1057" s="181"/>
      <c r="AK1057" s="37"/>
      <c r="AL1057" s="37"/>
      <c r="AM1057" s="181"/>
      <c r="AN1057" s="37"/>
      <c r="AO1057" s="37"/>
      <c r="AP1057" s="37"/>
      <c r="AQ1057" s="37"/>
      <c r="AR1057" s="37"/>
      <c r="AS1057" s="37"/>
      <c r="AT1057" s="37"/>
      <c r="AU1057" s="37"/>
      <c r="AV1057" s="37"/>
      <c r="AW1057" s="37"/>
      <c r="AX1057" s="37"/>
      <c r="AY1057" s="37"/>
      <c r="AZ1057" s="37"/>
    </row>
    <row r="1058" spans="1:52" ht="15.5" customHeight="1">
      <c r="A1058" s="360" t="s">
        <v>372</v>
      </c>
      <c r="B1058" s="340">
        <v>46308</v>
      </c>
      <c r="C1058" s="181">
        <v>52067</v>
      </c>
      <c r="D1058" s="30">
        <v>46308</v>
      </c>
      <c r="E1058" s="30">
        <v>46307</v>
      </c>
      <c r="F1058" s="30">
        <v>46323</v>
      </c>
      <c r="G1058" s="37">
        <v>4420235120</v>
      </c>
      <c r="H1058" s="37" t="s">
        <v>373</v>
      </c>
      <c r="I1058" s="37">
        <v>9040024721</v>
      </c>
      <c r="J1058" s="37" t="s">
        <v>242</v>
      </c>
      <c r="K1058" s="325" t="s">
        <v>240</v>
      </c>
      <c r="L1058" s="181">
        <v>5</v>
      </c>
      <c r="M1058" s="181" t="s">
        <v>389</v>
      </c>
      <c r="N1058" s="37" t="s">
        <v>408</v>
      </c>
      <c r="O1058" s="31"/>
      <c r="P1058" s="37"/>
      <c r="Q1058" s="181"/>
      <c r="R1058" s="181"/>
      <c r="S1058" s="181"/>
      <c r="T1058" s="181"/>
      <c r="U1058" s="181"/>
      <c r="V1058" s="37"/>
      <c r="W1058" s="181"/>
      <c r="X1058" s="38"/>
      <c r="Y1058" s="38"/>
      <c r="Z1058" s="38"/>
      <c r="AA1058" s="38"/>
      <c r="AB1058" s="50"/>
      <c r="AC1058" s="181"/>
      <c r="AD1058" s="51"/>
      <c r="AE1058" s="37"/>
      <c r="AF1058" s="37"/>
      <c r="AG1058" s="33"/>
      <c r="AH1058" s="37"/>
      <c r="AI1058" s="37"/>
      <c r="AJ1058" s="181"/>
      <c r="AK1058" s="37">
        <v>26691</v>
      </c>
      <c r="AL1058" s="244">
        <v>46308</v>
      </c>
      <c r="AM1058" s="181">
        <v>10</v>
      </c>
      <c r="AN1058" s="37"/>
      <c r="AO1058" s="37"/>
      <c r="AP1058" s="37"/>
      <c r="AQ1058" s="37"/>
      <c r="AR1058" s="37"/>
      <c r="AS1058" s="37"/>
      <c r="AT1058" s="37"/>
      <c r="AU1058" s="37"/>
      <c r="AV1058" s="37"/>
      <c r="AW1058" s="37"/>
      <c r="AX1058" s="37"/>
      <c r="AY1058" s="37"/>
      <c r="AZ1058" s="37"/>
    </row>
    <row r="1059" spans="1:52" ht="15.5" customHeight="1">
      <c r="A1059" s="360" t="s">
        <v>372</v>
      </c>
      <c r="B1059" s="340">
        <v>46308</v>
      </c>
      <c r="C1059" s="181">
        <v>52067</v>
      </c>
      <c r="D1059" s="30">
        <v>46308</v>
      </c>
      <c r="E1059" s="30">
        <v>46307</v>
      </c>
      <c r="F1059" s="30">
        <v>46323</v>
      </c>
      <c r="G1059" s="37">
        <v>4420235120</v>
      </c>
      <c r="H1059" s="37" t="s">
        <v>373</v>
      </c>
      <c r="I1059" s="37">
        <v>9040020554</v>
      </c>
      <c r="J1059" s="37" t="s">
        <v>297</v>
      </c>
      <c r="K1059" s="325" t="s">
        <v>298</v>
      </c>
      <c r="L1059" s="181">
        <v>9</v>
      </c>
      <c r="M1059" s="181" t="s">
        <v>375</v>
      </c>
      <c r="N1059" s="37" t="s">
        <v>408</v>
      </c>
      <c r="O1059" s="31"/>
      <c r="P1059" s="37"/>
      <c r="Q1059" s="181"/>
      <c r="R1059" s="181"/>
      <c r="S1059" s="181"/>
      <c r="T1059" s="181"/>
      <c r="U1059" s="181"/>
      <c r="V1059" s="37"/>
      <c r="W1059" s="181"/>
      <c r="X1059" s="38"/>
      <c r="Y1059" s="38"/>
      <c r="Z1059" s="38"/>
      <c r="AA1059" s="38"/>
      <c r="AB1059" s="50"/>
      <c r="AC1059" s="181"/>
      <c r="AD1059" s="51"/>
      <c r="AE1059" s="37"/>
      <c r="AF1059" s="37"/>
      <c r="AG1059" s="33"/>
      <c r="AH1059" s="37"/>
      <c r="AI1059" s="37"/>
      <c r="AJ1059" s="181"/>
      <c r="AK1059" s="37"/>
      <c r="AL1059" s="37"/>
      <c r="AM1059" s="181"/>
      <c r="AN1059" s="37"/>
      <c r="AO1059" s="37"/>
      <c r="AP1059" s="37"/>
      <c r="AQ1059" s="37"/>
      <c r="AR1059" s="37"/>
      <c r="AS1059" s="37"/>
      <c r="AT1059" s="37"/>
      <c r="AU1059" s="37"/>
      <c r="AV1059" s="37"/>
      <c r="AW1059" s="37"/>
      <c r="AX1059" s="37"/>
      <c r="AY1059" s="37"/>
      <c r="AZ1059" s="37"/>
    </row>
    <row r="1060" spans="1:52" ht="15.5" customHeight="1">
      <c r="A1060" s="360" t="s">
        <v>372</v>
      </c>
      <c r="B1060" s="340">
        <v>46308</v>
      </c>
      <c r="C1060" s="181">
        <v>52067</v>
      </c>
      <c r="D1060" s="30">
        <v>46308</v>
      </c>
      <c r="E1060" s="30">
        <v>46307</v>
      </c>
      <c r="F1060" s="30">
        <v>46323</v>
      </c>
      <c r="G1060" s="37">
        <v>4420235120</v>
      </c>
      <c r="H1060" s="37" t="s">
        <v>373</v>
      </c>
      <c r="I1060" s="37">
        <v>9040040486</v>
      </c>
      <c r="J1060" s="37" t="s">
        <v>165</v>
      </c>
      <c r="K1060" s="325" t="s">
        <v>166</v>
      </c>
      <c r="L1060" s="181">
        <v>7</v>
      </c>
      <c r="M1060" s="181" t="s">
        <v>375</v>
      </c>
      <c r="N1060" s="37" t="s">
        <v>408</v>
      </c>
      <c r="O1060" s="31"/>
      <c r="P1060" s="37"/>
      <c r="Q1060" s="181"/>
      <c r="R1060" s="181"/>
      <c r="S1060" s="181"/>
      <c r="T1060" s="181"/>
      <c r="U1060" s="181"/>
      <c r="V1060" s="37"/>
      <c r="W1060" s="181"/>
      <c r="X1060" s="38"/>
      <c r="Y1060" s="38"/>
      <c r="Z1060" s="38"/>
      <c r="AA1060" s="38"/>
      <c r="AB1060" s="50">
        <v>46314</v>
      </c>
      <c r="AC1060" s="44" t="s">
        <v>1397</v>
      </c>
      <c r="AD1060" s="51">
        <v>7</v>
      </c>
      <c r="AE1060" s="37" t="s">
        <v>387</v>
      </c>
      <c r="AF1060" s="37" t="s">
        <v>381</v>
      </c>
      <c r="AG1060" s="33"/>
      <c r="AH1060" s="37"/>
      <c r="AI1060" s="37"/>
      <c r="AJ1060" s="181"/>
      <c r="AK1060" s="37"/>
      <c r="AL1060" s="37"/>
      <c r="AM1060" s="181"/>
      <c r="AN1060" s="37"/>
      <c r="AO1060" s="37"/>
      <c r="AP1060" s="37"/>
      <c r="AQ1060" s="37"/>
      <c r="AR1060" s="37"/>
      <c r="AS1060" s="37"/>
      <c r="AT1060" s="37"/>
      <c r="AU1060" s="37"/>
      <c r="AV1060" s="37"/>
      <c r="AW1060" s="37"/>
      <c r="AX1060" s="37"/>
      <c r="AY1060" s="37"/>
      <c r="AZ1060" s="37"/>
    </row>
    <row r="1061" spans="1:52" ht="15.5" customHeight="1">
      <c r="A1061" s="360" t="s">
        <v>372</v>
      </c>
      <c r="B1061" s="340">
        <v>46308</v>
      </c>
      <c r="C1061" s="181">
        <v>52067</v>
      </c>
      <c r="D1061" s="30">
        <v>46308</v>
      </c>
      <c r="E1061" s="30">
        <v>46307</v>
      </c>
      <c r="F1061" s="30">
        <v>46323</v>
      </c>
      <c r="G1061" s="37">
        <v>4420235120</v>
      </c>
      <c r="H1061" s="37" t="s">
        <v>373</v>
      </c>
      <c r="I1061" s="37">
        <v>9040054960</v>
      </c>
      <c r="J1061" s="37" t="s">
        <v>306</v>
      </c>
      <c r="K1061" s="325" t="s">
        <v>307</v>
      </c>
      <c r="L1061" s="181">
        <v>10</v>
      </c>
      <c r="M1061" s="181" t="s">
        <v>421</v>
      </c>
      <c r="N1061" s="37" t="s">
        <v>408</v>
      </c>
      <c r="O1061" s="31"/>
      <c r="P1061" s="37"/>
      <c r="Q1061" s="181"/>
      <c r="R1061" s="181"/>
      <c r="S1061" s="181"/>
      <c r="T1061" s="181"/>
      <c r="U1061" s="181"/>
      <c r="V1061" s="37"/>
      <c r="W1061" s="181"/>
      <c r="X1061" s="38"/>
      <c r="Y1061" s="38"/>
      <c r="Z1061" s="38"/>
      <c r="AA1061" s="38"/>
      <c r="AB1061" s="248"/>
      <c r="AC1061" s="247"/>
      <c r="AD1061" s="181"/>
      <c r="AE1061" s="37"/>
      <c r="AF1061" s="37"/>
      <c r="AG1061" s="33"/>
      <c r="AH1061" s="37"/>
      <c r="AI1061" s="37"/>
      <c r="AJ1061" s="181"/>
      <c r="AK1061" s="37" t="s">
        <v>1398</v>
      </c>
      <c r="AL1061" s="244">
        <v>46309</v>
      </c>
      <c r="AM1061" s="181"/>
      <c r="AN1061" s="37"/>
      <c r="AO1061" s="37"/>
      <c r="AP1061" s="37"/>
      <c r="AQ1061" s="37"/>
      <c r="AR1061" s="37"/>
      <c r="AS1061" s="37"/>
      <c r="AT1061" s="37"/>
      <c r="AU1061" s="37"/>
      <c r="AV1061" s="37"/>
      <c r="AW1061" s="37"/>
      <c r="AX1061" s="37"/>
      <c r="AY1061" s="37"/>
      <c r="AZ1061" s="37"/>
    </row>
    <row r="1062" spans="1:52" ht="15.5" customHeight="1">
      <c r="A1062" s="360" t="s">
        <v>372</v>
      </c>
      <c r="B1062" s="340">
        <v>46308</v>
      </c>
      <c r="C1062" s="181">
        <v>52089</v>
      </c>
      <c r="D1062" s="30">
        <v>46308</v>
      </c>
      <c r="E1062" s="30">
        <v>46307</v>
      </c>
      <c r="F1062" s="30">
        <v>46328</v>
      </c>
      <c r="G1062" s="37">
        <v>4420235095</v>
      </c>
      <c r="H1062" s="37" t="s">
        <v>373</v>
      </c>
      <c r="I1062" s="37">
        <v>9040132279</v>
      </c>
      <c r="J1062" s="37" t="s">
        <v>247</v>
      </c>
      <c r="K1062" s="325" t="s">
        <v>248</v>
      </c>
      <c r="L1062" s="181">
        <v>4</v>
      </c>
      <c r="M1062" s="181" t="s">
        <v>375</v>
      </c>
      <c r="N1062" s="37" t="s">
        <v>431</v>
      </c>
      <c r="O1062" s="31"/>
      <c r="P1062" s="37"/>
      <c r="Q1062" s="181"/>
      <c r="R1062" s="181"/>
      <c r="S1062" s="181"/>
      <c r="T1062" s="181"/>
      <c r="U1062" s="181"/>
      <c r="V1062" s="37"/>
      <c r="W1062" s="181"/>
      <c r="X1062" s="38"/>
      <c r="Y1062" s="38"/>
      <c r="Z1062" s="38"/>
      <c r="AA1062" s="38"/>
      <c r="AB1062" s="248"/>
      <c r="AC1062" s="250"/>
      <c r="AD1062" s="181"/>
      <c r="AE1062" s="37"/>
      <c r="AF1062" s="37"/>
      <c r="AG1062" s="33"/>
      <c r="AH1062" s="37"/>
      <c r="AI1062" s="37"/>
      <c r="AJ1062" s="181"/>
      <c r="AK1062" s="37"/>
      <c r="AL1062" s="37"/>
      <c r="AM1062" s="181"/>
      <c r="AN1062" s="37"/>
      <c r="AO1062" s="37"/>
      <c r="AP1062" s="37"/>
      <c r="AQ1062" s="37"/>
      <c r="AR1062" s="37"/>
      <c r="AS1062" s="37"/>
      <c r="AT1062" s="37"/>
      <c r="AU1062" s="37"/>
      <c r="AV1062" s="37"/>
      <c r="AW1062" s="37"/>
      <c r="AX1062" s="37"/>
      <c r="AY1062" s="37"/>
      <c r="AZ1062" s="37"/>
    </row>
    <row r="1063" spans="1:52" ht="15.5" customHeight="1">
      <c r="A1063" s="360" t="s">
        <v>372</v>
      </c>
      <c r="B1063" s="340">
        <v>46308</v>
      </c>
      <c r="C1063" s="181">
        <v>52089</v>
      </c>
      <c r="D1063" s="30">
        <v>46308</v>
      </c>
      <c r="E1063" s="30">
        <v>46307</v>
      </c>
      <c r="F1063" s="30">
        <v>46328</v>
      </c>
      <c r="G1063" s="37">
        <v>4420235095</v>
      </c>
      <c r="H1063" s="37" t="s">
        <v>373</v>
      </c>
      <c r="I1063" s="37">
        <v>9040132279</v>
      </c>
      <c r="J1063" s="37" t="s">
        <v>247</v>
      </c>
      <c r="K1063" s="325" t="s">
        <v>248</v>
      </c>
      <c r="L1063" s="181">
        <v>10</v>
      </c>
      <c r="M1063" s="181" t="s">
        <v>375</v>
      </c>
      <c r="N1063" s="37" t="s">
        <v>431</v>
      </c>
      <c r="O1063" s="31"/>
      <c r="P1063" s="37"/>
      <c r="Q1063" s="181"/>
      <c r="R1063" s="181"/>
      <c r="S1063" s="181"/>
      <c r="T1063" s="181"/>
      <c r="U1063" s="181"/>
      <c r="V1063" s="37"/>
      <c r="W1063" s="181"/>
      <c r="X1063" s="38"/>
      <c r="Y1063" s="38"/>
      <c r="Z1063" s="38"/>
      <c r="AA1063" s="38"/>
      <c r="AB1063" s="248"/>
      <c r="AC1063" s="250"/>
      <c r="AD1063" s="181"/>
      <c r="AE1063" s="37"/>
      <c r="AF1063" s="37"/>
      <c r="AG1063" s="33"/>
      <c r="AH1063" s="37"/>
      <c r="AI1063" s="37"/>
      <c r="AJ1063" s="181"/>
      <c r="AK1063" s="37"/>
      <c r="AL1063" s="37"/>
      <c r="AM1063" s="181"/>
      <c r="AN1063" s="37"/>
      <c r="AO1063" s="37"/>
      <c r="AP1063" s="37"/>
      <c r="AQ1063" s="37"/>
      <c r="AR1063" s="37"/>
      <c r="AS1063" s="37"/>
      <c r="AT1063" s="37"/>
      <c r="AU1063" s="37"/>
      <c r="AV1063" s="37"/>
      <c r="AW1063" s="37"/>
      <c r="AX1063" s="37"/>
      <c r="AY1063" s="37"/>
      <c r="AZ1063" s="37"/>
    </row>
    <row r="1064" spans="1:52" ht="15.5" customHeight="1">
      <c r="A1064" s="360" t="s">
        <v>372</v>
      </c>
      <c r="B1064" s="340">
        <v>46308</v>
      </c>
      <c r="C1064" s="181">
        <v>52089</v>
      </c>
      <c r="D1064" s="30">
        <v>46308</v>
      </c>
      <c r="E1064" s="30">
        <v>46307</v>
      </c>
      <c r="F1064" s="30">
        <v>46328</v>
      </c>
      <c r="G1064" s="37">
        <v>4420235095</v>
      </c>
      <c r="H1064" s="37" t="s">
        <v>373</v>
      </c>
      <c r="I1064" s="37">
        <v>9040135879</v>
      </c>
      <c r="J1064" s="37" t="s">
        <v>123</v>
      </c>
      <c r="K1064" s="325" t="s">
        <v>124</v>
      </c>
      <c r="L1064" s="181">
        <v>1</v>
      </c>
      <c r="M1064" s="181" t="s">
        <v>375</v>
      </c>
      <c r="N1064" s="37" t="s">
        <v>431</v>
      </c>
      <c r="O1064" s="31"/>
      <c r="P1064" s="37"/>
      <c r="Q1064" s="181"/>
      <c r="R1064" s="181"/>
      <c r="S1064" s="181"/>
      <c r="T1064" s="181"/>
      <c r="U1064" s="181"/>
      <c r="V1064" s="37"/>
      <c r="W1064" s="181"/>
      <c r="X1064" s="38"/>
      <c r="Y1064" s="38"/>
      <c r="Z1064" s="38"/>
      <c r="AA1064" s="38"/>
      <c r="AB1064" s="248"/>
      <c r="AC1064" s="250"/>
      <c r="AD1064" s="181"/>
      <c r="AE1064" s="37"/>
      <c r="AF1064" s="37"/>
      <c r="AG1064" s="33"/>
      <c r="AH1064" s="37"/>
      <c r="AI1064" s="37"/>
      <c r="AJ1064" s="181"/>
      <c r="AK1064" s="37"/>
      <c r="AL1064" s="37"/>
      <c r="AM1064" s="181"/>
      <c r="AN1064" s="37"/>
      <c r="AO1064" s="37"/>
      <c r="AP1064" s="37"/>
      <c r="AQ1064" s="37"/>
      <c r="AR1064" s="37"/>
      <c r="AS1064" s="37"/>
      <c r="AT1064" s="37"/>
      <c r="AU1064" s="37"/>
      <c r="AV1064" s="37"/>
      <c r="AW1064" s="37"/>
      <c r="AX1064" s="37"/>
      <c r="AY1064" s="37"/>
      <c r="AZ1064" s="37"/>
    </row>
    <row r="1065" spans="1:52" ht="15.5" customHeight="1">
      <c r="A1065" s="360" t="s">
        <v>372</v>
      </c>
      <c r="B1065" s="340">
        <v>46308</v>
      </c>
      <c r="C1065" s="181">
        <v>52089</v>
      </c>
      <c r="D1065" s="30">
        <v>46308</v>
      </c>
      <c r="E1065" s="30">
        <v>46307</v>
      </c>
      <c r="F1065" s="30">
        <v>46328</v>
      </c>
      <c r="G1065" s="37">
        <v>4420235095</v>
      </c>
      <c r="H1065" s="37" t="s">
        <v>373</v>
      </c>
      <c r="I1065" s="37">
        <v>9040135879</v>
      </c>
      <c r="J1065" s="37" t="s">
        <v>123</v>
      </c>
      <c r="K1065" s="325" t="s">
        <v>124</v>
      </c>
      <c r="L1065" s="181">
        <v>1</v>
      </c>
      <c r="M1065" s="181" t="s">
        <v>375</v>
      </c>
      <c r="N1065" s="37" t="s">
        <v>431</v>
      </c>
      <c r="O1065" s="31"/>
      <c r="P1065" s="37"/>
      <c r="Q1065" s="181"/>
      <c r="R1065" s="181"/>
      <c r="S1065" s="181"/>
      <c r="T1065" s="181"/>
      <c r="U1065" s="181"/>
      <c r="V1065" s="37"/>
      <c r="W1065" s="181"/>
      <c r="X1065" s="38"/>
      <c r="Y1065" s="38"/>
      <c r="Z1065" s="38"/>
      <c r="AA1065" s="38"/>
      <c r="AB1065" s="248"/>
      <c r="AC1065" s="250"/>
      <c r="AD1065" s="181"/>
      <c r="AE1065" s="37"/>
      <c r="AF1065" s="37"/>
      <c r="AG1065" s="33"/>
      <c r="AH1065" s="37"/>
      <c r="AI1065" s="37"/>
      <c r="AJ1065" s="181"/>
      <c r="AK1065" s="37"/>
      <c r="AL1065" s="37"/>
      <c r="AM1065" s="181"/>
      <c r="AN1065" s="37"/>
      <c r="AO1065" s="37"/>
      <c r="AP1065" s="37"/>
      <c r="AQ1065" s="37"/>
      <c r="AR1065" s="37"/>
      <c r="AS1065" s="37"/>
      <c r="AT1065" s="37"/>
      <c r="AU1065" s="37"/>
      <c r="AV1065" s="37"/>
      <c r="AW1065" s="37"/>
      <c r="AX1065" s="37"/>
      <c r="AY1065" s="37"/>
      <c r="AZ1065" s="37"/>
    </row>
    <row r="1066" spans="1:52" ht="15.5" customHeight="1">
      <c r="A1066" s="360" t="s">
        <v>372</v>
      </c>
      <c r="B1066" s="340">
        <v>46308</v>
      </c>
      <c r="C1066" s="181">
        <v>52089</v>
      </c>
      <c r="D1066" s="30">
        <v>46308</v>
      </c>
      <c r="E1066" s="30">
        <v>46307</v>
      </c>
      <c r="F1066" s="30">
        <v>46328</v>
      </c>
      <c r="G1066" s="37">
        <v>4420235095</v>
      </c>
      <c r="H1066" s="37" t="s">
        <v>373</v>
      </c>
      <c r="I1066" s="37">
        <v>9040134520</v>
      </c>
      <c r="J1066" s="37" t="s">
        <v>129</v>
      </c>
      <c r="K1066" s="325" t="s">
        <v>130</v>
      </c>
      <c r="L1066" s="181">
        <v>1</v>
      </c>
      <c r="M1066" s="181" t="s">
        <v>375</v>
      </c>
      <c r="N1066" s="37" t="s">
        <v>431</v>
      </c>
      <c r="O1066" s="31"/>
      <c r="P1066" s="37"/>
      <c r="Q1066" s="181"/>
      <c r="R1066" s="181"/>
      <c r="S1066" s="181"/>
      <c r="T1066" s="181"/>
      <c r="U1066" s="181"/>
      <c r="V1066" s="37"/>
      <c r="W1066" s="181"/>
      <c r="X1066" s="38"/>
      <c r="Y1066" s="38"/>
      <c r="Z1066" s="38"/>
      <c r="AA1066" s="38"/>
      <c r="AB1066" s="248"/>
      <c r="AC1066" s="250"/>
      <c r="AD1066" s="181"/>
      <c r="AE1066" s="37"/>
      <c r="AF1066" s="37"/>
      <c r="AG1066" s="33"/>
      <c r="AH1066" s="37"/>
      <c r="AI1066" s="37"/>
      <c r="AJ1066" s="181"/>
      <c r="AK1066" s="37"/>
      <c r="AL1066" s="37"/>
      <c r="AM1066" s="181"/>
      <c r="AN1066" s="37"/>
      <c r="AO1066" s="37"/>
      <c r="AP1066" s="37"/>
      <c r="AQ1066" s="37"/>
      <c r="AR1066" s="37"/>
      <c r="AS1066" s="37"/>
      <c r="AT1066" s="37"/>
      <c r="AU1066" s="37"/>
      <c r="AV1066" s="37"/>
      <c r="AW1066" s="37"/>
      <c r="AX1066" s="37"/>
      <c r="AY1066" s="37"/>
      <c r="AZ1066" s="37"/>
    </row>
    <row r="1067" spans="1:52" ht="15.5" customHeight="1">
      <c r="A1067" s="360" t="s">
        <v>372</v>
      </c>
      <c r="B1067" s="340">
        <v>46308</v>
      </c>
      <c r="C1067" s="181">
        <v>52089</v>
      </c>
      <c r="D1067" s="30">
        <v>46308</v>
      </c>
      <c r="E1067" s="30">
        <v>46307</v>
      </c>
      <c r="F1067" s="30">
        <v>46328</v>
      </c>
      <c r="G1067" s="37">
        <v>4420235095</v>
      </c>
      <c r="H1067" s="37" t="s">
        <v>373</v>
      </c>
      <c r="I1067" s="37">
        <v>9040134520</v>
      </c>
      <c r="J1067" s="37" t="s">
        <v>129</v>
      </c>
      <c r="K1067" s="325" t="s">
        <v>130</v>
      </c>
      <c r="L1067" s="181">
        <v>1</v>
      </c>
      <c r="M1067" s="181" t="s">
        <v>375</v>
      </c>
      <c r="N1067" s="37" t="s">
        <v>431</v>
      </c>
      <c r="O1067" s="31"/>
      <c r="P1067" s="37"/>
      <c r="Q1067" s="181"/>
      <c r="R1067" s="181"/>
      <c r="S1067" s="181"/>
      <c r="T1067" s="181"/>
      <c r="U1067" s="181"/>
      <c r="V1067" s="37"/>
      <c r="W1067" s="181"/>
      <c r="X1067" s="38"/>
      <c r="Y1067" s="38"/>
      <c r="Z1067" s="38"/>
      <c r="AA1067" s="38"/>
      <c r="AB1067" s="248"/>
      <c r="AC1067" s="250"/>
      <c r="AD1067" s="181"/>
      <c r="AE1067" s="37"/>
      <c r="AF1067" s="37"/>
      <c r="AG1067" s="33"/>
      <c r="AH1067" s="37"/>
      <c r="AI1067" s="37"/>
      <c r="AJ1067" s="181"/>
      <c r="AK1067" s="37"/>
      <c r="AL1067" s="37"/>
      <c r="AM1067" s="181"/>
      <c r="AN1067" s="37"/>
      <c r="AO1067" s="37"/>
      <c r="AP1067" s="37"/>
      <c r="AQ1067" s="37"/>
      <c r="AR1067" s="37"/>
      <c r="AS1067" s="37"/>
      <c r="AT1067" s="37"/>
      <c r="AU1067" s="37"/>
      <c r="AV1067" s="37"/>
      <c r="AW1067" s="37"/>
      <c r="AX1067" s="37"/>
      <c r="AY1067" s="37"/>
      <c r="AZ1067" s="37"/>
    </row>
    <row r="1068" spans="1:52" ht="15.5" customHeight="1">
      <c r="A1068" s="360" t="s">
        <v>372</v>
      </c>
      <c r="B1068" s="340">
        <v>46308</v>
      </c>
      <c r="C1068" s="181">
        <v>52089</v>
      </c>
      <c r="D1068" s="30">
        <v>46308</v>
      </c>
      <c r="E1068" s="30">
        <v>46307</v>
      </c>
      <c r="F1068" s="30">
        <v>46328</v>
      </c>
      <c r="G1068" s="37">
        <v>4420235095</v>
      </c>
      <c r="H1068" s="37" t="s">
        <v>373</v>
      </c>
      <c r="I1068" s="37">
        <v>9040134520</v>
      </c>
      <c r="J1068" s="37" t="s">
        <v>129</v>
      </c>
      <c r="K1068" s="325" t="s">
        <v>130</v>
      </c>
      <c r="L1068" s="181">
        <v>1</v>
      </c>
      <c r="M1068" s="181" t="s">
        <v>375</v>
      </c>
      <c r="N1068" s="37" t="s">
        <v>431</v>
      </c>
      <c r="O1068" s="31"/>
      <c r="P1068" s="37"/>
      <c r="Q1068" s="181"/>
      <c r="R1068" s="181"/>
      <c r="S1068" s="181"/>
      <c r="T1068" s="181"/>
      <c r="U1068" s="181"/>
      <c r="V1068" s="37"/>
      <c r="W1068" s="181"/>
      <c r="X1068" s="38"/>
      <c r="Y1068" s="38"/>
      <c r="Z1068" s="38"/>
      <c r="AA1068" s="38"/>
      <c r="AB1068" s="248"/>
      <c r="AC1068" s="250"/>
      <c r="AD1068" s="181"/>
      <c r="AE1068" s="37"/>
      <c r="AF1068" s="37"/>
      <c r="AG1068" s="33"/>
      <c r="AH1068" s="37"/>
      <c r="AI1068" s="37"/>
      <c r="AJ1068" s="181"/>
      <c r="AK1068" s="37"/>
      <c r="AL1068" s="37"/>
      <c r="AM1068" s="181"/>
      <c r="AN1068" s="37"/>
      <c r="AO1068" s="37"/>
      <c r="AP1068" s="37"/>
      <c r="AQ1068" s="37"/>
      <c r="AR1068" s="37"/>
      <c r="AS1068" s="37"/>
      <c r="AT1068" s="37"/>
      <c r="AU1068" s="37"/>
      <c r="AV1068" s="37"/>
      <c r="AW1068" s="37"/>
      <c r="AX1068" s="37"/>
      <c r="AY1068" s="37"/>
      <c r="AZ1068" s="37"/>
    </row>
    <row r="1069" spans="1:52" ht="15.5" customHeight="1">
      <c r="A1069" s="360" t="s">
        <v>372</v>
      </c>
      <c r="B1069" s="340">
        <v>46308</v>
      </c>
      <c r="C1069" s="181">
        <v>52089</v>
      </c>
      <c r="D1069" s="30">
        <v>46308</v>
      </c>
      <c r="E1069" s="30">
        <v>46307</v>
      </c>
      <c r="F1069" s="30">
        <v>46328</v>
      </c>
      <c r="G1069" s="37">
        <v>4420235095</v>
      </c>
      <c r="H1069" s="37" t="s">
        <v>373</v>
      </c>
      <c r="I1069" s="37">
        <v>9040135879</v>
      </c>
      <c r="J1069" s="37" t="s">
        <v>123</v>
      </c>
      <c r="K1069" s="325" t="s">
        <v>124</v>
      </c>
      <c r="L1069" s="181">
        <v>1</v>
      </c>
      <c r="M1069" s="181" t="s">
        <v>375</v>
      </c>
      <c r="N1069" s="37" t="s">
        <v>431</v>
      </c>
      <c r="O1069" s="31"/>
      <c r="P1069" s="37"/>
      <c r="Q1069" s="181"/>
      <c r="R1069" s="181"/>
      <c r="S1069" s="181"/>
      <c r="T1069" s="181"/>
      <c r="U1069" s="181"/>
      <c r="V1069" s="37"/>
      <c r="W1069" s="181"/>
      <c r="X1069" s="38"/>
      <c r="Y1069" s="38"/>
      <c r="Z1069" s="38"/>
      <c r="AA1069" s="38"/>
      <c r="AB1069" s="248"/>
      <c r="AC1069" s="250"/>
      <c r="AD1069" s="181"/>
      <c r="AE1069" s="37"/>
      <c r="AF1069" s="37"/>
      <c r="AG1069" s="33"/>
      <c r="AH1069" s="37"/>
      <c r="AI1069" s="37"/>
      <c r="AJ1069" s="181"/>
      <c r="AK1069" s="37"/>
      <c r="AL1069" s="37"/>
      <c r="AM1069" s="181"/>
      <c r="AN1069" s="37"/>
      <c r="AO1069" s="37"/>
      <c r="AP1069" s="37"/>
      <c r="AQ1069" s="37"/>
      <c r="AR1069" s="37"/>
      <c r="AS1069" s="37"/>
      <c r="AT1069" s="37"/>
      <c r="AU1069" s="37"/>
      <c r="AV1069" s="37"/>
      <c r="AW1069" s="37"/>
      <c r="AX1069" s="37"/>
      <c r="AY1069" s="37"/>
      <c r="AZ1069" s="37"/>
    </row>
    <row r="1070" spans="1:52" ht="15.5" customHeight="1">
      <c r="A1070" s="360" t="s">
        <v>372</v>
      </c>
      <c r="B1070" s="340">
        <v>46308</v>
      </c>
      <c r="C1070" s="181">
        <v>52091</v>
      </c>
      <c r="D1070" s="30">
        <v>46308</v>
      </c>
      <c r="E1070" s="30">
        <v>46307</v>
      </c>
      <c r="F1070" s="30">
        <v>46338</v>
      </c>
      <c r="G1070" s="37">
        <v>4420235109</v>
      </c>
      <c r="H1070" s="37" t="s">
        <v>373</v>
      </c>
      <c r="I1070" s="37">
        <v>9040009391</v>
      </c>
      <c r="J1070" s="37" t="s">
        <v>293</v>
      </c>
      <c r="K1070" s="325" t="s">
        <v>294</v>
      </c>
      <c r="L1070" s="181">
        <v>11</v>
      </c>
      <c r="M1070" s="181" t="s">
        <v>375</v>
      </c>
      <c r="N1070" s="37" t="s">
        <v>1284</v>
      </c>
      <c r="O1070" s="31"/>
      <c r="P1070" s="37"/>
      <c r="Q1070" s="181"/>
      <c r="R1070" s="181"/>
      <c r="S1070" s="181"/>
      <c r="T1070" s="181"/>
      <c r="U1070" s="181"/>
      <c r="V1070" s="37"/>
      <c r="W1070" s="181"/>
      <c r="X1070" s="38"/>
      <c r="Y1070" s="38"/>
      <c r="Z1070" s="38"/>
      <c r="AA1070" s="38"/>
      <c r="AB1070" s="248"/>
      <c r="AC1070" s="250"/>
      <c r="AD1070" s="181"/>
      <c r="AE1070" s="37"/>
      <c r="AF1070" s="37"/>
      <c r="AG1070" s="33"/>
      <c r="AH1070" s="37"/>
      <c r="AI1070" s="37"/>
      <c r="AJ1070" s="181"/>
      <c r="AK1070" s="37"/>
      <c r="AL1070" s="37"/>
      <c r="AM1070" s="181"/>
      <c r="AN1070" s="37"/>
      <c r="AO1070" s="37"/>
      <c r="AP1070" s="37"/>
      <c r="AQ1070" s="37"/>
      <c r="AR1070" s="37"/>
      <c r="AS1070" s="37"/>
      <c r="AT1070" s="37"/>
      <c r="AU1070" s="37"/>
      <c r="AV1070" s="37"/>
      <c r="AW1070" s="37"/>
      <c r="AX1070" s="37"/>
      <c r="AY1070" s="37"/>
      <c r="AZ1070" s="37"/>
    </row>
    <row r="1071" spans="1:52" ht="15.5" customHeight="1">
      <c r="A1071" s="360" t="s">
        <v>372</v>
      </c>
      <c r="B1071" s="340">
        <v>46308</v>
      </c>
      <c r="C1071" s="181">
        <v>52091</v>
      </c>
      <c r="D1071" s="30">
        <v>46308</v>
      </c>
      <c r="E1071" s="30">
        <v>46307</v>
      </c>
      <c r="F1071" s="30">
        <v>46338</v>
      </c>
      <c r="G1071" s="37">
        <v>4420235109</v>
      </c>
      <c r="H1071" s="37" t="s">
        <v>373</v>
      </c>
      <c r="I1071" s="37">
        <v>9040012343</v>
      </c>
      <c r="J1071" s="37" t="s">
        <v>303</v>
      </c>
      <c r="K1071" s="325" t="s">
        <v>304</v>
      </c>
      <c r="L1071" s="181">
        <v>20</v>
      </c>
      <c r="M1071" s="181" t="s">
        <v>375</v>
      </c>
      <c r="N1071" s="37" t="s">
        <v>1284</v>
      </c>
      <c r="O1071" s="31"/>
      <c r="P1071" s="37"/>
      <c r="Q1071" s="181"/>
      <c r="R1071" s="181"/>
      <c r="S1071" s="181"/>
      <c r="T1071" s="181"/>
      <c r="U1071" s="181"/>
      <c r="V1071" s="37"/>
      <c r="W1071" s="181"/>
      <c r="X1071" s="38"/>
      <c r="Y1071" s="38"/>
      <c r="Z1071" s="38"/>
      <c r="AA1071" s="38"/>
      <c r="AB1071" s="248"/>
      <c r="AC1071" s="250"/>
      <c r="AD1071" s="181"/>
      <c r="AE1071" s="37"/>
      <c r="AF1071" s="37"/>
      <c r="AG1071" s="33"/>
      <c r="AH1071" s="37"/>
      <c r="AI1071" s="37"/>
      <c r="AJ1071" s="181"/>
      <c r="AK1071" s="37"/>
      <c r="AL1071" s="37"/>
      <c r="AM1071" s="181"/>
      <c r="AN1071" s="37"/>
      <c r="AO1071" s="37"/>
      <c r="AP1071" s="37"/>
      <c r="AQ1071" s="37"/>
      <c r="AR1071" s="37"/>
      <c r="AS1071" s="37"/>
      <c r="AT1071" s="37"/>
      <c r="AU1071" s="37"/>
      <c r="AV1071" s="37"/>
      <c r="AW1071" s="37"/>
      <c r="AX1071" s="37"/>
      <c r="AY1071" s="37"/>
      <c r="AZ1071" s="37"/>
    </row>
    <row r="1072" spans="1:52" ht="15.5" customHeight="1">
      <c r="A1072" s="360" t="s">
        <v>372</v>
      </c>
      <c r="B1072" s="340">
        <v>46308</v>
      </c>
      <c r="C1072" s="181">
        <v>52091</v>
      </c>
      <c r="D1072" s="30">
        <v>46308</v>
      </c>
      <c r="E1072" s="30">
        <v>46307</v>
      </c>
      <c r="F1072" s="30">
        <v>46338</v>
      </c>
      <c r="G1072" s="37">
        <v>4420235109</v>
      </c>
      <c r="H1072" s="37" t="s">
        <v>373</v>
      </c>
      <c r="I1072" s="37">
        <v>9040014955</v>
      </c>
      <c r="J1072" s="37" t="s">
        <v>27</v>
      </c>
      <c r="K1072" s="325" t="s">
        <v>28</v>
      </c>
      <c r="L1072" s="181">
        <v>7</v>
      </c>
      <c r="M1072" s="181" t="s">
        <v>375</v>
      </c>
      <c r="N1072" s="37" t="s">
        <v>1284</v>
      </c>
      <c r="O1072" s="31"/>
      <c r="P1072" s="37"/>
      <c r="Q1072" s="181"/>
      <c r="R1072" s="181"/>
      <c r="S1072" s="181"/>
      <c r="T1072" s="181"/>
      <c r="U1072" s="181"/>
      <c r="V1072" s="37"/>
      <c r="W1072" s="181"/>
      <c r="X1072" s="38"/>
      <c r="Y1072" s="38"/>
      <c r="Z1072" s="38"/>
      <c r="AA1072" s="38"/>
      <c r="AB1072" s="248"/>
      <c r="AC1072" s="250"/>
      <c r="AD1072" s="181"/>
      <c r="AE1072" s="37"/>
      <c r="AF1072" s="37"/>
      <c r="AG1072" s="33"/>
      <c r="AH1072" s="37"/>
      <c r="AI1072" s="37"/>
      <c r="AJ1072" s="181"/>
      <c r="AK1072" s="37">
        <v>26767</v>
      </c>
      <c r="AL1072" s="244">
        <v>46311</v>
      </c>
      <c r="AM1072" s="181">
        <v>17</v>
      </c>
      <c r="AN1072" s="37"/>
      <c r="AO1072" s="37"/>
      <c r="AP1072" s="37"/>
      <c r="AQ1072" s="37"/>
      <c r="AR1072" s="37"/>
      <c r="AS1072" s="37"/>
      <c r="AT1072" s="37"/>
      <c r="AU1072" s="37"/>
      <c r="AV1072" s="37"/>
      <c r="AW1072" s="37"/>
      <c r="AX1072" s="37"/>
      <c r="AY1072" s="37"/>
      <c r="AZ1072" s="37"/>
    </row>
    <row r="1073" spans="1:52" ht="15.5" customHeight="1">
      <c r="A1073" s="360" t="s">
        <v>372</v>
      </c>
      <c r="B1073" s="340">
        <v>46308</v>
      </c>
      <c r="C1073" s="181">
        <v>52091</v>
      </c>
      <c r="D1073" s="30">
        <v>46308</v>
      </c>
      <c r="E1073" s="30">
        <v>46307</v>
      </c>
      <c r="F1073" s="30">
        <v>46338</v>
      </c>
      <c r="G1073" s="37">
        <v>4420235109</v>
      </c>
      <c r="H1073" s="37" t="s">
        <v>373</v>
      </c>
      <c r="I1073" s="37">
        <v>9040016581</v>
      </c>
      <c r="J1073" s="37" t="s">
        <v>185</v>
      </c>
      <c r="K1073" s="325" t="s">
        <v>186</v>
      </c>
      <c r="L1073" s="181">
        <v>11</v>
      </c>
      <c r="M1073" s="181" t="s">
        <v>375</v>
      </c>
      <c r="N1073" s="37" t="s">
        <v>1284</v>
      </c>
      <c r="O1073" s="31"/>
      <c r="P1073" s="37"/>
      <c r="Q1073" s="181"/>
      <c r="R1073" s="181"/>
      <c r="S1073" s="181"/>
      <c r="T1073" s="181"/>
      <c r="U1073" s="181"/>
      <c r="V1073" s="37"/>
      <c r="W1073" s="181"/>
      <c r="X1073" s="38"/>
      <c r="Y1073" s="38"/>
      <c r="Z1073" s="38"/>
      <c r="AA1073" s="38"/>
      <c r="AB1073" s="248"/>
      <c r="AC1073" s="250"/>
      <c r="AD1073" s="181"/>
      <c r="AE1073" s="37"/>
      <c r="AF1073" s="37"/>
      <c r="AG1073" s="33"/>
      <c r="AH1073" s="37"/>
      <c r="AI1073" s="37"/>
      <c r="AJ1073" s="181"/>
      <c r="AK1073" s="37"/>
      <c r="AL1073" s="37"/>
      <c r="AM1073" s="181"/>
      <c r="AN1073" s="37"/>
      <c r="AO1073" s="37"/>
      <c r="AP1073" s="37"/>
      <c r="AQ1073" s="37"/>
      <c r="AR1073" s="37"/>
      <c r="AS1073" s="37"/>
      <c r="AT1073" s="37"/>
      <c r="AU1073" s="37"/>
      <c r="AV1073" s="37"/>
      <c r="AW1073" s="37"/>
      <c r="AX1073" s="37"/>
      <c r="AY1073" s="37"/>
      <c r="AZ1073" s="37"/>
    </row>
    <row r="1074" spans="1:52" ht="15.5" customHeight="1">
      <c r="A1074" s="360" t="s">
        <v>372</v>
      </c>
      <c r="B1074" s="340">
        <v>46308</v>
      </c>
      <c r="C1074" s="181">
        <v>52091</v>
      </c>
      <c r="D1074" s="30">
        <v>46308</v>
      </c>
      <c r="E1074" s="30">
        <v>46307</v>
      </c>
      <c r="F1074" s="30">
        <v>46338</v>
      </c>
      <c r="G1074" s="37">
        <v>4420235109</v>
      </c>
      <c r="H1074" s="37" t="s">
        <v>373</v>
      </c>
      <c r="I1074" s="37">
        <v>9040016582</v>
      </c>
      <c r="J1074" s="37" t="s">
        <v>183</v>
      </c>
      <c r="K1074" s="325" t="s">
        <v>184</v>
      </c>
      <c r="L1074" s="181">
        <v>11</v>
      </c>
      <c r="M1074" s="181" t="s">
        <v>375</v>
      </c>
      <c r="N1074" s="37" t="s">
        <v>1284</v>
      </c>
      <c r="O1074" s="31"/>
      <c r="P1074" s="37"/>
      <c r="Q1074" s="181"/>
      <c r="R1074" s="181"/>
      <c r="S1074" s="181"/>
      <c r="T1074" s="181"/>
      <c r="U1074" s="181"/>
      <c r="V1074" s="37"/>
      <c r="W1074" s="181"/>
      <c r="X1074" s="38"/>
      <c r="Y1074" s="38"/>
      <c r="Z1074" s="38"/>
      <c r="AA1074" s="38"/>
      <c r="AB1074" s="248"/>
      <c r="AC1074" s="250"/>
      <c r="AD1074" s="181"/>
      <c r="AE1074" s="37"/>
      <c r="AF1074" s="37"/>
      <c r="AG1074" s="33"/>
      <c r="AH1074" s="37"/>
      <c r="AI1074" s="37"/>
      <c r="AJ1074" s="181"/>
      <c r="AK1074" s="37"/>
      <c r="AL1074" s="37"/>
      <c r="AM1074" s="181"/>
      <c r="AN1074" s="37"/>
      <c r="AO1074" s="37"/>
      <c r="AP1074" s="37"/>
      <c r="AQ1074" s="37"/>
      <c r="AR1074" s="37"/>
      <c r="AS1074" s="37"/>
      <c r="AT1074" s="37"/>
      <c r="AU1074" s="37"/>
      <c r="AV1074" s="37"/>
      <c r="AW1074" s="37"/>
      <c r="AX1074" s="37"/>
      <c r="AY1074" s="37"/>
      <c r="AZ1074" s="37"/>
    </row>
    <row r="1075" spans="1:52" ht="15.5" customHeight="1">
      <c r="A1075" s="360" t="s">
        <v>372</v>
      </c>
      <c r="B1075" s="340">
        <v>46308</v>
      </c>
      <c r="C1075" s="181">
        <v>52091</v>
      </c>
      <c r="D1075" s="30">
        <v>46308</v>
      </c>
      <c r="E1075" s="30">
        <v>46307</v>
      </c>
      <c r="F1075" s="30">
        <v>46338</v>
      </c>
      <c r="G1075" s="37">
        <v>4420235109</v>
      </c>
      <c r="H1075" s="37" t="s">
        <v>373</v>
      </c>
      <c r="I1075" s="37">
        <v>9040017584</v>
      </c>
      <c r="J1075" s="37" t="s">
        <v>37</v>
      </c>
      <c r="K1075" s="325" t="s">
        <v>38</v>
      </c>
      <c r="L1075" s="181">
        <v>4</v>
      </c>
      <c r="M1075" s="181" t="s">
        <v>375</v>
      </c>
      <c r="N1075" s="37" t="s">
        <v>1284</v>
      </c>
      <c r="O1075" s="31"/>
      <c r="P1075" s="37"/>
      <c r="Q1075" s="181"/>
      <c r="R1075" s="181"/>
      <c r="S1075" s="181"/>
      <c r="T1075" s="181"/>
      <c r="U1075" s="181"/>
      <c r="V1075" s="37"/>
      <c r="W1075" s="181"/>
      <c r="X1075" s="38"/>
      <c r="Y1075" s="38"/>
      <c r="Z1075" s="38"/>
      <c r="AA1075" s="38"/>
      <c r="AB1075" s="248"/>
      <c r="AC1075" s="250"/>
      <c r="AD1075" s="181"/>
      <c r="AE1075" s="37"/>
      <c r="AF1075" s="37"/>
      <c r="AG1075" s="33"/>
      <c r="AH1075" s="37"/>
      <c r="AI1075" s="37"/>
      <c r="AJ1075" s="181"/>
      <c r="AK1075" s="37"/>
      <c r="AL1075" s="37"/>
      <c r="AM1075" s="181"/>
      <c r="AN1075" s="37"/>
      <c r="AO1075" s="37"/>
      <c r="AP1075" s="37"/>
      <c r="AQ1075" s="37"/>
      <c r="AR1075" s="37"/>
      <c r="AS1075" s="37"/>
      <c r="AT1075" s="37"/>
      <c r="AU1075" s="37"/>
      <c r="AV1075" s="37"/>
      <c r="AW1075" s="37"/>
      <c r="AX1075" s="37"/>
      <c r="AY1075" s="37"/>
      <c r="AZ1075" s="37"/>
    </row>
    <row r="1076" spans="1:52" ht="15.5" customHeight="1">
      <c r="A1076" s="360" t="s">
        <v>372</v>
      </c>
      <c r="B1076" s="340">
        <v>46308</v>
      </c>
      <c r="C1076" s="181">
        <v>52091</v>
      </c>
      <c r="D1076" s="30">
        <v>46308</v>
      </c>
      <c r="E1076" s="30">
        <v>46307</v>
      </c>
      <c r="F1076" s="30">
        <v>46338</v>
      </c>
      <c r="G1076" s="37">
        <v>4420235109</v>
      </c>
      <c r="H1076" s="37" t="s">
        <v>373</v>
      </c>
      <c r="I1076" s="37">
        <v>9040019249</v>
      </c>
      <c r="J1076" s="37" t="s">
        <v>285</v>
      </c>
      <c r="K1076" s="325" t="s">
        <v>286</v>
      </c>
      <c r="L1076" s="181">
        <v>1</v>
      </c>
      <c r="M1076" s="181" t="s">
        <v>421</v>
      </c>
      <c r="N1076" s="37" t="s">
        <v>1284</v>
      </c>
      <c r="O1076" s="31"/>
      <c r="P1076" s="37"/>
      <c r="Q1076" s="181"/>
      <c r="R1076" s="181"/>
      <c r="S1076" s="181"/>
      <c r="T1076" s="181"/>
      <c r="U1076" s="181"/>
      <c r="V1076" s="37"/>
      <c r="W1076" s="181"/>
      <c r="X1076" s="38"/>
      <c r="Y1076" s="38"/>
      <c r="Z1076" s="38"/>
      <c r="AA1076" s="38"/>
      <c r="AB1076" s="248">
        <v>46317</v>
      </c>
      <c r="AC1076" s="238" t="s">
        <v>1399</v>
      </c>
      <c r="AD1076" s="181">
        <v>1</v>
      </c>
      <c r="AE1076" s="37" t="s">
        <v>387</v>
      </c>
      <c r="AF1076" s="37" t="s">
        <v>381</v>
      </c>
      <c r="AG1076" s="33"/>
      <c r="AH1076" s="37"/>
      <c r="AI1076" s="37"/>
      <c r="AJ1076" s="181"/>
      <c r="AK1076" s="37">
        <v>26640</v>
      </c>
      <c r="AL1076" s="244">
        <v>46311</v>
      </c>
      <c r="AM1076" s="181"/>
      <c r="AN1076" s="37"/>
      <c r="AO1076" s="37"/>
      <c r="AP1076" s="37"/>
      <c r="AQ1076" s="37"/>
      <c r="AR1076" s="37"/>
      <c r="AS1076" s="37"/>
      <c r="AT1076" s="37"/>
      <c r="AU1076" s="37"/>
      <c r="AV1076" s="37"/>
      <c r="AW1076" s="37"/>
      <c r="AX1076" s="37"/>
      <c r="AY1076" s="37"/>
      <c r="AZ1076" s="37"/>
    </row>
    <row r="1077" spans="1:52" ht="15.5" customHeight="1">
      <c r="A1077" s="360" t="s">
        <v>372</v>
      </c>
      <c r="B1077" s="340">
        <v>46308</v>
      </c>
      <c r="C1077" s="181">
        <v>52091</v>
      </c>
      <c r="D1077" s="30">
        <v>46308</v>
      </c>
      <c r="E1077" s="30">
        <v>46307</v>
      </c>
      <c r="F1077" s="30">
        <v>46338</v>
      </c>
      <c r="G1077" s="37">
        <v>4420235109</v>
      </c>
      <c r="H1077" s="37" t="s">
        <v>373</v>
      </c>
      <c r="I1077" s="37">
        <v>9040020519</v>
      </c>
      <c r="J1077" s="37" t="s">
        <v>93</v>
      </c>
      <c r="K1077" s="325" t="s">
        <v>94</v>
      </c>
      <c r="L1077" s="181">
        <v>5</v>
      </c>
      <c r="M1077" s="181" t="s">
        <v>427</v>
      </c>
      <c r="N1077" s="37" t="s">
        <v>1284</v>
      </c>
      <c r="O1077" s="31"/>
      <c r="P1077" s="37"/>
      <c r="Q1077" s="181"/>
      <c r="R1077" s="181"/>
      <c r="S1077" s="181"/>
      <c r="T1077" s="181"/>
      <c r="U1077" s="181"/>
      <c r="V1077" s="37"/>
      <c r="W1077" s="181"/>
      <c r="X1077" s="38"/>
      <c r="Y1077" s="38"/>
      <c r="Z1077" s="38"/>
      <c r="AA1077" s="38"/>
      <c r="AB1077" s="248"/>
      <c r="AC1077" s="250"/>
      <c r="AD1077" s="181"/>
      <c r="AE1077" s="37"/>
      <c r="AF1077" s="37"/>
      <c r="AG1077" s="33"/>
      <c r="AH1077" s="37"/>
      <c r="AI1077" s="37"/>
      <c r="AJ1077" s="181"/>
      <c r="AK1077" s="37"/>
      <c r="AL1077" s="37"/>
      <c r="AM1077" s="181"/>
      <c r="AN1077" s="37"/>
      <c r="AO1077" s="37"/>
      <c r="AP1077" s="37"/>
      <c r="AQ1077" s="37"/>
      <c r="AR1077" s="37"/>
      <c r="AS1077" s="37"/>
      <c r="AT1077" s="37"/>
      <c r="AU1077" s="37"/>
      <c r="AV1077" s="37"/>
      <c r="AW1077" s="37"/>
      <c r="AX1077" s="37"/>
      <c r="AY1077" s="37"/>
      <c r="AZ1077" s="37"/>
    </row>
    <row r="1078" spans="1:52" ht="15.5" customHeight="1">
      <c r="A1078" s="360" t="s">
        <v>372</v>
      </c>
      <c r="B1078" s="340">
        <v>46308</v>
      </c>
      <c r="C1078" s="181">
        <v>52091</v>
      </c>
      <c r="D1078" s="30">
        <v>46308</v>
      </c>
      <c r="E1078" s="30">
        <v>46307</v>
      </c>
      <c r="F1078" s="30">
        <v>46338</v>
      </c>
      <c r="G1078" s="37">
        <v>4420235109</v>
      </c>
      <c r="H1078" s="37" t="s">
        <v>373</v>
      </c>
      <c r="I1078" s="37">
        <v>9040031134</v>
      </c>
      <c r="J1078" s="37" t="s">
        <v>254</v>
      </c>
      <c r="K1078" s="325" t="s">
        <v>255</v>
      </c>
      <c r="L1078" s="181">
        <v>5</v>
      </c>
      <c r="M1078" s="181" t="s">
        <v>375</v>
      </c>
      <c r="N1078" s="37" t="s">
        <v>1284</v>
      </c>
      <c r="O1078" s="31"/>
      <c r="P1078" s="37"/>
      <c r="Q1078" s="181"/>
      <c r="R1078" s="181"/>
      <c r="S1078" s="181"/>
      <c r="T1078" s="181"/>
      <c r="U1078" s="181"/>
      <c r="V1078" s="37"/>
      <c r="W1078" s="181"/>
      <c r="X1078" s="38"/>
      <c r="Y1078" s="38"/>
      <c r="Z1078" s="38"/>
      <c r="AA1078" s="38"/>
      <c r="AB1078" s="248"/>
      <c r="AC1078" s="250"/>
      <c r="AD1078" s="181"/>
      <c r="AE1078" s="37"/>
      <c r="AF1078" s="37"/>
      <c r="AG1078" s="33"/>
      <c r="AH1078" s="37"/>
      <c r="AI1078" s="37"/>
      <c r="AJ1078" s="181"/>
      <c r="AK1078" s="37"/>
      <c r="AL1078" s="37"/>
      <c r="AM1078" s="181"/>
      <c r="AN1078" s="37"/>
      <c r="AO1078" s="37"/>
      <c r="AP1078" s="37"/>
      <c r="AQ1078" s="37"/>
      <c r="AR1078" s="37"/>
      <c r="AS1078" s="37"/>
      <c r="AT1078" s="37"/>
      <c r="AU1078" s="37"/>
      <c r="AV1078" s="37"/>
      <c r="AW1078" s="37"/>
      <c r="AX1078" s="37"/>
      <c r="AY1078" s="37"/>
      <c r="AZ1078" s="37"/>
    </row>
    <row r="1079" spans="1:52" ht="15.5" customHeight="1">
      <c r="A1079" s="360" t="s">
        <v>372</v>
      </c>
      <c r="B1079" s="340">
        <v>46308</v>
      </c>
      <c r="C1079" s="181">
        <v>52091</v>
      </c>
      <c r="D1079" s="30">
        <v>46308</v>
      </c>
      <c r="E1079" s="30">
        <v>46307</v>
      </c>
      <c r="F1079" s="30">
        <v>46338</v>
      </c>
      <c r="G1079" s="37">
        <v>4420235109</v>
      </c>
      <c r="H1079" s="37" t="s">
        <v>373</v>
      </c>
      <c r="I1079" s="37">
        <v>9040041638</v>
      </c>
      <c r="J1079" s="37" t="s">
        <v>443</v>
      </c>
      <c r="K1079" s="325" t="s">
        <v>444</v>
      </c>
      <c r="L1079" s="181">
        <v>1</v>
      </c>
      <c r="M1079" s="181" t="s">
        <v>375</v>
      </c>
      <c r="N1079" s="37" t="s">
        <v>1284</v>
      </c>
      <c r="O1079" s="31"/>
      <c r="P1079" s="37"/>
      <c r="Q1079" s="181"/>
      <c r="R1079" s="181"/>
      <c r="S1079" s="181"/>
      <c r="T1079" s="181"/>
      <c r="U1079" s="181"/>
      <c r="V1079" s="37"/>
      <c r="W1079" s="181"/>
      <c r="X1079" s="38"/>
      <c r="Y1079" s="38"/>
      <c r="Z1079" s="38"/>
      <c r="AA1079" s="38"/>
      <c r="AB1079" s="248"/>
      <c r="AC1079" s="250"/>
      <c r="AD1079" s="181"/>
      <c r="AE1079" s="37"/>
      <c r="AF1079" s="37"/>
      <c r="AG1079" s="33"/>
      <c r="AH1079" s="37"/>
      <c r="AI1079" s="37"/>
      <c r="AJ1079" s="181"/>
      <c r="AK1079" s="37"/>
      <c r="AL1079" s="37"/>
      <c r="AM1079" s="181"/>
      <c r="AN1079" s="37"/>
      <c r="AO1079" s="37"/>
      <c r="AP1079" s="37"/>
      <c r="AQ1079" s="37"/>
      <c r="AR1079" s="37"/>
      <c r="AS1079" s="37"/>
      <c r="AT1079" s="37"/>
      <c r="AU1079" s="37"/>
      <c r="AV1079" s="37"/>
      <c r="AW1079" s="37"/>
      <c r="AX1079" s="37"/>
      <c r="AY1079" s="37"/>
      <c r="AZ1079" s="37"/>
    </row>
    <row r="1080" spans="1:52" ht="15.5" customHeight="1">
      <c r="A1080" s="360" t="s">
        <v>372</v>
      </c>
      <c r="B1080" s="340">
        <v>46308</v>
      </c>
      <c r="C1080" s="181">
        <v>52091</v>
      </c>
      <c r="D1080" s="30">
        <v>46308</v>
      </c>
      <c r="E1080" s="30">
        <v>46307</v>
      </c>
      <c r="F1080" s="30">
        <v>46338</v>
      </c>
      <c r="G1080" s="37">
        <v>4420235109</v>
      </c>
      <c r="H1080" s="37" t="s">
        <v>373</v>
      </c>
      <c r="I1080" s="37">
        <v>9040015386</v>
      </c>
      <c r="J1080" s="37" t="s">
        <v>122</v>
      </c>
      <c r="K1080" s="325" t="s">
        <v>319</v>
      </c>
      <c r="L1080" s="181">
        <v>1</v>
      </c>
      <c r="M1080" s="181" t="s">
        <v>375</v>
      </c>
      <c r="N1080" s="37" t="s">
        <v>1284</v>
      </c>
      <c r="O1080" s="31"/>
      <c r="P1080" s="37"/>
      <c r="Q1080" s="181"/>
      <c r="R1080" s="181"/>
      <c r="S1080" s="181"/>
      <c r="T1080" s="181"/>
      <c r="U1080" s="181"/>
      <c r="V1080" s="37"/>
      <c r="W1080" s="181"/>
      <c r="X1080" s="38"/>
      <c r="Y1080" s="38"/>
      <c r="Z1080" s="38"/>
      <c r="AA1080" s="38"/>
      <c r="AB1080" s="248"/>
      <c r="AC1080" s="250"/>
      <c r="AD1080" s="181"/>
      <c r="AE1080" s="37"/>
      <c r="AF1080" s="37"/>
      <c r="AG1080" s="33"/>
      <c r="AH1080" s="37"/>
      <c r="AI1080" s="37"/>
      <c r="AJ1080" s="181"/>
      <c r="AK1080" s="37"/>
      <c r="AL1080" s="37"/>
      <c r="AM1080" s="181"/>
      <c r="AN1080" s="37"/>
      <c r="AO1080" s="37"/>
      <c r="AP1080" s="37"/>
      <c r="AQ1080" s="37"/>
      <c r="AR1080" s="37"/>
      <c r="AS1080" s="37"/>
      <c r="AT1080" s="37"/>
      <c r="AU1080" s="37"/>
      <c r="AV1080" s="37"/>
      <c r="AW1080" s="37"/>
      <c r="AX1080" s="37"/>
      <c r="AY1080" s="37"/>
      <c r="AZ1080" s="37"/>
    </row>
    <row r="1081" spans="1:52" ht="15.5" customHeight="1">
      <c r="A1081" s="360" t="s">
        <v>372</v>
      </c>
      <c r="B1081" s="340">
        <v>46308</v>
      </c>
      <c r="C1081" s="181">
        <v>52091</v>
      </c>
      <c r="D1081" s="30">
        <v>46308</v>
      </c>
      <c r="E1081" s="30">
        <v>46307</v>
      </c>
      <c r="F1081" s="30">
        <v>46338</v>
      </c>
      <c r="G1081" s="37">
        <v>4420235109</v>
      </c>
      <c r="H1081" s="37" t="s">
        <v>373</v>
      </c>
      <c r="I1081" s="37">
        <v>9040017179</v>
      </c>
      <c r="J1081" s="37" t="s">
        <v>91</v>
      </c>
      <c r="K1081" s="325" t="s">
        <v>92</v>
      </c>
      <c r="L1081" s="181">
        <v>1</v>
      </c>
      <c r="M1081" s="181" t="s">
        <v>375</v>
      </c>
      <c r="N1081" s="37" t="s">
        <v>1284</v>
      </c>
      <c r="O1081" s="31"/>
      <c r="P1081" s="37"/>
      <c r="Q1081" s="181"/>
      <c r="R1081" s="181"/>
      <c r="S1081" s="181"/>
      <c r="T1081" s="181"/>
      <c r="U1081" s="181"/>
      <c r="V1081" s="37"/>
      <c r="W1081" s="181"/>
      <c r="X1081" s="38"/>
      <c r="Y1081" s="38"/>
      <c r="Z1081" s="38"/>
      <c r="AA1081" s="38"/>
      <c r="AB1081" s="248"/>
      <c r="AC1081" s="250"/>
      <c r="AD1081" s="181"/>
      <c r="AE1081" s="37"/>
      <c r="AF1081" s="37"/>
      <c r="AG1081" s="33"/>
      <c r="AH1081" s="37"/>
      <c r="AI1081" s="37"/>
      <c r="AJ1081" s="181"/>
      <c r="AK1081" s="37"/>
      <c r="AL1081" s="37"/>
      <c r="AM1081" s="181"/>
      <c r="AN1081" s="37"/>
      <c r="AO1081" s="37"/>
      <c r="AP1081" s="37"/>
      <c r="AQ1081" s="37"/>
      <c r="AR1081" s="37"/>
      <c r="AS1081" s="37"/>
      <c r="AT1081" s="37"/>
      <c r="AU1081" s="37"/>
      <c r="AV1081" s="37"/>
      <c r="AW1081" s="37"/>
      <c r="AX1081" s="37"/>
      <c r="AY1081" s="37"/>
      <c r="AZ1081" s="37"/>
    </row>
    <row r="1082" spans="1:52" ht="15.5" customHeight="1">
      <c r="A1082" s="360" t="s">
        <v>372</v>
      </c>
      <c r="B1082" s="340">
        <v>46308</v>
      </c>
      <c r="C1082" s="181">
        <v>52091</v>
      </c>
      <c r="D1082" s="30">
        <v>46308</v>
      </c>
      <c r="E1082" s="30">
        <v>46307</v>
      </c>
      <c r="F1082" s="30">
        <v>46338</v>
      </c>
      <c r="G1082" s="37">
        <v>4420235109</v>
      </c>
      <c r="H1082" s="37" t="s">
        <v>373</v>
      </c>
      <c r="I1082" s="37">
        <v>9040009495</v>
      </c>
      <c r="J1082" s="37" t="s">
        <v>320</v>
      </c>
      <c r="K1082" s="325" t="s">
        <v>321</v>
      </c>
      <c r="L1082" s="181">
        <v>3</v>
      </c>
      <c r="M1082" s="181" t="s">
        <v>375</v>
      </c>
      <c r="N1082" s="37" t="s">
        <v>1284</v>
      </c>
      <c r="O1082" s="31"/>
      <c r="P1082" s="37"/>
      <c r="Q1082" s="181"/>
      <c r="R1082" s="181"/>
      <c r="S1082" s="181"/>
      <c r="T1082" s="181"/>
      <c r="U1082" s="181"/>
      <c r="V1082" s="37"/>
      <c r="W1082" s="181"/>
      <c r="X1082" s="38"/>
      <c r="Y1082" s="38"/>
      <c r="Z1082" s="38"/>
      <c r="AA1082" s="38"/>
      <c r="AB1082" s="248"/>
      <c r="AC1082" s="250"/>
      <c r="AD1082" s="181"/>
      <c r="AE1082" s="37"/>
      <c r="AF1082" s="37"/>
      <c r="AG1082" s="33"/>
      <c r="AH1082" s="37"/>
      <c r="AI1082" s="37"/>
      <c r="AJ1082" s="181"/>
      <c r="AK1082" s="37"/>
      <c r="AL1082" s="37"/>
      <c r="AM1082" s="181"/>
      <c r="AN1082" s="37"/>
      <c r="AO1082" s="37"/>
      <c r="AP1082" s="37"/>
      <c r="AQ1082" s="37"/>
      <c r="AR1082" s="37"/>
      <c r="AS1082" s="37"/>
      <c r="AT1082" s="37"/>
      <c r="AU1082" s="37"/>
      <c r="AV1082" s="37"/>
      <c r="AW1082" s="37"/>
      <c r="AX1082" s="37"/>
      <c r="AY1082" s="37"/>
      <c r="AZ1082" s="37"/>
    </row>
    <row r="1083" spans="1:52" ht="15.5" customHeight="1">
      <c r="A1083" s="360" t="s">
        <v>372</v>
      </c>
      <c r="B1083" s="340">
        <v>46308</v>
      </c>
      <c r="C1083" s="181">
        <v>52091</v>
      </c>
      <c r="D1083" s="30">
        <v>46308</v>
      </c>
      <c r="E1083" s="30">
        <v>46307</v>
      </c>
      <c r="F1083" s="30">
        <v>46338</v>
      </c>
      <c r="G1083" s="37">
        <v>4420235109</v>
      </c>
      <c r="H1083" s="37" t="s">
        <v>373</v>
      </c>
      <c r="I1083" s="37">
        <v>9040028877</v>
      </c>
      <c r="J1083" s="37" t="s">
        <v>199</v>
      </c>
      <c r="K1083" s="325" t="s">
        <v>200</v>
      </c>
      <c r="L1083" s="181">
        <v>45</v>
      </c>
      <c r="M1083" s="181" t="s">
        <v>375</v>
      </c>
      <c r="N1083" s="37" t="s">
        <v>1284</v>
      </c>
      <c r="O1083" s="31"/>
      <c r="P1083" s="37"/>
      <c r="Q1083" s="181"/>
      <c r="R1083" s="181"/>
      <c r="S1083" s="181"/>
      <c r="T1083" s="181"/>
      <c r="U1083" s="181"/>
      <c r="V1083" s="37"/>
      <c r="W1083" s="181"/>
      <c r="X1083" s="38"/>
      <c r="Y1083" s="38"/>
      <c r="Z1083" s="38"/>
      <c r="AA1083" s="38"/>
      <c r="AB1083" s="248"/>
      <c r="AC1083" s="250"/>
      <c r="AD1083" s="181"/>
      <c r="AE1083" s="37"/>
      <c r="AF1083" s="37"/>
      <c r="AG1083" s="33"/>
      <c r="AH1083" s="37"/>
      <c r="AI1083" s="37"/>
      <c r="AJ1083" s="181"/>
      <c r="AK1083" s="37"/>
      <c r="AL1083" s="37"/>
      <c r="AM1083" s="181"/>
      <c r="AN1083" s="37"/>
      <c r="AO1083" s="37"/>
      <c r="AP1083" s="37"/>
      <c r="AQ1083" s="37"/>
      <c r="AR1083" s="37"/>
      <c r="AS1083" s="37"/>
      <c r="AT1083" s="37"/>
      <c r="AU1083" s="37"/>
      <c r="AV1083" s="37"/>
      <c r="AW1083" s="37"/>
      <c r="AX1083" s="37"/>
      <c r="AY1083" s="37"/>
      <c r="AZ1083" s="37"/>
    </row>
    <row r="1084" spans="1:52" ht="15.5" customHeight="1">
      <c r="A1084" s="360" t="s">
        <v>372</v>
      </c>
      <c r="B1084" s="340">
        <v>46308</v>
      </c>
      <c r="C1084" s="181">
        <v>52091</v>
      </c>
      <c r="D1084" s="30">
        <v>46308</v>
      </c>
      <c r="E1084" s="30">
        <v>46307</v>
      </c>
      <c r="F1084" s="30">
        <v>46338</v>
      </c>
      <c r="G1084" s="37">
        <v>4420235109</v>
      </c>
      <c r="H1084" s="37" t="s">
        <v>373</v>
      </c>
      <c r="I1084" s="37">
        <v>9040040390</v>
      </c>
      <c r="J1084" s="37" t="s">
        <v>209</v>
      </c>
      <c r="K1084" s="325" t="s">
        <v>210</v>
      </c>
      <c r="L1084" s="181">
        <v>5</v>
      </c>
      <c r="M1084" s="181" t="s">
        <v>421</v>
      </c>
      <c r="N1084" s="37" t="s">
        <v>1284</v>
      </c>
      <c r="O1084" s="31"/>
      <c r="P1084" s="37"/>
      <c r="Q1084" s="181"/>
      <c r="R1084" s="181"/>
      <c r="S1084" s="181"/>
      <c r="T1084" s="181"/>
      <c r="U1084" s="181"/>
      <c r="V1084" s="37"/>
      <c r="W1084" s="181"/>
      <c r="X1084" s="38"/>
      <c r="Y1084" s="38"/>
      <c r="Z1084" s="38"/>
      <c r="AA1084" s="38"/>
      <c r="AB1084" s="248"/>
      <c r="AC1084" s="250"/>
      <c r="AD1084" s="181"/>
      <c r="AE1084" s="37"/>
      <c r="AF1084" s="37"/>
      <c r="AG1084" s="33"/>
      <c r="AH1084" s="37"/>
      <c r="AI1084" s="37"/>
      <c r="AJ1084" s="181"/>
      <c r="AK1084" s="37">
        <v>26690</v>
      </c>
      <c r="AL1084" s="37"/>
      <c r="AM1084" s="181"/>
      <c r="AN1084" s="37"/>
      <c r="AO1084" s="37"/>
      <c r="AP1084" s="37"/>
      <c r="AQ1084" s="37"/>
      <c r="AR1084" s="37"/>
      <c r="AS1084" s="37"/>
      <c r="AT1084" s="37"/>
      <c r="AU1084" s="37"/>
      <c r="AV1084" s="37"/>
      <c r="AW1084" s="37"/>
      <c r="AX1084" s="37"/>
      <c r="AY1084" s="37"/>
      <c r="AZ1084" s="37"/>
    </row>
    <row r="1085" spans="1:52" ht="15.5" customHeight="1">
      <c r="A1085" s="360" t="s">
        <v>372</v>
      </c>
      <c r="B1085" s="340">
        <v>46308</v>
      </c>
      <c r="C1085" s="181">
        <v>52091</v>
      </c>
      <c r="D1085" s="30">
        <v>46308</v>
      </c>
      <c r="E1085" s="30">
        <v>46307</v>
      </c>
      <c r="F1085" s="30">
        <v>46338</v>
      </c>
      <c r="G1085" s="37">
        <v>4420235109</v>
      </c>
      <c r="H1085" s="37" t="s">
        <v>373</v>
      </c>
      <c r="I1085" s="37">
        <v>9040040401</v>
      </c>
      <c r="J1085" s="245" t="s">
        <v>231</v>
      </c>
      <c r="K1085" s="325" t="s">
        <v>232</v>
      </c>
      <c r="L1085" s="181">
        <v>4</v>
      </c>
      <c r="M1085" s="181" t="s">
        <v>389</v>
      </c>
      <c r="N1085" s="37" t="s">
        <v>1284</v>
      </c>
      <c r="O1085" s="31"/>
      <c r="P1085" s="37"/>
      <c r="Q1085" s="181"/>
      <c r="R1085" s="181"/>
      <c r="S1085" s="181"/>
      <c r="T1085" s="181"/>
      <c r="U1085" s="181"/>
      <c r="V1085" s="37"/>
      <c r="W1085" s="181"/>
      <c r="X1085" s="38"/>
      <c r="Y1085" s="38"/>
      <c r="Z1085" s="38"/>
      <c r="AA1085" s="38"/>
      <c r="AB1085" s="248"/>
      <c r="AC1085" s="250"/>
      <c r="AD1085" s="181"/>
      <c r="AE1085" s="37"/>
      <c r="AF1085" s="37"/>
      <c r="AG1085" s="33"/>
      <c r="AH1085" s="37"/>
      <c r="AI1085" s="37"/>
      <c r="AJ1085" s="181"/>
      <c r="AK1085" s="37"/>
      <c r="AL1085" s="37"/>
      <c r="AM1085" s="181"/>
      <c r="AN1085" s="37"/>
      <c r="AO1085" s="37"/>
      <c r="AP1085" s="37"/>
      <c r="AQ1085" s="37"/>
      <c r="AR1085" s="37"/>
      <c r="AS1085" s="37"/>
      <c r="AT1085" s="37"/>
      <c r="AU1085" s="37"/>
      <c r="AV1085" s="37"/>
      <c r="AW1085" s="37"/>
      <c r="AX1085" s="37"/>
      <c r="AY1085" s="37"/>
      <c r="AZ1085" s="37"/>
    </row>
    <row r="1086" spans="1:52" ht="15.5" customHeight="1">
      <c r="A1086" s="360" t="s">
        <v>372</v>
      </c>
      <c r="B1086" s="340">
        <v>46308</v>
      </c>
      <c r="C1086" s="181">
        <v>52091</v>
      </c>
      <c r="D1086" s="30">
        <v>46308</v>
      </c>
      <c r="E1086" s="30">
        <v>46307</v>
      </c>
      <c r="F1086" s="30">
        <v>46338</v>
      </c>
      <c r="G1086" s="37">
        <v>4420234967</v>
      </c>
      <c r="H1086" s="37" t="s">
        <v>373</v>
      </c>
      <c r="I1086" s="37">
        <v>9040040420</v>
      </c>
      <c r="J1086" s="37" t="s">
        <v>219</v>
      </c>
      <c r="K1086" s="325" t="s">
        <v>220</v>
      </c>
      <c r="L1086" s="181">
        <v>3</v>
      </c>
      <c r="M1086" s="181" t="s">
        <v>389</v>
      </c>
      <c r="N1086" s="37" t="s">
        <v>1284</v>
      </c>
      <c r="O1086" s="31"/>
      <c r="P1086" s="37"/>
      <c r="Q1086" s="181"/>
      <c r="R1086" s="181"/>
      <c r="S1086" s="181"/>
      <c r="T1086" s="181"/>
      <c r="U1086" s="181"/>
      <c r="V1086" s="37"/>
      <c r="W1086" s="181"/>
      <c r="X1086" s="38"/>
      <c r="Y1086" s="38"/>
      <c r="Z1086" s="38"/>
      <c r="AA1086" s="38"/>
      <c r="AB1086" s="248"/>
      <c r="AC1086" s="250"/>
      <c r="AD1086" s="181"/>
      <c r="AE1086" s="37"/>
      <c r="AF1086" s="37"/>
      <c r="AG1086" s="33"/>
      <c r="AH1086" s="37"/>
      <c r="AI1086" s="37"/>
      <c r="AJ1086" s="181"/>
      <c r="AK1086" s="37">
        <v>26706</v>
      </c>
      <c r="AL1086" s="244">
        <v>46309</v>
      </c>
      <c r="AM1086" s="181">
        <v>16</v>
      </c>
      <c r="AN1086" s="37"/>
      <c r="AO1086" s="244">
        <v>46311</v>
      </c>
      <c r="AP1086" s="37"/>
      <c r="AQ1086" s="37"/>
      <c r="AR1086" s="37"/>
      <c r="AS1086" s="37"/>
      <c r="AT1086" s="37"/>
      <c r="AU1086" s="37"/>
      <c r="AV1086" s="37"/>
      <c r="AW1086" s="37"/>
      <c r="AX1086" s="37"/>
      <c r="AY1086" s="37"/>
      <c r="AZ1086" s="37"/>
    </row>
    <row r="1087" spans="1:52" ht="15.5" customHeight="1">
      <c r="A1087" s="360" t="s">
        <v>372</v>
      </c>
      <c r="B1087" s="340">
        <v>46308</v>
      </c>
      <c r="C1087" s="181">
        <v>52091</v>
      </c>
      <c r="D1087" s="30">
        <v>46308</v>
      </c>
      <c r="E1087" s="30">
        <v>46307</v>
      </c>
      <c r="F1087" s="30">
        <v>46338</v>
      </c>
      <c r="G1087" s="37">
        <v>4420235109</v>
      </c>
      <c r="H1087" s="37" t="s">
        <v>373</v>
      </c>
      <c r="I1087" s="37">
        <v>9040040446</v>
      </c>
      <c r="J1087" s="37" t="s">
        <v>189</v>
      </c>
      <c r="K1087" s="325" t="s">
        <v>190</v>
      </c>
      <c r="L1087" s="181">
        <v>8</v>
      </c>
      <c r="M1087" s="181" t="s">
        <v>421</v>
      </c>
      <c r="N1087" s="37" t="s">
        <v>1284</v>
      </c>
      <c r="O1087" s="31"/>
      <c r="P1087" s="37"/>
      <c r="Q1087" s="181"/>
      <c r="R1087" s="181"/>
      <c r="S1087" s="181"/>
      <c r="T1087" s="181"/>
      <c r="U1087" s="181"/>
      <c r="V1087" s="37"/>
      <c r="W1087" s="181"/>
      <c r="X1087" s="38"/>
      <c r="Y1087" s="38"/>
      <c r="Z1087" s="38"/>
      <c r="AA1087" s="38"/>
      <c r="AB1087" s="248"/>
      <c r="AC1087" s="250"/>
      <c r="AD1087" s="181"/>
      <c r="AE1087" s="37"/>
      <c r="AF1087" s="37"/>
      <c r="AG1087" s="33"/>
      <c r="AH1087" s="37"/>
      <c r="AI1087" s="37"/>
      <c r="AJ1087" s="181"/>
      <c r="AK1087" s="37"/>
      <c r="AL1087" s="37"/>
      <c r="AM1087" s="181"/>
      <c r="AN1087" s="37"/>
      <c r="AO1087" s="37"/>
      <c r="AP1087" s="37"/>
      <c r="AQ1087" s="37"/>
      <c r="AR1087" s="37"/>
      <c r="AS1087" s="37"/>
      <c r="AT1087" s="37"/>
      <c r="AU1087" s="37"/>
      <c r="AV1087" s="37"/>
      <c r="AW1087" s="37"/>
      <c r="AX1087" s="37"/>
      <c r="AY1087" s="37"/>
      <c r="AZ1087" s="37"/>
    </row>
    <row r="1088" spans="1:52" ht="15.5" customHeight="1">
      <c r="A1088" s="362" t="s">
        <v>372</v>
      </c>
      <c r="B1088" s="342">
        <v>46308</v>
      </c>
      <c r="C1088" s="365">
        <v>52091</v>
      </c>
      <c r="D1088" s="334">
        <v>46308</v>
      </c>
      <c r="E1088" s="334">
        <v>46307</v>
      </c>
      <c r="F1088" s="334">
        <v>46338</v>
      </c>
      <c r="G1088" s="372">
        <v>4420235109</v>
      </c>
      <c r="H1088" s="249" t="s">
        <v>373</v>
      </c>
      <c r="I1088" s="37">
        <v>9040040455</v>
      </c>
      <c r="J1088" s="37" t="s">
        <v>95</v>
      </c>
      <c r="K1088" s="325" t="s">
        <v>97</v>
      </c>
      <c r="L1088" s="181">
        <v>5</v>
      </c>
      <c r="M1088" s="181" t="s">
        <v>375</v>
      </c>
      <c r="N1088" s="37" t="s">
        <v>1284</v>
      </c>
      <c r="O1088" s="31"/>
      <c r="P1088" s="37"/>
      <c r="Q1088" s="181"/>
      <c r="R1088" s="181"/>
      <c r="S1088" s="181"/>
      <c r="T1088" s="181"/>
      <c r="U1088" s="181"/>
      <c r="V1088" s="37"/>
      <c r="W1088" s="181"/>
      <c r="X1088" s="38"/>
      <c r="Y1088" s="38"/>
      <c r="Z1088" s="38"/>
      <c r="AA1088" s="38"/>
      <c r="AB1088" s="248"/>
      <c r="AC1088" s="250"/>
      <c r="AD1088" s="181"/>
      <c r="AE1088" s="37"/>
      <c r="AF1088" s="37"/>
      <c r="AG1088" s="33"/>
      <c r="AH1088" s="37"/>
      <c r="AI1088" s="37"/>
      <c r="AJ1088" s="181"/>
      <c r="AK1088" s="37"/>
      <c r="AL1088" s="37"/>
      <c r="AM1088" s="181"/>
      <c r="AN1088" s="37"/>
      <c r="AO1088" s="37"/>
      <c r="AP1088" s="37"/>
      <c r="AQ1088" s="37"/>
      <c r="AR1088" s="37"/>
      <c r="AS1088" s="37"/>
      <c r="AT1088" s="37"/>
      <c r="AU1088" s="37"/>
      <c r="AV1088" s="37"/>
      <c r="AW1088" s="37"/>
      <c r="AX1088" s="37"/>
      <c r="AY1088" s="37"/>
      <c r="AZ1088" s="37"/>
    </row>
    <row r="1089" spans="1:52" ht="15.5" customHeight="1">
      <c r="A1089" s="362" t="s">
        <v>372</v>
      </c>
      <c r="B1089" s="342">
        <v>46308</v>
      </c>
      <c r="C1089" s="365">
        <v>52091</v>
      </c>
      <c r="D1089" s="334">
        <v>46308</v>
      </c>
      <c r="E1089" s="334">
        <v>46307</v>
      </c>
      <c r="F1089" s="334">
        <v>46338</v>
      </c>
      <c r="G1089" s="372">
        <v>4420235109</v>
      </c>
      <c r="H1089" s="249" t="s">
        <v>373</v>
      </c>
      <c r="I1089" s="37">
        <v>9040042224</v>
      </c>
      <c r="J1089" s="37" t="s">
        <v>195</v>
      </c>
      <c r="K1089" s="325" t="s">
        <v>196</v>
      </c>
      <c r="L1089" s="181">
        <v>7</v>
      </c>
      <c r="M1089" s="181" t="s">
        <v>429</v>
      </c>
      <c r="N1089" s="37" t="s">
        <v>1284</v>
      </c>
      <c r="O1089" s="31"/>
      <c r="P1089" s="37"/>
      <c r="Q1089" s="181"/>
      <c r="R1089" s="181"/>
      <c r="S1089" s="181"/>
      <c r="T1089" s="181"/>
      <c r="U1089" s="181"/>
      <c r="V1089" s="37"/>
      <c r="W1089" s="181"/>
      <c r="X1089" s="38"/>
      <c r="Y1089" s="38"/>
      <c r="Z1089" s="38"/>
      <c r="AA1089" s="38"/>
      <c r="AB1089" s="248"/>
      <c r="AC1089" s="250"/>
      <c r="AD1089" s="181"/>
      <c r="AE1089" s="37"/>
      <c r="AF1089" s="37"/>
      <c r="AG1089" s="33"/>
      <c r="AH1089" s="37"/>
      <c r="AI1089" s="37"/>
      <c r="AJ1089" s="181"/>
      <c r="AK1089" s="37">
        <v>26690</v>
      </c>
      <c r="AL1089" s="37"/>
      <c r="AM1089" s="181"/>
      <c r="AN1089" s="37"/>
      <c r="AO1089" s="37"/>
      <c r="AP1089" s="37"/>
      <c r="AQ1089" s="37"/>
      <c r="AR1089" s="37"/>
      <c r="AS1089" s="37"/>
      <c r="AT1089" s="37"/>
      <c r="AU1089" s="37"/>
      <c r="AV1089" s="37"/>
      <c r="AW1089" s="37"/>
      <c r="AX1089" s="37"/>
      <c r="AY1089" s="37"/>
      <c r="AZ1089" s="37"/>
    </row>
    <row r="1090" spans="1:52" ht="15.5" customHeight="1">
      <c r="A1090" s="362" t="s">
        <v>372</v>
      </c>
      <c r="B1090" s="342">
        <v>46308</v>
      </c>
      <c r="C1090" s="365">
        <v>52091</v>
      </c>
      <c r="D1090" s="334">
        <v>46308</v>
      </c>
      <c r="E1090" s="334">
        <v>46307</v>
      </c>
      <c r="F1090" s="334">
        <v>46338</v>
      </c>
      <c r="G1090" s="372">
        <v>4420235109</v>
      </c>
      <c r="H1090" s="249" t="s">
        <v>373</v>
      </c>
      <c r="I1090" s="37">
        <v>9040042451</v>
      </c>
      <c r="J1090" s="37" t="s">
        <v>295</v>
      </c>
      <c r="K1090" s="325" t="s">
        <v>296</v>
      </c>
      <c r="L1090" s="181">
        <v>14</v>
      </c>
      <c r="M1090" s="181" t="s">
        <v>375</v>
      </c>
      <c r="N1090" s="37" t="s">
        <v>1284</v>
      </c>
      <c r="O1090" s="31"/>
      <c r="P1090" s="37"/>
      <c r="Q1090" s="181"/>
      <c r="R1090" s="181"/>
      <c r="S1090" s="181"/>
      <c r="T1090" s="181"/>
      <c r="U1090" s="181"/>
      <c r="V1090" s="37"/>
      <c r="W1090" s="181"/>
      <c r="X1090" s="38"/>
      <c r="Y1090" s="38"/>
      <c r="Z1090" s="38"/>
      <c r="AA1090" s="38"/>
      <c r="AB1090" s="248">
        <v>46317</v>
      </c>
      <c r="AC1090" s="231" t="s">
        <v>1399</v>
      </c>
      <c r="AD1090" s="181">
        <v>14</v>
      </c>
      <c r="AE1090" s="37" t="s">
        <v>387</v>
      </c>
      <c r="AF1090" s="37" t="s">
        <v>381</v>
      </c>
      <c r="AG1090" s="33"/>
      <c r="AH1090" s="37"/>
      <c r="AI1090" s="37"/>
      <c r="AJ1090" s="181"/>
      <c r="AK1090" s="37"/>
      <c r="AL1090" s="37"/>
      <c r="AM1090" s="181"/>
      <c r="AN1090" s="37"/>
      <c r="AO1090" s="37"/>
      <c r="AP1090" s="37"/>
      <c r="AQ1090" s="37"/>
      <c r="AR1090" s="37"/>
      <c r="AS1090" s="37"/>
      <c r="AT1090" s="37"/>
      <c r="AU1090" s="37"/>
      <c r="AV1090" s="37"/>
      <c r="AW1090" s="37"/>
      <c r="AX1090" s="37"/>
      <c r="AY1090" s="37"/>
      <c r="AZ1090" s="37"/>
    </row>
    <row r="1091" spans="1:52" ht="15.5" customHeight="1">
      <c r="A1091" s="362" t="s">
        <v>372</v>
      </c>
      <c r="B1091" s="342">
        <v>46308</v>
      </c>
      <c r="C1091" s="365">
        <v>52091</v>
      </c>
      <c r="D1091" s="334">
        <v>46308</v>
      </c>
      <c r="E1091" s="334">
        <v>46307</v>
      </c>
      <c r="F1091" s="334">
        <v>46338</v>
      </c>
      <c r="G1091" s="372">
        <v>4420235109</v>
      </c>
      <c r="H1091" s="249" t="s">
        <v>373</v>
      </c>
      <c r="I1091" s="37">
        <v>9040041385</v>
      </c>
      <c r="J1091" s="37" t="s">
        <v>6</v>
      </c>
      <c r="K1091" s="325" t="s">
        <v>7</v>
      </c>
      <c r="L1091" s="181">
        <v>5</v>
      </c>
      <c r="M1091" s="181" t="s">
        <v>375</v>
      </c>
      <c r="N1091" s="37" t="s">
        <v>1284</v>
      </c>
      <c r="O1091" s="31"/>
      <c r="P1091" s="37"/>
      <c r="Q1091" s="181"/>
      <c r="R1091" s="181"/>
      <c r="S1091" s="181"/>
      <c r="T1091" s="181"/>
      <c r="U1091" s="181"/>
      <c r="V1091" s="37"/>
      <c r="W1091" s="181"/>
      <c r="X1091" s="38"/>
      <c r="Y1091" s="38"/>
      <c r="Z1091" s="38"/>
      <c r="AA1091" s="38"/>
      <c r="AB1091" s="248"/>
      <c r="AC1091" s="250"/>
      <c r="AD1091" s="181"/>
      <c r="AE1091" s="37"/>
      <c r="AF1091" s="37"/>
      <c r="AG1091" s="33"/>
      <c r="AH1091" s="37"/>
      <c r="AI1091" s="37"/>
      <c r="AJ1091" s="181"/>
      <c r="AK1091" s="37"/>
      <c r="AL1091" s="37"/>
      <c r="AM1091" s="181"/>
      <c r="AN1091" s="37"/>
      <c r="AO1091" s="37"/>
      <c r="AP1091" s="37"/>
      <c r="AQ1091" s="37"/>
      <c r="AR1091" s="37"/>
      <c r="AS1091" s="37"/>
      <c r="AT1091" s="37"/>
      <c r="AU1091" s="37"/>
      <c r="AV1091" s="37"/>
      <c r="AW1091" s="37"/>
      <c r="AX1091" s="37"/>
      <c r="AY1091" s="37"/>
      <c r="AZ1091" s="37"/>
    </row>
    <row r="1092" spans="1:52" ht="15.5" customHeight="1">
      <c r="A1092" s="362" t="s">
        <v>372</v>
      </c>
      <c r="B1092" s="342">
        <v>46309</v>
      </c>
      <c r="C1092" s="365">
        <v>52193</v>
      </c>
      <c r="D1092" s="334">
        <v>46309</v>
      </c>
      <c r="E1092" s="334">
        <v>46307</v>
      </c>
      <c r="F1092" s="334">
        <v>46328</v>
      </c>
      <c r="G1092" s="372">
        <v>4420235100</v>
      </c>
      <c r="H1092" s="249" t="s">
        <v>373</v>
      </c>
      <c r="I1092" s="37">
        <v>9040052402</v>
      </c>
      <c r="J1092" s="37" t="s">
        <v>197</v>
      </c>
      <c r="K1092" s="325" t="s">
        <v>198</v>
      </c>
      <c r="L1092" s="181">
        <v>21</v>
      </c>
      <c r="M1092" s="181" t="s">
        <v>375</v>
      </c>
      <c r="N1092" s="37" t="s">
        <v>382</v>
      </c>
      <c r="O1092" s="31"/>
      <c r="P1092" s="37"/>
      <c r="Q1092" s="181"/>
      <c r="R1092" s="181"/>
      <c r="S1092" s="181"/>
      <c r="T1092" s="181"/>
      <c r="U1092" s="181"/>
      <c r="V1092" s="37"/>
      <c r="W1092" s="181"/>
      <c r="X1092" s="38"/>
      <c r="Y1092" s="38"/>
      <c r="Z1092" s="38"/>
      <c r="AA1092" s="38"/>
      <c r="AB1092" s="248"/>
      <c r="AC1092" s="250"/>
      <c r="AD1092" s="181"/>
      <c r="AE1092" s="37"/>
      <c r="AF1092" s="37"/>
      <c r="AG1092" s="33"/>
      <c r="AH1092" s="37"/>
      <c r="AI1092" s="37"/>
      <c r="AJ1092" s="181"/>
      <c r="AK1092" s="37"/>
      <c r="AL1092" s="37"/>
      <c r="AM1092" s="181"/>
      <c r="AN1092" s="37"/>
      <c r="AO1092" s="37"/>
      <c r="AP1092" s="37"/>
      <c r="AQ1092" s="37"/>
      <c r="AR1092" s="37"/>
      <c r="AS1092" s="37"/>
      <c r="AT1092" s="37"/>
      <c r="AU1092" s="37"/>
      <c r="AV1092" s="37"/>
      <c r="AW1092" s="37"/>
      <c r="AX1092" s="37"/>
      <c r="AY1092" s="37"/>
      <c r="AZ1092" s="37"/>
    </row>
    <row r="1093" spans="1:52" ht="15.5" customHeight="1">
      <c r="A1093" s="362" t="s">
        <v>372</v>
      </c>
      <c r="B1093" s="342">
        <v>46309</v>
      </c>
      <c r="C1093" s="365">
        <v>52194</v>
      </c>
      <c r="D1093" s="334">
        <v>46309</v>
      </c>
      <c r="E1093" s="334">
        <v>46307</v>
      </c>
      <c r="F1093" s="334">
        <v>46325</v>
      </c>
      <c r="G1093" s="372">
        <v>4420235135</v>
      </c>
      <c r="H1093" s="249" t="s">
        <v>373</v>
      </c>
      <c r="I1093" s="37">
        <v>9040016555</v>
      </c>
      <c r="J1093" s="37" t="s">
        <v>412</v>
      </c>
      <c r="K1093" s="325" t="s">
        <v>413</v>
      </c>
      <c r="L1093" s="181">
        <v>5</v>
      </c>
      <c r="M1093" s="181" t="s">
        <v>375</v>
      </c>
      <c r="N1093" s="37" t="s">
        <v>432</v>
      </c>
      <c r="O1093" s="31"/>
      <c r="P1093" s="37"/>
      <c r="Q1093" s="181"/>
      <c r="R1093" s="181"/>
      <c r="S1093" s="181"/>
      <c r="T1093" s="181"/>
      <c r="U1093" s="181"/>
      <c r="V1093" s="37"/>
      <c r="W1093" s="181"/>
      <c r="X1093" s="38"/>
      <c r="Y1093" s="38"/>
      <c r="Z1093" s="38"/>
      <c r="AA1093" s="38"/>
      <c r="AB1093" s="248"/>
      <c r="AC1093" s="250"/>
      <c r="AD1093" s="181"/>
      <c r="AE1093" s="37"/>
      <c r="AF1093" s="37"/>
      <c r="AG1093" s="33"/>
      <c r="AH1093" s="37"/>
      <c r="AI1093" s="37"/>
      <c r="AJ1093" s="181"/>
      <c r="AK1093" s="37"/>
      <c r="AL1093" s="37"/>
      <c r="AM1093" s="181"/>
      <c r="AN1093" s="37"/>
      <c r="AO1093" s="37"/>
      <c r="AP1093" s="37"/>
      <c r="AQ1093" s="37"/>
      <c r="AR1093" s="37"/>
      <c r="AS1093" s="37"/>
      <c r="AT1093" s="37"/>
      <c r="AU1093" s="37"/>
      <c r="AV1093" s="37"/>
      <c r="AW1093" s="37"/>
      <c r="AX1093" s="37"/>
      <c r="AY1093" s="37"/>
      <c r="AZ1093" s="37"/>
    </row>
    <row r="1094" spans="1:52" ht="15.5" customHeight="1">
      <c r="A1094" s="362" t="s">
        <v>372</v>
      </c>
      <c r="B1094" s="342">
        <v>46309</v>
      </c>
      <c r="C1094" s="365">
        <v>52194</v>
      </c>
      <c r="D1094" s="334">
        <v>46309</v>
      </c>
      <c r="E1094" s="334">
        <v>46307</v>
      </c>
      <c r="F1094" s="334">
        <v>46325</v>
      </c>
      <c r="G1094" s="372">
        <v>4420235135</v>
      </c>
      <c r="H1094" s="249" t="s">
        <v>373</v>
      </c>
      <c r="I1094" s="37">
        <v>9040040390</v>
      </c>
      <c r="J1094" s="37" t="s">
        <v>209</v>
      </c>
      <c r="K1094" s="325" t="s">
        <v>210</v>
      </c>
      <c r="L1094" s="181">
        <v>7</v>
      </c>
      <c r="M1094" s="181" t="s">
        <v>421</v>
      </c>
      <c r="N1094" s="37" t="s">
        <v>432</v>
      </c>
      <c r="O1094" s="31"/>
      <c r="P1094" s="37"/>
      <c r="Q1094" s="181"/>
      <c r="R1094" s="181"/>
      <c r="S1094" s="181"/>
      <c r="T1094" s="181"/>
      <c r="U1094" s="181"/>
      <c r="V1094" s="37"/>
      <c r="W1094" s="181"/>
      <c r="X1094" s="38"/>
      <c r="Y1094" s="38"/>
      <c r="Z1094" s="38"/>
      <c r="AA1094" s="38"/>
      <c r="AB1094" s="248"/>
      <c r="AC1094" s="250"/>
      <c r="AD1094" s="181"/>
      <c r="AE1094" s="37"/>
      <c r="AF1094" s="37"/>
      <c r="AG1094" s="33"/>
      <c r="AH1094" s="37"/>
      <c r="AI1094" s="37"/>
      <c r="AJ1094" s="181"/>
      <c r="AK1094" s="37">
        <v>26690</v>
      </c>
      <c r="AL1094" s="37"/>
      <c r="AM1094" s="181"/>
      <c r="AN1094" s="37"/>
      <c r="AO1094" s="37"/>
      <c r="AP1094" s="37"/>
      <c r="AQ1094" s="37"/>
      <c r="AR1094" s="37"/>
      <c r="AS1094" s="37"/>
      <c r="AT1094" s="37"/>
      <c r="AU1094" s="37"/>
      <c r="AV1094" s="37"/>
      <c r="AW1094" s="37"/>
      <c r="AX1094" s="37"/>
      <c r="AY1094" s="37"/>
      <c r="AZ1094" s="37"/>
    </row>
    <row r="1095" spans="1:52" ht="15.5" customHeight="1">
      <c r="A1095" s="362" t="s">
        <v>372</v>
      </c>
      <c r="B1095" s="342">
        <v>46309</v>
      </c>
      <c r="C1095" s="365">
        <v>52194</v>
      </c>
      <c r="D1095" s="334">
        <v>46309</v>
      </c>
      <c r="E1095" s="334">
        <v>46307</v>
      </c>
      <c r="F1095" s="334">
        <v>46325</v>
      </c>
      <c r="G1095" s="372">
        <v>4420235135</v>
      </c>
      <c r="H1095" s="249" t="s">
        <v>373</v>
      </c>
      <c r="I1095" s="37">
        <v>9040040834</v>
      </c>
      <c r="J1095" s="245" t="s">
        <v>207</v>
      </c>
      <c r="K1095" s="325" t="s">
        <v>208</v>
      </c>
      <c r="L1095" s="181">
        <v>5</v>
      </c>
      <c r="M1095" s="181" t="s">
        <v>389</v>
      </c>
      <c r="N1095" s="37" t="s">
        <v>432</v>
      </c>
      <c r="O1095" s="31"/>
      <c r="P1095" s="37"/>
      <c r="Q1095" s="181"/>
      <c r="R1095" s="181"/>
      <c r="S1095" s="181"/>
      <c r="T1095" s="181"/>
      <c r="U1095" s="181"/>
      <c r="V1095" s="37"/>
      <c r="W1095" s="181"/>
      <c r="X1095" s="38"/>
      <c r="Y1095" s="38"/>
      <c r="Z1095" s="38"/>
      <c r="AA1095" s="38"/>
      <c r="AB1095" s="248"/>
      <c r="AC1095" s="250"/>
      <c r="AD1095" s="181"/>
      <c r="AE1095" s="37"/>
      <c r="AF1095" s="37"/>
      <c r="AG1095" s="33"/>
      <c r="AH1095" s="37"/>
      <c r="AI1095" s="37"/>
      <c r="AJ1095" s="181"/>
      <c r="AK1095" s="37">
        <v>26768</v>
      </c>
      <c r="AL1095" s="244">
        <v>46311</v>
      </c>
      <c r="AM1095" s="181">
        <v>100</v>
      </c>
      <c r="AN1095" s="37"/>
      <c r="AO1095" s="37"/>
      <c r="AP1095" s="37"/>
      <c r="AQ1095" s="37"/>
      <c r="AR1095" s="37"/>
      <c r="AS1095" s="37"/>
      <c r="AT1095" s="37"/>
      <c r="AU1095" s="37"/>
      <c r="AV1095" s="37"/>
      <c r="AW1095" s="37"/>
      <c r="AX1095" s="37"/>
      <c r="AY1095" s="37"/>
      <c r="AZ1095" s="37"/>
    </row>
    <row r="1096" spans="1:52" ht="15.5" customHeight="1">
      <c r="A1096" s="362" t="s">
        <v>372</v>
      </c>
      <c r="B1096" s="342">
        <v>46309</v>
      </c>
      <c r="C1096" s="181">
        <v>52201</v>
      </c>
      <c r="D1096" s="30">
        <v>46309</v>
      </c>
      <c r="E1096" s="334">
        <v>46307</v>
      </c>
      <c r="F1096" s="30">
        <v>46328</v>
      </c>
      <c r="G1096" s="37">
        <v>4420235102</v>
      </c>
      <c r="H1096" s="249" t="s">
        <v>373</v>
      </c>
      <c r="I1096" s="37">
        <v>9040073267</v>
      </c>
      <c r="J1096" s="37" t="s">
        <v>83</v>
      </c>
      <c r="K1096" s="325" t="s">
        <v>84</v>
      </c>
      <c r="L1096" s="181">
        <v>2</v>
      </c>
      <c r="M1096" s="181" t="s">
        <v>375</v>
      </c>
      <c r="N1096" s="37" t="s">
        <v>382</v>
      </c>
      <c r="O1096" s="31"/>
      <c r="P1096" s="37"/>
      <c r="Q1096" s="181"/>
      <c r="R1096" s="181"/>
      <c r="S1096" s="181"/>
      <c r="T1096" s="181"/>
      <c r="U1096" s="181"/>
      <c r="V1096" s="37"/>
      <c r="W1096" s="181"/>
      <c r="X1096" s="38"/>
      <c r="Y1096" s="38"/>
      <c r="Z1096" s="38"/>
      <c r="AA1096" s="38"/>
      <c r="AB1096" s="248"/>
      <c r="AC1096" s="250"/>
      <c r="AD1096" s="181"/>
      <c r="AE1096" s="37"/>
      <c r="AF1096" s="37"/>
      <c r="AG1096" s="33"/>
      <c r="AH1096" s="37"/>
      <c r="AI1096" s="37"/>
      <c r="AJ1096" s="181"/>
      <c r="AK1096" s="37">
        <v>26692</v>
      </c>
      <c r="AL1096" s="37"/>
      <c r="AM1096" s="181"/>
      <c r="AN1096" s="37"/>
      <c r="AO1096" s="37"/>
      <c r="AP1096" s="37"/>
      <c r="AQ1096" s="37"/>
      <c r="AR1096" s="37"/>
      <c r="AS1096" s="37"/>
      <c r="AT1096" s="37"/>
      <c r="AU1096" s="37"/>
      <c r="AV1096" s="37"/>
      <c r="AW1096" s="37"/>
      <c r="AX1096" s="37"/>
      <c r="AY1096" s="37"/>
      <c r="AZ1096" s="37"/>
    </row>
    <row r="1097" spans="1:52" ht="15.5" customHeight="1">
      <c r="A1097" s="362" t="s">
        <v>372</v>
      </c>
      <c r="B1097" s="342">
        <v>46310</v>
      </c>
      <c r="C1097" s="181">
        <v>52263</v>
      </c>
      <c r="D1097" s="30">
        <v>46310</v>
      </c>
      <c r="E1097" s="30">
        <v>46308</v>
      </c>
      <c r="F1097" s="30">
        <v>46326</v>
      </c>
      <c r="G1097" s="37">
        <v>4420235160</v>
      </c>
      <c r="H1097" s="249" t="s">
        <v>373</v>
      </c>
      <c r="I1097" s="37">
        <v>9040040450</v>
      </c>
      <c r="J1097" s="37" t="s">
        <v>176</v>
      </c>
      <c r="K1097" s="325" t="s">
        <v>177</v>
      </c>
      <c r="L1097" s="181">
        <v>17</v>
      </c>
      <c r="M1097" s="181" t="s">
        <v>421</v>
      </c>
      <c r="N1097" s="37" t="s">
        <v>399</v>
      </c>
      <c r="O1097" s="31"/>
      <c r="P1097" s="37"/>
      <c r="Q1097" s="181"/>
      <c r="R1097" s="181"/>
      <c r="S1097" s="181"/>
      <c r="T1097" s="181"/>
      <c r="U1097" s="181"/>
      <c r="V1097" s="37"/>
      <c r="W1097" s="181"/>
      <c r="X1097" s="38"/>
      <c r="Y1097" s="38"/>
      <c r="Z1097" s="38"/>
      <c r="AA1097" s="38"/>
      <c r="AB1097" s="248"/>
      <c r="AC1097" s="250"/>
      <c r="AD1097" s="181"/>
      <c r="AE1097" s="37"/>
      <c r="AF1097" s="37"/>
      <c r="AG1097" s="33"/>
      <c r="AH1097" s="37"/>
      <c r="AI1097" s="37"/>
      <c r="AJ1097" s="181"/>
      <c r="AK1097" s="37">
        <v>26731</v>
      </c>
      <c r="AL1097" s="244">
        <v>46310</v>
      </c>
      <c r="AM1097" s="181">
        <v>25</v>
      </c>
      <c r="AN1097" s="37"/>
      <c r="AO1097" s="37"/>
      <c r="AP1097" s="37"/>
      <c r="AQ1097" s="37"/>
      <c r="AR1097" s="37"/>
      <c r="AS1097" s="37"/>
      <c r="AT1097" s="37"/>
      <c r="AU1097" s="37"/>
      <c r="AV1097" s="37"/>
      <c r="AW1097" s="37"/>
      <c r="AX1097" s="37"/>
      <c r="AY1097" s="37"/>
      <c r="AZ1097" s="37"/>
    </row>
    <row r="1098" spans="1:52" ht="15.5" customHeight="1">
      <c r="A1098" s="362" t="s">
        <v>372</v>
      </c>
      <c r="B1098" s="342">
        <v>46310</v>
      </c>
      <c r="C1098" s="181">
        <v>52263</v>
      </c>
      <c r="D1098" s="30">
        <v>46310</v>
      </c>
      <c r="E1098" s="30">
        <v>46308</v>
      </c>
      <c r="F1098" s="30">
        <v>46326</v>
      </c>
      <c r="G1098" s="37">
        <v>4420235160</v>
      </c>
      <c r="H1098" s="249" t="s">
        <v>373</v>
      </c>
      <c r="I1098" s="37">
        <v>9040040588</v>
      </c>
      <c r="J1098" s="37" t="s">
        <v>76</v>
      </c>
      <c r="K1098" s="325" t="s">
        <v>77</v>
      </c>
      <c r="L1098" s="181">
        <v>20</v>
      </c>
      <c r="M1098" s="181" t="s">
        <v>375</v>
      </c>
      <c r="N1098" s="37" t="s">
        <v>399</v>
      </c>
      <c r="O1098" s="31"/>
      <c r="P1098" s="37"/>
      <c r="Q1098" s="181"/>
      <c r="R1098" s="181"/>
      <c r="S1098" s="181"/>
      <c r="T1098" s="181"/>
      <c r="U1098" s="181"/>
      <c r="V1098" s="37"/>
      <c r="W1098" s="181"/>
      <c r="X1098" s="38"/>
      <c r="Y1098" s="38"/>
      <c r="Z1098" s="38"/>
      <c r="AA1098" s="38"/>
      <c r="AB1098" s="248"/>
      <c r="AC1098" s="250"/>
      <c r="AD1098" s="181"/>
      <c r="AE1098" s="37"/>
      <c r="AF1098" s="37"/>
      <c r="AG1098" s="33"/>
      <c r="AH1098" s="37"/>
      <c r="AI1098" s="37"/>
      <c r="AJ1098" s="181"/>
      <c r="AK1098" s="37">
        <v>26642</v>
      </c>
      <c r="AL1098" s="241">
        <v>46303</v>
      </c>
      <c r="AM1098" s="181">
        <v>650</v>
      </c>
      <c r="AN1098" s="37"/>
      <c r="AO1098" s="244">
        <v>46311</v>
      </c>
      <c r="AP1098" s="37"/>
      <c r="AQ1098" s="37"/>
      <c r="AR1098" s="37"/>
      <c r="AS1098" s="37"/>
      <c r="AT1098" s="37"/>
      <c r="AU1098" s="37"/>
      <c r="AV1098" s="37"/>
      <c r="AW1098" s="37"/>
      <c r="AX1098" s="37"/>
      <c r="AY1098" s="37"/>
      <c r="AZ1098" s="37"/>
    </row>
    <row r="1099" spans="1:52" ht="15.5" customHeight="1">
      <c r="A1099" s="362" t="s">
        <v>372</v>
      </c>
      <c r="B1099" s="342">
        <v>46310</v>
      </c>
      <c r="C1099" s="181">
        <v>52264</v>
      </c>
      <c r="D1099" s="30">
        <v>46310</v>
      </c>
      <c r="E1099" s="30">
        <v>46308</v>
      </c>
      <c r="F1099" s="30">
        <v>46322</v>
      </c>
      <c r="G1099" s="37">
        <v>4420235164</v>
      </c>
      <c r="H1099" s="249" t="s">
        <v>373</v>
      </c>
      <c r="I1099" s="37">
        <v>9040014955</v>
      </c>
      <c r="J1099" s="37" t="s">
        <v>27</v>
      </c>
      <c r="K1099" s="325" t="s">
        <v>28</v>
      </c>
      <c r="L1099" s="181">
        <v>5</v>
      </c>
      <c r="M1099" s="181" t="s">
        <v>375</v>
      </c>
      <c r="N1099" s="37" t="s">
        <v>410</v>
      </c>
      <c r="O1099" s="31"/>
      <c r="P1099" s="37"/>
      <c r="Q1099" s="181"/>
      <c r="R1099" s="181"/>
      <c r="S1099" s="181"/>
      <c r="T1099" s="181"/>
      <c r="U1099" s="181"/>
      <c r="V1099" s="37"/>
      <c r="W1099" s="181"/>
      <c r="X1099" s="38"/>
      <c r="Y1099" s="38"/>
      <c r="Z1099" s="38"/>
      <c r="AA1099" s="38"/>
      <c r="AB1099" s="248"/>
      <c r="AC1099" s="250"/>
      <c r="AD1099" s="181"/>
      <c r="AE1099" s="37"/>
      <c r="AF1099" s="37"/>
      <c r="AG1099" s="33"/>
      <c r="AH1099" s="37"/>
      <c r="AI1099" s="37"/>
      <c r="AJ1099" s="181"/>
      <c r="AK1099" s="37">
        <v>26767</v>
      </c>
      <c r="AL1099" s="244">
        <v>46311</v>
      </c>
      <c r="AM1099" s="181">
        <v>17</v>
      </c>
      <c r="AN1099" s="37"/>
      <c r="AO1099" s="37"/>
      <c r="AP1099" s="37"/>
      <c r="AQ1099" s="37"/>
      <c r="AR1099" s="37"/>
      <c r="AS1099" s="37"/>
      <c r="AT1099" s="37"/>
      <c r="AU1099" s="37"/>
      <c r="AV1099" s="37"/>
      <c r="AW1099" s="37"/>
      <c r="AX1099" s="37"/>
      <c r="AY1099" s="37"/>
      <c r="AZ1099" s="37"/>
    </row>
    <row r="1100" spans="1:52" ht="15.5" customHeight="1">
      <c r="A1100" s="362" t="s">
        <v>372</v>
      </c>
      <c r="B1100" s="342">
        <v>46310</v>
      </c>
      <c r="C1100" s="181">
        <v>52264</v>
      </c>
      <c r="D1100" s="30">
        <v>46310</v>
      </c>
      <c r="E1100" s="30">
        <v>46308</v>
      </c>
      <c r="F1100" s="30">
        <v>46322</v>
      </c>
      <c r="G1100" s="37">
        <v>4420235164</v>
      </c>
      <c r="H1100" s="249" t="s">
        <v>373</v>
      </c>
      <c r="I1100" s="37">
        <v>9040001301</v>
      </c>
      <c r="J1100" s="37" t="s">
        <v>33</v>
      </c>
      <c r="K1100" s="325" t="s">
        <v>34</v>
      </c>
      <c r="L1100" s="181">
        <v>3</v>
      </c>
      <c r="M1100" s="181" t="s">
        <v>375</v>
      </c>
      <c r="N1100" s="37" t="s">
        <v>410</v>
      </c>
      <c r="O1100" s="31"/>
      <c r="P1100" s="37"/>
      <c r="Q1100" s="181"/>
      <c r="R1100" s="181"/>
      <c r="S1100" s="181"/>
      <c r="T1100" s="181"/>
      <c r="U1100" s="181"/>
      <c r="V1100" s="37"/>
      <c r="W1100" s="181"/>
      <c r="X1100" s="38"/>
      <c r="Y1100" s="38"/>
      <c r="Z1100" s="38"/>
      <c r="AA1100" s="38"/>
      <c r="AB1100" s="248"/>
      <c r="AC1100" s="250"/>
      <c r="AD1100" s="181"/>
      <c r="AE1100" s="37"/>
      <c r="AF1100" s="37"/>
      <c r="AG1100" s="33"/>
      <c r="AH1100" s="37"/>
      <c r="AI1100" s="37"/>
      <c r="AJ1100" s="181"/>
      <c r="AK1100" s="37"/>
      <c r="AL1100" s="37"/>
      <c r="AM1100" s="181"/>
      <c r="AN1100" s="37"/>
      <c r="AO1100" s="37"/>
      <c r="AP1100" s="37"/>
      <c r="AQ1100" s="37"/>
      <c r="AR1100" s="37"/>
      <c r="AS1100" s="37"/>
      <c r="AT1100" s="37"/>
      <c r="AU1100" s="37"/>
      <c r="AV1100" s="37"/>
      <c r="AW1100" s="37"/>
      <c r="AX1100" s="37"/>
      <c r="AY1100" s="37"/>
      <c r="AZ1100" s="37"/>
    </row>
    <row r="1101" spans="1:52" ht="15.5" customHeight="1">
      <c r="A1101" s="362" t="s">
        <v>372</v>
      </c>
      <c r="B1101" s="342">
        <v>46310</v>
      </c>
      <c r="C1101" s="181">
        <v>52264</v>
      </c>
      <c r="D1101" s="30">
        <v>46310</v>
      </c>
      <c r="E1101" s="30">
        <v>46308</v>
      </c>
      <c r="F1101" s="30">
        <v>46322</v>
      </c>
      <c r="G1101" s="37">
        <v>4420235164</v>
      </c>
      <c r="H1101" s="249" t="s">
        <v>373</v>
      </c>
      <c r="I1101" s="37">
        <v>9040040588</v>
      </c>
      <c r="J1101" s="37" t="s">
        <v>76</v>
      </c>
      <c r="K1101" s="325" t="s">
        <v>77</v>
      </c>
      <c r="L1101" s="181">
        <v>15</v>
      </c>
      <c r="M1101" s="181" t="s">
        <v>375</v>
      </c>
      <c r="N1101" s="37" t="s">
        <v>410</v>
      </c>
      <c r="O1101" s="31"/>
      <c r="P1101" s="37"/>
      <c r="Q1101" s="181"/>
      <c r="R1101" s="181"/>
      <c r="S1101" s="181"/>
      <c r="T1101" s="181"/>
      <c r="U1101" s="181"/>
      <c r="V1101" s="37"/>
      <c r="W1101" s="181"/>
      <c r="X1101" s="38"/>
      <c r="Y1101" s="38"/>
      <c r="Z1101" s="38"/>
      <c r="AA1101" s="38"/>
      <c r="AB1101" s="248"/>
      <c r="AC1101" s="250"/>
      <c r="AD1101" s="181"/>
      <c r="AE1101" s="37"/>
      <c r="AF1101" s="37"/>
      <c r="AG1101" s="33"/>
      <c r="AH1101" s="37"/>
      <c r="AI1101" s="37"/>
      <c r="AJ1101" s="181"/>
      <c r="AK1101" s="37">
        <v>26642</v>
      </c>
      <c r="AL1101" s="241">
        <v>46303</v>
      </c>
      <c r="AM1101" s="181">
        <v>650</v>
      </c>
      <c r="AN1101" s="37"/>
      <c r="AO1101" s="244">
        <v>46311</v>
      </c>
      <c r="AP1101" s="37"/>
      <c r="AQ1101" s="37"/>
      <c r="AR1101" s="37"/>
      <c r="AS1101" s="37"/>
      <c r="AT1101" s="37"/>
      <c r="AU1101" s="37"/>
      <c r="AV1101" s="37"/>
      <c r="AW1101" s="37"/>
      <c r="AX1101" s="37"/>
      <c r="AY1101" s="37"/>
      <c r="AZ1101" s="37"/>
    </row>
    <row r="1102" spans="1:52" ht="15.5" customHeight="1">
      <c r="A1102" s="362" t="s">
        <v>372</v>
      </c>
      <c r="B1102" s="342">
        <v>46310</v>
      </c>
      <c r="C1102" s="181">
        <v>52264</v>
      </c>
      <c r="D1102" s="30">
        <v>46310</v>
      </c>
      <c r="E1102" s="30">
        <v>46308</v>
      </c>
      <c r="F1102" s="30">
        <v>46322</v>
      </c>
      <c r="G1102" s="37">
        <v>4420235164</v>
      </c>
      <c r="H1102" s="249" t="s">
        <v>373</v>
      </c>
      <c r="I1102" s="37">
        <v>9040044191</v>
      </c>
      <c r="J1102" s="37" t="s">
        <v>187</v>
      </c>
      <c r="K1102" s="325" t="s">
        <v>188</v>
      </c>
      <c r="L1102" s="181">
        <v>4</v>
      </c>
      <c r="M1102" s="181" t="s">
        <v>375</v>
      </c>
      <c r="N1102" s="37" t="s">
        <v>410</v>
      </c>
      <c r="O1102" s="31"/>
      <c r="P1102" s="37"/>
      <c r="Q1102" s="181"/>
      <c r="R1102" s="181"/>
      <c r="S1102" s="181"/>
      <c r="T1102" s="181"/>
      <c r="U1102" s="181"/>
      <c r="V1102" s="37"/>
      <c r="W1102" s="181"/>
      <c r="X1102" s="38"/>
      <c r="Y1102" s="38"/>
      <c r="Z1102" s="38"/>
      <c r="AA1102" s="38"/>
      <c r="AB1102" s="248"/>
      <c r="AC1102" s="250"/>
      <c r="AD1102" s="181"/>
      <c r="AE1102" s="37"/>
      <c r="AF1102" s="37"/>
      <c r="AG1102" s="33"/>
      <c r="AH1102" s="37"/>
      <c r="AI1102" s="37"/>
      <c r="AJ1102" s="181"/>
      <c r="AK1102" s="37"/>
      <c r="AL1102" s="37"/>
      <c r="AM1102" s="181"/>
      <c r="AN1102" s="37"/>
      <c r="AO1102" s="37"/>
      <c r="AP1102" s="37"/>
      <c r="AQ1102" s="37"/>
      <c r="AR1102" s="37"/>
      <c r="AS1102" s="37"/>
      <c r="AT1102" s="37"/>
      <c r="AU1102" s="37"/>
      <c r="AV1102" s="37"/>
      <c r="AW1102" s="37"/>
      <c r="AX1102" s="37"/>
      <c r="AY1102" s="37"/>
      <c r="AZ1102" s="37"/>
    </row>
    <row r="1103" spans="1:52" ht="15.5" customHeight="1">
      <c r="A1103" s="362" t="s">
        <v>372</v>
      </c>
      <c r="B1103" s="342">
        <v>46310</v>
      </c>
      <c r="C1103" s="181">
        <v>52269</v>
      </c>
      <c r="D1103" s="30">
        <v>46310</v>
      </c>
      <c r="E1103" s="30">
        <v>46309</v>
      </c>
      <c r="F1103" s="30">
        <v>46325</v>
      </c>
      <c r="G1103" s="37">
        <v>4420235378</v>
      </c>
      <c r="H1103" s="249" t="s">
        <v>373</v>
      </c>
      <c r="I1103" s="37">
        <v>9040028877</v>
      </c>
      <c r="J1103" s="37" t="s">
        <v>199</v>
      </c>
      <c r="K1103" s="325" t="s">
        <v>200</v>
      </c>
      <c r="L1103" s="181">
        <v>5</v>
      </c>
      <c r="M1103" s="181" t="s">
        <v>375</v>
      </c>
      <c r="N1103" s="37" t="s">
        <v>434</v>
      </c>
      <c r="O1103" s="31"/>
      <c r="P1103" s="37"/>
      <c r="Q1103" s="181"/>
      <c r="R1103" s="181"/>
      <c r="S1103" s="181"/>
      <c r="T1103" s="181"/>
      <c r="U1103" s="181"/>
      <c r="V1103" s="37"/>
      <c r="W1103" s="181"/>
      <c r="X1103" s="38"/>
      <c r="Y1103" s="38"/>
      <c r="Z1103" s="38"/>
      <c r="AA1103" s="38"/>
      <c r="AB1103" s="248"/>
      <c r="AC1103" s="250"/>
      <c r="AD1103" s="181"/>
      <c r="AE1103" s="37"/>
      <c r="AF1103" s="37"/>
      <c r="AG1103" s="33"/>
      <c r="AH1103" s="37"/>
      <c r="AI1103" s="37"/>
      <c r="AJ1103" s="181"/>
      <c r="AK1103" s="37"/>
      <c r="AL1103" s="37"/>
      <c r="AM1103" s="181"/>
      <c r="AN1103" s="37"/>
      <c r="AO1103" s="37"/>
      <c r="AP1103" s="37"/>
      <c r="AQ1103" s="37"/>
      <c r="AR1103" s="37"/>
      <c r="AS1103" s="37"/>
      <c r="AT1103" s="37"/>
      <c r="AU1103" s="37"/>
      <c r="AV1103" s="37"/>
      <c r="AW1103" s="37"/>
      <c r="AX1103" s="37"/>
      <c r="AY1103" s="37"/>
      <c r="AZ1103" s="37"/>
    </row>
    <row r="1104" spans="1:52" ht="15.5" customHeight="1">
      <c r="A1104" s="362" t="s">
        <v>372</v>
      </c>
      <c r="B1104" s="342">
        <v>46310</v>
      </c>
      <c r="C1104" s="181">
        <v>52270</v>
      </c>
      <c r="D1104" s="30">
        <v>46310</v>
      </c>
      <c r="E1104" s="30">
        <v>46309</v>
      </c>
      <c r="F1104" s="30">
        <v>46326</v>
      </c>
      <c r="G1104" s="37">
        <v>4420235307</v>
      </c>
      <c r="H1104" s="249" t="s">
        <v>373</v>
      </c>
      <c r="I1104" s="37">
        <v>9040017811</v>
      </c>
      <c r="J1104" s="37" t="s">
        <v>155</v>
      </c>
      <c r="K1104" s="325" t="s">
        <v>156</v>
      </c>
      <c r="L1104" s="181">
        <v>2</v>
      </c>
      <c r="M1104" s="181" t="s">
        <v>375</v>
      </c>
      <c r="N1104" s="37" t="s">
        <v>434</v>
      </c>
      <c r="O1104" s="31"/>
      <c r="P1104" s="37"/>
      <c r="Q1104" s="181"/>
      <c r="R1104" s="181"/>
      <c r="S1104" s="181"/>
      <c r="T1104" s="181"/>
      <c r="U1104" s="181"/>
      <c r="V1104" s="37"/>
      <c r="W1104" s="181"/>
      <c r="X1104" s="38"/>
      <c r="Y1104" s="38"/>
      <c r="Z1104" s="38"/>
      <c r="AA1104" s="38"/>
      <c r="AB1104" s="248"/>
      <c r="AC1104" s="250"/>
      <c r="AD1104" s="181"/>
      <c r="AE1104" s="37"/>
      <c r="AF1104" s="37"/>
      <c r="AG1104" s="33"/>
      <c r="AH1104" s="37"/>
      <c r="AI1104" s="37"/>
      <c r="AJ1104" s="181"/>
      <c r="AK1104" s="37" t="s">
        <v>1400</v>
      </c>
      <c r="AL1104" s="241">
        <v>46297</v>
      </c>
      <c r="AM1104" s="181">
        <v>5</v>
      </c>
      <c r="AN1104" s="37" t="s">
        <v>1401</v>
      </c>
      <c r="AO1104" s="37"/>
      <c r="AP1104" s="37"/>
      <c r="AQ1104" s="37"/>
      <c r="AR1104" s="37"/>
      <c r="AS1104" s="37"/>
      <c r="AT1104" s="37"/>
      <c r="AU1104" s="37"/>
      <c r="AV1104" s="37"/>
      <c r="AW1104" s="37"/>
      <c r="AX1104" s="37"/>
      <c r="AY1104" s="37"/>
      <c r="AZ1104" s="37"/>
    </row>
    <row r="1105" spans="1:52" ht="15.5" customHeight="1">
      <c r="A1105" s="362" t="s">
        <v>372</v>
      </c>
      <c r="B1105" s="342">
        <v>46310</v>
      </c>
      <c r="C1105" s="181">
        <v>52270</v>
      </c>
      <c r="D1105" s="30">
        <v>46310</v>
      </c>
      <c r="E1105" s="30">
        <v>46309</v>
      </c>
      <c r="F1105" s="30">
        <v>46326</v>
      </c>
      <c r="G1105" s="37">
        <v>4420235307</v>
      </c>
      <c r="H1105" s="249" t="s">
        <v>373</v>
      </c>
      <c r="I1105" s="37">
        <v>9040012343</v>
      </c>
      <c r="J1105" s="37" t="s">
        <v>303</v>
      </c>
      <c r="K1105" s="325" t="s">
        <v>304</v>
      </c>
      <c r="L1105" s="181">
        <v>3</v>
      </c>
      <c r="M1105" s="181" t="s">
        <v>375</v>
      </c>
      <c r="N1105" s="37" t="s">
        <v>434</v>
      </c>
      <c r="O1105" s="31"/>
      <c r="P1105" s="37"/>
      <c r="Q1105" s="181"/>
      <c r="R1105" s="181"/>
      <c r="S1105" s="181"/>
      <c r="T1105" s="181"/>
      <c r="U1105" s="181"/>
      <c r="V1105" s="37"/>
      <c r="W1105" s="181"/>
      <c r="X1105" s="38"/>
      <c r="Y1105" s="38"/>
      <c r="Z1105" s="38"/>
      <c r="AA1105" s="38"/>
      <c r="AB1105" s="248"/>
      <c r="AC1105" s="250"/>
      <c r="AD1105" s="181"/>
      <c r="AE1105" s="37"/>
      <c r="AF1105" s="37"/>
      <c r="AG1105" s="33"/>
      <c r="AH1105" s="37"/>
      <c r="AI1105" s="37"/>
      <c r="AJ1105" s="181"/>
      <c r="AK1105" s="37"/>
      <c r="AL1105" s="37"/>
      <c r="AM1105" s="181"/>
      <c r="AN1105" s="37"/>
      <c r="AO1105" s="37"/>
      <c r="AP1105" s="37"/>
      <c r="AQ1105" s="37"/>
      <c r="AR1105" s="37"/>
      <c r="AS1105" s="37"/>
      <c r="AT1105" s="37"/>
      <c r="AU1105" s="37"/>
      <c r="AV1105" s="37"/>
      <c r="AW1105" s="37"/>
      <c r="AX1105" s="37"/>
      <c r="AY1105" s="37"/>
      <c r="AZ1105" s="37"/>
    </row>
    <row r="1106" spans="1:52" ht="15.5" customHeight="1">
      <c r="A1106" s="362" t="s">
        <v>372</v>
      </c>
      <c r="B1106" s="342">
        <v>46310</v>
      </c>
      <c r="C1106" s="181">
        <v>52270</v>
      </c>
      <c r="D1106" s="30">
        <v>46310</v>
      </c>
      <c r="E1106" s="30">
        <v>46309</v>
      </c>
      <c r="F1106" s="30">
        <v>46326</v>
      </c>
      <c r="G1106" s="37">
        <v>4420235307</v>
      </c>
      <c r="H1106" s="249" t="s">
        <v>373</v>
      </c>
      <c r="I1106" s="37">
        <v>9040009393</v>
      </c>
      <c r="J1106" s="37" t="s">
        <v>161</v>
      </c>
      <c r="K1106" s="325" t="s">
        <v>162</v>
      </c>
      <c r="L1106" s="181">
        <v>2</v>
      </c>
      <c r="M1106" s="181" t="s">
        <v>375</v>
      </c>
      <c r="N1106" s="37" t="s">
        <v>434</v>
      </c>
      <c r="O1106" s="31"/>
      <c r="P1106" s="37"/>
      <c r="Q1106" s="181"/>
      <c r="R1106" s="181"/>
      <c r="S1106" s="181"/>
      <c r="T1106" s="181"/>
      <c r="U1106" s="181"/>
      <c r="V1106" s="37"/>
      <c r="W1106" s="181"/>
      <c r="X1106" s="38"/>
      <c r="Y1106" s="38"/>
      <c r="Z1106" s="38"/>
      <c r="AA1106" s="38"/>
      <c r="AB1106" s="248"/>
      <c r="AC1106" s="250"/>
      <c r="AD1106" s="181"/>
      <c r="AE1106" s="37"/>
      <c r="AF1106" s="37"/>
      <c r="AG1106" s="33"/>
      <c r="AH1106" s="37"/>
      <c r="AI1106" s="37"/>
      <c r="AJ1106" s="181"/>
      <c r="AK1106" s="37"/>
      <c r="AL1106" s="37"/>
      <c r="AM1106" s="181"/>
      <c r="AN1106" s="37"/>
      <c r="AO1106" s="37"/>
      <c r="AP1106" s="37"/>
      <c r="AQ1106" s="37"/>
      <c r="AR1106" s="37"/>
      <c r="AS1106" s="37"/>
      <c r="AT1106" s="37"/>
      <c r="AU1106" s="37"/>
      <c r="AV1106" s="37"/>
      <c r="AW1106" s="37"/>
      <c r="AX1106" s="37"/>
      <c r="AY1106" s="37"/>
      <c r="AZ1106" s="37"/>
    </row>
    <row r="1107" spans="1:52" ht="15.5" customHeight="1">
      <c r="A1107" s="362" t="s">
        <v>372</v>
      </c>
      <c r="B1107" s="342">
        <v>46310</v>
      </c>
      <c r="C1107" s="181">
        <v>52270</v>
      </c>
      <c r="D1107" s="30">
        <v>46310</v>
      </c>
      <c r="E1107" s="30">
        <v>46309</v>
      </c>
      <c r="F1107" s="30">
        <v>46326</v>
      </c>
      <c r="G1107" s="37">
        <v>4420235307</v>
      </c>
      <c r="H1107" s="249" t="s">
        <v>373</v>
      </c>
      <c r="I1107" s="37">
        <v>9040044317</v>
      </c>
      <c r="J1107" s="37" t="s">
        <v>143</v>
      </c>
      <c r="K1107" s="325" t="s">
        <v>144</v>
      </c>
      <c r="L1107" s="181">
        <v>4</v>
      </c>
      <c r="M1107" s="181" t="s">
        <v>375</v>
      </c>
      <c r="N1107" s="37" t="s">
        <v>434</v>
      </c>
      <c r="O1107" s="31"/>
      <c r="P1107" s="37"/>
      <c r="Q1107" s="181"/>
      <c r="R1107" s="181"/>
      <c r="S1107" s="181"/>
      <c r="T1107" s="181"/>
      <c r="U1107" s="181"/>
      <c r="V1107" s="37"/>
      <c r="W1107" s="181"/>
      <c r="X1107" s="38"/>
      <c r="Y1107" s="38"/>
      <c r="Z1107" s="38"/>
      <c r="AA1107" s="38"/>
      <c r="AB1107" s="248"/>
      <c r="AC1107" s="250"/>
      <c r="AD1107" s="181"/>
      <c r="AE1107" s="37"/>
      <c r="AF1107" s="37"/>
      <c r="AG1107" s="33"/>
      <c r="AH1107" s="37"/>
      <c r="AI1107" s="37"/>
      <c r="AJ1107" s="181"/>
      <c r="AK1107" s="37">
        <v>26760</v>
      </c>
      <c r="AL1107" s="244">
        <v>46311</v>
      </c>
      <c r="AM1107" s="181">
        <v>4</v>
      </c>
      <c r="AN1107" s="37"/>
      <c r="AO1107" s="37"/>
      <c r="AP1107" s="37"/>
      <c r="AQ1107" s="37"/>
      <c r="AR1107" s="37"/>
      <c r="AS1107" s="37"/>
      <c r="AT1107" s="37"/>
      <c r="AU1107" s="37"/>
      <c r="AV1107" s="37"/>
      <c r="AW1107" s="37"/>
      <c r="AX1107" s="37"/>
      <c r="AY1107" s="37"/>
      <c r="AZ1107" s="37"/>
    </row>
    <row r="1108" spans="1:52" ht="15.5" customHeight="1">
      <c r="A1108" s="362" t="s">
        <v>372</v>
      </c>
      <c r="B1108" s="342">
        <v>46310</v>
      </c>
      <c r="C1108" s="181">
        <v>52270</v>
      </c>
      <c r="D1108" s="30">
        <v>46310</v>
      </c>
      <c r="E1108" s="30">
        <v>46309</v>
      </c>
      <c r="F1108" s="30">
        <v>46326</v>
      </c>
      <c r="G1108" s="37">
        <v>4420235307</v>
      </c>
      <c r="H1108" s="249" t="s">
        <v>373</v>
      </c>
      <c r="I1108" s="37">
        <v>9040044191</v>
      </c>
      <c r="J1108" s="37" t="s">
        <v>187</v>
      </c>
      <c r="K1108" s="325" t="s">
        <v>188</v>
      </c>
      <c r="L1108" s="181">
        <v>5</v>
      </c>
      <c r="M1108" s="181" t="s">
        <v>375</v>
      </c>
      <c r="N1108" s="37" t="s">
        <v>434</v>
      </c>
      <c r="O1108" s="31"/>
      <c r="P1108" s="37"/>
      <c r="Q1108" s="181"/>
      <c r="R1108" s="181"/>
      <c r="S1108" s="181"/>
      <c r="T1108" s="181"/>
      <c r="U1108" s="181"/>
      <c r="V1108" s="37"/>
      <c r="W1108" s="181"/>
      <c r="X1108" s="38"/>
      <c r="Y1108" s="38"/>
      <c r="Z1108" s="38"/>
      <c r="AA1108" s="38"/>
      <c r="AB1108" s="248"/>
      <c r="AC1108" s="250"/>
      <c r="AD1108" s="181"/>
      <c r="AE1108" s="37"/>
      <c r="AF1108" s="37"/>
      <c r="AG1108" s="33"/>
      <c r="AH1108" s="37"/>
      <c r="AI1108" s="37"/>
      <c r="AJ1108" s="181"/>
      <c r="AK1108" s="37"/>
      <c r="AL1108" s="37"/>
      <c r="AM1108" s="181"/>
      <c r="AN1108" s="37"/>
      <c r="AO1108" s="37"/>
      <c r="AP1108" s="37"/>
      <c r="AQ1108" s="37"/>
      <c r="AR1108" s="37"/>
      <c r="AS1108" s="37"/>
      <c r="AT1108" s="37"/>
      <c r="AU1108" s="37"/>
      <c r="AV1108" s="37"/>
      <c r="AW1108" s="37"/>
      <c r="AX1108" s="37"/>
      <c r="AY1108" s="37"/>
      <c r="AZ1108" s="37"/>
    </row>
    <row r="1109" spans="1:52" ht="15.5" customHeight="1">
      <c r="A1109" s="362" t="s">
        <v>372</v>
      </c>
      <c r="B1109" s="342">
        <v>46310</v>
      </c>
      <c r="C1109" s="181">
        <v>52270</v>
      </c>
      <c r="D1109" s="30">
        <v>46310</v>
      </c>
      <c r="E1109" s="30">
        <v>46309</v>
      </c>
      <c r="F1109" s="30">
        <v>46326</v>
      </c>
      <c r="G1109" s="37">
        <v>4420235307</v>
      </c>
      <c r="H1109" s="249" t="s">
        <v>373</v>
      </c>
      <c r="I1109" s="37">
        <v>9040040588</v>
      </c>
      <c r="J1109" s="37" t="s">
        <v>76</v>
      </c>
      <c r="K1109" s="325" t="s">
        <v>77</v>
      </c>
      <c r="L1109" s="181">
        <v>13</v>
      </c>
      <c r="M1109" s="181" t="s">
        <v>375</v>
      </c>
      <c r="N1109" s="37" t="s">
        <v>434</v>
      </c>
      <c r="O1109" s="31"/>
      <c r="P1109" s="37"/>
      <c r="Q1109" s="181"/>
      <c r="R1109" s="181"/>
      <c r="S1109" s="181"/>
      <c r="T1109" s="181"/>
      <c r="U1109" s="181"/>
      <c r="V1109" s="37"/>
      <c r="W1109" s="181"/>
      <c r="X1109" s="38"/>
      <c r="Y1109" s="38"/>
      <c r="Z1109" s="38"/>
      <c r="AA1109" s="38"/>
      <c r="AB1109" s="248"/>
      <c r="AC1109" s="250"/>
      <c r="AD1109" s="181"/>
      <c r="AE1109" s="37"/>
      <c r="AF1109" s="37"/>
      <c r="AG1109" s="33"/>
      <c r="AH1109" s="37"/>
      <c r="AI1109" s="37"/>
      <c r="AJ1109" s="181"/>
      <c r="AK1109" s="37">
        <v>26642</v>
      </c>
      <c r="AL1109" s="241">
        <v>46303</v>
      </c>
      <c r="AM1109" s="181">
        <v>650</v>
      </c>
      <c r="AN1109" s="37"/>
      <c r="AO1109" s="244">
        <v>46311</v>
      </c>
      <c r="AP1109" s="37"/>
      <c r="AQ1109" s="37"/>
      <c r="AR1109" s="37"/>
      <c r="AS1109" s="37"/>
      <c r="AT1109" s="37"/>
      <c r="AU1109" s="37"/>
      <c r="AV1109" s="37"/>
      <c r="AW1109" s="37"/>
      <c r="AX1109" s="37"/>
      <c r="AY1109" s="37"/>
      <c r="AZ1109" s="37"/>
    </row>
    <row r="1110" spans="1:52" ht="15.5" customHeight="1">
      <c r="A1110" s="362" t="s">
        <v>372</v>
      </c>
      <c r="B1110" s="342">
        <v>46310</v>
      </c>
      <c r="C1110" s="181">
        <v>52270</v>
      </c>
      <c r="D1110" s="30">
        <v>46310</v>
      </c>
      <c r="E1110" s="30">
        <v>46309</v>
      </c>
      <c r="F1110" s="30">
        <v>46326</v>
      </c>
      <c r="G1110" s="37">
        <v>4420235307</v>
      </c>
      <c r="H1110" s="249" t="s">
        <v>373</v>
      </c>
      <c r="I1110" s="37">
        <v>9040016582</v>
      </c>
      <c r="J1110" s="37" t="s">
        <v>183</v>
      </c>
      <c r="K1110" s="325" t="s">
        <v>184</v>
      </c>
      <c r="L1110" s="181">
        <v>18</v>
      </c>
      <c r="M1110" s="181" t="s">
        <v>375</v>
      </c>
      <c r="N1110" s="37" t="s">
        <v>434</v>
      </c>
      <c r="O1110" s="31"/>
      <c r="P1110" s="37"/>
      <c r="Q1110" s="181"/>
      <c r="R1110" s="181"/>
      <c r="S1110" s="181"/>
      <c r="T1110" s="181"/>
      <c r="U1110" s="181"/>
      <c r="V1110" s="37"/>
      <c r="W1110" s="181"/>
      <c r="X1110" s="38"/>
      <c r="Y1110" s="38"/>
      <c r="Z1110" s="38"/>
      <c r="AA1110" s="38"/>
      <c r="AB1110" s="248"/>
      <c r="AC1110" s="250"/>
      <c r="AD1110" s="181"/>
      <c r="AE1110" s="37"/>
      <c r="AF1110" s="37"/>
      <c r="AG1110" s="33"/>
      <c r="AH1110" s="37"/>
      <c r="AI1110" s="37"/>
      <c r="AJ1110" s="181"/>
      <c r="AK1110" s="37"/>
      <c r="AL1110" s="37"/>
      <c r="AM1110" s="181"/>
      <c r="AN1110" s="37"/>
      <c r="AO1110" s="37"/>
      <c r="AP1110" s="37"/>
      <c r="AQ1110" s="37"/>
      <c r="AR1110" s="37"/>
      <c r="AS1110" s="37"/>
      <c r="AT1110" s="37"/>
      <c r="AU1110" s="37"/>
      <c r="AV1110" s="37"/>
      <c r="AW1110" s="37"/>
      <c r="AX1110" s="37"/>
      <c r="AY1110" s="37"/>
      <c r="AZ1110" s="37"/>
    </row>
    <row r="1111" spans="1:52" ht="15.5" customHeight="1">
      <c r="A1111" s="362" t="s">
        <v>372</v>
      </c>
      <c r="B1111" s="342">
        <v>46310</v>
      </c>
      <c r="C1111" s="181">
        <v>52270</v>
      </c>
      <c r="D1111" s="30">
        <v>46310</v>
      </c>
      <c r="E1111" s="30">
        <v>46309</v>
      </c>
      <c r="F1111" s="30">
        <v>46326</v>
      </c>
      <c r="G1111" s="37">
        <v>4420235307</v>
      </c>
      <c r="H1111" s="249" t="s">
        <v>373</v>
      </c>
      <c r="I1111" s="37">
        <v>9040041385</v>
      </c>
      <c r="J1111" s="37" t="s">
        <v>6</v>
      </c>
      <c r="K1111" s="325" t="s">
        <v>7</v>
      </c>
      <c r="L1111" s="181">
        <v>14</v>
      </c>
      <c r="M1111" s="181" t="s">
        <v>375</v>
      </c>
      <c r="N1111" s="37" t="s">
        <v>434</v>
      </c>
      <c r="O1111" s="31"/>
      <c r="P1111" s="37"/>
      <c r="Q1111" s="181"/>
      <c r="R1111" s="181"/>
      <c r="S1111" s="181"/>
      <c r="T1111" s="181"/>
      <c r="U1111" s="181"/>
      <c r="V1111" s="37"/>
      <c r="W1111" s="181"/>
      <c r="X1111" s="38"/>
      <c r="Y1111" s="38"/>
      <c r="Z1111" s="38"/>
      <c r="AA1111" s="38"/>
      <c r="AB1111" s="248"/>
      <c r="AC1111" s="250"/>
      <c r="AD1111" s="181"/>
      <c r="AE1111" s="37"/>
      <c r="AF1111" s="37"/>
      <c r="AG1111" s="33"/>
      <c r="AH1111" s="37"/>
      <c r="AI1111" s="37"/>
      <c r="AJ1111" s="181"/>
      <c r="AK1111" s="37"/>
      <c r="AL1111" s="37"/>
      <c r="AM1111" s="181"/>
      <c r="AN1111" s="37"/>
      <c r="AO1111" s="37"/>
      <c r="AP1111" s="37"/>
      <c r="AQ1111" s="37"/>
      <c r="AR1111" s="37"/>
      <c r="AS1111" s="37"/>
      <c r="AT1111" s="37"/>
      <c r="AU1111" s="37"/>
      <c r="AV1111" s="37"/>
      <c r="AW1111" s="37"/>
      <c r="AX1111" s="37"/>
      <c r="AY1111" s="37"/>
      <c r="AZ1111" s="37"/>
    </row>
    <row r="1112" spans="1:52" ht="15.5" customHeight="1">
      <c r="A1112" s="362" t="s">
        <v>372</v>
      </c>
      <c r="B1112" s="342">
        <v>46310</v>
      </c>
      <c r="C1112" s="181">
        <v>52270</v>
      </c>
      <c r="D1112" s="30">
        <v>46310</v>
      </c>
      <c r="E1112" s="30">
        <v>46309</v>
      </c>
      <c r="F1112" s="30">
        <v>46326</v>
      </c>
      <c r="G1112" s="37">
        <v>4420235307</v>
      </c>
      <c r="H1112" s="249" t="s">
        <v>373</v>
      </c>
      <c r="I1112" s="37">
        <v>9040040420</v>
      </c>
      <c r="J1112" s="37" t="s">
        <v>219</v>
      </c>
      <c r="K1112" s="325" t="s">
        <v>220</v>
      </c>
      <c r="L1112" s="181">
        <v>2</v>
      </c>
      <c r="M1112" s="181" t="s">
        <v>389</v>
      </c>
      <c r="N1112" s="37" t="s">
        <v>434</v>
      </c>
      <c r="O1112" s="31"/>
      <c r="P1112" s="37"/>
      <c r="Q1112" s="181"/>
      <c r="R1112" s="181"/>
      <c r="S1112" s="181"/>
      <c r="T1112" s="181"/>
      <c r="U1112" s="181"/>
      <c r="V1112" s="37"/>
      <c r="W1112" s="181"/>
      <c r="X1112" s="38"/>
      <c r="Y1112" s="38"/>
      <c r="Z1112" s="38"/>
      <c r="AA1112" s="38"/>
      <c r="AB1112" s="248"/>
      <c r="AC1112" s="250"/>
      <c r="AD1112" s="181"/>
      <c r="AE1112" s="37"/>
      <c r="AF1112" s="37"/>
      <c r="AG1112" s="33"/>
      <c r="AH1112" s="37"/>
      <c r="AI1112" s="37"/>
      <c r="AJ1112" s="181"/>
      <c r="AK1112" s="37">
        <v>26706</v>
      </c>
      <c r="AL1112" s="244">
        <v>46309</v>
      </c>
      <c r="AM1112" s="181">
        <v>16</v>
      </c>
      <c r="AN1112" s="37"/>
      <c r="AO1112" s="244">
        <v>46311</v>
      </c>
      <c r="AP1112" s="37"/>
      <c r="AQ1112" s="37"/>
      <c r="AR1112" s="37"/>
      <c r="AS1112" s="37"/>
      <c r="AT1112" s="37"/>
      <c r="AU1112" s="37"/>
      <c r="AV1112" s="37"/>
      <c r="AW1112" s="37"/>
      <c r="AX1112" s="37"/>
      <c r="AY1112" s="37"/>
      <c r="AZ1112" s="37"/>
    </row>
    <row r="1113" spans="1:52" ht="15.5" customHeight="1">
      <c r="A1113" s="362" t="s">
        <v>372</v>
      </c>
      <c r="B1113" s="340">
        <v>46314</v>
      </c>
      <c r="C1113" s="181">
        <v>52351</v>
      </c>
      <c r="D1113" s="30">
        <v>46314</v>
      </c>
      <c r="E1113" s="30">
        <v>46309</v>
      </c>
      <c r="F1113" s="30">
        <v>46340</v>
      </c>
      <c r="G1113" s="37">
        <v>4420235349</v>
      </c>
      <c r="H1113" s="249" t="s">
        <v>373</v>
      </c>
      <c r="I1113" s="37">
        <v>9040022707</v>
      </c>
      <c r="J1113" s="37" t="s">
        <v>79</v>
      </c>
      <c r="K1113" s="325" t="s">
        <v>80</v>
      </c>
      <c r="L1113" s="181">
        <v>5</v>
      </c>
      <c r="M1113" s="181" t="s">
        <v>375</v>
      </c>
      <c r="N1113" s="37" t="s">
        <v>1284</v>
      </c>
      <c r="O1113" s="31"/>
      <c r="P1113" s="37"/>
      <c r="Q1113" s="181"/>
      <c r="R1113" s="181"/>
      <c r="S1113" s="181"/>
      <c r="T1113" s="181"/>
      <c r="U1113" s="181"/>
      <c r="V1113" s="37"/>
      <c r="W1113" s="181"/>
      <c r="X1113" s="38"/>
      <c r="Y1113" s="38"/>
      <c r="Z1113" s="38"/>
      <c r="AA1113" s="38"/>
      <c r="AB1113" s="248"/>
      <c r="AC1113" s="250"/>
      <c r="AD1113" s="181"/>
      <c r="AE1113" s="37"/>
      <c r="AF1113" s="37"/>
      <c r="AG1113" s="33"/>
      <c r="AH1113" s="37"/>
      <c r="AI1113" s="37"/>
      <c r="AJ1113" s="181"/>
      <c r="AK1113" s="37">
        <v>26761</v>
      </c>
      <c r="AL1113" s="37"/>
      <c r="AM1113" s="181"/>
      <c r="AN1113" s="37"/>
      <c r="AO1113" s="37"/>
      <c r="AP1113" s="37"/>
      <c r="AQ1113" s="37"/>
      <c r="AR1113" s="37"/>
      <c r="AS1113" s="37"/>
      <c r="AT1113" s="37"/>
      <c r="AU1113" s="37"/>
      <c r="AV1113" s="37"/>
      <c r="AW1113" s="37"/>
      <c r="AX1113" s="37"/>
      <c r="AY1113" s="37"/>
      <c r="AZ1113" s="37"/>
    </row>
    <row r="1114" spans="1:52" ht="15.5" customHeight="1">
      <c r="A1114" s="362" t="s">
        <v>372</v>
      </c>
      <c r="B1114" s="340">
        <v>46314</v>
      </c>
      <c r="C1114" s="181">
        <v>52351</v>
      </c>
      <c r="D1114" s="30">
        <v>46314</v>
      </c>
      <c r="E1114" s="30">
        <v>46309</v>
      </c>
      <c r="F1114" s="30">
        <v>46340</v>
      </c>
      <c r="G1114" s="37">
        <v>4420235349</v>
      </c>
      <c r="H1114" s="249" t="s">
        <v>373</v>
      </c>
      <c r="I1114" s="37">
        <v>9040040588</v>
      </c>
      <c r="J1114" s="37" t="s">
        <v>76</v>
      </c>
      <c r="K1114" s="325" t="s">
        <v>77</v>
      </c>
      <c r="L1114" s="181">
        <v>46</v>
      </c>
      <c r="M1114" s="181" t="s">
        <v>375</v>
      </c>
      <c r="N1114" s="37" t="s">
        <v>1284</v>
      </c>
      <c r="O1114" s="31"/>
      <c r="P1114" s="37"/>
      <c r="Q1114" s="181"/>
      <c r="R1114" s="181"/>
      <c r="S1114" s="181"/>
      <c r="T1114" s="181"/>
      <c r="U1114" s="181"/>
      <c r="V1114" s="37"/>
      <c r="W1114" s="181"/>
      <c r="X1114" s="38"/>
      <c r="Y1114" s="38"/>
      <c r="Z1114" s="38"/>
      <c r="AA1114" s="38"/>
      <c r="AB1114" s="248"/>
      <c r="AC1114" s="250"/>
      <c r="AD1114" s="181"/>
      <c r="AE1114" s="37"/>
      <c r="AF1114" s="37"/>
      <c r="AG1114" s="33"/>
      <c r="AH1114" s="37"/>
      <c r="AI1114" s="37"/>
      <c r="AJ1114" s="181"/>
      <c r="AK1114" s="37"/>
      <c r="AL1114" s="37"/>
      <c r="AM1114" s="181"/>
      <c r="AN1114" s="37"/>
      <c r="AO1114" s="37"/>
      <c r="AP1114" s="37"/>
      <c r="AQ1114" s="37"/>
      <c r="AR1114" s="37"/>
      <c r="AS1114" s="37"/>
      <c r="AT1114" s="37"/>
      <c r="AU1114" s="37"/>
      <c r="AV1114" s="37"/>
      <c r="AW1114" s="37"/>
      <c r="AX1114" s="37"/>
      <c r="AY1114" s="37"/>
      <c r="AZ1114" s="37"/>
    </row>
    <row r="1115" spans="1:52" ht="15.5" customHeight="1">
      <c r="A1115" s="362" t="s">
        <v>372</v>
      </c>
      <c r="B1115" s="340">
        <v>46314</v>
      </c>
      <c r="C1115" s="181">
        <v>52358</v>
      </c>
      <c r="D1115" s="30">
        <v>46314</v>
      </c>
      <c r="E1115" s="30">
        <v>46309</v>
      </c>
      <c r="F1115" s="30">
        <v>46354</v>
      </c>
      <c r="G1115" s="37">
        <v>4420235259</v>
      </c>
      <c r="H1115" s="249" t="s">
        <v>373</v>
      </c>
      <c r="I1115" s="37">
        <v>9040014955</v>
      </c>
      <c r="J1115" s="37" t="s">
        <v>27</v>
      </c>
      <c r="K1115" s="325" t="s">
        <v>28</v>
      </c>
      <c r="L1115" s="181">
        <v>2</v>
      </c>
      <c r="M1115" s="181" t="s">
        <v>375</v>
      </c>
      <c r="N1115" s="37" t="s">
        <v>1285</v>
      </c>
      <c r="O1115" s="31"/>
      <c r="P1115" s="37"/>
      <c r="Q1115" s="181"/>
      <c r="R1115" s="181"/>
      <c r="S1115" s="181"/>
      <c r="T1115" s="181"/>
      <c r="U1115" s="181"/>
      <c r="V1115" s="37"/>
      <c r="W1115" s="181"/>
      <c r="X1115" s="38"/>
      <c r="Y1115" s="38"/>
      <c r="Z1115" s="38"/>
      <c r="AA1115" s="38"/>
      <c r="AB1115" s="248"/>
      <c r="AC1115" s="250"/>
      <c r="AD1115" s="181"/>
      <c r="AE1115" s="37"/>
      <c r="AF1115" s="37"/>
      <c r="AG1115" s="33"/>
      <c r="AH1115" s="37"/>
      <c r="AI1115" s="37"/>
      <c r="AJ1115" s="181"/>
      <c r="AK1115" s="37"/>
      <c r="AL1115" s="37"/>
      <c r="AM1115" s="181"/>
      <c r="AN1115" s="37"/>
      <c r="AO1115" s="37"/>
      <c r="AP1115" s="37"/>
      <c r="AQ1115" s="37"/>
      <c r="AR1115" s="37"/>
      <c r="AS1115" s="37"/>
      <c r="AT1115" s="37"/>
      <c r="AU1115" s="37"/>
      <c r="AV1115" s="37"/>
      <c r="AW1115" s="37"/>
      <c r="AX1115" s="37"/>
      <c r="AY1115" s="37"/>
      <c r="AZ1115" s="37"/>
    </row>
    <row r="1116" spans="1:52" ht="15.5" customHeight="1">
      <c r="A1116" s="362" t="s">
        <v>372</v>
      </c>
      <c r="B1116" s="340">
        <v>46314</v>
      </c>
      <c r="C1116" s="181">
        <v>52359</v>
      </c>
      <c r="D1116" s="30">
        <v>46314</v>
      </c>
      <c r="E1116" s="30">
        <v>46309</v>
      </c>
      <c r="F1116" s="30">
        <v>46325</v>
      </c>
      <c r="G1116" s="37">
        <v>4420235238</v>
      </c>
      <c r="H1116" s="249" t="s">
        <v>373</v>
      </c>
      <c r="I1116" s="37">
        <v>9040008107</v>
      </c>
      <c r="J1116" s="37" t="s">
        <v>227</v>
      </c>
      <c r="K1116" s="325" t="s">
        <v>228</v>
      </c>
      <c r="L1116" s="181">
        <v>5</v>
      </c>
      <c r="M1116" s="181" t="s">
        <v>389</v>
      </c>
      <c r="N1116" s="37" t="s">
        <v>432</v>
      </c>
      <c r="O1116" s="31"/>
      <c r="P1116" s="37"/>
      <c r="Q1116" s="181"/>
      <c r="R1116" s="181"/>
      <c r="S1116" s="181"/>
      <c r="T1116" s="181"/>
      <c r="U1116" s="181"/>
      <c r="V1116" s="37"/>
      <c r="W1116" s="181"/>
      <c r="X1116" s="38"/>
      <c r="Y1116" s="38"/>
      <c r="Z1116" s="38"/>
      <c r="AA1116" s="38"/>
      <c r="AB1116" s="248"/>
      <c r="AC1116" s="250"/>
      <c r="AD1116" s="181"/>
      <c r="AE1116" s="37"/>
      <c r="AF1116" s="37"/>
      <c r="AG1116" s="33"/>
      <c r="AH1116" s="37"/>
      <c r="AI1116" s="37"/>
      <c r="AJ1116" s="181"/>
      <c r="AK1116" s="37"/>
      <c r="AL1116" s="37"/>
      <c r="AM1116" s="181"/>
      <c r="AN1116" s="37"/>
      <c r="AO1116" s="37"/>
      <c r="AP1116" s="37"/>
      <c r="AQ1116" s="37"/>
      <c r="AR1116" s="37"/>
      <c r="AS1116" s="37"/>
      <c r="AT1116" s="37"/>
      <c r="AU1116" s="37"/>
      <c r="AV1116" s="37"/>
      <c r="AW1116" s="37"/>
      <c r="AX1116" s="37"/>
      <c r="AY1116" s="37"/>
      <c r="AZ1116" s="37"/>
    </row>
    <row r="1117" spans="1:52" ht="15.5" customHeight="1">
      <c r="A1117" s="362" t="s">
        <v>372</v>
      </c>
      <c r="B1117" s="340">
        <v>46314</v>
      </c>
      <c r="C1117" s="181">
        <v>52359</v>
      </c>
      <c r="D1117" s="30">
        <v>46314</v>
      </c>
      <c r="E1117" s="30">
        <v>46309</v>
      </c>
      <c r="F1117" s="30">
        <v>46325</v>
      </c>
      <c r="G1117" s="37">
        <v>4420235238</v>
      </c>
      <c r="H1117" s="249" t="s">
        <v>373</v>
      </c>
      <c r="I1117" s="37">
        <v>9040024384</v>
      </c>
      <c r="J1117" s="37" t="s">
        <v>54</v>
      </c>
      <c r="K1117" s="325" t="s">
        <v>55</v>
      </c>
      <c r="L1117" s="181">
        <v>4</v>
      </c>
      <c r="M1117" s="181" t="s">
        <v>427</v>
      </c>
      <c r="N1117" s="37" t="s">
        <v>432</v>
      </c>
      <c r="O1117" s="31"/>
      <c r="P1117" s="37"/>
      <c r="Q1117" s="181"/>
      <c r="R1117" s="181"/>
      <c r="S1117" s="181"/>
      <c r="T1117" s="181"/>
      <c r="U1117" s="181"/>
      <c r="V1117" s="37"/>
      <c r="W1117" s="181"/>
      <c r="X1117" s="38"/>
      <c r="Y1117" s="38"/>
      <c r="Z1117" s="38"/>
      <c r="AA1117" s="38"/>
      <c r="AB1117" s="248"/>
      <c r="AC1117" s="250"/>
      <c r="AD1117" s="181"/>
      <c r="AE1117" s="37"/>
      <c r="AF1117" s="37"/>
      <c r="AG1117" s="33"/>
      <c r="AH1117" s="37"/>
      <c r="AI1117" s="37"/>
      <c r="AJ1117" s="181"/>
      <c r="AK1117" s="37"/>
      <c r="AL1117" s="37"/>
      <c r="AM1117" s="181"/>
      <c r="AN1117" s="37"/>
      <c r="AO1117" s="37"/>
      <c r="AP1117" s="37"/>
      <c r="AQ1117" s="37"/>
      <c r="AR1117" s="37"/>
      <c r="AS1117" s="37"/>
      <c r="AT1117" s="37"/>
      <c r="AU1117" s="37"/>
      <c r="AV1117" s="37"/>
      <c r="AW1117" s="37"/>
      <c r="AX1117" s="37"/>
      <c r="AY1117" s="37"/>
      <c r="AZ1117" s="37"/>
    </row>
    <row r="1118" spans="1:52" ht="15.5" customHeight="1">
      <c r="A1118" s="362" t="s">
        <v>372</v>
      </c>
      <c r="B1118" s="340">
        <v>46314</v>
      </c>
      <c r="C1118" s="181">
        <v>52359</v>
      </c>
      <c r="D1118" s="30">
        <v>46314</v>
      </c>
      <c r="E1118" s="30">
        <v>46309</v>
      </c>
      <c r="F1118" s="30">
        <v>46325</v>
      </c>
      <c r="G1118" s="37">
        <v>4420235238</v>
      </c>
      <c r="H1118" s="249" t="s">
        <v>373</v>
      </c>
      <c r="I1118" s="37">
        <v>9040024657</v>
      </c>
      <c r="J1118" s="37" t="s">
        <v>252</v>
      </c>
      <c r="K1118" s="325" t="s">
        <v>253</v>
      </c>
      <c r="L1118" s="181">
        <v>19</v>
      </c>
      <c r="M1118" s="181" t="s">
        <v>375</v>
      </c>
      <c r="N1118" s="37" t="s">
        <v>432</v>
      </c>
      <c r="O1118" s="31"/>
      <c r="P1118" s="37"/>
      <c r="Q1118" s="181"/>
      <c r="R1118" s="181"/>
      <c r="S1118" s="181"/>
      <c r="T1118" s="181"/>
      <c r="U1118" s="181"/>
      <c r="V1118" s="37"/>
      <c r="W1118" s="181"/>
      <c r="X1118" s="38"/>
      <c r="Y1118" s="38"/>
      <c r="Z1118" s="38"/>
      <c r="AA1118" s="38"/>
      <c r="AB1118" s="248"/>
      <c r="AC1118" s="250"/>
      <c r="AD1118" s="181"/>
      <c r="AE1118" s="37"/>
      <c r="AF1118" s="37"/>
      <c r="AG1118" s="33"/>
      <c r="AH1118" s="37"/>
      <c r="AI1118" s="37"/>
      <c r="AJ1118" s="181"/>
      <c r="AK1118" s="37"/>
      <c r="AL1118" s="37"/>
      <c r="AM1118" s="181"/>
      <c r="AN1118" s="37"/>
      <c r="AO1118" s="37"/>
      <c r="AP1118" s="37"/>
      <c r="AQ1118" s="37"/>
      <c r="AR1118" s="37"/>
      <c r="AS1118" s="37"/>
      <c r="AT1118" s="37"/>
      <c r="AU1118" s="37"/>
      <c r="AV1118" s="37"/>
      <c r="AW1118" s="37"/>
      <c r="AX1118" s="37"/>
      <c r="AY1118" s="37"/>
      <c r="AZ1118" s="37"/>
    </row>
    <row r="1119" spans="1:52" ht="15.5" customHeight="1">
      <c r="A1119" s="362" t="s">
        <v>372</v>
      </c>
      <c r="B1119" s="340">
        <v>46314</v>
      </c>
      <c r="C1119" s="181">
        <v>52359</v>
      </c>
      <c r="D1119" s="30">
        <v>46314</v>
      </c>
      <c r="E1119" s="30">
        <v>46309</v>
      </c>
      <c r="F1119" s="30">
        <v>46325</v>
      </c>
      <c r="G1119" s="37">
        <v>4420235238</v>
      </c>
      <c r="H1119" s="249" t="s">
        <v>373</v>
      </c>
      <c r="I1119" s="37">
        <v>9040029517</v>
      </c>
      <c r="J1119" s="37" t="s">
        <v>197</v>
      </c>
      <c r="K1119" s="325" t="s">
        <v>198</v>
      </c>
      <c r="L1119" s="181">
        <v>24</v>
      </c>
      <c r="M1119" s="181" t="s">
        <v>375</v>
      </c>
      <c r="N1119" s="37" t="s">
        <v>432</v>
      </c>
      <c r="O1119" s="31"/>
      <c r="P1119" s="37"/>
      <c r="Q1119" s="181"/>
      <c r="R1119" s="181"/>
      <c r="S1119" s="181"/>
      <c r="T1119" s="181"/>
      <c r="U1119" s="181"/>
      <c r="V1119" s="37"/>
      <c r="W1119" s="181"/>
      <c r="X1119" s="38"/>
      <c r="Y1119" s="38"/>
      <c r="Z1119" s="38"/>
      <c r="AA1119" s="38"/>
      <c r="AB1119" s="248"/>
      <c r="AC1119" s="250"/>
      <c r="AD1119" s="181"/>
      <c r="AE1119" s="37"/>
      <c r="AF1119" s="37"/>
      <c r="AG1119" s="33"/>
      <c r="AH1119" s="37"/>
      <c r="AI1119" s="37"/>
      <c r="AJ1119" s="181"/>
      <c r="AK1119" s="37"/>
      <c r="AL1119" s="37"/>
      <c r="AM1119" s="181"/>
      <c r="AN1119" s="37"/>
      <c r="AO1119" s="37"/>
      <c r="AP1119" s="37"/>
      <c r="AQ1119" s="37"/>
      <c r="AR1119" s="37"/>
      <c r="AS1119" s="37"/>
      <c r="AT1119" s="37"/>
      <c r="AU1119" s="37"/>
      <c r="AV1119" s="37"/>
      <c r="AW1119" s="37"/>
      <c r="AX1119" s="37"/>
      <c r="AY1119" s="37"/>
      <c r="AZ1119" s="37"/>
    </row>
    <row r="1120" spans="1:52" ht="15.5" customHeight="1">
      <c r="A1120" s="362" t="s">
        <v>372</v>
      </c>
      <c r="B1120" s="340">
        <v>46314</v>
      </c>
      <c r="C1120" s="181">
        <v>52359</v>
      </c>
      <c r="D1120" s="30">
        <v>46314</v>
      </c>
      <c r="E1120" s="30">
        <v>46309</v>
      </c>
      <c r="F1120" s="30">
        <v>46325</v>
      </c>
      <c r="G1120" s="37">
        <v>4420235238</v>
      </c>
      <c r="H1120" s="249" t="s">
        <v>373</v>
      </c>
      <c r="I1120" s="37">
        <v>9040040588</v>
      </c>
      <c r="J1120" s="37" t="s">
        <v>76</v>
      </c>
      <c r="K1120" s="325" t="s">
        <v>77</v>
      </c>
      <c r="L1120" s="181">
        <v>69</v>
      </c>
      <c r="M1120" s="181" t="s">
        <v>375</v>
      </c>
      <c r="N1120" s="37" t="s">
        <v>432</v>
      </c>
      <c r="O1120" s="31"/>
      <c r="P1120" s="37"/>
      <c r="Q1120" s="181"/>
      <c r="R1120" s="181"/>
      <c r="S1120" s="181"/>
      <c r="T1120" s="181"/>
      <c r="U1120" s="181"/>
      <c r="V1120" s="37"/>
      <c r="W1120" s="181"/>
      <c r="X1120" s="38"/>
      <c r="Y1120" s="38"/>
      <c r="Z1120" s="38"/>
      <c r="AA1120" s="38"/>
      <c r="AB1120" s="248"/>
      <c r="AC1120" s="250"/>
      <c r="AD1120" s="181"/>
      <c r="AE1120" s="37"/>
      <c r="AF1120" s="37"/>
      <c r="AG1120" s="33"/>
      <c r="AH1120" s="37"/>
      <c r="AI1120" s="37"/>
      <c r="AJ1120" s="181"/>
      <c r="AK1120" s="37"/>
      <c r="AL1120" s="37"/>
      <c r="AM1120" s="181"/>
      <c r="AN1120" s="37"/>
      <c r="AO1120" s="37"/>
      <c r="AP1120" s="37"/>
      <c r="AQ1120" s="37"/>
      <c r="AR1120" s="37"/>
      <c r="AS1120" s="37"/>
      <c r="AT1120" s="37"/>
      <c r="AU1120" s="37"/>
      <c r="AV1120" s="37"/>
      <c r="AW1120" s="37"/>
      <c r="AX1120" s="37"/>
      <c r="AY1120" s="37"/>
      <c r="AZ1120" s="37"/>
    </row>
    <row r="1121" spans="1:52" s="354" customFormat="1" ht="15.5" customHeight="1">
      <c r="A1121" s="362" t="s">
        <v>372</v>
      </c>
      <c r="B1121" s="342">
        <v>46314</v>
      </c>
      <c r="C1121" s="366">
        <v>52359</v>
      </c>
      <c r="D1121" s="342">
        <v>46314</v>
      </c>
      <c r="E1121" s="342">
        <v>46309</v>
      </c>
      <c r="F1121" s="342">
        <v>46325</v>
      </c>
      <c r="G1121" s="373">
        <v>4420235238</v>
      </c>
      <c r="H1121" s="345" t="s">
        <v>373</v>
      </c>
      <c r="I1121" s="346">
        <v>9040044222</v>
      </c>
      <c r="J1121" s="346" t="s">
        <v>462</v>
      </c>
      <c r="K1121" s="347" t="s">
        <v>474</v>
      </c>
      <c r="L1121" s="348">
        <v>25</v>
      </c>
      <c r="M1121" s="348" t="s">
        <v>421</v>
      </c>
      <c r="N1121" s="346" t="s">
        <v>432</v>
      </c>
      <c r="O1121" s="349"/>
      <c r="P1121" s="346"/>
      <c r="Q1121" s="348"/>
      <c r="R1121" s="348"/>
      <c r="S1121" s="348"/>
      <c r="T1121" s="348"/>
      <c r="U1121" s="348"/>
      <c r="V1121" s="346"/>
      <c r="W1121" s="348"/>
      <c r="X1121" s="350"/>
      <c r="Y1121" s="350"/>
      <c r="Z1121" s="350"/>
      <c r="AA1121" s="350"/>
      <c r="AB1121" s="351"/>
      <c r="AC1121" s="250"/>
      <c r="AD1121" s="348"/>
      <c r="AE1121" s="346"/>
      <c r="AF1121" s="346"/>
      <c r="AG1121" s="352"/>
      <c r="AH1121" s="346"/>
      <c r="AI1121" s="346"/>
      <c r="AJ1121" s="348"/>
      <c r="AK1121" s="346">
        <v>26794</v>
      </c>
      <c r="AL1121" s="353">
        <v>46315</v>
      </c>
      <c r="AM1121" s="348">
        <v>25</v>
      </c>
      <c r="AN1121" s="346"/>
      <c r="AO1121" s="346"/>
      <c r="AP1121" s="346"/>
      <c r="AQ1121" s="346"/>
      <c r="AR1121" s="346"/>
      <c r="AS1121" s="346"/>
      <c r="AT1121" s="346"/>
      <c r="AU1121" s="346"/>
      <c r="AV1121" s="346"/>
      <c r="AW1121" s="346"/>
      <c r="AX1121" s="346"/>
      <c r="AY1121" s="346"/>
      <c r="AZ1121" s="346"/>
    </row>
    <row r="1122" spans="1:52" ht="15.5" hidden="1" customHeight="1">
      <c r="A1122" s="362" t="s">
        <v>372</v>
      </c>
      <c r="B1122" s="340">
        <v>46316</v>
      </c>
      <c r="C1122" s="181">
        <v>52449</v>
      </c>
      <c r="D1122" s="30">
        <v>46316</v>
      </c>
      <c r="E1122" s="30">
        <v>46314</v>
      </c>
      <c r="F1122" s="30">
        <v>46325</v>
      </c>
      <c r="G1122" s="37">
        <v>4420235474</v>
      </c>
      <c r="H1122" s="251" t="s">
        <v>373</v>
      </c>
      <c r="I1122" s="37">
        <v>9040044090</v>
      </c>
      <c r="J1122" s="37" t="s">
        <v>282</v>
      </c>
      <c r="K1122" s="325" t="s">
        <v>283</v>
      </c>
      <c r="L1122" s="181">
        <v>2</v>
      </c>
      <c r="M1122" s="181" t="s">
        <v>421</v>
      </c>
      <c r="N1122" s="37" t="s">
        <v>432</v>
      </c>
      <c r="O1122" s="31"/>
      <c r="P1122" s="37"/>
      <c r="Q1122" s="181"/>
      <c r="R1122" s="181"/>
      <c r="S1122" s="181"/>
      <c r="T1122" s="181"/>
      <c r="U1122" s="181"/>
      <c r="V1122" s="37"/>
      <c r="W1122" s="181"/>
      <c r="X1122" s="38"/>
      <c r="Y1122" s="38"/>
      <c r="Z1122" s="38"/>
      <c r="AA1122" s="38"/>
      <c r="AB1122" s="248"/>
      <c r="AC1122" s="250"/>
      <c r="AD1122" s="181"/>
      <c r="AE1122" s="37"/>
      <c r="AF1122" s="37"/>
      <c r="AG1122" s="33"/>
      <c r="AH1122" s="37"/>
      <c r="AI1122" s="37"/>
      <c r="AJ1122" s="181"/>
      <c r="AK1122" s="37"/>
      <c r="AL1122" s="37"/>
      <c r="AM1122" s="181"/>
      <c r="AN1122" s="37"/>
      <c r="AO1122" s="37"/>
      <c r="AP1122" s="37"/>
      <c r="AQ1122" s="37"/>
      <c r="AR1122" s="37"/>
      <c r="AS1122" s="37"/>
      <c r="AT1122" s="37"/>
      <c r="AU1122" s="37"/>
      <c r="AV1122" s="37"/>
      <c r="AW1122" s="37"/>
      <c r="AX1122" s="37"/>
      <c r="AY1122" s="37"/>
      <c r="AZ1122" s="37"/>
    </row>
    <row r="1123" spans="1:52" ht="15.5" hidden="1" customHeight="1">
      <c r="A1123" s="362" t="s">
        <v>372</v>
      </c>
      <c r="B1123" s="340">
        <v>46316</v>
      </c>
      <c r="C1123" s="181">
        <v>52449</v>
      </c>
      <c r="D1123" s="30">
        <v>46316</v>
      </c>
      <c r="E1123" s="30">
        <v>46314</v>
      </c>
      <c r="F1123" s="30">
        <v>46325</v>
      </c>
      <c r="G1123" s="37">
        <v>4420235474</v>
      </c>
      <c r="H1123" s="251" t="s">
        <v>373</v>
      </c>
      <c r="I1123" s="37">
        <v>9040044209</v>
      </c>
      <c r="J1123" s="37" t="s">
        <v>270</v>
      </c>
      <c r="K1123" s="325" t="s">
        <v>271</v>
      </c>
      <c r="L1123" s="181">
        <v>26</v>
      </c>
      <c r="M1123" s="181" t="s">
        <v>375</v>
      </c>
      <c r="N1123" s="37" t="s">
        <v>432</v>
      </c>
      <c r="O1123" s="31"/>
      <c r="P1123" s="37"/>
      <c r="Q1123" s="181"/>
      <c r="R1123" s="181"/>
      <c r="S1123" s="181"/>
      <c r="T1123" s="181"/>
      <c r="U1123" s="181"/>
      <c r="V1123" s="37"/>
      <c r="W1123" s="181"/>
      <c r="X1123" s="38"/>
      <c r="Y1123" s="38"/>
      <c r="Z1123" s="38"/>
      <c r="AA1123" s="38"/>
      <c r="AB1123" s="248"/>
      <c r="AC1123" s="250"/>
      <c r="AD1123" s="181"/>
      <c r="AE1123" s="37"/>
      <c r="AF1123" s="37"/>
      <c r="AG1123" s="33"/>
      <c r="AH1123" s="37"/>
      <c r="AI1123" s="37"/>
      <c r="AJ1123" s="181"/>
      <c r="AK1123" s="37"/>
      <c r="AL1123" s="37"/>
      <c r="AM1123" s="181"/>
      <c r="AN1123" s="37"/>
      <c r="AO1123" s="37"/>
      <c r="AP1123" s="37"/>
      <c r="AQ1123" s="37"/>
      <c r="AR1123" s="37"/>
      <c r="AS1123" s="37"/>
      <c r="AT1123" s="37"/>
      <c r="AU1123" s="37"/>
      <c r="AV1123" s="37"/>
      <c r="AW1123" s="37"/>
      <c r="AX1123" s="37"/>
      <c r="AY1123" s="37"/>
      <c r="AZ1123" s="37"/>
    </row>
    <row r="1124" spans="1:52" ht="15.5" hidden="1" customHeight="1">
      <c r="A1124" s="362" t="s">
        <v>372</v>
      </c>
      <c r="B1124" s="340">
        <v>46316</v>
      </c>
      <c r="C1124" s="181">
        <v>52450</v>
      </c>
      <c r="D1124" s="30">
        <v>46316</v>
      </c>
      <c r="E1124" s="30">
        <v>46315</v>
      </c>
      <c r="F1124" s="30">
        <v>46332</v>
      </c>
      <c r="G1124" s="37">
        <v>4420235523</v>
      </c>
      <c r="H1124" s="251" t="s">
        <v>373</v>
      </c>
      <c r="I1124" s="37">
        <v>9040040636</v>
      </c>
      <c r="J1124" s="37" t="s">
        <v>167</v>
      </c>
      <c r="K1124" s="325" t="s">
        <v>168</v>
      </c>
      <c r="L1124" s="181">
        <v>20</v>
      </c>
      <c r="M1124" s="181" t="s">
        <v>375</v>
      </c>
      <c r="N1124" s="37" t="s">
        <v>482</v>
      </c>
      <c r="O1124" s="31"/>
      <c r="P1124" s="37"/>
      <c r="Q1124" s="181"/>
      <c r="R1124" s="181"/>
      <c r="S1124" s="181"/>
      <c r="T1124" s="181"/>
      <c r="U1124" s="181"/>
      <c r="V1124" s="37"/>
      <c r="W1124" s="181"/>
      <c r="X1124" s="38"/>
      <c r="Y1124" s="38"/>
      <c r="Z1124" s="38"/>
      <c r="AA1124" s="38"/>
      <c r="AB1124" s="248"/>
      <c r="AC1124" s="250"/>
      <c r="AD1124" s="181"/>
      <c r="AE1124" s="37"/>
      <c r="AF1124" s="37"/>
      <c r="AG1124" s="33"/>
      <c r="AH1124" s="37"/>
      <c r="AI1124" s="37"/>
      <c r="AJ1124" s="181"/>
      <c r="AK1124" s="37"/>
      <c r="AL1124" s="37"/>
      <c r="AM1124" s="181"/>
      <c r="AN1124" s="37"/>
      <c r="AO1124" s="37"/>
      <c r="AP1124" s="37"/>
      <c r="AQ1124" s="37"/>
      <c r="AR1124" s="37"/>
      <c r="AS1124" s="37"/>
      <c r="AT1124" s="37"/>
      <c r="AU1124" s="37"/>
      <c r="AV1124" s="37"/>
      <c r="AW1124" s="37"/>
      <c r="AX1124" s="37"/>
      <c r="AY1124" s="37"/>
      <c r="AZ1124" s="37"/>
    </row>
    <row r="1125" spans="1:52" ht="15.5" hidden="1" customHeight="1">
      <c r="A1125" s="362" t="s">
        <v>372</v>
      </c>
      <c r="B1125" s="340">
        <v>46316</v>
      </c>
      <c r="C1125" s="181">
        <v>52450</v>
      </c>
      <c r="D1125" s="30">
        <v>46316</v>
      </c>
      <c r="E1125" s="30">
        <v>46315</v>
      </c>
      <c r="F1125" s="30">
        <v>46332</v>
      </c>
      <c r="G1125" s="37">
        <v>4420235523</v>
      </c>
      <c r="H1125" s="251" t="s">
        <v>373</v>
      </c>
      <c r="I1125" s="37">
        <v>9040017811</v>
      </c>
      <c r="J1125" s="37" t="s">
        <v>155</v>
      </c>
      <c r="K1125" s="325" t="s">
        <v>156</v>
      </c>
      <c r="L1125" s="181">
        <v>2</v>
      </c>
      <c r="M1125" s="181" t="s">
        <v>375</v>
      </c>
      <c r="N1125" s="37" t="s">
        <v>482</v>
      </c>
      <c r="O1125" s="31"/>
      <c r="P1125" s="37"/>
      <c r="Q1125" s="181"/>
      <c r="R1125" s="181"/>
      <c r="S1125" s="181"/>
      <c r="T1125" s="181"/>
      <c r="U1125" s="181"/>
      <c r="V1125" s="37"/>
      <c r="W1125" s="181"/>
      <c r="X1125" s="38"/>
      <c r="Y1125" s="38"/>
      <c r="Z1125" s="38"/>
      <c r="AA1125" s="38"/>
      <c r="AB1125" s="248"/>
      <c r="AC1125" s="250"/>
      <c r="AD1125" s="181"/>
      <c r="AE1125" s="37"/>
      <c r="AF1125" s="37"/>
      <c r="AG1125" s="33"/>
      <c r="AH1125" s="37"/>
      <c r="AI1125" s="37"/>
      <c r="AJ1125" s="181"/>
      <c r="AK1125" s="37"/>
      <c r="AL1125" s="37"/>
      <c r="AM1125" s="181"/>
      <c r="AN1125" s="37"/>
      <c r="AO1125" s="37"/>
      <c r="AP1125" s="37"/>
      <c r="AQ1125" s="37"/>
      <c r="AR1125" s="37"/>
      <c r="AS1125" s="37"/>
      <c r="AT1125" s="37"/>
      <c r="AU1125" s="37"/>
      <c r="AV1125" s="37"/>
      <c r="AW1125" s="37"/>
      <c r="AX1125" s="37"/>
      <c r="AY1125" s="37"/>
      <c r="AZ1125" s="37"/>
    </row>
    <row r="1126" spans="1:52" ht="15.5" hidden="1" customHeight="1">
      <c r="A1126" s="362" t="s">
        <v>372</v>
      </c>
      <c r="B1126" s="340">
        <v>46316</v>
      </c>
      <c r="C1126" s="181">
        <v>52450</v>
      </c>
      <c r="D1126" s="30">
        <v>46316</v>
      </c>
      <c r="E1126" s="30">
        <v>46315</v>
      </c>
      <c r="F1126" s="30">
        <v>46332</v>
      </c>
      <c r="G1126" s="37">
        <v>4420235523</v>
      </c>
      <c r="H1126" s="251" t="s">
        <v>373</v>
      </c>
      <c r="I1126" s="37">
        <v>9040040446</v>
      </c>
      <c r="J1126" s="37" t="s">
        <v>189</v>
      </c>
      <c r="K1126" s="325" t="s">
        <v>190</v>
      </c>
      <c r="L1126" s="181">
        <v>10</v>
      </c>
      <c r="M1126" s="181" t="s">
        <v>421</v>
      </c>
      <c r="N1126" s="37" t="s">
        <v>482</v>
      </c>
      <c r="O1126" s="31"/>
      <c r="P1126" s="37"/>
      <c r="Q1126" s="181"/>
      <c r="R1126" s="181"/>
      <c r="S1126" s="181"/>
      <c r="T1126" s="181"/>
      <c r="U1126" s="181"/>
      <c r="V1126" s="37"/>
      <c r="W1126" s="181"/>
      <c r="X1126" s="38"/>
      <c r="Y1126" s="38"/>
      <c r="Z1126" s="38"/>
      <c r="AA1126" s="38"/>
      <c r="AB1126" s="248"/>
      <c r="AC1126" s="250"/>
      <c r="AD1126" s="181"/>
      <c r="AE1126" s="37"/>
      <c r="AF1126" s="37"/>
      <c r="AG1126" s="33"/>
      <c r="AH1126" s="37"/>
      <c r="AI1126" s="37"/>
      <c r="AJ1126" s="181"/>
      <c r="AK1126" s="37"/>
      <c r="AL1126" s="37"/>
      <c r="AM1126" s="181"/>
      <c r="AN1126" s="37"/>
      <c r="AO1126" s="37"/>
      <c r="AP1126" s="37"/>
      <c r="AQ1126" s="37"/>
      <c r="AR1126" s="37"/>
      <c r="AS1126" s="37"/>
      <c r="AT1126" s="37"/>
      <c r="AU1126" s="37"/>
      <c r="AV1126" s="37"/>
      <c r="AW1126" s="37"/>
      <c r="AX1126" s="37"/>
      <c r="AY1126" s="37"/>
      <c r="AZ1126" s="37"/>
    </row>
    <row r="1127" spans="1:52" ht="15.5" hidden="1" customHeight="1">
      <c r="A1127" s="362" t="s">
        <v>372</v>
      </c>
      <c r="B1127" s="340">
        <v>46316</v>
      </c>
      <c r="C1127" s="181">
        <v>52450</v>
      </c>
      <c r="D1127" s="30">
        <v>46316</v>
      </c>
      <c r="E1127" s="30">
        <v>46315</v>
      </c>
      <c r="F1127" s="30">
        <v>46332</v>
      </c>
      <c r="G1127" s="37">
        <v>4420235523</v>
      </c>
      <c r="H1127" s="251" t="s">
        <v>373</v>
      </c>
      <c r="I1127" s="37">
        <v>9040040708</v>
      </c>
      <c r="J1127" s="37" t="s">
        <v>35</v>
      </c>
      <c r="K1127" s="325" t="s">
        <v>36</v>
      </c>
      <c r="L1127" s="181">
        <v>2</v>
      </c>
      <c r="M1127" s="181" t="s">
        <v>375</v>
      </c>
      <c r="N1127" s="37" t="s">
        <v>482</v>
      </c>
      <c r="O1127" s="31"/>
      <c r="P1127" s="37"/>
      <c r="Q1127" s="181"/>
      <c r="R1127" s="181"/>
      <c r="S1127" s="181"/>
      <c r="T1127" s="181"/>
      <c r="U1127" s="181"/>
      <c r="V1127" s="37"/>
      <c r="W1127" s="181"/>
      <c r="X1127" s="38"/>
      <c r="Y1127" s="38"/>
      <c r="Z1127" s="38"/>
      <c r="AA1127" s="38"/>
      <c r="AB1127" s="248"/>
      <c r="AC1127" s="250"/>
      <c r="AD1127" s="181"/>
      <c r="AE1127" s="37"/>
      <c r="AF1127" s="37"/>
      <c r="AG1127" s="33"/>
      <c r="AH1127" s="37"/>
      <c r="AI1127" s="37"/>
      <c r="AJ1127" s="181"/>
      <c r="AK1127" s="37"/>
      <c r="AL1127" s="37"/>
      <c r="AM1127" s="181"/>
      <c r="AN1127" s="37"/>
      <c r="AO1127" s="37"/>
      <c r="AP1127" s="37"/>
      <c r="AQ1127" s="37"/>
      <c r="AR1127" s="37"/>
      <c r="AS1127" s="37"/>
      <c r="AT1127" s="37"/>
      <c r="AU1127" s="37"/>
      <c r="AV1127" s="37"/>
      <c r="AW1127" s="37"/>
      <c r="AX1127" s="37"/>
      <c r="AY1127" s="37"/>
      <c r="AZ1127" s="37"/>
    </row>
    <row r="1128" spans="1:52" ht="15.5" hidden="1" customHeight="1">
      <c r="A1128" s="362" t="s">
        <v>372</v>
      </c>
      <c r="B1128" s="340">
        <v>46316</v>
      </c>
      <c r="C1128" s="181">
        <v>52451</v>
      </c>
      <c r="D1128" s="30">
        <v>46316</v>
      </c>
      <c r="E1128" s="30">
        <v>46345</v>
      </c>
      <c r="F1128" s="30">
        <v>46356</v>
      </c>
      <c r="G1128" s="37">
        <v>4420235433</v>
      </c>
      <c r="H1128" s="251" t="s">
        <v>373</v>
      </c>
      <c r="I1128" s="37">
        <v>9040040765</v>
      </c>
      <c r="J1128" s="37" t="s">
        <v>3</v>
      </c>
      <c r="K1128" s="325" t="s">
        <v>4</v>
      </c>
      <c r="L1128" s="181">
        <v>3</v>
      </c>
      <c r="M1128" s="181" t="s">
        <v>375</v>
      </c>
      <c r="N1128" s="37" t="s">
        <v>410</v>
      </c>
      <c r="O1128" s="31"/>
      <c r="P1128" s="37"/>
      <c r="Q1128" s="181"/>
      <c r="R1128" s="181"/>
      <c r="S1128" s="181"/>
      <c r="T1128" s="181"/>
      <c r="U1128" s="181"/>
      <c r="V1128" s="37"/>
      <c r="W1128" s="181"/>
      <c r="X1128" s="38"/>
      <c r="Y1128" s="38"/>
      <c r="Z1128" s="38"/>
      <c r="AA1128" s="38"/>
      <c r="AB1128" s="248"/>
      <c r="AC1128" s="250"/>
      <c r="AD1128" s="181"/>
      <c r="AE1128" s="37"/>
      <c r="AF1128" s="37"/>
      <c r="AG1128" s="33"/>
      <c r="AH1128" s="37"/>
      <c r="AI1128" s="37"/>
      <c r="AJ1128" s="181"/>
      <c r="AK1128" s="37"/>
      <c r="AL1128" s="37"/>
      <c r="AM1128" s="181"/>
      <c r="AN1128" s="37"/>
      <c r="AO1128" s="37"/>
      <c r="AP1128" s="37"/>
      <c r="AQ1128" s="37"/>
      <c r="AR1128" s="37"/>
      <c r="AS1128" s="37"/>
      <c r="AT1128" s="37"/>
      <c r="AU1128" s="37"/>
      <c r="AV1128" s="37"/>
      <c r="AW1128" s="37"/>
      <c r="AX1128" s="37"/>
      <c r="AY1128" s="37"/>
      <c r="AZ1128" s="37"/>
    </row>
    <row r="1129" spans="1:52" ht="15.5" hidden="1" customHeight="1">
      <c r="A1129" s="362" t="s">
        <v>372</v>
      </c>
      <c r="B1129" s="340">
        <v>46316</v>
      </c>
      <c r="C1129" s="181">
        <v>52451</v>
      </c>
      <c r="D1129" s="30">
        <v>46316</v>
      </c>
      <c r="E1129" s="30">
        <v>46345</v>
      </c>
      <c r="F1129" s="30">
        <v>46356</v>
      </c>
      <c r="G1129" s="37">
        <v>4420235433</v>
      </c>
      <c r="H1129" s="251" t="s">
        <v>373</v>
      </c>
      <c r="I1129" s="37">
        <v>9040016581</v>
      </c>
      <c r="J1129" s="37" t="s">
        <v>185</v>
      </c>
      <c r="K1129" s="325" t="s">
        <v>186</v>
      </c>
      <c r="L1129" s="181">
        <v>20</v>
      </c>
      <c r="M1129" s="181" t="s">
        <v>375</v>
      </c>
      <c r="N1129" s="37" t="s">
        <v>410</v>
      </c>
      <c r="O1129" s="31"/>
      <c r="P1129" s="37"/>
      <c r="Q1129" s="181"/>
      <c r="R1129" s="181"/>
      <c r="S1129" s="181"/>
      <c r="T1129" s="181"/>
      <c r="U1129" s="181"/>
      <c r="V1129" s="37"/>
      <c r="W1129" s="181"/>
      <c r="X1129" s="38"/>
      <c r="Y1129" s="38"/>
      <c r="Z1129" s="38"/>
      <c r="AA1129" s="38"/>
      <c r="AB1129" s="248"/>
      <c r="AC1129" s="250"/>
      <c r="AD1129" s="181"/>
      <c r="AE1129" s="37"/>
      <c r="AF1129" s="37"/>
      <c r="AG1129" s="33"/>
      <c r="AH1129" s="37"/>
      <c r="AI1129" s="37"/>
      <c r="AJ1129" s="181"/>
      <c r="AK1129" s="37"/>
      <c r="AL1129" s="37"/>
      <c r="AM1129" s="181"/>
      <c r="AN1129" s="37"/>
      <c r="AO1129" s="37"/>
      <c r="AP1129" s="37"/>
      <c r="AQ1129" s="37"/>
      <c r="AR1129" s="37"/>
      <c r="AS1129" s="37"/>
      <c r="AT1129" s="37"/>
      <c r="AU1129" s="37"/>
      <c r="AV1129" s="37"/>
      <c r="AW1129" s="37"/>
      <c r="AX1129" s="37"/>
      <c r="AY1129" s="37"/>
      <c r="AZ1129" s="37"/>
    </row>
    <row r="1130" spans="1:52" ht="15.5" hidden="1" customHeight="1">
      <c r="A1130" s="362" t="s">
        <v>372</v>
      </c>
      <c r="B1130" s="340">
        <v>46316</v>
      </c>
      <c r="C1130" s="181">
        <v>52451</v>
      </c>
      <c r="D1130" s="30">
        <v>46316</v>
      </c>
      <c r="E1130" s="30">
        <v>46345</v>
      </c>
      <c r="F1130" s="30">
        <v>46356</v>
      </c>
      <c r="G1130" s="37">
        <v>4420235433</v>
      </c>
      <c r="H1130" s="251" t="s">
        <v>373</v>
      </c>
      <c r="I1130" s="37">
        <v>9040022707</v>
      </c>
      <c r="J1130" s="37" t="s">
        <v>79</v>
      </c>
      <c r="K1130" s="325" t="s">
        <v>80</v>
      </c>
      <c r="L1130" s="181">
        <v>2</v>
      </c>
      <c r="M1130" s="181" t="s">
        <v>375</v>
      </c>
      <c r="N1130" s="37" t="s">
        <v>410</v>
      </c>
      <c r="O1130" s="31"/>
      <c r="P1130" s="37"/>
      <c r="Q1130" s="181"/>
      <c r="R1130" s="181"/>
      <c r="S1130" s="181"/>
      <c r="T1130" s="181"/>
      <c r="U1130" s="181"/>
      <c r="V1130" s="37"/>
      <c r="W1130" s="181"/>
      <c r="X1130" s="38"/>
      <c r="Y1130" s="38"/>
      <c r="Z1130" s="38"/>
      <c r="AA1130" s="38"/>
      <c r="AB1130" s="248"/>
      <c r="AC1130" s="250"/>
      <c r="AD1130" s="181"/>
      <c r="AE1130" s="37"/>
      <c r="AF1130" s="37"/>
      <c r="AG1130" s="33"/>
      <c r="AH1130" s="37"/>
      <c r="AI1130" s="37"/>
      <c r="AJ1130" s="181"/>
      <c r="AK1130" s="37"/>
      <c r="AL1130" s="37"/>
      <c r="AM1130" s="181"/>
      <c r="AN1130" s="37"/>
      <c r="AO1130" s="37"/>
      <c r="AP1130" s="37"/>
      <c r="AQ1130" s="37"/>
      <c r="AR1130" s="37"/>
      <c r="AS1130" s="37"/>
      <c r="AT1130" s="37"/>
      <c r="AU1130" s="37"/>
      <c r="AV1130" s="37"/>
      <c r="AW1130" s="37"/>
      <c r="AX1130" s="37"/>
      <c r="AY1130" s="37"/>
      <c r="AZ1130" s="37"/>
    </row>
    <row r="1131" spans="1:52" ht="15.5" hidden="1" customHeight="1">
      <c r="A1131" s="362" t="s">
        <v>372</v>
      </c>
      <c r="B1131" s="340">
        <v>46316</v>
      </c>
      <c r="C1131" s="181">
        <v>52451</v>
      </c>
      <c r="D1131" s="30">
        <v>46316</v>
      </c>
      <c r="E1131" s="30">
        <v>46345</v>
      </c>
      <c r="F1131" s="30">
        <v>46356</v>
      </c>
      <c r="G1131" s="37">
        <v>4420235433</v>
      </c>
      <c r="H1131" s="251" t="s">
        <v>373</v>
      </c>
      <c r="I1131" s="37">
        <v>9040009397</v>
      </c>
      <c r="J1131" s="37" t="s">
        <v>287</v>
      </c>
      <c r="K1131" s="325" t="s">
        <v>288</v>
      </c>
      <c r="L1131" s="181">
        <v>3</v>
      </c>
      <c r="M1131" s="181" t="s">
        <v>421</v>
      </c>
      <c r="N1131" s="37" t="s">
        <v>410</v>
      </c>
      <c r="O1131" s="31"/>
      <c r="P1131" s="37"/>
      <c r="Q1131" s="181"/>
      <c r="R1131" s="181"/>
      <c r="S1131" s="181"/>
      <c r="T1131" s="181"/>
      <c r="U1131" s="181"/>
      <c r="V1131" s="37"/>
      <c r="W1131" s="181"/>
      <c r="X1131" s="38"/>
      <c r="Y1131" s="38"/>
      <c r="Z1131" s="38"/>
      <c r="AA1131" s="38"/>
      <c r="AB1131" s="248"/>
      <c r="AC1131" s="250"/>
      <c r="AD1131" s="181"/>
      <c r="AE1131" s="37"/>
      <c r="AF1131" s="37"/>
      <c r="AG1131" s="33"/>
      <c r="AH1131" s="37"/>
      <c r="AI1131" s="37"/>
      <c r="AJ1131" s="181"/>
      <c r="AK1131" s="37"/>
      <c r="AL1131" s="37"/>
      <c r="AM1131" s="181"/>
      <c r="AN1131" s="37"/>
      <c r="AO1131" s="37"/>
      <c r="AP1131" s="37"/>
      <c r="AQ1131" s="37"/>
      <c r="AR1131" s="37"/>
      <c r="AS1131" s="37"/>
      <c r="AT1131" s="37"/>
      <c r="AU1131" s="37"/>
      <c r="AV1131" s="37"/>
      <c r="AW1131" s="37"/>
      <c r="AX1131" s="37"/>
      <c r="AY1131" s="37"/>
      <c r="AZ1131" s="37"/>
    </row>
    <row r="1132" spans="1:52" ht="15.5" hidden="1" customHeight="1">
      <c r="A1132" s="362" t="s">
        <v>372</v>
      </c>
      <c r="B1132" s="340">
        <v>46316</v>
      </c>
      <c r="C1132" s="181">
        <v>52451</v>
      </c>
      <c r="D1132" s="30">
        <v>46316</v>
      </c>
      <c r="E1132" s="30">
        <v>46345</v>
      </c>
      <c r="F1132" s="30">
        <v>46356</v>
      </c>
      <c r="G1132" s="37">
        <v>4420235433</v>
      </c>
      <c r="H1132" s="251" t="s">
        <v>373</v>
      </c>
      <c r="I1132" s="37">
        <v>9040044066</v>
      </c>
      <c r="J1132" s="37" t="s">
        <v>163</v>
      </c>
      <c r="K1132" s="325" t="s">
        <v>164</v>
      </c>
      <c r="L1132" s="181">
        <v>1</v>
      </c>
      <c r="M1132" s="181" t="s">
        <v>375</v>
      </c>
      <c r="N1132" s="37" t="s">
        <v>410</v>
      </c>
      <c r="O1132" s="31"/>
      <c r="P1132" s="37"/>
      <c r="Q1132" s="181"/>
      <c r="R1132" s="181"/>
      <c r="S1132" s="181"/>
      <c r="T1132" s="181"/>
      <c r="U1132" s="181"/>
      <c r="V1132" s="37"/>
      <c r="W1132" s="181"/>
      <c r="X1132" s="38"/>
      <c r="Y1132" s="38"/>
      <c r="Z1132" s="38"/>
      <c r="AA1132" s="38"/>
      <c r="AB1132" s="248"/>
      <c r="AC1132" s="250"/>
      <c r="AD1132" s="181"/>
      <c r="AE1132" s="37"/>
      <c r="AF1132" s="37"/>
      <c r="AG1132" s="33"/>
      <c r="AH1132" s="37"/>
      <c r="AI1132" s="37"/>
      <c r="AJ1132" s="181"/>
      <c r="AK1132" s="37"/>
      <c r="AL1132" s="37"/>
      <c r="AM1132" s="181"/>
      <c r="AN1132" s="37"/>
      <c r="AO1132" s="37"/>
      <c r="AP1132" s="37"/>
      <c r="AQ1132" s="37"/>
      <c r="AR1132" s="37"/>
      <c r="AS1132" s="37"/>
      <c r="AT1132" s="37"/>
      <c r="AU1132" s="37"/>
      <c r="AV1132" s="37"/>
      <c r="AW1132" s="37"/>
      <c r="AX1132" s="37"/>
      <c r="AY1132" s="37"/>
      <c r="AZ1132" s="37"/>
    </row>
    <row r="1133" spans="1:52" ht="15.5" hidden="1" customHeight="1">
      <c r="A1133" s="362" t="s">
        <v>372</v>
      </c>
      <c r="B1133" s="340">
        <v>46316</v>
      </c>
      <c r="C1133" s="181">
        <v>52472</v>
      </c>
      <c r="D1133" s="30">
        <v>46316</v>
      </c>
      <c r="E1133" s="30">
        <v>46315</v>
      </c>
      <c r="F1133" s="30">
        <v>46336</v>
      </c>
      <c r="G1133" s="37">
        <v>4420235592</v>
      </c>
      <c r="H1133" s="251" t="s">
        <v>373</v>
      </c>
      <c r="I1133" s="37">
        <v>9040012343</v>
      </c>
      <c r="J1133" s="37" t="s">
        <v>303</v>
      </c>
      <c r="K1133" s="325" t="s">
        <v>304</v>
      </c>
      <c r="L1133" s="181">
        <v>14</v>
      </c>
      <c r="M1133" s="181" t="s">
        <v>375</v>
      </c>
      <c r="N1133" s="37" t="s">
        <v>400</v>
      </c>
      <c r="O1133" s="31"/>
      <c r="P1133" s="37"/>
      <c r="Q1133" s="181"/>
      <c r="R1133" s="181"/>
      <c r="S1133" s="181"/>
      <c r="T1133" s="181"/>
      <c r="U1133" s="181"/>
      <c r="V1133" s="37"/>
      <c r="W1133" s="181"/>
      <c r="X1133" s="38"/>
      <c r="Y1133" s="38"/>
      <c r="Z1133" s="38"/>
      <c r="AA1133" s="38"/>
      <c r="AB1133" s="248"/>
      <c r="AC1133" s="250"/>
      <c r="AD1133" s="181"/>
      <c r="AE1133" s="37"/>
      <c r="AF1133" s="37"/>
      <c r="AG1133" s="33"/>
      <c r="AH1133" s="37"/>
      <c r="AI1133" s="37"/>
      <c r="AJ1133" s="181"/>
      <c r="AK1133" s="37"/>
      <c r="AL1133" s="37"/>
      <c r="AM1133" s="181"/>
      <c r="AN1133" s="37"/>
      <c r="AO1133" s="37"/>
      <c r="AP1133" s="37"/>
      <c r="AQ1133" s="37"/>
      <c r="AR1133" s="37"/>
      <c r="AS1133" s="37"/>
      <c r="AT1133" s="37"/>
      <c r="AU1133" s="37"/>
      <c r="AV1133" s="37"/>
      <c r="AW1133" s="37"/>
      <c r="AX1133" s="37"/>
      <c r="AY1133" s="37"/>
      <c r="AZ1133" s="37"/>
    </row>
    <row r="1134" spans="1:52" ht="15.5" hidden="1" customHeight="1">
      <c r="A1134" s="362" t="s">
        <v>372</v>
      </c>
      <c r="B1134" s="340">
        <v>46316</v>
      </c>
      <c r="C1134" s="181">
        <v>52472</v>
      </c>
      <c r="D1134" s="30">
        <v>46316</v>
      </c>
      <c r="E1134" s="30">
        <v>46315</v>
      </c>
      <c r="F1134" s="30">
        <v>46336</v>
      </c>
      <c r="G1134" s="37">
        <v>4420235592</v>
      </c>
      <c r="H1134" s="251" t="s">
        <v>373</v>
      </c>
      <c r="I1134" s="37">
        <v>9040016581</v>
      </c>
      <c r="J1134" s="37" t="s">
        <v>185</v>
      </c>
      <c r="K1134" s="325" t="s">
        <v>186</v>
      </c>
      <c r="L1134" s="181">
        <v>27</v>
      </c>
      <c r="M1134" s="181" t="s">
        <v>375</v>
      </c>
      <c r="N1134" s="37" t="s">
        <v>400</v>
      </c>
      <c r="O1134" s="31"/>
      <c r="P1134" s="37"/>
      <c r="Q1134" s="181"/>
      <c r="R1134" s="181"/>
      <c r="S1134" s="181"/>
      <c r="T1134" s="181"/>
      <c r="U1134" s="181"/>
      <c r="V1134" s="37"/>
      <c r="W1134" s="181"/>
      <c r="X1134" s="38"/>
      <c r="Y1134" s="38"/>
      <c r="Z1134" s="38"/>
      <c r="AA1134" s="38"/>
      <c r="AB1134" s="248"/>
      <c r="AC1134" s="250"/>
      <c r="AD1134" s="181"/>
      <c r="AE1134" s="37"/>
      <c r="AF1134" s="37"/>
      <c r="AG1134" s="33"/>
      <c r="AH1134" s="37"/>
      <c r="AI1134" s="37"/>
      <c r="AJ1134" s="181"/>
      <c r="AK1134" s="37"/>
      <c r="AL1134" s="37"/>
      <c r="AM1134" s="181"/>
      <c r="AN1134" s="37"/>
      <c r="AO1134" s="37"/>
      <c r="AP1134" s="37"/>
      <c r="AQ1134" s="37"/>
      <c r="AR1134" s="37"/>
      <c r="AS1134" s="37"/>
      <c r="AT1134" s="37"/>
      <c r="AU1134" s="37"/>
      <c r="AV1134" s="37"/>
      <c r="AW1134" s="37"/>
      <c r="AX1134" s="37"/>
      <c r="AY1134" s="37"/>
      <c r="AZ1134" s="37"/>
    </row>
    <row r="1135" spans="1:52" ht="15.5" hidden="1" customHeight="1">
      <c r="A1135" s="362" t="s">
        <v>372</v>
      </c>
      <c r="B1135" s="340">
        <v>46316</v>
      </c>
      <c r="C1135" s="181">
        <v>52472</v>
      </c>
      <c r="D1135" s="30">
        <v>46316</v>
      </c>
      <c r="E1135" s="30">
        <v>46315</v>
      </c>
      <c r="F1135" s="30">
        <v>46336</v>
      </c>
      <c r="G1135" s="37">
        <v>4420235592</v>
      </c>
      <c r="H1135" s="251" t="s">
        <v>373</v>
      </c>
      <c r="I1135" s="37">
        <v>9040017824</v>
      </c>
      <c r="J1135" s="37" t="s">
        <v>150</v>
      </c>
      <c r="K1135" s="325" t="s">
        <v>151</v>
      </c>
      <c r="L1135" s="181">
        <v>2</v>
      </c>
      <c r="M1135" s="181" t="s">
        <v>375</v>
      </c>
      <c r="N1135" s="37" t="s">
        <v>400</v>
      </c>
      <c r="O1135" s="31"/>
      <c r="P1135" s="37"/>
      <c r="Q1135" s="181"/>
      <c r="R1135" s="181"/>
      <c r="S1135" s="181"/>
      <c r="T1135" s="181"/>
      <c r="U1135" s="181"/>
      <c r="V1135" s="37"/>
      <c r="W1135" s="181"/>
      <c r="X1135" s="38"/>
      <c r="Y1135" s="38"/>
      <c r="Z1135" s="38"/>
      <c r="AA1135" s="38"/>
      <c r="AB1135" s="248"/>
      <c r="AC1135" s="250"/>
      <c r="AD1135" s="181"/>
      <c r="AE1135" s="37"/>
      <c r="AF1135" s="37"/>
      <c r="AG1135" s="33"/>
      <c r="AH1135" s="37"/>
      <c r="AI1135" s="37"/>
      <c r="AJ1135" s="181"/>
      <c r="AK1135" s="37"/>
      <c r="AL1135" s="37"/>
      <c r="AM1135" s="181"/>
      <c r="AN1135" s="37"/>
      <c r="AO1135" s="37"/>
      <c r="AP1135" s="37"/>
      <c r="AQ1135" s="37"/>
      <c r="AR1135" s="37"/>
      <c r="AS1135" s="37"/>
      <c r="AT1135" s="37"/>
      <c r="AU1135" s="37"/>
      <c r="AV1135" s="37"/>
      <c r="AW1135" s="37"/>
      <c r="AX1135" s="37"/>
      <c r="AY1135" s="37"/>
      <c r="AZ1135" s="37"/>
    </row>
    <row r="1136" spans="1:52" ht="15.5" hidden="1" customHeight="1">
      <c r="A1136" s="362" t="s">
        <v>372</v>
      </c>
      <c r="B1136" s="340">
        <v>46316</v>
      </c>
      <c r="C1136" s="181">
        <v>52473</v>
      </c>
      <c r="D1136" s="30">
        <v>46316</v>
      </c>
      <c r="E1136" s="30">
        <v>46315</v>
      </c>
      <c r="F1136" s="30">
        <v>46325</v>
      </c>
      <c r="G1136" s="37">
        <v>4420235538</v>
      </c>
      <c r="H1136" s="251" t="s">
        <v>373</v>
      </c>
      <c r="I1136" s="37">
        <v>9040028402</v>
      </c>
      <c r="J1136" s="37" t="s">
        <v>133</v>
      </c>
      <c r="K1136" s="325" t="s">
        <v>134</v>
      </c>
      <c r="L1136" s="181">
        <v>1</v>
      </c>
      <c r="M1136" s="181" t="s">
        <v>375</v>
      </c>
      <c r="N1136" s="37" t="s">
        <v>940</v>
      </c>
      <c r="O1136" s="31"/>
      <c r="P1136" s="37"/>
      <c r="Q1136" s="181"/>
      <c r="R1136" s="181"/>
      <c r="S1136" s="181"/>
      <c r="T1136" s="181"/>
      <c r="U1136" s="181"/>
      <c r="V1136" s="37"/>
      <c r="W1136" s="181"/>
      <c r="X1136" s="38"/>
      <c r="Y1136" s="38"/>
      <c r="Z1136" s="38"/>
      <c r="AA1136" s="38"/>
      <c r="AB1136" s="248"/>
      <c r="AC1136" s="250"/>
      <c r="AD1136" s="181"/>
      <c r="AE1136" s="37"/>
      <c r="AF1136" s="37"/>
      <c r="AG1136" s="33"/>
      <c r="AH1136" s="37"/>
      <c r="AI1136" s="37"/>
      <c r="AJ1136" s="181"/>
      <c r="AK1136" s="37">
        <v>26809</v>
      </c>
      <c r="AL1136" s="244">
        <v>46316</v>
      </c>
      <c r="AM1136" s="181">
        <v>3</v>
      </c>
      <c r="AN1136" s="37"/>
      <c r="AO1136" s="37"/>
      <c r="AP1136" s="37"/>
      <c r="AQ1136" s="37"/>
      <c r="AR1136" s="37"/>
      <c r="AS1136" s="37"/>
      <c r="AT1136" s="37"/>
      <c r="AU1136" s="37"/>
      <c r="AV1136" s="37"/>
      <c r="AW1136" s="37"/>
      <c r="AX1136" s="37"/>
      <c r="AY1136" s="37"/>
      <c r="AZ1136" s="37"/>
    </row>
    <row r="1137" spans="1:52" ht="15.5" hidden="1" customHeight="1">
      <c r="A1137" s="362" t="s">
        <v>372</v>
      </c>
      <c r="B1137" s="340">
        <v>46317</v>
      </c>
      <c r="C1137" s="181">
        <v>52509</v>
      </c>
      <c r="D1137" s="30">
        <v>46347</v>
      </c>
      <c r="E1137" s="30">
        <v>46346</v>
      </c>
      <c r="F1137" s="30">
        <v>46344</v>
      </c>
      <c r="G1137" s="37">
        <v>4420235569</v>
      </c>
      <c r="H1137" s="251" t="s">
        <v>373</v>
      </c>
      <c r="I1137" s="37">
        <v>9040028877</v>
      </c>
      <c r="J1137" s="37" t="s">
        <v>199</v>
      </c>
      <c r="K1137" s="325" t="s">
        <v>200</v>
      </c>
      <c r="L1137" s="181">
        <v>52</v>
      </c>
      <c r="M1137" s="181" t="s">
        <v>375</v>
      </c>
      <c r="N1137" s="37" t="s">
        <v>408</v>
      </c>
      <c r="O1137" s="31"/>
      <c r="P1137" s="37"/>
      <c r="Q1137" s="181"/>
      <c r="R1137" s="181"/>
      <c r="S1137" s="181"/>
      <c r="T1137" s="181"/>
      <c r="U1137" s="181"/>
      <c r="V1137" s="37"/>
      <c r="W1137" s="181"/>
      <c r="X1137" s="38"/>
      <c r="Y1137" s="38"/>
      <c r="Z1137" s="38"/>
      <c r="AA1137" s="38"/>
      <c r="AB1137" s="248"/>
      <c r="AC1137" s="250"/>
      <c r="AD1137" s="181"/>
      <c r="AE1137" s="37"/>
      <c r="AF1137" s="37"/>
      <c r="AG1137" s="33"/>
      <c r="AH1137" s="37"/>
      <c r="AI1137" s="37"/>
      <c r="AJ1137" s="181"/>
      <c r="AK1137" s="37"/>
      <c r="AL1137" s="37"/>
      <c r="AM1137" s="181"/>
      <c r="AN1137" s="37"/>
      <c r="AO1137" s="37"/>
      <c r="AP1137" s="37"/>
      <c r="AQ1137" s="37"/>
      <c r="AR1137" s="37"/>
      <c r="AS1137" s="37"/>
      <c r="AT1137" s="37"/>
      <c r="AU1137" s="37"/>
      <c r="AV1137" s="37"/>
      <c r="AW1137" s="37"/>
      <c r="AX1137" s="37"/>
      <c r="AY1137" s="37"/>
      <c r="AZ1137" s="37"/>
    </row>
    <row r="1138" spans="1:52" ht="15.5" hidden="1" customHeight="1">
      <c r="A1138" s="362" t="s">
        <v>372</v>
      </c>
      <c r="B1138" s="340">
        <v>46317</v>
      </c>
      <c r="C1138" s="181">
        <v>52509</v>
      </c>
      <c r="D1138" s="30">
        <v>46347</v>
      </c>
      <c r="E1138" s="30">
        <v>46346</v>
      </c>
      <c r="F1138" s="30">
        <v>46344</v>
      </c>
      <c r="G1138" s="37">
        <v>4420235569</v>
      </c>
      <c r="H1138" s="251" t="s">
        <v>373</v>
      </c>
      <c r="I1138" s="37">
        <v>9040017347</v>
      </c>
      <c r="J1138" s="37" t="s">
        <v>72</v>
      </c>
      <c r="K1138" s="325" t="s">
        <v>73</v>
      </c>
      <c r="L1138" s="181">
        <v>4</v>
      </c>
      <c r="M1138" s="181" t="s">
        <v>375</v>
      </c>
      <c r="N1138" s="37" t="s">
        <v>408</v>
      </c>
      <c r="O1138" s="31"/>
      <c r="P1138" s="37"/>
      <c r="Q1138" s="181"/>
      <c r="R1138" s="181"/>
      <c r="S1138" s="181"/>
      <c r="T1138" s="181"/>
      <c r="U1138" s="181"/>
      <c r="V1138" s="37"/>
      <c r="W1138" s="181"/>
      <c r="X1138" s="38"/>
      <c r="Y1138" s="38"/>
      <c r="Z1138" s="38"/>
      <c r="AA1138" s="38"/>
      <c r="AB1138" s="248"/>
      <c r="AC1138" s="250"/>
      <c r="AD1138" s="181"/>
      <c r="AE1138" s="37"/>
      <c r="AF1138" s="37"/>
      <c r="AG1138" s="33"/>
      <c r="AH1138" s="37"/>
      <c r="AI1138" s="37"/>
      <c r="AJ1138" s="181"/>
      <c r="AK1138" s="37"/>
      <c r="AL1138" s="37"/>
      <c r="AM1138" s="181"/>
      <c r="AN1138" s="37"/>
      <c r="AO1138" s="37"/>
      <c r="AP1138" s="37"/>
      <c r="AQ1138" s="37"/>
      <c r="AR1138" s="37"/>
      <c r="AS1138" s="37"/>
      <c r="AT1138" s="37"/>
      <c r="AU1138" s="37"/>
      <c r="AV1138" s="37"/>
      <c r="AW1138" s="37"/>
      <c r="AX1138" s="37"/>
      <c r="AY1138" s="37"/>
      <c r="AZ1138" s="37"/>
    </row>
    <row r="1139" spans="1:52" ht="15.5" hidden="1" customHeight="1">
      <c r="A1139" s="362" t="s">
        <v>372</v>
      </c>
      <c r="B1139" s="340">
        <v>46317</v>
      </c>
      <c r="C1139" s="181">
        <v>52509</v>
      </c>
      <c r="D1139" s="30">
        <v>46347</v>
      </c>
      <c r="E1139" s="30">
        <v>46346</v>
      </c>
      <c r="F1139" s="30">
        <v>46344</v>
      </c>
      <c r="G1139" s="37">
        <v>4420235569</v>
      </c>
      <c r="H1139" s="251" t="s">
        <v>373</v>
      </c>
      <c r="I1139" s="37">
        <v>9040021297</v>
      </c>
      <c r="J1139" s="37" t="s">
        <v>108</v>
      </c>
      <c r="K1139" s="325" t="s">
        <v>109</v>
      </c>
      <c r="L1139" s="181">
        <v>4</v>
      </c>
      <c r="M1139" s="181" t="s">
        <v>375</v>
      </c>
      <c r="N1139" s="37" t="s">
        <v>408</v>
      </c>
      <c r="O1139" s="31"/>
      <c r="P1139" s="37"/>
      <c r="Q1139" s="181"/>
      <c r="R1139" s="181"/>
      <c r="S1139" s="181"/>
      <c r="T1139" s="181"/>
      <c r="U1139" s="181"/>
      <c r="V1139" s="37"/>
      <c r="W1139" s="181"/>
      <c r="X1139" s="38"/>
      <c r="Y1139" s="38"/>
      <c r="Z1139" s="38"/>
      <c r="AA1139" s="38"/>
      <c r="AB1139" s="248"/>
      <c r="AC1139" s="250"/>
      <c r="AD1139" s="181"/>
      <c r="AE1139" s="37"/>
      <c r="AF1139" s="37"/>
      <c r="AG1139" s="33"/>
      <c r="AH1139" s="37"/>
      <c r="AI1139" s="37"/>
      <c r="AJ1139" s="181"/>
      <c r="AK1139" s="37"/>
      <c r="AL1139" s="37"/>
      <c r="AM1139" s="181"/>
      <c r="AN1139" s="37"/>
      <c r="AO1139" s="37"/>
      <c r="AP1139" s="37"/>
      <c r="AQ1139" s="37"/>
      <c r="AR1139" s="37"/>
      <c r="AS1139" s="37"/>
      <c r="AT1139" s="37"/>
      <c r="AU1139" s="37"/>
      <c r="AV1139" s="37"/>
      <c r="AW1139" s="37"/>
      <c r="AX1139" s="37"/>
      <c r="AY1139" s="37"/>
      <c r="AZ1139" s="37"/>
    </row>
    <row r="1140" spans="1:52" ht="15.5" hidden="1" customHeight="1">
      <c r="A1140" s="362" t="s">
        <v>372</v>
      </c>
      <c r="B1140" s="340">
        <v>46317</v>
      </c>
      <c r="C1140" s="181">
        <v>52509</v>
      </c>
      <c r="D1140" s="30">
        <v>46347</v>
      </c>
      <c r="E1140" s="30">
        <v>46346</v>
      </c>
      <c r="F1140" s="30">
        <v>46344</v>
      </c>
      <c r="G1140" s="37">
        <v>4420235569</v>
      </c>
      <c r="H1140" s="251" t="s">
        <v>373</v>
      </c>
      <c r="I1140" s="37">
        <v>9040041385</v>
      </c>
      <c r="J1140" s="37" t="s">
        <v>6</v>
      </c>
      <c r="K1140" s="325" t="s">
        <v>7</v>
      </c>
      <c r="L1140" s="181">
        <v>6</v>
      </c>
      <c r="M1140" s="181" t="s">
        <v>375</v>
      </c>
      <c r="N1140" s="37" t="s">
        <v>408</v>
      </c>
      <c r="O1140" s="31"/>
      <c r="P1140" s="37"/>
      <c r="Q1140" s="181"/>
      <c r="R1140" s="181"/>
      <c r="S1140" s="181"/>
      <c r="T1140" s="181"/>
      <c r="U1140" s="181"/>
      <c r="V1140" s="37"/>
      <c r="W1140" s="181"/>
      <c r="X1140" s="38"/>
      <c r="Y1140" s="38"/>
      <c r="Z1140" s="38"/>
      <c r="AA1140" s="38"/>
      <c r="AB1140" s="248"/>
      <c r="AC1140" s="250"/>
      <c r="AD1140" s="181"/>
      <c r="AE1140" s="37"/>
      <c r="AF1140" s="37"/>
      <c r="AG1140" s="33"/>
      <c r="AH1140" s="37"/>
      <c r="AI1140" s="37"/>
      <c r="AJ1140" s="181"/>
      <c r="AK1140" s="37"/>
      <c r="AL1140" s="37"/>
      <c r="AM1140" s="181"/>
      <c r="AN1140" s="37"/>
      <c r="AO1140" s="37"/>
      <c r="AP1140" s="37"/>
      <c r="AQ1140" s="37"/>
      <c r="AR1140" s="37"/>
      <c r="AS1140" s="37"/>
      <c r="AT1140" s="37"/>
      <c r="AU1140" s="37"/>
      <c r="AV1140" s="37"/>
      <c r="AW1140" s="37"/>
      <c r="AX1140" s="37"/>
      <c r="AY1140" s="37"/>
      <c r="AZ1140" s="37"/>
    </row>
    <row r="1141" spans="1:52" ht="15.5" hidden="1" customHeight="1">
      <c r="A1141" s="362" t="s">
        <v>372</v>
      </c>
      <c r="B1141" s="340">
        <v>46317</v>
      </c>
      <c r="C1141" s="181">
        <v>52560</v>
      </c>
      <c r="D1141" s="30">
        <v>46317</v>
      </c>
      <c r="E1141" s="30">
        <v>46314</v>
      </c>
      <c r="F1141" s="30">
        <v>46325</v>
      </c>
      <c r="G1141" s="37">
        <v>4420235497</v>
      </c>
      <c r="H1141" s="251" t="s">
        <v>373</v>
      </c>
      <c r="I1141" s="252">
        <v>9040040636</v>
      </c>
      <c r="J1141" s="37" t="s">
        <v>167</v>
      </c>
      <c r="K1141" s="325" t="s">
        <v>168</v>
      </c>
      <c r="L1141" s="181">
        <v>5</v>
      </c>
      <c r="M1141" s="181" t="s">
        <v>375</v>
      </c>
      <c r="N1141" s="37" t="s">
        <v>410</v>
      </c>
      <c r="O1141" s="31"/>
      <c r="P1141" s="37"/>
      <c r="Q1141" s="181"/>
      <c r="R1141" s="181"/>
      <c r="S1141" s="181"/>
      <c r="T1141" s="181"/>
      <c r="U1141" s="181"/>
      <c r="V1141" s="37"/>
      <c r="W1141" s="181"/>
      <c r="X1141" s="38"/>
      <c r="Y1141" s="38"/>
      <c r="Z1141" s="38"/>
      <c r="AA1141" s="38"/>
      <c r="AB1141" s="248"/>
      <c r="AC1141" s="250"/>
      <c r="AD1141" s="181"/>
      <c r="AE1141" s="37"/>
      <c r="AF1141" s="37"/>
      <c r="AG1141" s="33"/>
      <c r="AH1141" s="37"/>
      <c r="AI1141" s="37"/>
      <c r="AJ1141" s="181"/>
      <c r="AK1141" s="37"/>
      <c r="AL1141" s="37"/>
      <c r="AM1141" s="181"/>
      <c r="AN1141" s="37"/>
      <c r="AO1141" s="37"/>
      <c r="AP1141" s="37"/>
      <c r="AQ1141" s="37"/>
      <c r="AR1141" s="37"/>
      <c r="AS1141" s="37"/>
      <c r="AT1141" s="37"/>
      <c r="AU1141" s="37"/>
      <c r="AV1141" s="37"/>
      <c r="AW1141" s="37"/>
      <c r="AX1141" s="37"/>
      <c r="AY1141" s="37"/>
      <c r="AZ1141" s="37"/>
    </row>
    <row r="1142" spans="1:52" ht="15.5" customHeight="1">
      <c r="A1142" s="360"/>
      <c r="B1142" s="340"/>
      <c r="C1142" s="181"/>
      <c r="D1142" s="30"/>
      <c r="E1142" s="30"/>
      <c r="F1142" s="30"/>
      <c r="G1142" s="37"/>
      <c r="H1142" s="37"/>
      <c r="I1142" s="37"/>
      <c r="J1142" s="37" t="s">
        <v>69</v>
      </c>
      <c r="K1142" s="325" t="s">
        <v>69</v>
      </c>
      <c r="L1142" s="181"/>
      <c r="M1142" s="181"/>
      <c r="N1142" s="37"/>
      <c r="O1142" s="31"/>
      <c r="P1142" s="37"/>
      <c r="Q1142" s="181"/>
      <c r="R1142" s="181"/>
      <c r="S1142" s="181"/>
      <c r="T1142" s="181"/>
      <c r="U1142" s="181"/>
      <c r="V1142" s="37"/>
      <c r="W1142" s="181"/>
      <c r="X1142" s="38"/>
      <c r="Y1142" s="38"/>
      <c r="Z1142" s="38"/>
      <c r="AA1142" s="38"/>
      <c r="AB1142" s="248"/>
      <c r="AC1142" s="250"/>
      <c r="AD1142" s="181"/>
      <c r="AE1142" s="37"/>
      <c r="AF1142" s="37"/>
      <c r="AG1142" s="33"/>
      <c r="AH1142" s="37"/>
      <c r="AI1142" s="37"/>
      <c r="AJ1142" s="181"/>
      <c r="AK1142" s="37"/>
      <c r="AL1142" s="37"/>
      <c r="AM1142" s="181"/>
      <c r="AN1142" s="37"/>
      <c r="AO1142" s="37"/>
      <c r="AP1142" s="37"/>
      <c r="AQ1142" s="37"/>
      <c r="AR1142" s="37"/>
      <c r="AS1142" s="37"/>
      <c r="AT1142" s="37"/>
      <c r="AU1142" s="37"/>
      <c r="AV1142" s="37"/>
      <c r="AW1142" s="37"/>
      <c r="AX1142" s="37"/>
      <c r="AY1142" s="37"/>
      <c r="AZ1142" s="37"/>
    </row>
    <row r="1143" spans="1:52" ht="15.5" customHeight="1">
      <c r="A1143" s="360"/>
      <c r="B1143" s="340"/>
      <c r="C1143" s="181"/>
      <c r="D1143" s="30"/>
      <c r="E1143" s="30"/>
      <c r="F1143" s="30"/>
      <c r="G1143" s="37"/>
      <c r="H1143" s="37"/>
      <c r="I1143" s="37"/>
      <c r="J1143" s="37" t="s">
        <v>69</v>
      </c>
      <c r="K1143" s="325" t="s">
        <v>69</v>
      </c>
      <c r="L1143" s="181"/>
      <c r="M1143" s="181"/>
      <c r="N1143" s="37"/>
      <c r="O1143" s="31"/>
      <c r="P1143" s="37"/>
      <c r="Q1143" s="181"/>
      <c r="R1143" s="181"/>
      <c r="S1143" s="181"/>
      <c r="T1143" s="181"/>
      <c r="U1143" s="181"/>
      <c r="V1143" s="37"/>
      <c r="W1143" s="181"/>
      <c r="X1143" s="38"/>
      <c r="Y1143" s="38"/>
      <c r="Z1143" s="38"/>
      <c r="AA1143" s="38"/>
      <c r="AB1143" s="248"/>
      <c r="AC1143" s="250"/>
      <c r="AD1143" s="181"/>
      <c r="AE1143" s="37"/>
      <c r="AF1143" s="37"/>
      <c r="AG1143" s="33"/>
      <c r="AH1143" s="37"/>
      <c r="AI1143" s="37"/>
      <c r="AJ1143" s="181"/>
      <c r="AK1143" s="37"/>
      <c r="AL1143" s="37"/>
      <c r="AM1143" s="181"/>
      <c r="AN1143" s="37"/>
      <c r="AO1143" s="37"/>
      <c r="AP1143" s="37"/>
      <c r="AQ1143" s="37"/>
      <c r="AR1143" s="37"/>
      <c r="AS1143" s="37"/>
      <c r="AT1143" s="37"/>
      <c r="AU1143" s="37"/>
      <c r="AV1143" s="37"/>
      <c r="AW1143" s="37"/>
      <c r="AX1143" s="37"/>
      <c r="AY1143" s="37"/>
      <c r="AZ1143" s="37"/>
    </row>
    <row r="1144" spans="1:52" ht="15.5" customHeight="1">
      <c r="A1144" s="360"/>
      <c r="B1144" s="340"/>
      <c r="C1144" s="181"/>
      <c r="D1144" s="30"/>
      <c r="E1144" s="30"/>
      <c r="F1144" s="30"/>
      <c r="G1144" s="37"/>
      <c r="H1144" s="37"/>
      <c r="I1144" s="37"/>
      <c r="J1144" s="37" t="s">
        <v>69</v>
      </c>
      <c r="K1144" s="325" t="s">
        <v>69</v>
      </c>
      <c r="L1144" s="181"/>
      <c r="M1144" s="181"/>
      <c r="N1144" s="37"/>
      <c r="O1144" s="31"/>
      <c r="P1144" s="37"/>
      <c r="Q1144" s="181"/>
      <c r="R1144" s="181"/>
      <c r="S1144" s="181"/>
      <c r="T1144" s="181"/>
      <c r="U1144" s="181"/>
      <c r="V1144" s="37"/>
      <c r="W1144" s="181"/>
      <c r="X1144" s="38"/>
      <c r="Y1144" s="38"/>
      <c r="Z1144" s="38"/>
      <c r="AA1144" s="38"/>
      <c r="AB1144" s="248"/>
      <c r="AC1144" s="250"/>
      <c r="AD1144" s="181"/>
      <c r="AE1144" s="37"/>
      <c r="AF1144" s="37"/>
      <c r="AG1144" s="33"/>
      <c r="AH1144" s="37"/>
      <c r="AI1144" s="37"/>
      <c r="AJ1144" s="181"/>
      <c r="AK1144" s="37"/>
      <c r="AL1144" s="37"/>
      <c r="AM1144" s="181"/>
      <c r="AN1144" s="37"/>
      <c r="AO1144" s="37"/>
      <c r="AP1144" s="37"/>
      <c r="AQ1144" s="37"/>
      <c r="AR1144" s="37"/>
      <c r="AS1144" s="37"/>
      <c r="AT1144" s="37"/>
      <c r="AU1144" s="37"/>
      <c r="AV1144" s="37"/>
      <c r="AW1144" s="37"/>
      <c r="AX1144" s="37"/>
      <c r="AY1144" s="37"/>
      <c r="AZ1144" s="37"/>
    </row>
    <row r="1145" spans="1:52" ht="15.5" customHeight="1">
      <c r="A1145" s="360"/>
      <c r="B1145" s="340"/>
      <c r="C1145" s="181"/>
      <c r="D1145" s="30"/>
      <c r="E1145" s="30"/>
      <c r="F1145" s="30"/>
      <c r="G1145" s="37"/>
      <c r="H1145" s="37"/>
      <c r="I1145" s="37"/>
      <c r="J1145" s="37" t="s">
        <v>69</v>
      </c>
      <c r="K1145" s="325" t="s">
        <v>69</v>
      </c>
      <c r="L1145" s="181"/>
      <c r="M1145" s="181"/>
      <c r="N1145" s="37"/>
      <c r="O1145" s="31"/>
      <c r="P1145" s="37"/>
      <c r="Q1145" s="181"/>
      <c r="R1145" s="181"/>
      <c r="S1145" s="181"/>
      <c r="T1145" s="181"/>
      <c r="U1145" s="181"/>
      <c r="V1145" s="37"/>
      <c r="W1145" s="181"/>
      <c r="X1145" s="38"/>
      <c r="Y1145" s="38"/>
      <c r="Z1145" s="38"/>
      <c r="AA1145" s="38"/>
      <c r="AB1145" s="248"/>
      <c r="AC1145" s="250"/>
      <c r="AD1145" s="181"/>
      <c r="AE1145" s="37"/>
      <c r="AF1145" s="37"/>
      <c r="AG1145" s="33"/>
      <c r="AH1145" s="37"/>
      <c r="AI1145" s="37"/>
      <c r="AJ1145" s="181"/>
      <c r="AK1145" s="37"/>
      <c r="AL1145" s="37"/>
      <c r="AM1145" s="181"/>
      <c r="AN1145" s="37"/>
      <c r="AO1145" s="37"/>
      <c r="AP1145" s="37"/>
      <c r="AQ1145" s="37"/>
      <c r="AR1145" s="37"/>
      <c r="AS1145" s="37"/>
      <c r="AT1145" s="37"/>
      <c r="AU1145" s="37"/>
      <c r="AV1145" s="37"/>
      <c r="AW1145" s="37"/>
      <c r="AX1145" s="37"/>
      <c r="AY1145" s="37"/>
      <c r="AZ1145" s="37"/>
    </row>
    <row r="1146" spans="1:52" ht="15.5" customHeight="1">
      <c r="A1146" s="360"/>
      <c r="B1146" s="340"/>
      <c r="C1146" s="181"/>
      <c r="D1146" s="30"/>
      <c r="E1146" s="30"/>
      <c r="F1146" s="30"/>
      <c r="G1146" s="37"/>
      <c r="H1146" s="37"/>
      <c r="I1146" s="37"/>
      <c r="J1146" s="37" t="s">
        <v>69</v>
      </c>
      <c r="K1146" s="325" t="s">
        <v>69</v>
      </c>
      <c r="L1146" s="181"/>
      <c r="M1146" s="181"/>
      <c r="N1146" s="37"/>
      <c r="O1146" s="31"/>
      <c r="P1146" s="37"/>
      <c r="Q1146" s="181"/>
      <c r="R1146" s="181"/>
      <c r="S1146" s="181"/>
      <c r="T1146" s="181"/>
      <c r="U1146" s="181"/>
      <c r="V1146" s="37"/>
      <c r="W1146" s="181"/>
      <c r="X1146" s="38"/>
      <c r="Y1146" s="38"/>
      <c r="Z1146" s="38"/>
      <c r="AA1146" s="38"/>
      <c r="AB1146" s="248"/>
      <c r="AC1146" s="250"/>
      <c r="AD1146" s="181"/>
      <c r="AE1146" s="37"/>
      <c r="AF1146" s="37"/>
      <c r="AG1146" s="33"/>
      <c r="AH1146" s="37"/>
      <c r="AI1146" s="37"/>
      <c r="AJ1146" s="181"/>
      <c r="AK1146" s="37"/>
      <c r="AL1146" s="37"/>
      <c r="AM1146" s="181"/>
      <c r="AN1146" s="37"/>
      <c r="AO1146" s="37"/>
      <c r="AP1146" s="37"/>
      <c r="AQ1146" s="37"/>
      <c r="AR1146" s="37"/>
      <c r="AS1146" s="37"/>
      <c r="AT1146" s="37"/>
      <c r="AU1146" s="37"/>
      <c r="AV1146" s="37"/>
      <c r="AW1146" s="37"/>
      <c r="AX1146" s="37"/>
      <c r="AY1146" s="37"/>
      <c r="AZ1146" s="37"/>
    </row>
    <row r="1147" spans="1:52" ht="15.5" customHeight="1">
      <c r="A1147" s="360"/>
      <c r="B1147" s="340"/>
      <c r="C1147" s="181"/>
      <c r="D1147" s="30"/>
      <c r="E1147" s="30"/>
      <c r="F1147" s="30"/>
      <c r="G1147" s="37"/>
      <c r="H1147" s="37"/>
      <c r="I1147" s="37"/>
      <c r="J1147" s="37" t="s">
        <v>69</v>
      </c>
      <c r="K1147" s="325" t="s">
        <v>69</v>
      </c>
      <c r="L1147" s="181"/>
      <c r="M1147" s="181"/>
      <c r="N1147" s="37"/>
      <c r="O1147" s="31"/>
      <c r="P1147" s="37"/>
      <c r="Q1147" s="181"/>
      <c r="R1147" s="181"/>
      <c r="S1147" s="181"/>
      <c r="T1147" s="181"/>
      <c r="U1147" s="181"/>
      <c r="V1147" s="37"/>
      <c r="W1147" s="181"/>
      <c r="X1147" s="38"/>
      <c r="Y1147" s="38"/>
      <c r="Z1147" s="38"/>
      <c r="AA1147" s="38"/>
      <c r="AB1147" s="248"/>
      <c r="AC1147" s="250"/>
      <c r="AD1147" s="181"/>
      <c r="AE1147" s="37"/>
      <c r="AF1147" s="37"/>
      <c r="AG1147" s="33"/>
      <c r="AH1147" s="37"/>
      <c r="AI1147" s="37"/>
      <c r="AJ1147" s="181"/>
      <c r="AK1147" s="37"/>
      <c r="AL1147" s="37"/>
      <c r="AM1147" s="181"/>
      <c r="AN1147" s="37"/>
      <c r="AO1147" s="37"/>
      <c r="AP1147" s="37"/>
      <c r="AQ1147" s="37"/>
      <c r="AR1147" s="37"/>
      <c r="AS1147" s="37"/>
      <c r="AT1147" s="37"/>
      <c r="AU1147" s="37"/>
      <c r="AV1147" s="37"/>
      <c r="AW1147" s="37"/>
      <c r="AX1147" s="37"/>
      <c r="AY1147" s="37"/>
      <c r="AZ1147" s="37"/>
    </row>
    <row r="1148" spans="1:52" ht="15.5" customHeight="1">
      <c r="A1148" s="360"/>
      <c r="B1148" s="340"/>
      <c r="C1148" s="181"/>
      <c r="D1148" s="30"/>
      <c r="E1148" s="30"/>
      <c r="F1148" s="30"/>
      <c r="G1148" s="37"/>
      <c r="H1148" s="37"/>
      <c r="I1148" s="37"/>
      <c r="J1148" s="37" t="s">
        <v>69</v>
      </c>
      <c r="K1148" s="325" t="s">
        <v>69</v>
      </c>
      <c r="L1148" s="181"/>
      <c r="M1148" s="181"/>
      <c r="N1148" s="37"/>
      <c r="O1148" s="31"/>
      <c r="P1148" s="37"/>
      <c r="Q1148" s="181"/>
      <c r="R1148" s="181"/>
      <c r="S1148" s="181"/>
      <c r="T1148" s="181"/>
      <c r="U1148" s="181"/>
      <c r="V1148" s="37"/>
      <c r="W1148" s="181"/>
      <c r="X1148" s="38"/>
      <c r="Y1148" s="38"/>
      <c r="Z1148" s="38"/>
      <c r="AA1148" s="38"/>
      <c r="AB1148" s="248"/>
      <c r="AC1148" s="250"/>
      <c r="AD1148" s="181"/>
      <c r="AE1148" s="37"/>
      <c r="AF1148" s="37"/>
      <c r="AG1148" s="33"/>
      <c r="AH1148" s="37"/>
      <c r="AI1148" s="37"/>
      <c r="AJ1148" s="181"/>
      <c r="AK1148" s="37"/>
      <c r="AL1148" s="37"/>
      <c r="AM1148" s="181"/>
      <c r="AN1148" s="37"/>
      <c r="AO1148" s="37"/>
      <c r="AP1148" s="37"/>
      <c r="AQ1148" s="37"/>
      <c r="AR1148" s="37"/>
      <c r="AS1148" s="37"/>
      <c r="AT1148" s="37"/>
      <c r="AU1148" s="37"/>
      <c r="AV1148" s="37"/>
      <c r="AW1148" s="37"/>
      <c r="AX1148" s="37"/>
      <c r="AY1148" s="37"/>
      <c r="AZ1148" s="37"/>
    </row>
    <row r="1149" spans="1:52" ht="15.5" customHeight="1">
      <c r="A1149" s="360"/>
      <c r="B1149" s="340"/>
      <c r="C1149" s="181"/>
      <c r="D1149" s="30"/>
      <c r="E1149" s="30"/>
      <c r="F1149" s="30"/>
      <c r="G1149" s="37"/>
      <c r="H1149" s="37"/>
      <c r="I1149" s="37"/>
      <c r="J1149" s="37" t="s">
        <v>69</v>
      </c>
      <c r="K1149" s="325" t="s">
        <v>69</v>
      </c>
      <c r="L1149" s="181"/>
      <c r="M1149" s="181"/>
      <c r="N1149" s="37"/>
      <c r="O1149" s="31"/>
      <c r="P1149" s="37"/>
      <c r="Q1149" s="181"/>
      <c r="R1149" s="181"/>
      <c r="S1149" s="181"/>
      <c r="T1149" s="181"/>
      <c r="U1149" s="181"/>
      <c r="V1149" s="37"/>
      <c r="W1149" s="181"/>
      <c r="X1149" s="38"/>
      <c r="Y1149" s="38"/>
      <c r="Z1149" s="38"/>
      <c r="AA1149" s="38"/>
      <c r="AB1149" s="248"/>
      <c r="AC1149" s="250"/>
      <c r="AD1149" s="181"/>
      <c r="AE1149" s="37"/>
      <c r="AF1149" s="37"/>
      <c r="AG1149" s="33"/>
      <c r="AH1149" s="37"/>
      <c r="AI1149" s="37"/>
      <c r="AJ1149" s="181"/>
      <c r="AK1149" s="37"/>
      <c r="AL1149" s="37"/>
      <c r="AM1149" s="181"/>
      <c r="AN1149" s="37"/>
      <c r="AO1149" s="37"/>
      <c r="AP1149" s="37"/>
      <c r="AQ1149" s="37"/>
      <c r="AR1149" s="37"/>
      <c r="AS1149" s="37"/>
      <c r="AT1149" s="37"/>
      <c r="AU1149" s="37"/>
      <c r="AV1149" s="37"/>
      <c r="AW1149" s="37"/>
      <c r="AX1149" s="37"/>
      <c r="AY1149" s="37"/>
      <c r="AZ1149" s="37"/>
    </row>
    <row r="1150" spans="1:52" ht="15.5" customHeight="1">
      <c r="A1150" s="360"/>
      <c r="B1150" s="340"/>
      <c r="C1150" s="181"/>
      <c r="D1150" s="30"/>
      <c r="E1150" s="30"/>
      <c r="F1150" s="30"/>
      <c r="G1150" s="37"/>
      <c r="H1150" s="37"/>
      <c r="I1150" s="37"/>
      <c r="J1150" s="37" t="s">
        <v>69</v>
      </c>
      <c r="K1150" s="325" t="s">
        <v>69</v>
      </c>
      <c r="L1150" s="181"/>
      <c r="M1150" s="181"/>
      <c r="N1150" s="37"/>
      <c r="O1150" s="31"/>
      <c r="P1150" s="37"/>
      <c r="Q1150" s="181"/>
      <c r="R1150" s="181"/>
      <c r="S1150" s="181"/>
      <c r="T1150" s="181"/>
      <c r="U1150" s="181"/>
      <c r="V1150" s="37"/>
      <c r="W1150" s="181"/>
      <c r="X1150" s="38"/>
      <c r="Y1150" s="38"/>
      <c r="Z1150" s="38"/>
      <c r="AA1150" s="38"/>
      <c r="AB1150" s="248"/>
      <c r="AC1150" s="250"/>
      <c r="AD1150" s="181"/>
      <c r="AE1150" s="37"/>
      <c r="AF1150" s="37"/>
      <c r="AG1150" s="33"/>
      <c r="AH1150" s="37"/>
      <c r="AI1150" s="37"/>
      <c r="AJ1150" s="181"/>
      <c r="AK1150" s="37"/>
      <c r="AL1150" s="37"/>
      <c r="AM1150" s="181"/>
      <c r="AN1150" s="37"/>
      <c r="AO1150" s="37"/>
      <c r="AP1150" s="37"/>
      <c r="AQ1150" s="37"/>
      <c r="AR1150" s="37"/>
      <c r="AS1150" s="37"/>
      <c r="AT1150" s="37"/>
      <c r="AU1150" s="37"/>
      <c r="AV1150" s="37"/>
      <c r="AW1150" s="37"/>
      <c r="AX1150" s="37"/>
      <c r="AY1150" s="37"/>
      <c r="AZ1150" s="37"/>
    </row>
    <row r="1151" spans="1:52" ht="15.5" customHeight="1">
      <c r="A1151" s="360"/>
      <c r="B1151" s="340"/>
      <c r="C1151" s="181"/>
      <c r="D1151" s="30"/>
      <c r="E1151" s="30"/>
      <c r="F1151" s="30"/>
      <c r="G1151" s="37"/>
      <c r="H1151" s="37"/>
      <c r="I1151" s="37"/>
      <c r="J1151" s="37" t="s">
        <v>69</v>
      </c>
      <c r="K1151" s="325" t="s">
        <v>69</v>
      </c>
      <c r="L1151" s="181"/>
      <c r="M1151" s="181"/>
      <c r="N1151" s="37"/>
      <c r="O1151" s="31"/>
      <c r="P1151" s="37"/>
      <c r="Q1151" s="181"/>
      <c r="R1151" s="181"/>
      <c r="S1151" s="181"/>
      <c r="T1151" s="181"/>
      <c r="U1151" s="181"/>
      <c r="V1151" s="37"/>
      <c r="W1151" s="181"/>
      <c r="X1151" s="38"/>
      <c r="Y1151" s="38"/>
      <c r="Z1151" s="38"/>
      <c r="AA1151" s="38"/>
      <c r="AB1151" s="248"/>
      <c r="AC1151" s="250"/>
      <c r="AD1151" s="181"/>
      <c r="AE1151" s="37"/>
      <c r="AF1151" s="37"/>
      <c r="AG1151" s="33"/>
      <c r="AH1151" s="37"/>
      <c r="AI1151" s="37"/>
      <c r="AJ1151" s="181"/>
      <c r="AK1151" s="37"/>
      <c r="AL1151" s="37"/>
      <c r="AM1151" s="181"/>
      <c r="AN1151" s="37"/>
      <c r="AO1151" s="37"/>
      <c r="AP1151" s="37"/>
      <c r="AQ1151" s="37"/>
      <c r="AR1151" s="37"/>
      <c r="AS1151" s="37"/>
      <c r="AT1151" s="37"/>
      <c r="AU1151" s="37"/>
      <c r="AV1151" s="37"/>
      <c r="AW1151" s="37"/>
      <c r="AX1151" s="37"/>
      <c r="AY1151" s="37"/>
      <c r="AZ1151" s="37"/>
    </row>
    <row r="1152" spans="1:52" ht="15.5" customHeight="1">
      <c r="A1152" s="360"/>
      <c r="B1152" s="340"/>
      <c r="C1152" s="181"/>
      <c r="D1152" s="30"/>
      <c r="E1152" s="30"/>
      <c r="F1152" s="30"/>
      <c r="G1152" s="37"/>
      <c r="H1152" s="37"/>
      <c r="I1152" s="37"/>
      <c r="J1152" s="37" t="s">
        <v>69</v>
      </c>
      <c r="K1152" s="325" t="s">
        <v>69</v>
      </c>
      <c r="L1152" s="181"/>
      <c r="M1152" s="181"/>
      <c r="N1152" s="37"/>
      <c r="O1152" s="31"/>
      <c r="P1152" s="37"/>
      <c r="Q1152" s="181"/>
      <c r="R1152" s="181"/>
      <c r="S1152" s="181"/>
      <c r="T1152" s="181"/>
      <c r="U1152" s="181"/>
      <c r="V1152" s="37"/>
      <c r="W1152" s="181"/>
      <c r="X1152" s="38"/>
      <c r="Y1152" s="38"/>
      <c r="Z1152" s="38"/>
      <c r="AA1152" s="38"/>
      <c r="AB1152" s="248"/>
      <c r="AC1152" s="250"/>
      <c r="AD1152" s="181"/>
      <c r="AE1152" s="37"/>
      <c r="AF1152" s="37"/>
      <c r="AG1152" s="33"/>
      <c r="AH1152" s="37"/>
      <c r="AI1152" s="37"/>
      <c r="AJ1152" s="181"/>
      <c r="AK1152" s="37"/>
      <c r="AL1152" s="37"/>
      <c r="AM1152" s="181"/>
      <c r="AN1152" s="37"/>
      <c r="AO1152" s="37"/>
      <c r="AP1152" s="37"/>
      <c r="AQ1152" s="37"/>
      <c r="AR1152" s="37"/>
      <c r="AS1152" s="37"/>
      <c r="AT1152" s="37"/>
      <c r="AU1152" s="37"/>
      <c r="AV1152" s="37"/>
      <c r="AW1152" s="37"/>
      <c r="AX1152" s="37"/>
      <c r="AY1152" s="37"/>
      <c r="AZ1152" s="37"/>
    </row>
    <row r="1153" spans="1:52" ht="15.5" customHeight="1">
      <c r="A1153" s="360"/>
      <c r="B1153" s="340"/>
      <c r="C1153" s="181"/>
      <c r="D1153" s="30"/>
      <c r="E1153" s="30"/>
      <c r="F1153" s="30"/>
      <c r="G1153" s="37"/>
      <c r="H1153" s="37"/>
      <c r="I1153" s="37"/>
      <c r="J1153" s="37" t="s">
        <v>69</v>
      </c>
      <c r="K1153" s="325" t="s">
        <v>69</v>
      </c>
      <c r="L1153" s="181"/>
      <c r="M1153" s="181"/>
      <c r="N1153" s="37"/>
      <c r="O1153" s="31"/>
      <c r="P1153" s="37"/>
      <c r="Q1153" s="181"/>
      <c r="R1153" s="181"/>
      <c r="S1153" s="181"/>
      <c r="T1153" s="181"/>
      <c r="U1153" s="181"/>
      <c r="V1153" s="37"/>
      <c r="W1153" s="181"/>
      <c r="X1153" s="38"/>
      <c r="Y1153" s="38"/>
      <c r="Z1153" s="38"/>
      <c r="AA1153" s="38"/>
      <c r="AB1153" s="248"/>
      <c r="AC1153" s="250"/>
      <c r="AD1153" s="181"/>
      <c r="AE1153" s="37"/>
      <c r="AF1153" s="37"/>
      <c r="AG1153" s="33"/>
      <c r="AH1153" s="37"/>
      <c r="AI1153" s="37"/>
      <c r="AJ1153" s="181"/>
      <c r="AK1153" s="37"/>
      <c r="AL1153" s="37"/>
      <c r="AM1153" s="181"/>
      <c r="AN1153" s="37"/>
      <c r="AO1153" s="37"/>
      <c r="AP1153" s="37"/>
      <c r="AQ1153" s="37"/>
      <c r="AR1153" s="37"/>
      <c r="AS1153" s="37"/>
      <c r="AT1153" s="37"/>
      <c r="AU1153" s="37"/>
      <c r="AV1153" s="37"/>
      <c r="AW1153" s="37"/>
      <c r="AX1153" s="37"/>
      <c r="AY1153" s="37"/>
      <c r="AZ1153" s="37"/>
    </row>
    <row r="1154" spans="1:52" ht="15.5" customHeight="1">
      <c r="A1154" s="360"/>
      <c r="B1154" s="340"/>
      <c r="C1154" s="181"/>
      <c r="D1154" s="30"/>
      <c r="E1154" s="30"/>
      <c r="F1154" s="30"/>
      <c r="G1154" s="37"/>
      <c r="H1154" s="37"/>
      <c r="I1154" s="37"/>
      <c r="J1154" s="37" t="s">
        <v>69</v>
      </c>
      <c r="K1154" s="325" t="s">
        <v>69</v>
      </c>
      <c r="L1154" s="181"/>
      <c r="M1154" s="181"/>
      <c r="N1154" s="37"/>
      <c r="O1154" s="31"/>
      <c r="P1154" s="37"/>
      <c r="Q1154" s="181"/>
      <c r="R1154" s="181"/>
      <c r="S1154" s="181"/>
      <c r="T1154" s="181"/>
      <c r="U1154" s="181"/>
      <c r="V1154" s="37"/>
      <c r="W1154" s="181"/>
      <c r="X1154" s="38"/>
      <c r="Y1154" s="38"/>
      <c r="Z1154" s="38"/>
      <c r="AA1154" s="38"/>
      <c r="AB1154" s="248"/>
      <c r="AC1154" s="250"/>
      <c r="AD1154" s="181"/>
      <c r="AE1154" s="37"/>
      <c r="AF1154" s="37"/>
      <c r="AG1154" s="33"/>
      <c r="AH1154" s="37"/>
      <c r="AI1154" s="37"/>
      <c r="AJ1154" s="181"/>
      <c r="AK1154" s="37"/>
      <c r="AL1154" s="37"/>
      <c r="AM1154" s="181"/>
      <c r="AN1154" s="37"/>
      <c r="AO1154" s="37"/>
      <c r="AP1154" s="37"/>
      <c r="AQ1154" s="37"/>
      <c r="AR1154" s="37"/>
      <c r="AS1154" s="37"/>
      <c r="AT1154" s="37"/>
      <c r="AU1154" s="37"/>
      <c r="AV1154" s="37"/>
      <c r="AW1154" s="37"/>
      <c r="AX1154" s="37"/>
      <c r="AY1154" s="37"/>
      <c r="AZ1154" s="37"/>
    </row>
    <row r="1155" spans="1:52" ht="15.5" customHeight="1">
      <c r="A1155" s="360"/>
      <c r="B1155" s="340"/>
      <c r="C1155" s="181"/>
      <c r="D1155" s="30"/>
      <c r="E1155" s="30"/>
      <c r="F1155" s="30"/>
      <c r="G1155" s="37"/>
      <c r="H1155" s="37"/>
      <c r="I1155" s="37"/>
      <c r="J1155" s="37" t="s">
        <v>69</v>
      </c>
      <c r="K1155" s="325" t="s">
        <v>69</v>
      </c>
      <c r="L1155" s="181"/>
      <c r="M1155" s="181"/>
      <c r="N1155" s="37"/>
      <c r="O1155" s="31"/>
      <c r="P1155" s="37"/>
      <c r="Q1155" s="181"/>
      <c r="R1155" s="181"/>
      <c r="S1155" s="181"/>
      <c r="T1155" s="181"/>
      <c r="U1155" s="181"/>
      <c r="V1155" s="37"/>
      <c r="W1155" s="181"/>
      <c r="X1155" s="38"/>
      <c r="Y1155" s="38"/>
      <c r="Z1155" s="38"/>
      <c r="AA1155" s="38"/>
      <c r="AB1155" s="248"/>
      <c r="AC1155" s="250"/>
      <c r="AD1155" s="181"/>
      <c r="AE1155" s="37"/>
      <c r="AF1155" s="37"/>
      <c r="AG1155" s="33"/>
      <c r="AH1155" s="37"/>
      <c r="AI1155" s="37"/>
      <c r="AJ1155" s="181"/>
      <c r="AK1155" s="37"/>
      <c r="AL1155" s="37"/>
      <c r="AM1155" s="181"/>
      <c r="AN1155" s="37"/>
      <c r="AO1155" s="37"/>
      <c r="AP1155" s="37"/>
      <c r="AQ1155" s="37"/>
      <c r="AR1155" s="37"/>
      <c r="AS1155" s="37"/>
      <c r="AT1155" s="37"/>
      <c r="AU1155" s="37"/>
      <c r="AV1155" s="37"/>
      <c r="AW1155" s="37"/>
      <c r="AX1155" s="37"/>
      <c r="AY1155" s="37"/>
      <c r="AZ1155" s="37"/>
    </row>
    <row r="1156" spans="1:52" ht="15.5" customHeight="1">
      <c r="A1156" s="360"/>
      <c r="B1156" s="340"/>
      <c r="C1156" s="181"/>
      <c r="D1156" s="30"/>
      <c r="E1156" s="30"/>
      <c r="F1156" s="30"/>
      <c r="G1156" s="37"/>
      <c r="H1156" s="37"/>
      <c r="I1156" s="37"/>
      <c r="J1156" s="37" t="s">
        <v>69</v>
      </c>
      <c r="K1156" s="325" t="s">
        <v>69</v>
      </c>
      <c r="L1156" s="181"/>
      <c r="M1156" s="181"/>
      <c r="N1156" s="37"/>
      <c r="O1156" s="31"/>
      <c r="P1156" s="37"/>
      <c r="Q1156" s="181"/>
      <c r="R1156" s="181"/>
      <c r="S1156" s="181"/>
      <c r="T1156" s="181"/>
      <c r="U1156" s="181"/>
      <c r="V1156" s="37"/>
      <c r="W1156" s="181"/>
      <c r="X1156" s="38"/>
      <c r="Y1156" s="38"/>
      <c r="Z1156" s="38"/>
      <c r="AA1156" s="38"/>
      <c r="AB1156" s="248"/>
      <c r="AC1156" s="250"/>
      <c r="AD1156" s="181"/>
      <c r="AE1156" s="37"/>
      <c r="AF1156" s="37"/>
      <c r="AG1156" s="33"/>
      <c r="AH1156" s="37"/>
      <c r="AI1156" s="37"/>
      <c r="AJ1156" s="181"/>
      <c r="AK1156" s="37"/>
      <c r="AL1156" s="37"/>
      <c r="AM1156" s="181"/>
      <c r="AN1156" s="37"/>
      <c r="AO1156" s="37"/>
      <c r="AP1156" s="37"/>
      <c r="AQ1156" s="37"/>
      <c r="AR1156" s="37"/>
      <c r="AS1156" s="37"/>
      <c r="AT1156" s="37"/>
      <c r="AU1156" s="37"/>
      <c r="AV1156" s="37"/>
      <c r="AW1156" s="37"/>
      <c r="AX1156" s="37"/>
      <c r="AY1156" s="37"/>
      <c r="AZ1156" s="37"/>
    </row>
    <row r="1157" spans="1:52" ht="15.5" customHeight="1">
      <c r="A1157" s="360"/>
      <c r="B1157" s="340"/>
      <c r="C1157" s="181"/>
      <c r="D1157" s="30"/>
      <c r="E1157" s="30"/>
      <c r="F1157" s="30"/>
      <c r="G1157" s="37"/>
      <c r="H1157" s="37"/>
      <c r="I1157" s="37"/>
      <c r="J1157" s="37" t="s">
        <v>69</v>
      </c>
      <c r="K1157" s="325" t="s">
        <v>69</v>
      </c>
      <c r="L1157" s="181"/>
      <c r="M1157" s="181"/>
      <c r="N1157" s="37"/>
      <c r="O1157" s="31"/>
      <c r="P1157" s="37"/>
      <c r="Q1157" s="181"/>
      <c r="R1157" s="181"/>
      <c r="S1157" s="181"/>
      <c r="T1157" s="181"/>
      <c r="U1157" s="181"/>
      <c r="V1157" s="37"/>
      <c r="W1157" s="181"/>
      <c r="X1157" s="38"/>
      <c r="Y1157" s="38"/>
      <c r="Z1157" s="38"/>
      <c r="AA1157" s="38"/>
      <c r="AB1157" s="248"/>
      <c r="AC1157" s="250"/>
      <c r="AD1157" s="181"/>
      <c r="AE1157" s="37"/>
      <c r="AF1157" s="37"/>
      <c r="AG1157" s="33"/>
      <c r="AH1157" s="37"/>
      <c r="AI1157" s="37"/>
      <c r="AJ1157" s="181"/>
      <c r="AK1157" s="37"/>
      <c r="AL1157" s="37"/>
      <c r="AM1157" s="181"/>
      <c r="AN1157" s="37"/>
      <c r="AO1157" s="37"/>
      <c r="AP1157" s="37"/>
      <c r="AQ1157" s="37"/>
      <c r="AR1157" s="37"/>
      <c r="AS1157" s="37"/>
      <c r="AT1157" s="37"/>
      <c r="AU1157" s="37"/>
      <c r="AV1157" s="37"/>
      <c r="AW1157" s="37"/>
      <c r="AX1157" s="37"/>
      <c r="AY1157" s="37"/>
      <c r="AZ1157" s="37"/>
    </row>
    <row r="1158" spans="1:52" ht="15.5" customHeight="1">
      <c r="A1158" s="360"/>
      <c r="B1158" s="340"/>
      <c r="C1158" s="181"/>
      <c r="D1158" s="30"/>
      <c r="E1158" s="30"/>
      <c r="F1158" s="30"/>
      <c r="G1158" s="37"/>
      <c r="H1158" s="37"/>
      <c r="I1158" s="37"/>
      <c r="J1158" s="37" t="s">
        <v>69</v>
      </c>
      <c r="K1158" s="325" t="s">
        <v>69</v>
      </c>
      <c r="L1158" s="181"/>
      <c r="M1158" s="181"/>
      <c r="N1158" s="37"/>
      <c r="O1158" s="31"/>
      <c r="P1158" s="37"/>
      <c r="Q1158" s="181"/>
      <c r="R1158" s="181"/>
      <c r="S1158" s="181"/>
      <c r="T1158" s="181"/>
      <c r="U1158" s="181"/>
      <c r="V1158" s="37"/>
      <c r="W1158" s="181"/>
      <c r="X1158" s="38"/>
      <c r="Y1158" s="38"/>
      <c r="Z1158" s="38"/>
      <c r="AA1158" s="38"/>
      <c r="AB1158" s="248"/>
      <c r="AC1158" s="250"/>
      <c r="AD1158" s="181"/>
      <c r="AE1158" s="37"/>
      <c r="AF1158" s="37"/>
      <c r="AG1158" s="33"/>
      <c r="AH1158" s="37"/>
      <c r="AI1158" s="37"/>
      <c r="AJ1158" s="181"/>
      <c r="AK1158" s="37"/>
      <c r="AL1158" s="37"/>
      <c r="AM1158" s="181"/>
      <c r="AN1158" s="37"/>
      <c r="AO1158" s="37"/>
      <c r="AP1158" s="37"/>
      <c r="AQ1158" s="37"/>
      <c r="AR1158" s="37"/>
      <c r="AS1158" s="37"/>
      <c r="AT1158" s="37"/>
      <c r="AU1158" s="37"/>
      <c r="AV1158" s="37"/>
      <c r="AW1158" s="37"/>
      <c r="AX1158" s="37"/>
      <c r="AY1158" s="37"/>
      <c r="AZ1158" s="37"/>
    </row>
    <row r="1159" spans="1:52" ht="15.5" customHeight="1">
      <c r="A1159" s="360"/>
      <c r="B1159" s="340"/>
      <c r="C1159" s="181"/>
      <c r="D1159" s="30"/>
      <c r="E1159" s="30"/>
      <c r="F1159" s="30"/>
      <c r="G1159" s="37"/>
      <c r="H1159" s="37"/>
      <c r="I1159" s="37"/>
      <c r="J1159" s="37" t="s">
        <v>69</v>
      </c>
      <c r="K1159" s="325" t="s">
        <v>69</v>
      </c>
      <c r="L1159" s="181"/>
      <c r="M1159" s="181"/>
      <c r="N1159" s="37"/>
      <c r="O1159" s="31"/>
      <c r="P1159" s="37"/>
      <c r="Q1159" s="181"/>
      <c r="R1159" s="181"/>
      <c r="S1159" s="181"/>
      <c r="T1159" s="181"/>
      <c r="U1159" s="181"/>
      <c r="V1159" s="37"/>
      <c r="W1159" s="181"/>
      <c r="X1159" s="38"/>
      <c r="Y1159" s="38"/>
      <c r="Z1159" s="38"/>
      <c r="AA1159" s="38"/>
      <c r="AB1159" s="248"/>
      <c r="AC1159" s="250"/>
      <c r="AD1159" s="181"/>
      <c r="AE1159" s="37"/>
      <c r="AF1159" s="37"/>
      <c r="AG1159" s="33"/>
      <c r="AH1159" s="37"/>
      <c r="AI1159" s="37"/>
      <c r="AJ1159" s="181"/>
      <c r="AK1159" s="37"/>
      <c r="AL1159" s="37"/>
      <c r="AM1159" s="181"/>
      <c r="AN1159" s="37"/>
      <c r="AO1159" s="37"/>
      <c r="AP1159" s="37"/>
      <c r="AQ1159" s="37"/>
      <c r="AR1159" s="37"/>
      <c r="AS1159" s="37"/>
      <c r="AT1159" s="37"/>
      <c r="AU1159" s="37"/>
      <c r="AV1159" s="37"/>
      <c r="AW1159" s="37"/>
      <c r="AX1159" s="37"/>
      <c r="AY1159" s="37"/>
      <c r="AZ1159" s="37"/>
    </row>
    <row r="1160" spans="1:52" ht="15.5" customHeight="1">
      <c r="A1160" s="360"/>
      <c r="B1160" s="340"/>
      <c r="C1160" s="181"/>
      <c r="D1160" s="30"/>
      <c r="E1160" s="30"/>
      <c r="F1160" s="30"/>
      <c r="G1160" s="37"/>
      <c r="H1160" s="37"/>
      <c r="I1160" s="37"/>
      <c r="J1160" s="37" t="s">
        <v>69</v>
      </c>
      <c r="K1160" s="325" t="s">
        <v>69</v>
      </c>
      <c r="L1160" s="181"/>
      <c r="M1160" s="181"/>
      <c r="N1160" s="37"/>
      <c r="O1160" s="31"/>
      <c r="P1160" s="37"/>
      <c r="Q1160" s="181"/>
      <c r="R1160" s="181"/>
      <c r="S1160" s="181"/>
      <c r="T1160" s="181"/>
      <c r="U1160" s="181"/>
      <c r="V1160" s="37"/>
      <c r="W1160" s="181"/>
      <c r="X1160" s="38"/>
      <c r="Y1160" s="38"/>
      <c r="Z1160" s="38"/>
      <c r="AA1160" s="38"/>
      <c r="AB1160" s="248"/>
      <c r="AC1160" s="250"/>
      <c r="AD1160" s="181"/>
      <c r="AE1160" s="37"/>
      <c r="AF1160" s="37"/>
      <c r="AG1160" s="33"/>
      <c r="AH1160" s="37"/>
      <c r="AI1160" s="37"/>
      <c r="AJ1160" s="181"/>
      <c r="AK1160" s="37"/>
      <c r="AL1160" s="37"/>
      <c r="AM1160" s="181"/>
      <c r="AN1160" s="37"/>
      <c r="AO1160" s="37"/>
      <c r="AP1160" s="37"/>
      <c r="AQ1160" s="37"/>
      <c r="AR1160" s="37"/>
      <c r="AS1160" s="37"/>
      <c r="AT1160" s="37"/>
      <c r="AU1160" s="37"/>
      <c r="AV1160" s="37"/>
      <c r="AW1160" s="37"/>
      <c r="AX1160" s="37"/>
      <c r="AY1160" s="37"/>
      <c r="AZ1160" s="37"/>
    </row>
    <row r="1161" spans="1:52" ht="15.5" customHeight="1">
      <c r="A1161" s="360"/>
      <c r="B1161" s="340"/>
      <c r="C1161" s="181"/>
      <c r="D1161" s="30"/>
      <c r="E1161" s="30"/>
      <c r="F1161" s="30"/>
      <c r="G1161" s="37"/>
      <c r="H1161" s="37"/>
      <c r="I1161" s="37"/>
      <c r="J1161" s="37" t="s">
        <v>69</v>
      </c>
      <c r="K1161" s="325" t="s">
        <v>69</v>
      </c>
      <c r="L1161" s="181"/>
      <c r="M1161" s="181"/>
      <c r="N1161" s="37"/>
      <c r="O1161" s="31"/>
      <c r="P1161" s="37"/>
      <c r="Q1161" s="181"/>
      <c r="R1161" s="181"/>
      <c r="S1161" s="181"/>
      <c r="T1161" s="181"/>
      <c r="U1161" s="181"/>
      <c r="V1161" s="37"/>
      <c r="W1161" s="181"/>
      <c r="X1161" s="38"/>
      <c r="Y1161" s="38"/>
      <c r="Z1161" s="38"/>
      <c r="AA1161" s="38"/>
      <c r="AB1161" s="248"/>
      <c r="AC1161" s="250"/>
      <c r="AD1161" s="181"/>
      <c r="AE1161" s="37"/>
      <c r="AF1161" s="37"/>
      <c r="AG1161" s="33"/>
      <c r="AH1161" s="37"/>
      <c r="AI1161" s="37"/>
      <c r="AJ1161" s="181"/>
      <c r="AK1161" s="37"/>
      <c r="AL1161" s="37"/>
      <c r="AM1161" s="181"/>
      <c r="AN1161" s="37"/>
      <c r="AO1161" s="37"/>
      <c r="AP1161" s="37"/>
      <c r="AQ1161" s="37"/>
      <c r="AR1161" s="37"/>
      <c r="AS1161" s="37"/>
      <c r="AT1161" s="37"/>
      <c r="AU1161" s="37"/>
      <c r="AV1161" s="37"/>
      <c r="AW1161" s="37"/>
      <c r="AX1161" s="37"/>
      <c r="AY1161" s="37"/>
      <c r="AZ1161" s="37"/>
    </row>
    <row r="1162" spans="1:52" ht="15.5" customHeight="1">
      <c r="A1162" s="360"/>
      <c r="B1162" s="340"/>
      <c r="C1162" s="181"/>
      <c r="D1162" s="30"/>
      <c r="E1162" s="30"/>
      <c r="F1162" s="30"/>
      <c r="G1162" s="37"/>
      <c r="H1162" s="37"/>
      <c r="I1162" s="37"/>
      <c r="J1162" s="37" t="s">
        <v>69</v>
      </c>
      <c r="K1162" s="325" t="s">
        <v>69</v>
      </c>
      <c r="L1162" s="181"/>
      <c r="M1162" s="181"/>
      <c r="N1162" s="37"/>
      <c r="O1162" s="31"/>
      <c r="P1162" s="37"/>
      <c r="Q1162" s="181"/>
      <c r="R1162" s="181"/>
      <c r="S1162" s="181"/>
      <c r="T1162" s="181"/>
      <c r="U1162" s="181"/>
      <c r="V1162" s="37"/>
      <c r="W1162" s="181"/>
      <c r="X1162" s="38"/>
      <c r="Y1162" s="38"/>
      <c r="Z1162" s="38"/>
      <c r="AA1162" s="38"/>
      <c r="AB1162" s="248"/>
      <c r="AC1162" s="250"/>
      <c r="AD1162" s="181"/>
      <c r="AE1162" s="37"/>
      <c r="AF1162" s="37"/>
      <c r="AG1162" s="33"/>
      <c r="AH1162" s="37"/>
      <c r="AI1162" s="37"/>
      <c r="AJ1162" s="181"/>
      <c r="AK1162" s="37"/>
      <c r="AL1162" s="37"/>
      <c r="AM1162" s="181"/>
      <c r="AN1162" s="37"/>
      <c r="AO1162" s="37"/>
      <c r="AP1162" s="37"/>
      <c r="AQ1162" s="37"/>
      <c r="AR1162" s="37"/>
      <c r="AS1162" s="37"/>
      <c r="AT1162" s="37"/>
      <c r="AU1162" s="37"/>
      <c r="AV1162" s="37"/>
      <c r="AW1162" s="37"/>
      <c r="AX1162" s="37"/>
      <c r="AY1162" s="37"/>
      <c r="AZ1162" s="37"/>
    </row>
    <row r="1163" spans="1:52" ht="15.5" customHeight="1">
      <c r="A1163" s="360"/>
      <c r="B1163" s="340"/>
      <c r="C1163" s="181"/>
      <c r="D1163" s="30"/>
      <c r="E1163" s="30"/>
      <c r="F1163" s="30"/>
      <c r="G1163" s="37"/>
      <c r="H1163" s="37"/>
      <c r="I1163" s="37"/>
      <c r="J1163" s="37" t="s">
        <v>69</v>
      </c>
      <c r="K1163" s="325" t="s">
        <v>69</v>
      </c>
      <c r="L1163" s="181"/>
      <c r="M1163" s="181"/>
      <c r="N1163" s="37"/>
      <c r="O1163" s="31"/>
      <c r="P1163" s="37"/>
      <c r="Q1163" s="181"/>
      <c r="R1163" s="181"/>
      <c r="S1163" s="181"/>
      <c r="T1163" s="181"/>
      <c r="U1163" s="181"/>
      <c r="V1163" s="37"/>
      <c r="W1163" s="181"/>
      <c r="X1163" s="38"/>
      <c r="Y1163" s="38"/>
      <c r="Z1163" s="38"/>
      <c r="AA1163" s="38"/>
      <c r="AB1163" s="248"/>
      <c r="AC1163" s="250"/>
      <c r="AD1163" s="181"/>
      <c r="AE1163" s="37"/>
      <c r="AF1163" s="37"/>
      <c r="AG1163" s="33"/>
      <c r="AH1163" s="37"/>
      <c r="AI1163" s="37"/>
      <c r="AJ1163" s="181"/>
      <c r="AK1163" s="37"/>
      <c r="AL1163" s="37"/>
      <c r="AM1163" s="181"/>
      <c r="AN1163" s="37"/>
      <c r="AO1163" s="37"/>
      <c r="AP1163" s="37"/>
      <c r="AQ1163" s="37"/>
      <c r="AR1163" s="37"/>
      <c r="AS1163" s="37"/>
      <c r="AT1163" s="37"/>
      <c r="AU1163" s="37"/>
      <c r="AV1163" s="37"/>
      <c r="AW1163" s="37"/>
      <c r="AX1163" s="37"/>
      <c r="AY1163" s="37"/>
      <c r="AZ1163" s="37"/>
    </row>
    <row r="1164" spans="1:52" ht="15.5" customHeight="1">
      <c r="A1164" s="360"/>
      <c r="B1164" s="340"/>
      <c r="C1164" s="181"/>
      <c r="D1164" s="30"/>
      <c r="E1164" s="30"/>
      <c r="F1164" s="30"/>
      <c r="G1164" s="37"/>
      <c r="H1164" s="37"/>
      <c r="I1164" s="37"/>
      <c r="J1164" s="37" t="s">
        <v>69</v>
      </c>
      <c r="K1164" s="325" t="s">
        <v>69</v>
      </c>
      <c r="L1164" s="181"/>
      <c r="M1164" s="181"/>
      <c r="N1164" s="37"/>
      <c r="O1164" s="31"/>
      <c r="P1164" s="37"/>
      <c r="Q1164" s="181"/>
      <c r="R1164" s="181"/>
      <c r="S1164" s="181"/>
      <c r="T1164" s="181"/>
      <c r="U1164" s="181"/>
      <c r="V1164" s="37"/>
      <c r="W1164" s="181"/>
      <c r="X1164" s="38"/>
      <c r="Y1164" s="38"/>
      <c r="Z1164" s="38"/>
      <c r="AA1164" s="38"/>
      <c r="AB1164" s="248"/>
      <c r="AC1164" s="250"/>
      <c r="AD1164" s="181"/>
      <c r="AE1164" s="37"/>
      <c r="AF1164" s="37"/>
      <c r="AG1164" s="33"/>
      <c r="AH1164" s="37"/>
      <c r="AI1164" s="37"/>
      <c r="AJ1164" s="181"/>
      <c r="AK1164" s="37"/>
      <c r="AL1164" s="37"/>
      <c r="AM1164" s="181"/>
      <c r="AN1164" s="37"/>
      <c r="AO1164" s="37"/>
      <c r="AP1164" s="37"/>
      <c r="AQ1164" s="37"/>
      <c r="AR1164" s="37"/>
      <c r="AS1164" s="37"/>
      <c r="AT1164" s="37"/>
      <c r="AU1164" s="37"/>
      <c r="AV1164" s="37"/>
      <c r="AW1164" s="37"/>
      <c r="AX1164" s="37"/>
      <c r="AY1164" s="37"/>
      <c r="AZ1164" s="37"/>
    </row>
    <row r="1165" spans="1:52" ht="15.5" customHeight="1">
      <c r="A1165" s="360"/>
      <c r="B1165" s="340"/>
      <c r="C1165" s="181"/>
      <c r="D1165" s="30"/>
      <c r="E1165" s="30"/>
      <c r="F1165" s="30"/>
      <c r="G1165" s="37"/>
      <c r="H1165" s="37"/>
      <c r="I1165" s="37"/>
      <c r="J1165" s="37" t="s">
        <v>69</v>
      </c>
      <c r="K1165" s="325" t="s">
        <v>69</v>
      </c>
      <c r="L1165" s="181"/>
      <c r="M1165" s="181"/>
      <c r="N1165" s="37"/>
      <c r="O1165" s="31"/>
      <c r="P1165" s="37"/>
      <c r="Q1165" s="181"/>
      <c r="R1165" s="181"/>
      <c r="S1165" s="181"/>
      <c r="T1165" s="181"/>
      <c r="U1165" s="181"/>
      <c r="V1165" s="37"/>
      <c r="W1165" s="181"/>
      <c r="X1165" s="38"/>
      <c r="Y1165" s="38"/>
      <c r="Z1165" s="38"/>
      <c r="AA1165" s="38"/>
      <c r="AB1165" s="248"/>
      <c r="AC1165" s="250"/>
      <c r="AD1165" s="181"/>
      <c r="AE1165" s="37"/>
      <c r="AF1165" s="37"/>
      <c r="AG1165" s="33"/>
      <c r="AH1165" s="37"/>
      <c r="AI1165" s="37"/>
      <c r="AJ1165" s="181"/>
      <c r="AK1165" s="37"/>
      <c r="AL1165" s="37"/>
      <c r="AM1165" s="181"/>
      <c r="AN1165" s="37"/>
      <c r="AO1165" s="37"/>
      <c r="AP1165" s="37"/>
      <c r="AQ1165" s="37"/>
      <c r="AR1165" s="37"/>
      <c r="AS1165" s="37"/>
      <c r="AT1165" s="37"/>
      <c r="AU1165" s="37"/>
      <c r="AV1165" s="37"/>
      <c r="AW1165" s="37"/>
      <c r="AX1165" s="37"/>
      <c r="AY1165" s="37"/>
      <c r="AZ1165" s="37"/>
    </row>
    <row r="1166" spans="1:52" ht="15.5" customHeight="1">
      <c r="A1166" s="360"/>
      <c r="B1166" s="340"/>
      <c r="C1166" s="181"/>
      <c r="D1166" s="30"/>
      <c r="E1166" s="30"/>
      <c r="F1166" s="30"/>
      <c r="G1166" s="37"/>
      <c r="H1166" s="37"/>
      <c r="I1166" s="37"/>
      <c r="J1166" s="37" t="s">
        <v>69</v>
      </c>
      <c r="K1166" s="325" t="s">
        <v>69</v>
      </c>
      <c r="L1166" s="181"/>
      <c r="M1166" s="181"/>
      <c r="N1166" s="37"/>
      <c r="O1166" s="31"/>
      <c r="P1166" s="37"/>
      <c r="Q1166" s="181"/>
      <c r="R1166" s="181"/>
      <c r="S1166" s="181"/>
      <c r="T1166" s="181"/>
      <c r="U1166" s="181"/>
      <c r="V1166" s="37"/>
      <c r="W1166" s="181"/>
      <c r="X1166" s="38"/>
      <c r="Y1166" s="38"/>
      <c r="Z1166" s="38"/>
      <c r="AA1166" s="38"/>
      <c r="AB1166" s="248"/>
      <c r="AC1166" s="250"/>
      <c r="AD1166" s="181"/>
      <c r="AE1166" s="37"/>
      <c r="AF1166" s="37"/>
      <c r="AG1166" s="33"/>
      <c r="AH1166" s="37"/>
      <c r="AI1166" s="37"/>
      <c r="AJ1166" s="181"/>
      <c r="AK1166" s="37"/>
      <c r="AL1166" s="37"/>
      <c r="AM1166" s="181"/>
      <c r="AN1166" s="37"/>
      <c r="AO1166" s="37"/>
      <c r="AP1166" s="37"/>
      <c r="AQ1166" s="37"/>
      <c r="AR1166" s="37"/>
      <c r="AS1166" s="37"/>
      <c r="AT1166" s="37"/>
      <c r="AU1166" s="37"/>
      <c r="AV1166" s="37"/>
      <c r="AW1166" s="37"/>
      <c r="AX1166" s="37"/>
      <c r="AY1166" s="37"/>
      <c r="AZ1166" s="37"/>
    </row>
    <row r="1167" spans="1:52" ht="15.5" customHeight="1">
      <c r="A1167" s="360"/>
      <c r="B1167" s="340"/>
      <c r="C1167" s="181"/>
      <c r="D1167" s="30"/>
      <c r="E1167" s="30"/>
      <c r="F1167" s="30"/>
      <c r="G1167" s="37"/>
      <c r="H1167" s="37"/>
      <c r="I1167" s="37"/>
      <c r="J1167" s="37" t="s">
        <v>69</v>
      </c>
      <c r="K1167" s="325" t="s">
        <v>69</v>
      </c>
      <c r="L1167" s="181"/>
      <c r="M1167" s="181"/>
      <c r="N1167" s="37"/>
      <c r="O1167" s="31"/>
      <c r="P1167" s="37"/>
      <c r="Q1167" s="181"/>
      <c r="R1167" s="181"/>
      <c r="S1167" s="181"/>
      <c r="T1167" s="181"/>
      <c r="U1167" s="181"/>
      <c r="V1167" s="37"/>
      <c r="W1167" s="181"/>
      <c r="X1167" s="38"/>
      <c r="Y1167" s="38"/>
      <c r="Z1167" s="38"/>
      <c r="AA1167" s="38"/>
      <c r="AB1167" s="248"/>
      <c r="AC1167" s="250"/>
      <c r="AD1167" s="181"/>
      <c r="AE1167" s="37"/>
      <c r="AF1167" s="37"/>
      <c r="AG1167" s="33"/>
      <c r="AH1167" s="37"/>
      <c r="AI1167" s="37"/>
      <c r="AJ1167" s="181"/>
      <c r="AK1167" s="37"/>
      <c r="AL1167" s="37"/>
      <c r="AM1167" s="181"/>
      <c r="AN1167" s="37"/>
      <c r="AO1167" s="37"/>
      <c r="AP1167" s="37"/>
      <c r="AQ1167" s="37"/>
      <c r="AR1167" s="37"/>
      <c r="AS1167" s="37"/>
      <c r="AT1167" s="37"/>
      <c r="AU1167" s="37"/>
      <c r="AV1167" s="37"/>
      <c r="AW1167" s="37"/>
      <c r="AX1167" s="37"/>
      <c r="AY1167" s="37"/>
      <c r="AZ1167" s="37"/>
    </row>
    <row r="1168" spans="1:52" ht="15.5" customHeight="1">
      <c r="A1168" s="360"/>
      <c r="B1168" s="340"/>
      <c r="C1168" s="181"/>
      <c r="D1168" s="30"/>
      <c r="E1168" s="30"/>
      <c r="F1168" s="30"/>
      <c r="G1168" s="37"/>
      <c r="H1168" s="37"/>
      <c r="I1168" s="37"/>
      <c r="J1168" s="37" t="s">
        <v>69</v>
      </c>
      <c r="K1168" s="325" t="s">
        <v>69</v>
      </c>
      <c r="L1168" s="181"/>
      <c r="M1168" s="181"/>
      <c r="N1168" s="37"/>
      <c r="O1168" s="31"/>
      <c r="P1168" s="37"/>
      <c r="Q1168" s="181"/>
      <c r="R1168" s="181"/>
      <c r="S1168" s="181"/>
      <c r="T1168" s="181"/>
      <c r="U1168" s="181"/>
      <c r="V1168" s="37"/>
      <c r="W1168" s="181"/>
      <c r="X1168" s="38"/>
      <c r="Y1168" s="38"/>
      <c r="Z1168" s="38"/>
      <c r="AA1168" s="38"/>
      <c r="AB1168" s="248"/>
      <c r="AC1168" s="250"/>
      <c r="AD1168" s="181"/>
      <c r="AE1168" s="37"/>
      <c r="AF1168" s="37"/>
      <c r="AG1168" s="33"/>
      <c r="AH1168" s="37"/>
      <c r="AI1168" s="37"/>
      <c r="AJ1168" s="181"/>
      <c r="AK1168" s="37"/>
      <c r="AL1168" s="37"/>
      <c r="AM1168" s="181"/>
      <c r="AN1168" s="37"/>
      <c r="AO1168" s="37"/>
      <c r="AP1168" s="37"/>
      <c r="AQ1168" s="37"/>
      <c r="AR1168" s="37"/>
      <c r="AS1168" s="37"/>
      <c r="AT1168" s="37"/>
      <c r="AU1168" s="37"/>
      <c r="AV1168" s="37"/>
      <c r="AW1168" s="37"/>
      <c r="AX1168" s="37"/>
      <c r="AY1168" s="37"/>
      <c r="AZ1168" s="37"/>
    </row>
    <row r="1169" spans="1:52" ht="15.5" customHeight="1">
      <c r="A1169" s="360"/>
      <c r="B1169" s="340"/>
      <c r="C1169" s="181"/>
      <c r="D1169" s="30"/>
      <c r="E1169" s="30"/>
      <c r="F1169" s="30"/>
      <c r="G1169" s="37"/>
      <c r="H1169" s="37"/>
      <c r="I1169" s="37"/>
      <c r="J1169" s="37" t="s">
        <v>69</v>
      </c>
      <c r="K1169" s="325" t="s">
        <v>69</v>
      </c>
      <c r="L1169" s="181"/>
      <c r="M1169" s="181"/>
      <c r="N1169" s="37"/>
      <c r="O1169" s="31"/>
      <c r="P1169" s="37"/>
      <c r="Q1169" s="181"/>
      <c r="R1169" s="181"/>
      <c r="S1169" s="181"/>
      <c r="T1169" s="181"/>
      <c r="U1169" s="181"/>
      <c r="V1169" s="37"/>
      <c r="W1169" s="181"/>
      <c r="X1169" s="38"/>
      <c r="Y1169" s="38"/>
      <c r="Z1169" s="38"/>
      <c r="AA1169" s="38"/>
      <c r="AB1169" s="248"/>
      <c r="AC1169" s="250"/>
      <c r="AD1169" s="181"/>
      <c r="AE1169" s="37"/>
      <c r="AF1169" s="37"/>
      <c r="AG1169" s="33"/>
      <c r="AH1169" s="37"/>
      <c r="AI1169" s="37"/>
      <c r="AJ1169" s="181"/>
      <c r="AK1169" s="37"/>
      <c r="AL1169" s="37"/>
      <c r="AM1169" s="181"/>
      <c r="AN1169" s="37"/>
      <c r="AO1169" s="37"/>
      <c r="AP1169" s="37"/>
      <c r="AQ1169" s="37"/>
      <c r="AR1169" s="37"/>
      <c r="AS1169" s="37"/>
      <c r="AT1169" s="37"/>
      <c r="AU1169" s="37"/>
      <c r="AV1169" s="37"/>
      <c r="AW1169" s="37"/>
      <c r="AX1169" s="37"/>
      <c r="AY1169" s="37"/>
      <c r="AZ1169" s="37"/>
    </row>
    <row r="1170" spans="1:52" ht="15.5" customHeight="1">
      <c r="A1170" s="360"/>
      <c r="B1170" s="340"/>
      <c r="C1170" s="181"/>
      <c r="D1170" s="30"/>
      <c r="E1170" s="30"/>
      <c r="F1170" s="30"/>
      <c r="G1170" s="37"/>
      <c r="H1170" s="37"/>
      <c r="I1170" s="37"/>
      <c r="J1170" s="37" t="s">
        <v>69</v>
      </c>
      <c r="K1170" s="325" t="s">
        <v>69</v>
      </c>
      <c r="L1170" s="181"/>
      <c r="M1170" s="181"/>
      <c r="N1170" s="37"/>
      <c r="O1170" s="31"/>
      <c r="P1170" s="37"/>
      <c r="Q1170" s="181"/>
      <c r="R1170" s="181"/>
      <c r="S1170" s="181"/>
      <c r="T1170" s="181"/>
      <c r="U1170" s="181"/>
      <c r="V1170" s="37"/>
      <c r="W1170" s="181"/>
      <c r="X1170" s="38"/>
      <c r="Y1170" s="38"/>
      <c r="Z1170" s="38"/>
      <c r="AA1170" s="38"/>
      <c r="AB1170" s="248"/>
      <c r="AC1170" s="250"/>
      <c r="AD1170" s="181"/>
      <c r="AE1170" s="37"/>
      <c r="AF1170" s="37"/>
      <c r="AG1170" s="33"/>
      <c r="AH1170" s="37"/>
      <c r="AI1170" s="37"/>
      <c r="AJ1170" s="181"/>
      <c r="AK1170" s="37"/>
      <c r="AL1170" s="37"/>
      <c r="AM1170" s="181"/>
      <c r="AN1170" s="37"/>
      <c r="AO1170" s="37"/>
      <c r="AP1170" s="37"/>
      <c r="AQ1170" s="37"/>
      <c r="AR1170" s="37"/>
      <c r="AS1170" s="37"/>
      <c r="AT1170" s="37"/>
      <c r="AU1170" s="37"/>
      <c r="AV1170" s="37"/>
      <c r="AW1170" s="37"/>
      <c r="AX1170" s="37"/>
      <c r="AY1170" s="37"/>
      <c r="AZ1170" s="37"/>
    </row>
    <row r="1171" spans="1:52" ht="15.5" customHeight="1">
      <c r="A1171" s="360"/>
      <c r="B1171" s="340"/>
      <c r="C1171" s="181"/>
      <c r="D1171" s="30"/>
      <c r="E1171" s="30"/>
      <c r="F1171" s="30"/>
      <c r="G1171" s="37"/>
      <c r="H1171" s="37"/>
      <c r="I1171" s="37"/>
      <c r="J1171" s="37" t="s">
        <v>69</v>
      </c>
      <c r="K1171" s="325" t="s">
        <v>69</v>
      </c>
      <c r="L1171" s="181"/>
      <c r="M1171" s="181"/>
      <c r="N1171" s="37"/>
      <c r="O1171" s="31"/>
      <c r="P1171" s="37"/>
      <c r="Q1171" s="181"/>
      <c r="R1171" s="181"/>
      <c r="S1171" s="181"/>
      <c r="T1171" s="181"/>
      <c r="U1171" s="181"/>
      <c r="V1171" s="37"/>
      <c r="W1171" s="181"/>
      <c r="X1171" s="38"/>
      <c r="Y1171" s="38"/>
      <c r="Z1171" s="38"/>
      <c r="AA1171" s="38"/>
      <c r="AB1171" s="248"/>
      <c r="AC1171" s="250"/>
      <c r="AD1171" s="181"/>
      <c r="AE1171" s="37"/>
      <c r="AF1171" s="37"/>
      <c r="AG1171" s="33"/>
      <c r="AH1171" s="37"/>
      <c r="AI1171" s="37"/>
      <c r="AJ1171" s="181"/>
      <c r="AK1171" s="37"/>
      <c r="AL1171" s="37"/>
      <c r="AM1171" s="181"/>
      <c r="AN1171" s="37"/>
      <c r="AO1171" s="37"/>
      <c r="AP1171" s="37"/>
      <c r="AQ1171" s="37"/>
      <c r="AR1171" s="37"/>
      <c r="AS1171" s="37"/>
      <c r="AT1171" s="37"/>
      <c r="AU1171" s="37"/>
      <c r="AV1171" s="37"/>
      <c r="AW1171" s="37"/>
      <c r="AX1171" s="37"/>
      <c r="AY1171" s="37"/>
      <c r="AZ1171" s="37"/>
    </row>
    <row r="1172" spans="1:52" ht="15.5" customHeight="1">
      <c r="A1172" s="360"/>
      <c r="B1172" s="340"/>
      <c r="C1172" s="181"/>
      <c r="D1172" s="30"/>
      <c r="E1172" s="30"/>
      <c r="F1172" s="30"/>
      <c r="G1172" s="37"/>
      <c r="H1172" s="37"/>
      <c r="I1172" s="37"/>
      <c r="J1172" s="37" t="s">
        <v>69</v>
      </c>
      <c r="K1172" s="325" t="s">
        <v>69</v>
      </c>
      <c r="L1172" s="181"/>
      <c r="M1172" s="181"/>
      <c r="N1172" s="37"/>
      <c r="O1172" s="31"/>
      <c r="P1172" s="37"/>
      <c r="Q1172" s="181"/>
      <c r="R1172" s="181"/>
      <c r="S1172" s="181"/>
      <c r="T1172" s="181"/>
      <c r="U1172" s="181"/>
      <c r="V1172" s="37"/>
      <c r="W1172" s="181"/>
      <c r="X1172" s="38"/>
      <c r="Y1172" s="38"/>
      <c r="Z1172" s="38"/>
      <c r="AA1172" s="38"/>
      <c r="AB1172" s="248"/>
      <c r="AC1172" s="250"/>
      <c r="AD1172" s="181"/>
      <c r="AE1172" s="37"/>
      <c r="AF1172" s="37"/>
      <c r="AG1172" s="33"/>
      <c r="AH1172" s="37"/>
      <c r="AI1172" s="37"/>
      <c r="AJ1172" s="181"/>
      <c r="AK1172" s="37"/>
      <c r="AL1172" s="37"/>
      <c r="AM1172" s="181"/>
      <c r="AN1172" s="37"/>
      <c r="AO1172" s="37"/>
      <c r="AP1172" s="37"/>
      <c r="AQ1172" s="37"/>
      <c r="AR1172" s="37"/>
      <c r="AS1172" s="37"/>
      <c r="AT1172" s="37"/>
      <c r="AU1172" s="37"/>
      <c r="AV1172" s="37"/>
      <c r="AW1172" s="37"/>
      <c r="AX1172" s="37"/>
      <c r="AY1172" s="37"/>
      <c r="AZ1172" s="37"/>
    </row>
    <row r="1173" spans="1:52" ht="15.5" customHeight="1">
      <c r="A1173" s="360"/>
      <c r="B1173" s="340"/>
      <c r="C1173" s="181"/>
      <c r="D1173" s="30"/>
      <c r="E1173" s="30"/>
      <c r="F1173" s="30"/>
      <c r="G1173" s="37"/>
      <c r="H1173" s="37"/>
      <c r="I1173" s="37"/>
      <c r="J1173" s="37" t="s">
        <v>69</v>
      </c>
      <c r="K1173" s="325" t="s">
        <v>69</v>
      </c>
      <c r="L1173" s="181"/>
      <c r="M1173" s="181"/>
      <c r="N1173" s="37"/>
      <c r="O1173" s="31"/>
      <c r="P1173" s="37"/>
      <c r="Q1173" s="181"/>
      <c r="R1173" s="181"/>
      <c r="S1173" s="181"/>
      <c r="T1173" s="181"/>
      <c r="U1173" s="181"/>
      <c r="V1173" s="37"/>
      <c r="W1173" s="181"/>
      <c r="X1173" s="38"/>
      <c r="Y1173" s="38"/>
      <c r="Z1173" s="38"/>
      <c r="AA1173" s="38"/>
      <c r="AB1173" s="248"/>
      <c r="AC1173" s="250"/>
      <c r="AD1173" s="181"/>
      <c r="AE1173" s="37"/>
      <c r="AF1173" s="37"/>
      <c r="AG1173" s="33"/>
      <c r="AH1173" s="37"/>
      <c r="AI1173" s="37"/>
      <c r="AJ1173" s="181"/>
      <c r="AK1173" s="37"/>
      <c r="AL1173" s="37"/>
      <c r="AM1173" s="181"/>
      <c r="AN1173" s="37"/>
      <c r="AO1173" s="37"/>
      <c r="AP1173" s="37"/>
      <c r="AQ1173" s="37"/>
      <c r="AR1173" s="37"/>
      <c r="AS1173" s="37"/>
      <c r="AT1173" s="37"/>
      <c r="AU1173" s="37"/>
      <c r="AV1173" s="37"/>
      <c r="AW1173" s="37"/>
      <c r="AX1173" s="37"/>
      <c r="AY1173" s="37"/>
      <c r="AZ1173" s="37"/>
    </row>
    <row r="1174" spans="1:52" ht="15.5" customHeight="1">
      <c r="A1174" s="360"/>
      <c r="B1174" s="340"/>
      <c r="C1174" s="181"/>
      <c r="D1174" s="30"/>
      <c r="E1174" s="30"/>
      <c r="F1174" s="30"/>
      <c r="G1174" s="37"/>
      <c r="H1174" s="37"/>
      <c r="I1174" s="37"/>
      <c r="J1174" s="37" t="s">
        <v>69</v>
      </c>
      <c r="K1174" s="325" t="s">
        <v>69</v>
      </c>
      <c r="L1174" s="181"/>
      <c r="M1174" s="181"/>
      <c r="N1174" s="37"/>
      <c r="O1174" s="31"/>
      <c r="P1174" s="37"/>
      <c r="Q1174" s="181"/>
      <c r="R1174" s="181"/>
      <c r="S1174" s="181"/>
      <c r="T1174" s="181"/>
      <c r="U1174" s="181"/>
      <c r="V1174" s="37"/>
      <c r="W1174" s="181"/>
      <c r="X1174" s="38"/>
      <c r="Y1174" s="38"/>
      <c r="Z1174" s="38"/>
      <c r="AA1174" s="38"/>
      <c r="AB1174" s="248"/>
      <c r="AC1174" s="250"/>
      <c r="AD1174" s="181"/>
      <c r="AE1174" s="37"/>
      <c r="AF1174" s="37"/>
      <c r="AG1174" s="33"/>
      <c r="AH1174" s="37"/>
      <c r="AI1174" s="37"/>
      <c r="AJ1174" s="181"/>
      <c r="AK1174" s="37"/>
      <c r="AL1174" s="37"/>
      <c r="AM1174" s="181"/>
      <c r="AN1174" s="37"/>
      <c r="AO1174" s="37"/>
      <c r="AP1174" s="37"/>
      <c r="AQ1174" s="37"/>
      <c r="AR1174" s="37"/>
      <c r="AS1174" s="37"/>
      <c r="AT1174" s="37"/>
      <c r="AU1174" s="37"/>
      <c r="AV1174" s="37"/>
      <c r="AW1174" s="37"/>
      <c r="AX1174" s="37"/>
      <c r="AY1174" s="37"/>
      <c r="AZ1174" s="37"/>
    </row>
    <row r="1175" spans="1:52" ht="15.5" customHeight="1">
      <c r="A1175" s="360"/>
      <c r="B1175" s="340"/>
      <c r="C1175" s="181"/>
      <c r="D1175" s="30"/>
      <c r="E1175" s="30"/>
      <c r="F1175" s="30"/>
      <c r="G1175" s="37"/>
      <c r="H1175" s="37"/>
      <c r="I1175" s="37"/>
      <c r="J1175" s="37" t="s">
        <v>69</v>
      </c>
      <c r="K1175" s="325" t="s">
        <v>69</v>
      </c>
      <c r="L1175" s="181"/>
      <c r="M1175" s="181"/>
      <c r="N1175" s="37"/>
      <c r="O1175" s="31"/>
      <c r="P1175" s="37"/>
      <c r="Q1175" s="181"/>
      <c r="R1175" s="181"/>
      <c r="S1175" s="181"/>
      <c r="T1175" s="181"/>
      <c r="U1175" s="181"/>
      <c r="V1175" s="37"/>
      <c r="W1175" s="181"/>
      <c r="X1175" s="38"/>
      <c r="Y1175" s="38"/>
      <c r="Z1175" s="38"/>
      <c r="AA1175" s="38"/>
      <c r="AB1175" s="248"/>
      <c r="AC1175" s="250"/>
      <c r="AD1175" s="181"/>
      <c r="AE1175" s="37"/>
      <c r="AF1175" s="37"/>
      <c r="AG1175" s="33"/>
      <c r="AH1175" s="37"/>
      <c r="AI1175" s="37"/>
      <c r="AJ1175" s="181"/>
      <c r="AK1175" s="37"/>
      <c r="AL1175" s="37"/>
      <c r="AM1175" s="181"/>
      <c r="AN1175" s="37"/>
      <c r="AO1175" s="37"/>
      <c r="AP1175" s="37"/>
      <c r="AQ1175" s="37"/>
      <c r="AR1175" s="37"/>
      <c r="AS1175" s="37"/>
      <c r="AT1175" s="37"/>
      <c r="AU1175" s="37"/>
      <c r="AV1175" s="37"/>
      <c r="AW1175" s="37"/>
      <c r="AX1175" s="37"/>
      <c r="AY1175" s="37"/>
      <c r="AZ1175" s="37"/>
    </row>
    <row r="1176" spans="1:52" ht="15.5" customHeight="1">
      <c r="A1176" s="360"/>
      <c r="B1176" s="340"/>
      <c r="C1176" s="181"/>
      <c r="D1176" s="30"/>
      <c r="E1176" s="30"/>
      <c r="F1176" s="30"/>
      <c r="G1176" s="37"/>
      <c r="H1176" s="37"/>
      <c r="I1176" s="37"/>
      <c r="J1176" s="37" t="s">
        <v>69</v>
      </c>
      <c r="K1176" s="325" t="s">
        <v>69</v>
      </c>
      <c r="L1176" s="181"/>
      <c r="M1176" s="181"/>
      <c r="N1176" s="37"/>
      <c r="O1176" s="31"/>
      <c r="P1176" s="37"/>
      <c r="Q1176" s="181"/>
      <c r="R1176" s="181"/>
      <c r="S1176" s="181"/>
      <c r="T1176" s="181"/>
      <c r="U1176" s="181"/>
      <c r="V1176" s="37"/>
      <c r="W1176" s="181"/>
      <c r="X1176" s="38"/>
      <c r="Y1176" s="38"/>
      <c r="Z1176" s="38"/>
      <c r="AA1176" s="38"/>
      <c r="AB1176" s="248"/>
      <c r="AC1176" s="250"/>
      <c r="AD1176" s="181"/>
      <c r="AE1176" s="37"/>
      <c r="AF1176" s="37"/>
      <c r="AG1176" s="33"/>
      <c r="AH1176" s="37"/>
      <c r="AI1176" s="37"/>
      <c r="AJ1176" s="181"/>
      <c r="AK1176" s="37"/>
      <c r="AL1176" s="37"/>
      <c r="AM1176" s="181"/>
      <c r="AN1176" s="37"/>
      <c r="AO1176" s="37"/>
      <c r="AP1176" s="37"/>
      <c r="AQ1176" s="37"/>
      <c r="AR1176" s="37"/>
      <c r="AS1176" s="37"/>
      <c r="AT1176" s="37"/>
      <c r="AU1176" s="37"/>
      <c r="AV1176" s="37"/>
      <c r="AW1176" s="37"/>
      <c r="AX1176" s="37"/>
      <c r="AY1176" s="37"/>
      <c r="AZ1176" s="37"/>
    </row>
    <row r="1177" spans="1:52" ht="15.5" customHeight="1">
      <c r="A1177" s="360"/>
      <c r="B1177" s="340"/>
      <c r="C1177" s="181"/>
      <c r="D1177" s="30"/>
      <c r="E1177" s="30"/>
      <c r="F1177" s="30"/>
      <c r="G1177" s="37"/>
      <c r="H1177" s="37"/>
      <c r="I1177" s="37"/>
      <c r="J1177" s="37" t="s">
        <v>69</v>
      </c>
      <c r="K1177" s="325" t="s">
        <v>69</v>
      </c>
      <c r="L1177" s="181"/>
      <c r="M1177" s="181"/>
      <c r="N1177" s="37"/>
      <c r="O1177" s="31"/>
      <c r="P1177" s="37"/>
      <c r="Q1177" s="181"/>
      <c r="R1177" s="181"/>
      <c r="S1177" s="181"/>
      <c r="T1177" s="181"/>
      <c r="U1177" s="181"/>
      <c r="V1177" s="37"/>
      <c r="W1177" s="181"/>
      <c r="X1177" s="38"/>
      <c r="Y1177" s="38"/>
      <c r="Z1177" s="38"/>
      <c r="AA1177" s="38"/>
      <c r="AB1177" s="248"/>
      <c r="AC1177" s="250"/>
      <c r="AD1177" s="181"/>
      <c r="AE1177" s="37"/>
      <c r="AF1177" s="37"/>
      <c r="AG1177" s="33"/>
      <c r="AH1177" s="37"/>
      <c r="AI1177" s="37"/>
      <c r="AJ1177" s="181"/>
      <c r="AK1177" s="37"/>
      <c r="AL1177" s="37"/>
      <c r="AM1177" s="181"/>
      <c r="AN1177" s="37"/>
      <c r="AO1177" s="37"/>
      <c r="AP1177" s="37"/>
      <c r="AQ1177" s="37"/>
      <c r="AR1177" s="37"/>
      <c r="AS1177" s="37"/>
      <c r="AT1177" s="37"/>
      <c r="AU1177" s="37"/>
      <c r="AV1177" s="37"/>
      <c r="AW1177" s="37"/>
      <c r="AX1177" s="37"/>
      <c r="AY1177" s="37"/>
      <c r="AZ1177" s="37"/>
    </row>
    <row r="1178" spans="1:52" ht="15.5" customHeight="1">
      <c r="A1178" s="360"/>
      <c r="B1178" s="340"/>
      <c r="C1178" s="181"/>
      <c r="D1178" s="30"/>
      <c r="E1178" s="30"/>
      <c r="F1178" s="30"/>
      <c r="G1178" s="37"/>
      <c r="H1178" s="37"/>
      <c r="I1178" s="37"/>
      <c r="J1178" s="37" t="s">
        <v>69</v>
      </c>
      <c r="K1178" s="325" t="s">
        <v>69</v>
      </c>
      <c r="L1178" s="181"/>
      <c r="M1178" s="181"/>
      <c r="N1178" s="37"/>
      <c r="O1178" s="31"/>
      <c r="P1178" s="37"/>
      <c r="Q1178" s="181"/>
      <c r="R1178" s="181"/>
      <c r="S1178" s="181"/>
      <c r="T1178" s="181"/>
      <c r="U1178" s="181"/>
      <c r="V1178" s="37"/>
      <c r="W1178" s="181"/>
      <c r="X1178" s="38"/>
      <c r="Y1178" s="38"/>
      <c r="Z1178" s="38"/>
      <c r="AA1178" s="38"/>
      <c r="AB1178" s="248"/>
      <c r="AC1178" s="250"/>
      <c r="AD1178" s="181"/>
      <c r="AE1178" s="37"/>
      <c r="AF1178" s="37"/>
      <c r="AG1178" s="33"/>
      <c r="AH1178" s="37"/>
      <c r="AI1178" s="37"/>
      <c r="AJ1178" s="181"/>
      <c r="AK1178" s="37"/>
      <c r="AL1178" s="37"/>
      <c r="AM1178" s="181"/>
      <c r="AN1178" s="37"/>
      <c r="AO1178" s="37"/>
      <c r="AP1178" s="37"/>
      <c r="AQ1178" s="37"/>
      <c r="AR1178" s="37"/>
      <c r="AS1178" s="37"/>
      <c r="AT1178" s="37"/>
      <c r="AU1178" s="37"/>
      <c r="AV1178" s="37"/>
      <c r="AW1178" s="37"/>
      <c r="AX1178" s="37"/>
      <c r="AY1178" s="37"/>
      <c r="AZ1178" s="37"/>
    </row>
    <row r="1179" spans="1:52" ht="15.5" customHeight="1">
      <c r="A1179" s="360"/>
      <c r="B1179" s="340"/>
      <c r="C1179" s="181"/>
      <c r="D1179" s="30"/>
      <c r="E1179" s="30"/>
      <c r="F1179" s="30"/>
      <c r="G1179" s="37"/>
      <c r="H1179" s="37"/>
      <c r="I1179" s="37"/>
      <c r="J1179" s="37" t="s">
        <v>69</v>
      </c>
      <c r="K1179" s="325" t="s">
        <v>69</v>
      </c>
      <c r="L1179" s="181"/>
      <c r="M1179" s="181"/>
      <c r="N1179" s="37"/>
      <c r="O1179" s="31"/>
      <c r="P1179" s="37"/>
      <c r="Q1179" s="181"/>
      <c r="R1179" s="181"/>
      <c r="S1179" s="181"/>
      <c r="T1179" s="181"/>
      <c r="U1179" s="181"/>
      <c r="V1179" s="37"/>
      <c r="W1179" s="181"/>
      <c r="X1179" s="38"/>
      <c r="Y1179" s="38"/>
      <c r="Z1179" s="38"/>
      <c r="AA1179" s="38"/>
      <c r="AB1179" s="248"/>
      <c r="AC1179" s="250"/>
      <c r="AD1179" s="181"/>
      <c r="AE1179" s="37"/>
      <c r="AF1179" s="37"/>
      <c r="AG1179" s="33"/>
      <c r="AH1179" s="37"/>
      <c r="AI1179" s="37"/>
      <c r="AJ1179" s="181"/>
      <c r="AK1179" s="37"/>
      <c r="AL1179" s="37"/>
      <c r="AM1179" s="181"/>
      <c r="AN1179" s="37"/>
      <c r="AO1179" s="37"/>
      <c r="AP1179" s="37"/>
      <c r="AQ1179" s="37"/>
      <c r="AR1179" s="37"/>
      <c r="AS1179" s="37"/>
      <c r="AT1179" s="37"/>
      <c r="AU1179" s="37"/>
      <c r="AV1179" s="37"/>
      <c r="AW1179" s="37"/>
      <c r="AX1179" s="37"/>
      <c r="AY1179" s="37"/>
      <c r="AZ1179" s="37"/>
    </row>
    <row r="1180" spans="1:52" ht="15.5" customHeight="1">
      <c r="A1180" s="360"/>
      <c r="B1180" s="340"/>
      <c r="C1180" s="181"/>
      <c r="D1180" s="30"/>
      <c r="E1180" s="30"/>
      <c r="F1180" s="30"/>
      <c r="G1180" s="37"/>
      <c r="H1180" s="37"/>
      <c r="I1180" s="37"/>
      <c r="J1180" s="37" t="s">
        <v>69</v>
      </c>
      <c r="K1180" s="325" t="s">
        <v>69</v>
      </c>
      <c r="L1180" s="181"/>
      <c r="M1180" s="181"/>
      <c r="N1180" s="37"/>
      <c r="O1180" s="31"/>
      <c r="P1180" s="37"/>
      <c r="Q1180" s="181"/>
      <c r="R1180" s="181"/>
      <c r="S1180" s="181"/>
      <c r="T1180" s="181"/>
      <c r="U1180" s="181"/>
      <c r="V1180" s="37"/>
      <c r="W1180" s="181"/>
      <c r="X1180" s="38"/>
      <c r="Y1180" s="38"/>
      <c r="Z1180" s="38"/>
      <c r="AA1180" s="38"/>
      <c r="AB1180" s="248"/>
      <c r="AC1180" s="250"/>
      <c r="AD1180" s="181"/>
      <c r="AE1180" s="37"/>
      <c r="AF1180" s="37"/>
      <c r="AG1180" s="33"/>
      <c r="AH1180" s="37"/>
      <c r="AI1180" s="37"/>
      <c r="AJ1180" s="181"/>
      <c r="AK1180" s="37"/>
      <c r="AL1180" s="37"/>
      <c r="AM1180" s="181"/>
      <c r="AN1180" s="37"/>
      <c r="AO1180" s="37"/>
      <c r="AP1180" s="37"/>
      <c r="AQ1180" s="37"/>
      <c r="AR1180" s="37"/>
      <c r="AS1180" s="37"/>
      <c r="AT1180" s="37"/>
      <c r="AU1180" s="37"/>
      <c r="AV1180" s="37"/>
      <c r="AW1180" s="37"/>
      <c r="AX1180" s="37"/>
      <c r="AY1180" s="37"/>
      <c r="AZ1180" s="37"/>
    </row>
    <row r="1181" spans="1:52" ht="15.5" customHeight="1">
      <c r="A1181" s="360"/>
      <c r="B1181" s="340"/>
      <c r="C1181" s="181"/>
      <c r="D1181" s="30"/>
      <c r="E1181" s="30"/>
      <c r="F1181" s="30"/>
      <c r="G1181" s="37"/>
      <c r="H1181" s="37"/>
      <c r="I1181" s="37"/>
      <c r="J1181" s="37" t="s">
        <v>69</v>
      </c>
      <c r="K1181" s="325" t="s">
        <v>69</v>
      </c>
      <c r="L1181" s="181"/>
      <c r="M1181" s="181"/>
      <c r="N1181" s="37"/>
      <c r="O1181" s="31"/>
      <c r="P1181" s="37"/>
      <c r="Q1181" s="181"/>
      <c r="R1181" s="181"/>
      <c r="S1181" s="181"/>
      <c r="T1181" s="181"/>
      <c r="U1181" s="181"/>
      <c r="V1181" s="37"/>
      <c r="W1181" s="181"/>
      <c r="X1181" s="38"/>
      <c r="Y1181" s="38"/>
      <c r="Z1181" s="38"/>
      <c r="AA1181" s="38"/>
      <c r="AB1181" s="248"/>
      <c r="AC1181" s="250"/>
      <c r="AD1181" s="181"/>
      <c r="AE1181" s="37"/>
      <c r="AF1181" s="37"/>
      <c r="AG1181" s="33"/>
      <c r="AH1181" s="37"/>
      <c r="AI1181" s="37"/>
      <c r="AJ1181" s="181"/>
      <c r="AK1181" s="37"/>
      <c r="AL1181" s="37"/>
      <c r="AM1181" s="181"/>
      <c r="AN1181" s="37"/>
      <c r="AO1181" s="37"/>
      <c r="AP1181" s="37"/>
      <c r="AQ1181" s="37"/>
      <c r="AR1181" s="37"/>
      <c r="AS1181" s="37"/>
      <c r="AT1181" s="37"/>
      <c r="AU1181" s="37"/>
      <c r="AV1181" s="37"/>
      <c r="AW1181" s="37"/>
      <c r="AX1181" s="37"/>
      <c r="AY1181" s="37"/>
      <c r="AZ1181" s="37"/>
    </row>
    <row r="1182" spans="1:52" ht="15.5" customHeight="1">
      <c r="A1182" s="360"/>
      <c r="B1182" s="340"/>
      <c r="C1182" s="181"/>
      <c r="D1182" s="30"/>
      <c r="E1182" s="30"/>
      <c r="F1182" s="30"/>
      <c r="G1182" s="37"/>
      <c r="H1182" s="37"/>
      <c r="I1182" s="37"/>
      <c r="J1182" s="37" t="s">
        <v>69</v>
      </c>
      <c r="K1182" s="325" t="s">
        <v>69</v>
      </c>
      <c r="L1182" s="181"/>
      <c r="M1182" s="181"/>
      <c r="N1182" s="37"/>
      <c r="O1182" s="31"/>
      <c r="P1182" s="37"/>
      <c r="Q1182" s="181"/>
      <c r="R1182" s="181"/>
      <c r="S1182" s="181"/>
      <c r="T1182" s="181"/>
      <c r="U1182" s="181"/>
      <c r="V1182" s="37"/>
      <c r="W1182" s="181"/>
      <c r="X1182" s="38"/>
      <c r="Y1182" s="38"/>
      <c r="Z1182" s="38"/>
      <c r="AA1182" s="38"/>
      <c r="AB1182" s="248"/>
      <c r="AC1182" s="250"/>
      <c r="AD1182" s="181"/>
      <c r="AE1182" s="37"/>
      <c r="AF1182" s="37"/>
      <c r="AG1182" s="33"/>
      <c r="AH1182" s="37"/>
      <c r="AI1182" s="37"/>
      <c r="AJ1182" s="181"/>
      <c r="AK1182" s="37"/>
      <c r="AL1182" s="37"/>
      <c r="AM1182" s="181"/>
      <c r="AN1182" s="37"/>
      <c r="AO1182" s="37"/>
      <c r="AP1182" s="37"/>
      <c r="AQ1182" s="37"/>
      <c r="AR1182" s="37"/>
      <c r="AS1182" s="37"/>
      <c r="AT1182" s="37"/>
      <c r="AU1182" s="37"/>
      <c r="AV1182" s="37"/>
      <c r="AW1182" s="37"/>
      <c r="AX1182" s="37"/>
      <c r="AY1182" s="37"/>
      <c r="AZ1182" s="37"/>
    </row>
    <row r="1183" spans="1:52" ht="15.5" customHeight="1">
      <c r="A1183" s="360"/>
      <c r="B1183" s="340"/>
      <c r="C1183" s="181"/>
      <c r="D1183" s="30"/>
      <c r="E1183" s="30"/>
      <c r="F1183" s="30"/>
      <c r="G1183" s="37"/>
      <c r="H1183" s="37"/>
      <c r="I1183" s="37"/>
      <c r="J1183" s="37" t="s">
        <v>69</v>
      </c>
      <c r="K1183" s="325" t="s">
        <v>69</v>
      </c>
      <c r="L1183" s="181"/>
      <c r="M1183" s="181"/>
      <c r="N1183" s="37"/>
      <c r="O1183" s="31"/>
      <c r="P1183" s="37"/>
      <c r="Q1183" s="181"/>
      <c r="R1183" s="181"/>
      <c r="S1183" s="181"/>
      <c r="T1183" s="181"/>
      <c r="U1183" s="181"/>
      <c r="V1183" s="37"/>
      <c r="W1183" s="181"/>
      <c r="X1183" s="38"/>
      <c r="Y1183" s="38"/>
      <c r="Z1183" s="38"/>
      <c r="AA1183" s="38"/>
      <c r="AB1183" s="248"/>
      <c r="AC1183" s="250"/>
      <c r="AD1183" s="181"/>
      <c r="AE1183" s="37"/>
      <c r="AF1183" s="37"/>
      <c r="AG1183" s="33"/>
      <c r="AH1183" s="37"/>
      <c r="AI1183" s="37"/>
      <c r="AJ1183" s="181"/>
      <c r="AK1183" s="37"/>
      <c r="AL1183" s="37"/>
      <c r="AM1183" s="181"/>
      <c r="AN1183" s="37"/>
      <c r="AO1183" s="37"/>
      <c r="AP1183" s="37"/>
      <c r="AQ1183" s="37"/>
      <c r="AR1183" s="37"/>
      <c r="AS1183" s="37"/>
      <c r="AT1183" s="37"/>
      <c r="AU1183" s="37"/>
      <c r="AV1183" s="37"/>
      <c r="AW1183" s="37"/>
      <c r="AX1183" s="37"/>
      <c r="AY1183" s="37"/>
      <c r="AZ1183" s="37"/>
    </row>
    <row r="1184" spans="1:52" ht="15.5" customHeight="1">
      <c r="A1184" s="360"/>
      <c r="B1184" s="340"/>
      <c r="C1184" s="181"/>
      <c r="D1184" s="30"/>
      <c r="E1184" s="30"/>
      <c r="F1184" s="30"/>
      <c r="G1184" s="37"/>
      <c r="H1184" s="37"/>
      <c r="I1184" s="37"/>
      <c r="J1184" s="37" t="s">
        <v>69</v>
      </c>
      <c r="K1184" s="325" t="s">
        <v>69</v>
      </c>
      <c r="L1184" s="181"/>
      <c r="M1184" s="181"/>
      <c r="N1184" s="37"/>
      <c r="O1184" s="31"/>
      <c r="P1184" s="37"/>
      <c r="Q1184" s="181"/>
      <c r="R1184" s="181"/>
      <c r="S1184" s="181"/>
      <c r="T1184" s="181"/>
      <c r="U1184" s="181"/>
      <c r="V1184" s="37"/>
      <c r="W1184" s="181"/>
      <c r="X1184" s="38"/>
      <c r="Y1184" s="38"/>
      <c r="Z1184" s="38"/>
      <c r="AA1184" s="38"/>
      <c r="AB1184" s="248"/>
      <c r="AC1184" s="250"/>
      <c r="AD1184" s="181"/>
      <c r="AE1184" s="37"/>
      <c r="AF1184" s="37"/>
      <c r="AG1184" s="33"/>
      <c r="AH1184" s="37"/>
      <c r="AI1184" s="37"/>
      <c r="AJ1184" s="181"/>
      <c r="AK1184" s="37"/>
      <c r="AL1184" s="37"/>
      <c r="AM1184" s="181"/>
      <c r="AN1184" s="37"/>
      <c r="AO1184" s="37"/>
      <c r="AP1184" s="37"/>
      <c r="AQ1184" s="37"/>
      <c r="AR1184" s="37"/>
      <c r="AS1184" s="37"/>
      <c r="AT1184" s="37"/>
      <c r="AU1184" s="37"/>
      <c r="AV1184" s="37"/>
      <c r="AW1184" s="37"/>
      <c r="AX1184" s="37"/>
      <c r="AY1184" s="37"/>
      <c r="AZ1184" s="37"/>
    </row>
    <row r="1185" spans="1:52" ht="15.5" customHeight="1">
      <c r="A1185" s="360"/>
      <c r="B1185" s="340"/>
      <c r="C1185" s="181"/>
      <c r="D1185" s="30"/>
      <c r="E1185" s="30"/>
      <c r="F1185" s="30"/>
      <c r="G1185" s="37"/>
      <c r="H1185" s="37"/>
      <c r="I1185" s="37"/>
      <c r="J1185" s="37" t="s">
        <v>69</v>
      </c>
      <c r="K1185" s="325" t="s">
        <v>69</v>
      </c>
      <c r="L1185" s="181"/>
      <c r="M1185" s="181"/>
      <c r="N1185" s="37"/>
      <c r="O1185" s="31"/>
      <c r="P1185" s="37"/>
      <c r="Q1185" s="181"/>
      <c r="R1185" s="181"/>
      <c r="S1185" s="181"/>
      <c r="T1185" s="181"/>
      <c r="U1185" s="181"/>
      <c r="V1185" s="37"/>
      <c r="W1185" s="181"/>
      <c r="X1185" s="38"/>
      <c r="Y1185" s="38"/>
      <c r="Z1185" s="38"/>
      <c r="AA1185" s="38"/>
      <c r="AB1185" s="248"/>
      <c r="AC1185" s="250"/>
      <c r="AD1185" s="181"/>
      <c r="AE1185" s="37"/>
      <c r="AF1185" s="37"/>
      <c r="AG1185" s="33"/>
      <c r="AH1185" s="37"/>
      <c r="AI1185" s="37"/>
      <c r="AJ1185" s="181"/>
      <c r="AK1185" s="37"/>
      <c r="AL1185" s="37"/>
      <c r="AM1185" s="181"/>
      <c r="AN1185" s="37"/>
      <c r="AO1185" s="37"/>
      <c r="AP1185" s="37"/>
      <c r="AQ1185" s="37"/>
      <c r="AR1185" s="37"/>
      <c r="AS1185" s="37"/>
      <c r="AT1185" s="37"/>
      <c r="AU1185" s="37"/>
      <c r="AV1185" s="37"/>
      <c r="AW1185" s="37"/>
      <c r="AX1185" s="37"/>
      <c r="AY1185" s="37"/>
      <c r="AZ1185" s="37"/>
    </row>
    <row r="1186" spans="1:52" ht="15.5" customHeight="1">
      <c r="A1186" s="360"/>
      <c r="B1186" s="340"/>
      <c r="C1186" s="181"/>
      <c r="D1186" s="30"/>
      <c r="E1186" s="30"/>
      <c r="F1186" s="30"/>
      <c r="G1186" s="37"/>
      <c r="H1186" s="37"/>
      <c r="I1186" s="37"/>
      <c r="J1186" s="37" t="s">
        <v>69</v>
      </c>
      <c r="K1186" s="325" t="s">
        <v>69</v>
      </c>
      <c r="L1186" s="181"/>
      <c r="M1186" s="181"/>
      <c r="N1186" s="37"/>
      <c r="O1186" s="31"/>
      <c r="P1186" s="37"/>
      <c r="Q1186" s="181"/>
      <c r="R1186" s="181"/>
      <c r="S1186" s="181"/>
      <c r="T1186" s="181"/>
      <c r="U1186" s="181"/>
      <c r="V1186" s="37"/>
      <c r="W1186" s="181"/>
      <c r="X1186" s="38"/>
      <c r="Y1186" s="38"/>
      <c r="Z1186" s="38"/>
      <c r="AA1186" s="38"/>
      <c r="AB1186" s="248"/>
      <c r="AC1186" s="250"/>
      <c r="AD1186" s="181"/>
      <c r="AE1186" s="37"/>
      <c r="AF1186" s="37"/>
      <c r="AG1186" s="33"/>
      <c r="AH1186" s="37"/>
      <c r="AI1186" s="37"/>
      <c r="AJ1186" s="181"/>
      <c r="AK1186" s="37"/>
      <c r="AL1186" s="37"/>
      <c r="AM1186" s="181"/>
      <c r="AN1186" s="37"/>
      <c r="AO1186" s="37"/>
      <c r="AP1186" s="37"/>
      <c r="AQ1186" s="37"/>
      <c r="AR1186" s="37"/>
      <c r="AS1186" s="37"/>
      <c r="AT1186" s="37"/>
      <c r="AU1186" s="37"/>
      <c r="AV1186" s="37"/>
      <c r="AW1186" s="37"/>
      <c r="AX1186" s="37"/>
      <c r="AY1186" s="37"/>
      <c r="AZ1186" s="37"/>
    </row>
    <row r="1187" spans="1:52" ht="15.5" customHeight="1">
      <c r="A1187" s="360"/>
      <c r="B1187" s="340"/>
      <c r="C1187" s="181"/>
      <c r="D1187" s="30"/>
      <c r="E1187" s="30"/>
      <c r="F1187" s="30"/>
      <c r="G1187" s="37"/>
      <c r="H1187" s="37"/>
      <c r="I1187" s="37"/>
      <c r="J1187" s="37" t="s">
        <v>69</v>
      </c>
      <c r="K1187" s="325" t="s">
        <v>69</v>
      </c>
      <c r="L1187" s="181"/>
      <c r="M1187" s="181"/>
      <c r="N1187" s="37"/>
      <c r="O1187" s="31"/>
      <c r="P1187" s="37"/>
      <c r="Q1187" s="181"/>
      <c r="R1187" s="181"/>
      <c r="S1187" s="181"/>
      <c r="T1187" s="181"/>
      <c r="U1187" s="181"/>
      <c r="V1187" s="37"/>
      <c r="W1187" s="181"/>
      <c r="X1187" s="38"/>
      <c r="Y1187" s="38"/>
      <c r="Z1187" s="38"/>
      <c r="AA1187" s="38"/>
      <c r="AB1187" s="248"/>
      <c r="AC1187" s="250"/>
      <c r="AD1187" s="181"/>
      <c r="AE1187" s="37"/>
      <c r="AF1187" s="37"/>
      <c r="AG1187" s="33"/>
      <c r="AH1187" s="37"/>
      <c r="AI1187" s="37"/>
      <c r="AJ1187" s="181"/>
      <c r="AK1187" s="37"/>
      <c r="AL1187" s="37"/>
      <c r="AM1187" s="181"/>
      <c r="AN1187" s="37"/>
      <c r="AO1187" s="37"/>
      <c r="AP1187" s="37"/>
      <c r="AQ1187" s="37"/>
      <c r="AR1187" s="37"/>
      <c r="AS1187" s="37"/>
      <c r="AT1187" s="37"/>
      <c r="AU1187" s="37"/>
      <c r="AV1187" s="37"/>
      <c r="AW1187" s="37"/>
      <c r="AX1187" s="37"/>
      <c r="AY1187" s="37"/>
      <c r="AZ1187" s="37"/>
    </row>
    <row r="1188" spans="1:52" ht="15.5" customHeight="1">
      <c r="A1188" s="360"/>
      <c r="B1188" s="340"/>
      <c r="C1188" s="181"/>
      <c r="D1188" s="30"/>
      <c r="E1188" s="30"/>
      <c r="F1188" s="30"/>
      <c r="G1188" s="37"/>
      <c r="H1188" s="37"/>
      <c r="I1188" s="37"/>
      <c r="J1188" s="37" t="s">
        <v>69</v>
      </c>
      <c r="K1188" s="325" t="s">
        <v>69</v>
      </c>
      <c r="L1188" s="181"/>
      <c r="M1188" s="181"/>
      <c r="N1188" s="37"/>
      <c r="O1188" s="31"/>
      <c r="P1188" s="37"/>
      <c r="Q1188" s="181"/>
      <c r="R1188" s="181"/>
      <c r="S1188" s="181"/>
      <c r="T1188" s="181"/>
      <c r="U1188" s="181"/>
      <c r="V1188" s="37"/>
      <c r="W1188" s="181"/>
      <c r="X1188" s="38"/>
      <c r="Y1188" s="38"/>
      <c r="Z1188" s="38"/>
      <c r="AA1188" s="38"/>
      <c r="AB1188" s="248"/>
      <c r="AC1188" s="250"/>
      <c r="AD1188" s="181"/>
      <c r="AE1188" s="37"/>
      <c r="AF1188" s="37"/>
      <c r="AG1188" s="33"/>
      <c r="AH1188" s="37"/>
      <c r="AI1188" s="37"/>
      <c r="AJ1188" s="181"/>
      <c r="AK1188" s="37"/>
      <c r="AL1188" s="37"/>
      <c r="AM1188" s="181"/>
      <c r="AN1188" s="37"/>
      <c r="AO1188" s="37"/>
      <c r="AP1188" s="37"/>
      <c r="AQ1188" s="37"/>
      <c r="AR1188" s="37"/>
      <c r="AS1188" s="37"/>
      <c r="AT1188" s="37"/>
      <c r="AU1188" s="37"/>
      <c r="AV1188" s="37"/>
      <c r="AW1188" s="37"/>
      <c r="AX1188" s="37"/>
      <c r="AY1188" s="37"/>
      <c r="AZ1188" s="37"/>
    </row>
    <row r="1189" spans="1:52" ht="15.5" customHeight="1">
      <c r="A1189" s="360"/>
      <c r="B1189" s="340"/>
      <c r="C1189" s="181"/>
      <c r="D1189" s="30"/>
      <c r="E1189" s="30"/>
      <c r="F1189" s="30"/>
      <c r="G1189" s="37"/>
      <c r="H1189" s="37"/>
      <c r="I1189" s="37"/>
      <c r="J1189" s="37" t="s">
        <v>69</v>
      </c>
      <c r="K1189" s="325" t="s">
        <v>69</v>
      </c>
      <c r="L1189" s="181"/>
      <c r="M1189" s="181"/>
      <c r="N1189" s="37"/>
      <c r="O1189" s="31"/>
      <c r="P1189" s="37"/>
      <c r="Q1189" s="181"/>
      <c r="R1189" s="181"/>
      <c r="S1189" s="181"/>
      <c r="T1189" s="181"/>
      <c r="U1189" s="181"/>
      <c r="V1189" s="37"/>
      <c r="W1189" s="181"/>
      <c r="X1189" s="38"/>
      <c r="Y1189" s="38"/>
      <c r="Z1189" s="38"/>
      <c r="AA1189" s="38"/>
      <c r="AB1189" s="248"/>
      <c r="AC1189" s="250"/>
      <c r="AD1189" s="181"/>
      <c r="AE1189" s="37"/>
      <c r="AF1189" s="37"/>
      <c r="AG1189" s="33"/>
      <c r="AH1189" s="37"/>
      <c r="AI1189" s="37"/>
      <c r="AJ1189" s="181"/>
      <c r="AK1189" s="37"/>
      <c r="AL1189" s="37"/>
      <c r="AM1189" s="181"/>
      <c r="AN1189" s="37"/>
      <c r="AO1189" s="37"/>
      <c r="AP1189" s="37"/>
      <c r="AQ1189" s="37"/>
      <c r="AR1189" s="37"/>
      <c r="AS1189" s="37"/>
      <c r="AT1189" s="37"/>
      <c r="AU1189" s="37"/>
      <c r="AV1189" s="37"/>
      <c r="AW1189" s="37"/>
      <c r="AX1189" s="37"/>
      <c r="AY1189" s="37"/>
      <c r="AZ1189" s="37"/>
    </row>
    <row r="1190" spans="1:52" ht="15.5" customHeight="1">
      <c r="A1190" s="360"/>
      <c r="B1190" s="340"/>
      <c r="C1190" s="181"/>
      <c r="D1190" s="30"/>
      <c r="E1190" s="30"/>
      <c r="F1190" s="30"/>
      <c r="G1190" s="37"/>
      <c r="H1190" s="37"/>
      <c r="I1190" s="37"/>
      <c r="J1190" s="37" t="s">
        <v>69</v>
      </c>
      <c r="K1190" s="325" t="s">
        <v>69</v>
      </c>
      <c r="L1190" s="181"/>
      <c r="M1190" s="181"/>
      <c r="N1190" s="37"/>
      <c r="O1190" s="31"/>
      <c r="P1190" s="37"/>
      <c r="Q1190" s="181"/>
      <c r="R1190" s="181"/>
      <c r="S1190" s="181"/>
      <c r="T1190" s="181"/>
      <c r="U1190" s="181"/>
      <c r="V1190" s="37"/>
      <c r="W1190" s="181"/>
      <c r="X1190" s="38"/>
      <c r="Y1190" s="38"/>
      <c r="Z1190" s="38"/>
      <c r="AA1190" s="38"/>
      <c r="AB1190" s="248"/>
      <c r="AC1190" s="250"/>
      <c r="AD1190" s="181"/>
      <c r="AE1190" s="37"/>
      <c r="AF1190" s="37"/>
      <c r="AG1190" s="33"/>
      <c r="AH1190" s="37"/>
      <c r="AI1190" s="37"/>
      <c r="AJ1190" s="181"/>
      <c r="AK1190" s="37"/>
      <c r="AL1190" s="37"/>
      <c r="AM1190" s="181"/>
      <c r="AN1190" s="37"/>
      <c r="AO1190" s="37"/>
      <c r="AP1190" s="37"/>
      <c r="AQ1190" s="37"/>
      <c r="AR1190" s="37"/>
      <c r="AS1190" s="37"/>
      <c r="AT1190" s="37"/>
      <c r="AU1190" s="37"/>
      <c r="AV1190" s="37"/>
      <c r="AW1190" s="37"/>
      <c r="AX1190" s="37"/>
      <c r="AY1190" s="37"/>
      <c r="AZ1190" s="37"/>
    </row>
    <row r="1191" spans="1:52" ht="15.5" customHeight="1">
      <c r="A1191" s="360"/>
      <c r="B1191" s="340"/>
      <c r="C1191" s="181"/>
      <c r="D1191" s="30"/>
      <c r="E1191" s="30"/>
      <c r="F1191" s="30"/>
      <c r="G1191" s="37"/>
      <c r="H1191" s="37"/>
      <c r="I1191" s="37"/>
      <c r="J1191" s="37" t="s">
        <v>69</v>
      </c>
      <c r="K1191" s="325" t="s">
        <v>69</v>
      </c>
      <c r="L1191" s="181"/>
      <c r="M1191" s="181"/>
      <c r="N1191" s="37"/>
      <c r="O1191" s="31"/>
      <c r="P1191" s="37"/>
      <c r="Q1191" s="181"/>
      <c r="R1191" s="181"/>
      <c r="S1191" s="181"/>
      <c r="T1191" s="181"/>
      <c r="U1191" s="181"/>
      <c r="V1191" s="37"/>
      <c r="W1191" s="181"/>
      <c r="X1191" s="38"/>
      <c r="Y1191" s="38"/>
      <c r="Z1191" s="38"/>
      <c r="AA1191" s="38"/>
      <c r="AB1191" s="248"/>
      <c r="AC1191" s="250"/>
      <c r="AD1191" s="181"/>
      <c r="AE1191" s="37"/>
      <c r="AF1191" s="37"/>
      <c r="AG1191" s="33"/>
      <c r="AH1191" s="37"/>
      <c r="AI1191" s="37"/>
      <c r="AJ1191" s="181"/>
      <c r="AK1191" s="37"/>
      <c r="AL1191" s="37"/>
      <c r="AM1191" s="181"/>
      <c r="AN1191" s="37"/>
      <c r="AO1191" s="37"/>
      <c r="AP1191" s="37"/>
      <c r="AQ1191" s="37"/>
      <c r="AR1191" s="37"/>
      <c r="AS1191" s="37"/>
      <c r="AT1191" s="37"/>
      <c r="AU1191" s="37"/>
      <c r="AV1191" s="37"/>
      <c r="AW1191" s="37"/>
      <c r="AX1191" s="37"/>
      <c r="AY1191" s="37"/>
      <c r="AZ1191" s="37"/>
    </row>
    <row r="1192" spans="1:52" ht="15.5" customHeight="1">
      <c r="A1192" s="360"/>
      <c r="B1192" s="340"/>
      <c r="C1192" s="181"/>
      <c r="D1192" s="30"/>
      <c r="E1192" s="30"/>
      <c r="F1192" s="30"/>
      <c r="G1192" s="37"/>
      <c r="H1192" s="37"/>
      <c r="I1192" s="37"/>
      <c r="J1192" s="37" t="s">
        <v>69</v>
      </c>
      <c r="K1192" s="325" t="s">
        <v>69</v>
      </c>
      <c r="L1192" s="181"/>
      <c r="M1192" s="181"/>
      <c r="N1192" s="37"/>
      <c r="O1192" s="31"/>
      <c r="P1192" s="37"/>
      <c r="Q1192" s="181"/>
      <c r="R1192" s="181"/>
      <c r="S1192" s="181"/>
      <c r="T1192" s="181"/>
      <c r="U1192" s="181"/>
      <c r="V1192" s="37"/>
      <c r="W1192" s="181"/>
      <c r="X1192" s="38"/>
      <c r="Y1192" s="38"/>
      <c r="Z1192" s="38"/>
      <c r="AA1192" s="38"/>
      <c r="AB1192" s="248"/>
      <c r="AC1192" s="250"/>
      <c r="AD1192" s="181"/>
      <c r="AE1192" s="37"/>
      <c r="AF1192" s="37"/>
      <c r="AG1192" s="33"/>
      <c r="AH1192" s="37"/>
      <c r="AI1192" s="37"/>
      <c r="AJ1192" s="181"/>
      <c r="AK1192" s="37"/>
      <c r="AL1192" s="37"/>
      <c r="AM1192" s="181"/>
      <c r="AN1192" s="37"/>
      <c r="AO1192" s="37"/>
      <c r="AP1192" s="37"/>
      <c r="AQ1192" s="37"/>
      <c r="AR1192" s="37"/>
      <c r="AS1192" s="37"/>
      <c r="AT1192" s="37"/>
      <c r="AU1192" s="37"/>
      <c r="AV1192" s="37"/>
      <c r="AW1192" s="37"/>
      <c r="AX1192" s="37"/>
      <c r="AY1192" s="37"/>
      <c r="AZ1192" s="37"/>
    </row>
    <row r="1193" spans="1:52" ht="15.5" customHeight="1">
      <c r="A1193" s="360"/>
      <c r="B1193" s="340"/>
      <c r="C1193" s="181"/>
      <c r="D1193" s="30"/>
      <c r="E1193" s="30"/>
      <c r="F1193" s="30"/>
      <c r="G1193" s="37"/>
      <c r="H1193" s="37"/>
      <c r="I1193" s="37"/>
      <c r="J1193" s="37" t="s">
        <v>69</v>
      </c>
      <c r="K1193" s="325" t="s">
        <v>69</v>
      </c>
      <c r="L1193" s="181"/>
      <c r="M1193" s="181"/>
      <c r="N1193" s="37"/>
      <c r="O1193" s="31"/>
      <c r="P1193" s="37"/>
      <c r="Q1193" s="181"/>
      <c r="R1193" s="181"/>
      <c r="S1193" s="181"/>
      <c r="T1193" s="181"/>
      <c r="U1193" s="181"/>
      <c r="V1193" s="37"/>
      <c r="W1193" s="181"/>
      <c r="X1193" s="38"/>
      <c r="Y1193" s="38"/>
      <c r="Z1193" s="38"/>
      <c r="AA1193" s="38"/>
      <c r="AB1193" s="248"/>
      <c r="AC1193" s="250"/>
      <c r="AD1193" s="181"/>
      <c r="AE1193" s="37"/>
      <c r="AF1193" s="37"/>
      <c r="AG1193" s="33"/>
      <c r="AH1193" s="37"/>
      <c r="AI1193" s="37"/>
      <c r="AJ1193" s="181"/>
      <c r="AK1193" s="37"/>
      <c r="AL1193" s="37"/>
      <c r="AM1193" s="181"/>
      <c r="AN1193" s="37"/>
      <c r="AO1193" s="37"/>
      <c r="AP1193" s="37"/>
      <c r="AQ1193" s="37"/>
      <c r="AR1193" s="37"/>
      <c r="AS1193" s="37"/>
      <c r="AT1193" s="37"/>
      <c r="AU1193" s="37"/>
      <c r="AV1193" s="37"/>
      <c r="AW1193" s="37"/>
      <c r="AX1193" s="37"/>
      <c r="AY1193" s="37"/>
      <c r="AZ1193" s="37"/>
    </row>
    <row r="1194" spans="1:52" ht="15.5" customHeight="1">
      <c r="A1194" s="360"/>
      <c r="B1194" s="340"/>
      <c r="C1194" s="181"/>
      <c r="D1194" s="30"/>
      <c r="E1194" s="30"/>
      <c r="F1194" s="30"/>
      <c r="G1194" s="37"/>
      <c r="H1194" s="37"/>
      <c r="I1194" s="37"/>
      <c r="J1194" s="37" t="s">
        <v>69</v>
      </c>
      <c r="K1194" s="325" t="s">
        <v>69</v>
      </c>
      <c r="L1194" s="181"/>
      <c r="M1194" s="181"/>
      <c r="N1194" s="37"/>
      <c r="O1194" s="31"/>
      <c r="P1194" s="37"/>
      <c r="Q1194" s="181"/>
      <c r="R1194" s="181"/>
      <c r="S1194" s="181"/>
      <c r="T1194" s="181"/>
      <c r="U1194" s="181"/>
      <c r="V1194" s="37"/>
      <c r="W1194" s="181"/>
      <c r="X1194" s="38"/>
      <c r="Y1194" s="38"/>
      <c r="Z1194" s="38"/>
      <c r="AA1194" s="38"/>
      <c r="AB1194" s="248"/>
      <c r="AC1194" s="250"/>
      <c r="AD1194" s="181"/>
      <c r="AE1194" s="37"/>
      <c r="AF1194" s="37"/>
      <c r="AG1194" s="33"/>
      <c r="AH1194" s="37"/>
      <c r="AI1194" s="37"/>
      <c r="AJ1194" s="181"/>
      <c r="AK1194" s="37"/>
      <c r="AL1194" s="37"/>
      <c r="AM1194" s="181"/>
      <c r="AN1194" s="37"/>
      <c r="AO1194" s="37"/>
      <c r="AP1194" s="37"/>
      <c r="AQ1194" s="37"/>
      <c r="AR1194" s="37"/>
      <c r="AS1194" s="37"/>
      <c r="AT1194" s="37"/>
      <c r="AU1194" s="37"/>
      <c r="AV1194" s="37"/>
      <c r="AW1194" s="37"/>
      <c r="AX1194" s="37"/>
      <c r="AY1194" s="37"/>
      <c r="AZ1194" s="37"/>
    </row>
    <row r="1195" spans="1:52" ht="15.5" customHeight="1">
      <c r="A1195" s="360"/>
      <c r="B1195" s="340"/>
      <c r="C1195" s="181"/>
      <c r="D1195" s="30"/>
      <c r="E1195" s="30"/>
      <c r="F1195" s="30"/>
      <c r="G1195" s="37"/>
      <c r="H1195" s="37"/>
      <c r="I1195" s="37"/>
      <c r="J1195" s="37" t="s">
        <v>69</v>
      </c>
      <c r="K1195" s="325" t="s">
        <v>69</v>
      </c>
      <c r="L1195" s="181"/>
      <c r="M1195" s="181"/>
      <c r="N1195" s="37"/>
      <c r="O1195" s="31"/>
      <c r="P1195" s="37"/>
      <c r="Q1195" s="181"/>
      <c r="R1195" s="181"/>
      <c r="S1195" s="181"/>
      <c r="T1195" s="181"/>
      <c r="U1195" s="181"/>
      <c r="V1195" s="37"/>
      <c r="W1195" s="181"/>
      <c r="X1195" s="38"/>
      <c r="Y1195" s="38"/>
      <c r="Z1195" s="38"/>
      <c r="AA1195" s="38"/>
      <c r="AB1195" s="248"/>
      <c r="AC1195" s="250"/>
      <c r="AD1195" s="181"/>
      <c r="AE1195" s="37"/>
      <c r="AF1195" s="37"/>
      <c r="AG1195" s="33"/>
      <c r="AH1195" s="37"/>
      <c r="AI1195" s="37"/>
      <c r="AJ1195" s="181"/>
      <c r="AK1195" s="37"/>
      <c r="AL1195" s="37"/>
      <c r="AM1195" s="181"/>
      <c r="AN1195" s="37"/>
      <c r="AO1195" s="37"/>
      <c r="AP1195" s="37"/>
      <c r="AQ1195" s="37"/>
      <c r="AR1195" s="37"/>
      <c r="AS1195" s="37"/>
      <c r="AT1195" s="37"/>
      <c r="AU1195" s="37"/>
      <c r="AV1195" s="37"/>
      <c r="AW1195" s="37"/>
      <c r="AX1195" s="37"/>
      <c r="AY1195" s="37"/>
      <c r="AZ1195" s="37"/>
    </row>
    <row r="1196" spans="1:52" ht="15.5" customHeight="1">
      <c r="A1196" s="360"/>
      <c r="B1196" s="340"/>
      <c r="C1196" s="181"/>
      <c r="D1196" s="30"/>
      <c r="E1196" s="30"/>
      <c r="F1196" s="30"/>
      <c r="G1196" s="37"/>
      <c r="H1196" s="37"/>
      <c r="I1196" s="37"/>
      <c r="J1196" s="37" t="s">
        <v>69</v>
      </c>
      <c r="K1196" s="325" t="s">
        <v>69</v>
      </c>
      <c r="L1196" s="181"/>
      <c r="M1196" s="181"/>
      <c r="N1196" s="37"/>
      <c r="O1196" s="31"/>
      <c r="P1196" s="37"/>
      <c r="Q1196" s="181"/>
      <c r="R1196" s="181"/>
      <c r="S1196" s="181"/>
      <c r="T1196" s="181"/>
      <c r="U1196" s="181"/>
      <c r="V1196" s="37"/>
      <c r="W1196" s="181"/>
      <c r="X1196" s="38"/>
      <c r="Y1196" s="38"/>
      <c r="Z1196" s="38"/>
      <c r="AA1196" s="38"/>
      <c r="AB1196" s="248"/>
      <c r="AC1196" s="250"/>
      <c r="AD1196" s="181"/>
      <c r="AE1196" s="37"/>
      <c r="AF1196" s="37"/>
      <c r="AG1196" s="33"/>
      <c r="AH1196" s="37"/>
      <c r="AI1196" s="37"/>
      <c r="AJ1196" s="181"/>
      <c r="AK1196" s="37"/>
      <c r="AL1196" s="37"/>
      <c r="AM1196" s="181"/>
      <c r="AN1196" s="37"/>
      <c r="AO1196" s="37"/>
      <c r="AP1196" s="37"/>
      <c r="AQ1196" s="37"/>
      <c r="AR1196" s="37"/>
      <c r="AS1196" s="37"/>
      <c r="AT1196" s="37"/>
      <c r="AU1196" s="37"/>
      <c r="AV1196" s="37"/>
      <c r="AW1196" s="37"/>
      <c r="AX1196" s="37"/>
      <c r="AY1196" s="37"/>
      <c r="AZ1196" s="37"/>
    </row>
    <row r="1197" spans="1:52" ht="15.5" customHeight="1">
      <c r="A1197" s="360"/>
      <c r="B1197" s="340"/>
      <c r="C1197" s="181"/>
      <c r="D1197" s="30"/>
      <c r="E1197" s="30"/>
      <c r="F1197" s="30"/>
      <c r="G1197" s="37"/>
      <c r="H1197" s="37"/>
      <c r="I1197" s="37"/>
      <c r="J1197" s="37" t="s">
        <v>69</v>
      </c>
      <c r="K1197" s="325" t="s">
        <v>69</v>
      </c>
      <c r="L1197" s="181"/>
      <c r="M1197" s="181"/>
      <c r="N1197" s="37"/>
      <c r="O1197" s="31"/>
      <c r="P1197" s="37"/>
      <c r="Q1197" s="181"/>
      <c r="R1197" s="181"/>
      <c r="S1197" s="181"/>
      <c r="T1197" s="181"/>
      <c r="U1197" s="181"/>
      <c r="V1197" s="37"/>
      <c r="W1197" s="181"/>
      <c r="X1197" s="38"/>
      <c r="Y1197" s="38"/>
      <c r="Z1197" s="38"/>
      <c r="AA1197" s="38"/>
      <c r="AB1197" s="248"/>
      <c r="AC1197" s="250"/>
      <c r="AD1197" s="181"/>
      <c r="AE1197" s="37"/>
      <c r="AF1197" s="37"/>
      <c r="AG1197" s="33"/>
      <c r="AH1197" s="37"/>
      <c r="AI1197" s="37"/>
      <c r="AJ1197" s="181"/>
      <c r="AK1197" s="37"/>
      <c r="AL1197" s="37"/>
      <c r="AM1197" s="181"/>
      <c r="AN1197" s="37"/>
      <c r="AO1197" s="37"/>
      <c r="AP1197" s="37"/>
      <c r="AQ1197" s="37"/>
      <c r="AR1197" s="37"/>
      <c r="AS1197" s="37"/>
      <c r="AT1197" s="37"/>
      <c r="AU1197" s="37"/>
      <c r="AV1197" s="37"/>
      <c r="AW1197" s="37"/>
      <c r="AX1197" s="37"/>
      <c r="AY1197" s="37"/>
      <c r="AZ1197" s="37"/>
    </row>
    <row r="1198" spans="1:52" ht="15.5" customHeight="1">
      <c r="A1198" s="360"/>
      <c r="B1198" s="340"/>
      <c r="C1198" s="181"/>
      <c r="D1198" s="30"/>
      <c r="E1198" s="30"/>
      <c r="F1198" s="30"/>
      <c r="G1198" s="37"/>
      <c r="H1198" s="37"/>
      <c r="I1198" s="37"/>
      <c r="J1198" s="37" t="s">
        <v>69</v>
      </c>
      <c r="K1198" s="325" t="s">
        <v>69</v>
      </c>
      <c r="L1198" s="181"/>
      <c r="M1198" s="181"/>
      <c r="N1198" s="37"/>
      <c r="O1198" s="31"/>
      <c r="P1198" s="37"/>
      <c r="Q1198" s="181"/>
      <c r="R1198" s="181"/>
      <c r="S1198" s="181"/>
      <c r="T1198" s="181"/>
      <c r="U1198" s="181"/>
      <c r="V1198" s="37"/>
      <c r="W1198" s="181"/>
      <c r="X1198" s="38"/>
      <c r="Y1198" s="38"/>
      <c r="Z1198" s="38"/>
      <c r="AA1198" s="38"/>
      <c r="AB1198" s="248"/>
      <c r="AC1198" s="250"/>
      <c r="AD1198" s="181"/>
      <c r="AE1198" s="37"/>
      <c r="AF1198" s="37"/>
      <c r="AG1198" s="33"/>
      <c r="AH1198" s="37"/>
      <c r="AI1198" s="37"/>
      <c r="AJ1198" s="181"/>
      <c r="AK1198" s="37"/>
      <c r="AL1198" s="37"/>
      <c r="AM1198" s="181"/>
      <c r="AN1198" s="37"/>
      <c r="AO1198" s="37"/>
      <c r="AP1198" s="37"/>
      <c r="AQ1198" s="37"/>
      <c r="AR1198" s="37"/>
      <c r="AS1198" s="37"/>
      <c r="AT1198" s="37"/>
      <c r="AU1198" s="37"/>
      <c r="AV1198" s="37"/>
      <c r="AW1198" s="37"/>
      <c r="AX1198" s="37"/>
      <c r="AY1198" s="37"/>
      <c r="AZ1198" s="37"/>
    </row>
    <row r="1199" spans="1:52" ht="15.5" customHeight="1">
      <c r="A1199" s="360"/>
      <c r="B1199" s="340"/>
      <c r="C1199" s="181"/>
      <c r="D1199" s="30"/>
      <c r="E1199" s="30"/>
      <c r="F1199" s="30"/>
      <c r="G1199" s="37"/>
      <c r="H1199" s="37"/>
      <c r="I1199" s="37"/>
      <c r="J1199" s="37" t="s">
        <v>69</v>
      </c>
      <c r="K1199" s="325" t="s">
        <v>69</v>
      </c>
      <c r="L1199" s="181"/>
      <c r="M1199" s="181"/>
      <c r="N1199" s="37"/>
      <c r="O1199" s="31"/>
      <c r="P1199" s="37"/>
      <c r="Q1199" s="181"/>
      <c r="R1199" s="181"/>
      <c r="S1199" s="181"/>
      <c r="T1199" s="181"/>
      <c r="U1199" s="181"/>
      <c r="V1199" s="37"/>
      <c r="W1199" s="181"/>
      <c r="X1199" s="38"/>
      <c r="Y1199" s="38"/>
      <c r="Z1199" s="38"/>
      <c r="AA1199" s="38"/>
      <c r="AB1199" s="248"/>
      <c r="AC1199" s="250"/>
      <c r="AD1199" s="181"/>
      <c r="AE1199" s="37"/>
      <c r="AF1199" s="37"/>
      <c r="AG1199" s="33"/>
      <c r="AH1199" s="37"/>
      <c r="AI1199" s="37"/>
      <c r="AJ1199" s="181"/>
      <c r="AK1199" s="37"/>
      <c r="AL1199" s="37"/>
      <c r="AM1199" s="181"/>
      <c r="AN1199" s="37"/>
      <c r="AO1199" s="37"/>
      <c r="AP1199" s="37"/>
      <c r="AQ1199" s="37"/>
      <c r="AR1199" s="37"/>
      <c r="AS1199" s="37"/>
      <c r="AT1199" s="37"/>
      <c r="AU1199" s="37"/>
      <c r="AV1199" s="37"/>
      <c r="AW1199" s="37"/>
      <c r="AX1199" s="37"/>
      <c r="AY1199" s="37"/>
      <c r="AZ1199" s="37"/>
    </row>
    <row r="1200" spans="1:52" ht="15.5" customHeight="1">
      <c r="A1200" s="360"/>
      <c r="B1200" s="340"/>
      <c r="C1200" s="181"/>
      <c r="D1200" s="30"/>
      <c r="E1200" s="30"/>
      <c r="F1200" s="30"/>
      <c r="G1200" s="37"/>
      <c r="H1200" s="37"/>
      <c r="I1200" s="37"/>
      <c r="J1200" s="37" t="s">
        <v>69</v>
      </c>
      <c r="K1200" s="325" t="s">
        <v>69</v>
      </c>
      <c r="L1200" s="181"/>
      <c r="M1200" s="181"/>
      <c r="N1200" s="37"/>
      <c r="O1200" s="31"/>
      <c r="P1200" s="37"/>
      <c r="Q1200" s="181"/>
      <c r="R1200" s="181"/>
      <c r="S1200" s="181"/>
      <c r="T1200" s="181"/>
      <c r="U1200" s="181"/>
      <c r="V1200" s="37"/>
      <c r="W1200" s="181"/>
      <c r="X1200" s="38"/>
      <c r="Y1200" s="38"/>
      <c r="Z1200" s="38"/>
      <c r="AA1200" s="38"/>
      <c r="AB1200" s="248"/>
      <c r="AC1200" s="250"/>
      <c r="AD1200" s="181"/>
      <c r="AE1200" s="37"/>
      <c r="AF1200" s="37"/>
      <c r="AG1200" s="33"/>
      <c r="AH1200" s="37"/>
      <c r="AI1200" s="37"/>
      <c r="AJ1200" s="181"/>
      <c r="AK1200" s="37"/>
      <c r="AL1200" s="37"/>
      <c r="AM1200" s="181"/>
      <c r="AN1200" s="37"/>
      <c r="AO1200" s="37"/>
      <c r="AP1200" s="37"/>
      <c r="AQ1200" s="37"/>
      <c r="AR1200" s="37"/>
      <c r="AS1200" s="37"/>
      <c r="AT1200" s="37"/>
      <c r="AU1200" s="37"/>
      <c r="AV1200" s="37"/>
      <c r="AW1200" s="37"/>
      <c r="AX1200" s="37"/>
      <c r="AY1200" s="37"/>
      <c r="AZ1200" s="37"/>
    </row>
    <row r="1201" spans="1:52" ht="15.5" customHeight="1">
      <c r="A1201" s="360"/>
      <c r="B1201" s="340"/>
      <c r="C1201" s="181"/>
      <c r="D1201" s="30"/>
      <c r="E1201" s="30"/>
      <c r="F1201" s="30"/>
      <c r="G1201" s="37"/>
      <c r="H1201" s="37"/>
      <c r="I1201" s="37"/>
      <c r="J1201" s="37" t="s">
        <v>69</v>
      </c>
      <c r="K1201" s="325" t="s">
        <v>69</v>
      </c>
      <c r="L1201" s="181"/>
      <c r="M1201" s="181"/>
      <c r="N1201" s="37"/>
      <c r="O1201" s="31"/>
      <c r="P1201" s="37"/>
      <c r="Q1201" s="181"/>
      <c r="R1201" s="181"/>
      <c r="S1201" s="181"/>
      <c r="T1201" s="181"/>
      <c r="U1201" s="181"/>
      <c r="V1201" s="37"/>
      <c r="W1201" s="181"/>
      <c r="X1201" s="38"/>
      <c r="Y1201" s="38"/>
      <c r="Z1201" s="38"/>
      <c r="AA1201" s="38"/>
      <c r="AB1201" s="248"/>
      <c r="AC1201" s="250"/>
      <c r="AD1201" s="181"/>
      <c r="AE1201" s="37"/>
      <c r="AF1201" s="37"/>
      <c r="AG1201" s="33"/>
      <c r="AH1201" s="37"/>
      <c r="AI1201" s="37"/>
      <c r="AJ1201" s="181"/>
      <c r="AK1201" s="37"/>
      <c r="AL1201" s="37"/>
      <c r="AM1201" s="181"/>
      <c r="AN1201" s="37"/>
      <c r="AO1201" s="37"/>
      <c r="AP1201" s="37"/>
      <c r="AQ1201" s="37"/>
      <c r="AR1201" s="37"/>
      <c r="AS1201" s="37"/>
      <c r="AT1201" s="37"/>
      <c r="AU1201" s="37"/>
      <c r="AV1201" s="37"/>
      <c r="AW1201" s="37"/>
      <c r="AX1201" s="37"/>
      <c r="AY1201" s="37"/>
      <c r="AZ1201" s="37"/>
    </row>
    <row r="1202" spans="1:52" ht="15.5" customHeight="1">
      <c r="A1202" s="360"/>
      <c r="B1202" s="340"/>
      <c r="C1202" s="181"/>
      <c r="D1202" s="30"/>
      <c r="E1202" s="30"/>
      <c r="F1202" s="30"/>
      <c r="G1202" s="37"/>
      <c r="H1202" s="37"/>
      <c r="I1202" s="37"/>
      <c r="J1202" s="37" t="s">
        <v>69</v>
      </c>
      <c r="K1202" s="325" t="s">
        <v>69</v>
      </c>
      <c r="L1202" s="181"/>
      <c r="M1202" s="181"/>
      <c r="N1202" s="37"/>
      <c r="O1202" s="31"/>
      <c r="P1202" s="37"/>
      <c r="Q1202" s="181"/>
      <c r="R1202" s="181"/>
      <c r="S1202" s="181"/>
      <c r="T1202" s="181"/>
      <c r="U1202" s="181"/>
      <c r="V1202" s="37"/>
      <c r="W1202" s="181"/>
      <c r="X1202" s="38"/>
      <c r="Y1202" s="38"/>
      <c r="Z1202" s="38"/>
      <c r="AA1202" s="38"/>
      <c r="AB1202" s="248"/>
      <c r="AC1202" s="250"/>
      <c r="AD1202" s="181"/>
      <c r="AE1202" s="37"/>
      <c r="AF1202" s="37"/>
      <c r="AG1202" s="33"/>
      <c r="AH1202" s="37"/>
      <c r="AI1202" s="37"/>
      <c r="AJ1202" s="181"/>
      <c r="AK1202" s="37"/>
      <c r="AL1202" s="37"/>
      <c r="AM1202" s="181"/>
      <c r="AN1202" s="37"/>
      <c r="AO1202" s="37"/>
      <c r="AP1202" s="37"/>
      <c r="AQ1202" s="37"/>
      <c r="AR1202" s="37"/>
      <c r="AS1202" s="37"/>
      <c r="AT1202" s="37"/>
      <c r="AU1202" s="37"/>
      <c r="AV1202" s="37"/>
      <c r="AW1202" s="37"/>
      <c r="AX1202" s="37"/>
      <c r="AY1202" s="37"/>
      <c r="AZ1202" s="37"/>
    </row>
    <row r="1203" spans="1:52" ht="15.5" customHeight="1">
      <c r="A1203" s="360"/>
      <c r="B1203" s="340"/>
      <c r="C1203" s="181"/>
      <c r="D1203" s="30"/>
      <c r="E1203" s="30"/>
      <c r="F1203" s="30"/>
      <c r="G1203" s="37"/>
      <c r="H1203" s="37"/>
      <c r="I1203" s="37"/>
      <c r="J1203" s="37" t="s">
        <v>69</v>
      </c>
      <c r="K1203" s="325" t="s">
        <v>69</v>
      </c>
      <c r="L1203" s="181"/>
      <c r="M1203" s="181"/>
      <c r="N1203" s="37"/>
      <c r="O1203" s="31"/>
      <c r="P1203" s="37"/>
      <c r="Q1203" s="181"/>
      <c r="R1203" s="181"/>
      <c r="S1203" s="181"/>
      <c r="T1203" s="181"/>
      <c r="U1203" s="181"/>
      <c r="V1203" s="37"/>
      <c r="W1203" s="181"/>
      <c r="X1203" s="38"/>
      <c r="Y1203" s="38"/>
      <c r="Z1203" s="38"/>
      <c r="AA1203" s="38"/>
      <c r="AB1203" s="248"/>
      <c r="AC1203" s="250"/>
      <c r="AD1203" s="181"/>
      <c r="AE1203" s="37"/>
      <c r="AF1203" s="37"/>
      <c r="AG1203" s="33"/>
      <c r="AH1203" s="37"/>
      <c r="AI1203" s="37"/>
      <c r="AJ1203" s="181"/>
      <c r="AK1203" s="37"/>
      <c r="AL1203" s="37"/>
      <c r="AM1203" s="181"/>
      <c r="AN1203" s="37"/>
      <c r="AO1203" s="37"/>
      <c r="AP1203" s="37"/>
      <c r="AQ1203" s="37"/>
      <c r="AR1203" s="37"/>
      <c r="AS1203" s="37"/>
      <c r="AT1203" s="37"/>
      <c r="AU1203" s="37"/>
      <c r="AV1203" s="37"/>
      <c r="AW1203" s="37"/>
      <c r="AX1203" s="37"/>
      <c r="AY1203" s="37"/>
      <c r="AZ1203" s="37"/>
    </row>
    <row r="1204" spans="1:52" ht="15.5" customHeight="1">
      <c r="A1204" s="360"/>
      <c r="B1204" s="340"/>
      <c r="C1204" s="181"/>
      <c r="D1204" s="30"/>
      <c r="E1204" s="30"/>
      <c r="F1204" s="30"/>
      <c r="G1204" s="37"/>
      <c r="H1204" s="37"/>
      <c r="I1204" s="37"/>
      <c r="J1204" s="37" t="s">
        <v>69</v>
      </c>
      <c r="K1204" s="325" t="s">
        <v>69</v>
      </c>
      <c r="L1204" s="181"/>
      <c r="M1204" s="181"/>
      <c r="N1204" s="37"/>
      <c r="O1204" s="31"/>
      <c r="P1204" s="37"/>
      <c r="Q1204" s="181"/>
      <c r="R1204" s="181"/>
      <c r="S1204" s="181"/>
      <c r="T1204" s="181"/>
      <c r="U1204" s="181"/>
      <c r="V1204" s="37"/>
      <c r="W1204" s="181"/>
      <c r="X1204" s="38"/>
      <c r="Y1204" s="38"/>
      <c r="Z1204" s="38"/>
      <c r="AA1204" s="38"/>
      <c r="AB1204" s="248"/>
      <c r="AC1204" s="250"/>
      <c r="AD1204" s="181"/>
      <c r="AE1204" s="37"/>
      <c r="AF1204" s="37"/>
      <c r="AG1204" s="33"/>
      <c r="AH1204" s="37"/>
      <c r="AI1204" s="37"/>
      <c r="AJ1204" s="181"/>
      <c r="AK1204" s="37"/>
      <c r="AL1204" s="37"/>
      <c r="AM1204" s="181"/>
      <c r="AN1204" s="37"/>
      <c r="AO1204" s="37"/>
      <c r="AP1204" s="37"/>
      <c r="AQ1204" s="37"/>
      <c r="AR1204" s="37"/>
      <c r="AS1204" s="37"/>
      <c r="AT1204" s="37"/>
      <c r="AU1204" s="37"/>
      <c r="AV1204" s="37"/>
      <c r="AW1204" s="37"/>
      <c r="AX1204" s="37"/>
      <c r="AY1204" s="37"/>
      <c r="AZ1204" s="37"/>
    </row>
    <row r="1205" spans="1:52" ht="15.5" customHeight="1">
      <c r="A1205" s="360"/>
      <c r="B1205" s="340"/>
      <c r="C1205" s="181"/>
      <c r="D1205" s="30"/>
      <c r="E1205" s="30"/>
      <c r="F1205" s="30"/>
      <c r="G1205" s="37"/>
      <c r="H1205" s="37"/>
      <c r="I1205" s="37"/>
      <c r="J1205" s="37" t="s">
        <v>69</v>
      </c>
      <c r="K1205" s="325" t="s">
        <v>69</v>
      </c>
      <c r="L1205" s="181"/>
      <c r="M1205" s="181"/>
      <c r="N1205" s="37"/>
      <c r="O1205" s="31"/>
      <c r="P1205" s="37"/>
      <c r="Q1205" s="181"/>
      <c r="R1205" s="181"/>
      <c r="S1205" s="181"/>
      <c r="T1205" s="181"/>
      <c r="U1205" s="181"/>
      <c r="V1205" s="37"/>
      <c r="W1205" s="181"/>
      <c r="X1205" s="38"/>
      <c r="Y1205" s="38"/>
      <c r="Z1205" s="38"/>
      <c r="AA1205" s="38"/>
      <c r="AB1205" s="248"/>
      <c r="AC1205" s="250"/>
      <c r="AD1205" s="181"/>
      <c r="AE1205" s="37"/>
      <c r="AF1205" s="37"/>
      <c r="AG1205" s="33"/>
      <c r="AH1205" s="37"/>
      <c r="AI1205" s="37"/>
      <c r="AJ1205" s="181"/>
      <c r="AK1205" s="37"/>
      <c r="AL1205" s="37"/>
      <c r="AM1205" s="181"/>
      <c r="AN1205" s="37"/>
      <c r="AO1205" s="37"/>
      <c r="AP1205" s="37"/>
      <c r="AQ1205" s="37"/>
      <c r="AR1205" s="37"/>
      <c r="AS1205" s="37"/>
      <c r="AT1205" s="37"/>
      <c r="AU1205" s="37"/>
      <c r="AV1205" s="37"/>
      <c r="AW1205" s="37"/>
      <c r="AX1205" s="37"/>
      <c r="AY1205" s="37"/>
      <c r="AZ1205" s="37"/>
    </row>
    <row r="1206" spans="1:52" ht="15.5" customHeight="1">
      <c r="A1206" s="360"/>
      <c r="B1206" s="340"/>
      <c r="C1206" s="181"/>
      <c r="D1206" s="30"/>
      <c r="E1206" s="30"/>
      <c r="F1206" s="30"/>
      <c r="G1206" s="37"/>
      <c r="H1206" s="37"/>
      <c r="I1206" s="37"/>
      <c r="J1206" s="37" t="s">
        <v>69</v>
      </c>
      <c r="K1206" s="325" t="s">
        <v>69</v>
      </c>
      <c r="L1206" s="181"/>
      <c r="M1206" s="181"/>
      <c r="N1206" s="37"/>
      <c r="O1206" s="31"/>
      <c r="P1206" s="37"/>
      <c r="Q1206" s="181"/>
      <c r="R1206" s="181"/>
      <c r="S1206" s="181"/>
      <c r="T1206" s="181"/>
      <c r="U1206" s="181"/>
      <c r="V1206" s="37"/>
      <c r="W1206" s="181"/>
      <c r="X1206" s="38"/>
      <c r="Y1206" s="38"/>
      <c r="Z1206" s="38"/>
      <c r="AA1206" s="38"/>
      <c r="AB1206" s="248"/>
      <c r="AC1206" s="250"/>
      <c r="AD1206" s="181"/>
      <c r="AE1206" s="37"/>
      <c r="AF1206" s="37"/>
      <c r="AG1206" s="33"/>
      <c r="AH1206" s="37"/>
      <c r="AI1206" s="37"/>
      <c r="AJ1206" s="181"/>
      <c r="AK1206" s="37"/>
      <c r="AL1206" s="37"/>
      <c r="AM1206" s="181"/>
      <c r="AN1206" s="37"/>
      <c r="AO1206" s="37"/>
      <c r="AP1206" s="37"/>
      <c r="AQ1206" s="37"/>
      <c r="AR1206" s="37"/>
      <c r="AS1206" s="37"/>
      <c r="AT1206" s="37"/>
      <c r="AU1206" s="37"/>
      <c r="AV1206" s="37"/>
      <c r="AW1206" s="37"/>
      <c r="AX1206" s="37"/>
      <c r="AY1206" s="37"/>
      <c r="AZ1206" s="37"/>
    </row>
    <row r="1207" spans="1:52" ht="15.5" customHeight="1">
      <c r="A1207" s="360"/>
      <c r="B1207" s="340"/>
      <c r="C1207" s="181"/>
      <c r="D1207" s="30"/>
      <c r="E1207" s="30"/>
      <c r="F1207" s="30"/>
      <c r="G1207" s="37"/>
      <c r="H1207" s="37"/>
      <c r="I1207" s="37"/>
      <c r="J1207" s="37" t="s">
        <v>69</v>
      </c>
      <c r="K1207" s="325" t="s">
        <v>69</v>
      </c>
      <c r="L1207" s="181"/>
      <c r="M1207" s="181"/>
      <c r="N1207" s="37"/>
      <c r="O1207" s="31"/>
      <c r="P1207" s="37"/>
      <c r="Q1207" s="181"/>
      <c r="R1207" s="181"/>
      <c r="S1207" s="181"/>
      <c r="T1207" s="181"/>
      <c r="U1207" s="181"/>
      <c r="V1207" s="37"/>
      <c r="W1207" s="181"/>
      <c r="X1207" s="38"/>
      <c r="Y1207" s="38"/>
      <c r="Z1207" s="38"/>
      <c r="AA1207" s="38"/>
      <c r="AB1207" s="248"/>
      <c r="AC1207" s="250"/>
      <c r="AD1207" s="181"/>
      <c r="AE1207" s="37"/>
      <c r="AF1207" s="37"/>
      <c r="AG1207" s="33"/>
      <c r="AH1207" s="37"/>
      <c r="AI1207" s="37"/>
      <c r="AJ1207" s="181"/>
      <c r="AK1207" s="37"/>
      <c r="AL1207" s="37"/>
      <c r="AM1207" s="181"/>
      <c r="AN1207" s="37"/>
      <c r="AO1207" s="37"/>
      <c r="AP1207" s="37"/>
      <c r="AQ1207" s="37"/>
      <c r="AR1207" s="37"/>
      <c r="AS1207" s="37"/>
      <c r="AT1207" s="37"/>
      <c r="AU1207" s="37"/>
      <c r="AV1207" s="37"/>
      <c r="AW1207" s="37"/>
      <c r="AX1207" s="37"/>
      <c r="AY1207" s="37"/>
      <c r="AZ1207" s="37"/>
    </row>
    <row r="1208" spans="1:52" ht="15.5" customHeight="1">
      <c r="A1208" s="360"/>
      <c r="B1208" s="340"/>
      <c r="C1208" s="181"/>
      <c r="D1208" s="30"/>
      <c r="E1208" s="30"/>
      <c r="F1208" s="30"/>
      <c r="G1208" s="37"/>
      <c r="H1208" s="37"/>
      <c r="I1208" s="37"/>
      <c r="J1208" s="37" t="s">
        <v>69</v>
      </c>
      <c r="K1208" s="325" t="s">
        <v>69</v>
      </c>
      <c r="L1208" s="181"/>
      <c r="M1208" s="181"/>
      <c r="N1208" s="37"/>
      <c r="O1208" s="31"/>
      <c r="P1208" s="37"/>
      <c r="Q1208" s="181"/>
      <c r="R1208" s="181"/>
      <c r="S1208" s="181"/>
      <c r="T1208" s="181"/>
      <c r="U1208" s="181"/>
      <c r="V1208" s="37"/>
      <c r="W1208" s="181"/>
      <c r="X1208" s="38"/>
      <c r="Y1208" s="38"/>
      <c r="Z1208" s="38"/>
      <c r="AA1208" s="38"/>
      <c r="AB1208" s="248"/>
      <c r="AC1208" s="250"/>
      <c r="AD1208" s="181"/>
      <c r="AE1208" s="37"/>
      <c r="AF1208" s="37"/>
      <c r="AG1208" s="33"/>
      <c r="AH1208" s="37"/>
      <c r="AI1208" s="37"/>
      <c r="AJ1208" s="181"/>
      <c r="AK1208" s="37"/>
      <c r="AL1208" s="37"/>
      <c r="AM1208" s="181"/>
      <c r="AN1208" s="37"/>
      <c r="AO1208" s="37"/>
      <c r="AP1208" s="37"/>
      <c r="AQ1208" s="37"/>
      <c r="AR1208" s="37"/>
      <c r="AS1208" s="37"/>
      <c r="AT1208" s="37"/>
      <c r="AU1208" s="37"/>
      <c r="AV1208" s="37"/>
      <c r="AW1208" s="37"/>
      <c r="AX1208" s="37"/>
      <c r="AY1208" s="37"/>
      <c r="AZ1208" s="37"/>
    </row>
    <row r="1209" spans="1:52" ht="15.5" customHeight="1">
      <c r="A1209" s="360"/>
      <c r="B1209" s="340"/>
      <c r="C1209" s="181"/>
      <c r="D1209" s="30"/>
      <c r="E1209" s="30"/>
      <c r="F1209" s="30"/>
      <c r="G1209" s="37"/>
      <c r="H1209" s="37"/>
      <c r="I1209" s="37"/>
      <c r="J1209" s="37" t="s">
        <v>69</v>
      </c>
      <c r="K1209" s="325" t="s">
        <v>69</v>
      </c>
      <c r="L1209" s="181"/>
      <c r="M1209" s="181"/>
      <c r="N1209" s="37"/>
      <c r="O1209" s="31"/>
      <c r="P1209" s="37"/>
      <c r="Q1209" s="181"/>
      <c r="R1209" s="181"/>
      <c r="S1209" s="181"/>
      <c r="T1209" s="181"/>
      <c r="U1209" s="181"/>
      <c r="V1209" s="37"/>
      <c r="W1209" s="181"/>
      <c r="X1209" s="38"/>
      <c r="Y1209" s="38"/>
      <c r="Z1209" s="38"/>
      <c r="AA1209" s="38"/>
      <c r="AB1209" s="248"/>
      <c r="AC1209" s="250"/>
      <c r="AD1209" s="181"/>
      <c r="AE1209" s="37"/>
      <c r="AF1209" s="37"/>
      <c r="AG1209" s="33"/>
      <c r="AH1209" s="37"/>
      <c r="AI1209" s="37"/>
      <c r="AJ1209" s="181"/>
      <c r="AK1209" s="37"/>
      <c r="AL1209" s="37"/>
      <c r="AM1209" s="181"/>
      <c r="AN1209" s="37"/>
      <c r="AO1209" s="37"/>
      <c r="AP1209" s="37"/>
      <c r="AQ1209" s="37"/>
      <c r="AR1209" s="37"/>
      <c r="AS1209" s="37"/>
      <c r="AT1209" s="37"/>
      <c r="AU1209" s="37"/>
      <c r="AV1209" s="37"/>
      <c r="AW1209" s="37"/>
      <c r="AX1209" s="37"/>
      <c r="AY1209" s="37"/>
      <c r="AZ1209" s="37"/>
    </row>
    <row r="1210" spans="1:52" ht="15.5" customHeight="1">
      <c r="A1210" s="360"/>
      <c r="B1210" s="340"/>
      <c r="C1210" s="181"/>
      <c r="D1210" s="30"/>
      <c r="E1210" s="30"/>
      <c r="F1210" s="30"/>
      <c r="G1210" s="37"/>
      <c r="H1210" s="37"/>
      <c r="I1210" s="37"/>
      <c r="J1210" s="37" t="s">
        <v>69</v>
      </c>
      <c r="K1210" s="325" t="s">
        <v>69</v>
      </c>
      <c r="L1210" s="181"/>
      <c r="M1210" s="181"/>
      <c r="N1210" s="37"/>
      <c r="O1210" s="31"/>
      <c r="P1210" s="37"/>
      <c r="Q1210" s="181"/>
      <c r="R1210" s="181"/>
      <c r="S1210" s="181"/>
      <c r="T1210" s="181"/>
      <c r="U1210" s="181"/>
      <c r="V1210" s="37"/>
      <c r="W1210" s="181"/>
      <c r="X1210" s="38"/>
      <c r="Y1210" s="38"/>
      <c r="Z1210" s="38"/>
      <c r="AA1210" s="38"/>
      <c r="AB1210" s="248"/>
      <c r="AC1210" s="250"/>
      <c r="AD1210" s="181"/>
      <c r="AE1210" s="37"/>
      <c r="AF1210" s="37"/>
      <c r="AG1210" s="33"/>
      <c r="AH1210" s="37"/>
      <c r="AI1210" s="37"/>
      <c r="AJ1210" s="181"/>
      <c r="AK1210" s="37"/>
      <c r="AL1210" s="37"/>
      <c r="AM1210" s="181"/>
      <c r="AN1210" s="37"/>
      <c r="AO1210" s="37"/>
      <c r="AP1210" s="37"/>
      <c r="AQ1210" s="37"/>
      <c r="AR1210" s="37"/>
      <c r="AS1210" s="37"/>
      <c r="AT1210" s="37"/>
      <c r="AU1210" s="37"/>
      <c r="AV1210" s="37"/>
      <c r="AW1210" s="37"/>
      <c r="AX1210" s="37"/>
      <c r="AY1210" s="37"/>
      <c r="AZ1210" s="37"/>
    </row>
    <row r="1211" spans="1:52" ht="15.5" customHeight="1">
      <c r="A1211" s="360"/>
      <c r="B1211" s="340"/>
      <c r="C1211" s="181"/>
      <c r="D1211" s="30"/>
      <c r="E1211" s="30"/>
      <c r="F1211" s="30"/>
      <c r="G1211" s="37"/>
      <c r="H1211" s="37"/>
      <c r="I1211" s="37"/>
      <c r="J1211" s="37" t="s">
        <v>69</v>
      </c>
      <c r="K1211" s="325" t="s">
        <v>69</v>
      </c>
      <c r="L1211" s="181"/>
      <c r="M1211" s="181"/>
      <c r="N1211" s="37"/>
      <c r="O1211" s="31"/>
      <c r="P1211" s="37"/>
      <c r="Q1211" s="181"/>
      <c r="R1211" s="181"/>
      <c r="S1211" s="181"/>
      <c r="T1211" s="181"/>
      <c r="U1211" s="181"/>
      <c r="V1211" s="37"/>
      <c r="W1211" s="181"/>
      <c r="X1211" s="38"/>
      <c r="Y1211" s="38"/>
      <c r="Z1211" s="38"/>
      <c r="AA1211" s="38"/>
      <c r="AB1211" s="248"/>
      <c r="AC1211" s="250"/>
      <c r="AD1211" s="181"/>
      <c r="AE1211" s="37"/>
      <c r="AF1211" s="37"/>
      <c r="AG1211" s="33"/>
      <c r="AH1211" s="37"/>
      <c r="AI1211" s="37"/>
      <c r="AJ1211" s="181"/>
      <c r="AK1211" s="37"/>
      <c r="AL1211" s="37"/>
      <c r="AM1211" s="181"/>
      <c r="AN1211" s="37"/>
      <c r="AO1211" s="37"/>
      <c r="AP1211" s="37"/>
      <c r="AQ1211" s="37"/>
      <c r="AR1211" s="37"/>
      <c r="AS1211" s="37"/>
      <c r="AT1211" s="37"/>
      <c r="AU1211" s="37"/>
      <c r="AV1211" s="37"/>
      <c r="AW1211" s="37"/>
      <c r="AX1211" s="37"/>
      <c r="AY1211" s="37"/>
      <c r="AZ1211" s="37"/>
    </row>
    <row r="1212" spans="1:52" ht="15.5" customHeight="1">
      <c r="A1212" s="360"/>
      <c r="B1212" s="340"/>
      <c r="C1212" s="181"/>
      <c r="D1212" s="30"/>
      <c r="E1212" s="30"/>
      <c r="F1212" s="30"/>
      <c r="G1212" s="37"/>
      <c r="H1212" s="37"/>
      <c r="I1212" s="37"/>
      <c r="J1212" s="37" t="s">
        <v>69</v>
      </c>
      <c r="K1212" s="325" t="s">
        <v>69</v>
      </c>
      <c r="L1212" s="181"/>
      <c r="M1212" s="181"/>
      <c r="N1212" s="37"/>
      <c r="O1212" s="31"/>
      <c r="P1212" s="37"/>
      <c r="Q1212" s="181"/>
      <c r="R1212" s="181"/>
      <c r="S1212" s="181"/>
      <c r="T1212" s="181"/>
      <c r="U1212" s="181"/>
      <c r="V1212" s="37"/>
      <c r="W1212" s="181"/>
      <c r="X1212" s="38"/>
      <c r="Y1212" s="38"/>
      <c r="Z1212" s="38"/>
      <c r="AA1212" s="38"/>
      <c r="AB1212" s="248"/>
      <c r="AC1212" s="250"/>
      <c r="AD1212" s="181"/>
      <c r="AE1212" s="37"/>
      <c r="AF1212" s="37"/>
      <c r="AG1212" s="33"/>
      <c r="AH1212" s="37"/>
      <c r="AI1212" s="37"/>
      <c r="AJ1212" s="181"/>
      <c r="AK1212" s="37"/>
      <c r="AL1212" s="37"/>
      <c r="AM1212" s="181"/>
      <c r="AN1212" s="37"/>
      <c r="AO1212" s="37"/>
      <c r="AP1212" s="37"/>
      <c r="AQ1212" s="37"/>
      <c r="AR1212" s="37"/>
      <c r="AS1212" s="37"/>
      <c r="AT1212" s="37"/>
      <c r="AU1212" s="37"/>
      <c r="AV1212" s="37"/>
      <c r="AW1212" s="37"/>
      <c r="AX1212" s="37"/>
      <c r="AY1212" s="37"/>
      <c r="AZ1212" s="37"/>
    </row>
    <row r="1213" spans="1:52" ht="15.5" customHeight="1">
      <c r="A1213" s="360"/>
      <c r="B1213" s="340"/>
      <c r="C1213" s="181"/>
      <c r="D1213" s="30"/>
      <c r="E1213" s="30"/>
      <c r="F1213" s="30"/>
      <c r="G1213" s="37"/>
      <c r="H1213" s="37"/>
      <c r="I1213" s="37"/>
      <c r="J1213" s="37" t="s">
        <v>69</v>
      </c>
      <c r="K1213" s="325" t="s">
        <v>69</v>
      </c>
      <c r="L1213" s="181"/>
      <c r="M1213" s="181"/>
      <c r="N1213" s="37"/>
      <c r="O1213" s="31"/>
      <c r="P1213" s="37"/>
      <c r="Q1213" s="181"/>
      <c r="R1213" s="181"/>
      <c r="S1213" s="181"/>
      <c r="T1213" s="181"/>
      <c r="U1213" s="181"/>
      <c r="V1213" s="37"/>
      <c r="W1213" s="181"/>
      <c r="X1213" s="38"/>
      <c r="Y1213" s="38"/>
      <c r="Z1213" s="38"/>
      <c r="AA1213" s="38"/>
      <c r="AB1213" s="248"/>
      <c r="AC1213" s="250"/>
      <c r="AD1213" s="181"/>
      <c r="AE1213" s="37"/>
      <c r="AF1213" s="37"/>
      <c r="AG1213" s="33"/>
      <c r="AH1213" s="37"/>
      <c r="AI1213" s="37"/>
      <c r="AJ1213" s="181"/>
      <c r="AK1213" s="37"/>
      <c r="AL1213" s="37"/>
      <c r="AM1213" s="181"/>
      <c r="AN1213" s="37"/>
      <c r="AO1213" s="37"/>
      <c r="AP1213" s="37"/>
      <c r="AQ1213" s="37"/>
      <c r="AR1213" s="37"/>
      <c r="AS1213" s="37"/>
      <c r="AT1213" s="37"/>
      <c r="AU1213" s="37"/>
      <c r="AV1213" s="37"/>
      <c r="AW1213" s="37"/>
      <c r="AX1213" s="37"/>
      <c r="AY1213" s="37"/>
      <c r="AZ1213" s="37"/>
    </row>
    <row r="1214" spans="1:52" ht="15.5" customHeight="1">
      <c r="A1214" s="360"/>
      <c r="B1214" s="340"/>
      <c r="C1214" s="181"/>
      <c r="D1214" s="30"/>
      <c r="E1214" s="30"/>
      <c r="F1214" s="30"/>
      <c r="G1214" s="37"/>
      <c r="H1214" s="37"/>
      <c r="I1214" s="37"/>
      <c r="J1214" s="37" t="s">
        <v>69</v>
      </c>
      <c r="K1214" s="325" t="s">
        <v>69</v>
      </c>
      <c r="L1214" s="181"/>
      <c r="M1214" s="181"/>
      <c r="N1214" s="37"/>
      <c r="O1214" s="31"/>
      <c r="P1214" s="37"/>
      <c r="Q1214" s="181"/>
      <c r="R1214" s="181"/>
      <c r="S1214" s="181"/>
      <c r="T1214" s="181"/>
      <c r="U1214" s="181"/>
      <c r="V1214" s="37"/>
      <c r="W1214" s="181"/>
      <c r="X1214" s="38"/>
      <c r="Y1214" s="38"/>
      <c r="Z1214" s="38"/>
      <c r="AA1214" s="38"/>
      <c r="AB1214" s="248"/>
      <c r="AC1214" s="250"/>
      <c r="AD1214" s="181"/>
      <c r="AE1214" s="37"/>
      <c r="AF1214" s="37"/>
      <c r="AG1214" s="33"/>
      <c r="AH1214" s="37"/>
      <c r="AI1214" s="37"/>
      <c r="AJ1214" s="181"/>
      <c r="AK1214" s="37"/>
      <c r="AL1214" s="37"/>
      <c r="AM1214" s="181"/>
      <c r="AN1214" s="37"/>
      <c r="AO1214" s="37"/>
      <c r="AP1214" s="37"/>
      <c r="AQ1214" s="37"/>
      <c r="AR1214" s="37"/>
      <c r="AS1214" s="37"/>
      <c r="AT1214" s="37"/>
      <c r="AU1214" s="37"/>
      <c r="AV1214" s="37"/>
      <c r="AW1214" s="37"/>
      <c r="AX1214" s="37"/>
      <c r="AY1214" s="37"/>
      <c r="AZ1214" s="37"/>
    </row>
    <row r="1215" spans="1:52" ht="15.5" customHeight="1">
      <c r="A1215" s="360"/>
      <c r="B1215" s="340"/>
      <c r="C1215" s="181"/>
      <c r="D1215" s="30"/>
      <c r="E1215" s="30"/>
      <c r="F1215" s="30"/>
      <c r="G1215" s="37"/>
      <c r="H1215" s="37"/>
      <c r="I1215" s="37"/>
      <c r="J1215" s="37" t="s">
        <v>69</v>
      </c>
      <c r="K1215" s="325" t="s">
        <v>69</v>
      </c>
      <c r="L1215" s="181"/>
      <c r="M1215" s="181"/>
      <c r="N1215" s="37"/>
      <c r="O1215" s="31"/>
      <c r="P1215" s="37"/>
      <c r="Q1215" s="181"/>
      <c r="R1215" s="181"/>
      <c r="S1215" s="181"/>
      <c r="T1215" s="181"/>
      <c r="U1215" s="181"/>
      <c r="V1215" s="37"/>
      <c r="W1215" s="181"/>
      <c r="X1215" s="38"/>
      <c r="Y1215" s="38"/>
      <c r="Z1215" s="38"/>
      <c r="AA1215" s="38"/>
      <c r="AB1215" s="248"/>
      <c r="AC1215" s="250"/>
      <c r="AD1215" s="181"/>
      <c r="AE1215" s="37"/>
      <c r="AF1215" s="37"/>
      <c r="AG1215" s="33"/>
      <c r="AH1215" s="37"/>
      <c r="AI1215" s="37"/>
      <c r="AJ1215" s="181"/>
      <c r="AK1215" s="37"/>
      <c r="AL1215" s="37"/>
      <c r="AM1215" s="181"/>
      <c r="AN1215" s="37"/>
      <c r="AO1215" s="37"/>
      <c r="AP1215" s="37"/>
      <c r="AQ1215" s="37"/>
      <c r="AR1215" s="37"/>
      <c r="AS1215" s="37"/>
      <c r="AT1215" s="37"/>
      <c r="AU1215" s="37"/>
      <c r="AV1215" s="37"/>
      <c r="AW1215" s="37"/>
      <c r="AX1215" s="37"/>
      <c r="AY1215" s="37"/>
      <c r="AZ1215" s="37"/>
    </row>
    <row r="1216" spans="1:52" ht="15.5" customHeight="1">
      <c r="A1216" s="360"/>
      <c r="B1216" s="340"/>
      <c r="C1216" s="181"/>
      <c r="D1216" s="30"/>
      <c r="E1216" s="30"/>
      <c r="F1216" s="30"/>
      <c r="G1216" s="37"/>
      <c r="H1216" s="37"/>
      <c r="I1216" s="37"/>
      <c r="J1216" s="37" t="s">
        <v>69</v>
      </c>
      <c r="K1216" s="325" t="s">
        <v>69</v>
      </c>
      <c r="L1216" s="181"/>
      <c r="M1216" s="181"/>
      <c r="N1216" s="37"/>
      <c r="O1216" s="31"/>
      <c r="P1216" s="37"/>
      <c r="Q1216" s="181"/>
      <c r="R1216" s="181"/>
      <c r="S1216" s="181"/>
      <c r="T1216" s="181"/>
      <c r="U1216" s="181"/>
      <c r="V1216" s="37"/>
      <c r="W1216" s="181"/>
      <c r="X1216" s="38"/>
      <c r="Y1216" s="38"/>
      <c r="Z1216" s="38"/>
      <c r="AA1216" s="38"/>
      <c r="AB1216" s="248"/>
      <c r="AC1216" s="250"/>
      <c r="AD1216" s="181"/>
      <c r="AE1216" s="37"/>
      <c r="AF1216" s="37"/>
      <c r="AG1216" s="33"/>
      <c r="AH1216" s="37"/>
      <c r="AI1216" s="37"/>
      <c r="AJ1216" s="181"/>
      <c r="AK1216" s="37"/>
      <c r="AL1216" s="37"/>
      <c r="AM1216" s="181"/>
      <c r="AN1216" s="37"/>
      <c r="AO1216" s="37"/>
      <c r="AP1216" s="37"/>
      <c r="AQ1216" s="37"/>
      <c r="AR1216" s="37"/>
      <c r="AS1216" s="37"/>
      <c r="AT1216" s="37"/>
      <c r="AU1216" s="37"/>
      <c r="AV1216" s="37"/>
      <c r="AW1216" s="37"/>
      <c r="AX1216" s="37"/>
      <c r="AY1216" s="37"/>
      <c r="AZ1216" s="37"/>
    </row>
    <row r="1217" spans="1:52" ht="15.5" customHeight="1">
      <c r="A1217" s="360"/>
      <c r="B1217" s="340"/>
      <c r="C1217" s="181"/>
      <c r="D1217" s="30"/>
      <c r="E1217" s="30"/>
      <c r="F1217" s="30"/>
      <c r="G1217" s="37"/>
      <c r="H1217" s="37"/>
      <c r="I1217" s="37"/>
      <c r="J1217" s="37" t="s">
        <v>69</v>
      </c>
      <c r="K1217" s="325" t="s">
        <v>69</v>
      </c>
      <c r="L1217" s="181"/>
      <c r="M1217" s="181"/>
      <c r="N1217" s="37"/>
      <c r="O1217" s="31"/>
      <c r="P1217" s="37"/>
      <c r="Q1217" s="181"/>
      <c r="R1217" s="181"/>
      <c r="S1217" s="181"/>
      <c r="T1217" s="181"/>
      <c r="U1217" s="181"/>
      <c r="V1217" s="37"/>
      <c r="W1217" s="181"/>
      <c r="X1217" s="38"/>
      <c r="Y1217" s="38"/>
      <c r="Z1217" s="38"/>
      <c r="AA1217" s="38"/>
      <c r="AB1217" s="248"/>
      <c r="AC1217" s="250"/>
      <c r="AD1217" s="181"/>
      <c r="AE1217" s="37"/>
      <c r="AF1217" s="37"/>
      <c r="AG1217" s="33"/>
      <c r="AH1217" s="37"/>
      <c r="AI1217" s="37"/>
      <c r="AJ1217" s="181"/>
      <c r="AK1217" s="37"/>
      <c r="AL1217" s="37"/>
      <c r="AM1217" s="181"/>
      <c r="AN1217" s="37"/>
      <c r="AO1217" s="37"/>
      <c r="AP1217" s="37"/>
      <c r="AQ1217" s="37"/>
      <c r="AR1217" s="37"/>
      <c r="AS1217" s="37"/>
      <c r="AT1217" s="37"/>
      <c r="AU1217" s="37"/>
      <c r="AV1217" s="37"/>
      <c r="AW1217" s="37"/>
      <c r="AX1217" s="37"/>
      <c r="AY1217" s="37"/>
      <c r="AZ1217" s="37"/>
    </row>
    <row r="1218" spans="1:52" ht="15.5" customHeight="1">
      <c r="A1218" s="360"/>
      <c r="B1218" s="340"/>
      <c r="C1218" s="181"/>
      <c r="D1218" s="30"/>
      <c r="E1218" s="30"/>
      <c r="F1218" s="30"/>
      <c r="G1218" s="37"/>
      <c r="H1218" s="37"/>
      <c r="I1218" s="37"/>
      <c r="J1218" s="37" t="s">
        <v>69</v>
      </c>
      <c r="K1218" s="325" t="s">
        <v>69</v>
      </c>
      <c r="L1218" s="181"/>
      <c r="M1218" s="181"/>
      <c r="N1218" s="37"/>
      <c r="O1218" s="31"/>
      <c r="P1218" s="37"/>
      <c r="Q1218" s="181"/>
      <c r="R1218" s="181"/>
      <c r="S1218" s="181"/>
      <c r="T1218" s="181"/>
      <c r="U1218" s="181"/>
      <c r="V1218" s="37"/>
      <c r="W1218" s="181"/>
      <c r="X1218" s="38"/>
      <c r="Y1218" s="38"/>
      <c r="Z1218" s="38"/>
      <c r="AA1218" s="38"/>
      <c r="AB1218" s="248"/>
      <c r="AC1218" s="250"/>
      <c r="AD1218" s="181"/>
      <c r="AE1218" s="37"/>
      <c r="AF1218" s="37"/>
      <c r="AG1218" s="33"/>
      <c r="AH1218" s="37"/>
      <c r="AI1218" s="37"/>
      <c r="AJ1218" s="181"/>
      <c r="AK1218" s="37"/>
      <c r="AL1218" s="37"/>
      <c r="AM1218" s="181"/>
      <c r="AN1218" s="37"/>
      <c r="AO1218" s="37"/>
      <c r="AP1218" s="37"/>
      <c r="AQ1218" s="37"/>
      <c r="AR1218" s="37"/>
      <c r="AS1218" s="37"/>
      <c r="AT1218" s="37"/>
      <c r="AU1218" s="37"/>
      <c r="AV1218" s="37"/>
      <c r="AW1218" s="37"/>
      <c r="AX1218" s="37"/>
      <c r="AY1218" s="37"/>
      <c r="AZ1218" s="37"/>
    </row>
    <row r="1219" spans="1:52" ht="15.5" customHeight="1">
      <c r="A1219" s="360"/>
      <c r="B1219" s="340"/>
      <c r="C1219" s="181"/>
      <c r="D1219" s="30"/>
      <c r="E1219" s="30"/>
      <c r="F1219" s="30"/>
      <c r="G1219" s="37"/>
      <c r="H1219" s="37"/>
      <c r="I1219" s="37"/>
      <c r="J1219" s="37" t="s">
        <v>69</v>
      </c>
      <c r="K1219" s="325" t="s">
        <v>69</v>
      </c>
      <c r="L1219" s="181"/>
      <c r="M1219" s="181"/>
      <c r="N1219" s="37"/>
      <c r="O1219" s="31"/>
      <c r="P1219" s="37"/>
      <c r="Q1219" s="181"/>
      <c r="R1219" s="181"/>
      <c r="S1219" s="181"/>
      <c r="T1219" s="181"/>
      <c r="U1219" s="181"/>
      <c r="V1219" s="37"/>
      <c r="W1219" s="181"/>
      <c r="X1219" s="38"/>
      <c r="Y1219" s="38"/>
      <c r="Z1219" s="38"/>
      <c r="AA1219" s="38"/>
      <c r="AB1219" s="248"/>
      <c r="AC1219" s="250"/>
      <c r="AD1219" s="181"/>
      <c r="AE1219" s="37"/>
      <c r="AF1219" s="37"/>
      <c r="AG1219" s="33"/>
      <c r="AH1219" s="37"/>
      <c r="AI1219" s="37"/>
      <c r="AJ1219" s="181"/>
      <c r="AK1219" s="37"/>
      <c r="AL1219" s="37"/>
      <c r="AM1219" s="181"/>
      <c r="AN1219" s="37"/>
      <c r="AO1219" s="37"/>
      <c r="AP1219" s="37"/>
      <c r="AQ1219" s="37"/>
      <c r="AR1219" s="37"/>
      <c r="AS1219" s="37"/>
      <c r="AT1219" s="37"/>
      <c r="AU1219" s="37"/>
      <c r="AV1219" s="37"/>
      <c r="AW1219" s="37"/>
      <c r="AX1219" s="37"/>
      <c r="AY1219" s="37"/>
      <c r="AZ1219" s="37"/>
    </row>
    <row r="1220" spans="1:52" ht="15.5" customHeight="1">
      <c r="A1220" s="360"/>
      <c r="B1220" s="340"/>
      <c r="C1220" s="181"/>
      <c r="D1220" s="30"/>
      <c r="E1220" s="30"/>
      <c r="F1220" s="30"/>
      <c r="G1220" s="37"/>
      <c r="H1220" s="37"/>
      <c r="I1220" s="37"/>
      <c r="J1220" s="37" t="s">
        <v>69</v>
      </c>
      <c r="K1220" s="325" t="s">
        <v>69</v>
      </c>
      <c r="L1220" s="181"/>
      <c r="M1220" s="181"/>
      <c r="N1220" s="37"/>
      <c r="O1220" s="31"/>
      <c r="P1220" s="37"/>
      <c r="Q1220" s="181"/>
      <c r="R1220" s="181"/>
      <c r="S1220" s="181"/>
      <c r="T1220" s="181"/>
      <c r="U1220" s="181"/>
      <c r="V1220" s="37"/>
      <c r="W1220" s="181"/>
      <c r="X1220" s="38"/>
      <c r="Y1220" s="38"/>
      <c r="Z1220" s="38"/>
      <c r="AA1220" s="38"/>
      <c r="AB1220" s="248"/>
      <c r="AC1220" s="250"/>
      <c r="AD1220" s="181"/>
      <c r="AE1220" s="37"/>
      <c r="AF1220" s="37"/>
      <c r="AG1220" s="33"/>
      <c r="AH1220" s="37"/>
      <c r="AI1220" s="37"/>
      <c r="AJ1220" s="181"/>
      <c r="AK1220" s="37"/>
      <c r="AL1220" s="37"/>
      <c r="AM1220" s="181"/>
      <c r="AN1220" s="37"/>
      <c r="AO1220" s="37"/>
      <c r="AP1220" s="37"/>
      <c r="AQ1220" s="37"/>
      <c r="AR1220" s="37"/>
      <c r="AS1220" s="37"/>
      <c r="AT1220" s="37"/>
      <c r="AU1220" s="37"/>
      <c r="AV1220" s="37"/>
      <c r="AW1220" s="37"/>
      <c r="AX1220" s="37"/>
      <c r="AY1220" s="37"/>
      <c r="AZ1220" s="37"/>
    </row>
    <row r="1221" spans="1:52" ht="15.5" customHeight="1">
      <c r="A1221" s="360"/>
      <c r="B1221" s="340"/>
      <c r="C1221" s="181"/>
      <c r="D1221" s="30"/>
      <c r="E1221" s="30"/>
      <c r="F1221" s="30"/>
      <c r="G1221" s="37"/>
      <c r="H1221" s="37"/>
      <c r="I1221" s="37"/>
      <c r="J1221" s="37" t="s">
        <v>69</v>
      </c>
      <c r="K1221" s="325" t="s">
        <v>69</v>
      </c>
      <c r="L1221" s="181"/>
      <c r="M1221" s="181"/>
      <c r="N1221" s="37"/>
      <c r="O1221" s="31"/>
      <c r="P1221" s="37"/>
      <c r="Q1221" s="181"/>
      <c r="R1221" s="181"/>
      <c r="S1221" s="181"/>
      <c r="T1221" s="181"/>
      <c r="U1221" s="181"/>
      <c r="V1221" s="37"/>
      <c r="W1221" s="181"/>
      <c r="X1221" s="38"/>
      <c r="Y1221" s="38"/>
      <c r="Z1221" s="38"/>
      <c r="AA1221" s="38"/>
      <c r="AB1221" s="248"/>
      <c r="AC1221" s="250"/>
      <c r="AD1221" s="181"/>
      <c r="AE1221" s="37"/>
      <c r="AF1221" s="37"/>
      <c r="AG1221" s="33"/>
      <c r="AH1221" s="37"/>
      <c r="AI1221" s="37"/>
      <c r="AJ1221" s="181"/>
      <c r="AK1221" s="37"/>
      <c r="AL1221" s="37"/>
      <c r="AM1221" s="181"/>
      <c r="AN1221" s="37"/>
      <c r="AO1221" s="37"/>
      <c r="AP1221" s="37"/>
      <c r="AQ1221" s="37"/>
      <c r="AR1221" s="37"/>
      <c r="AS1221" s="37"/>
      <c r="AT1221" s="37"/>
      <c r="AU1221" s="37"/>
      <c r="AV1221" s="37"/>
      <c r="AW1221" s="37"/>
      <c r="AX1221" s="37"/>
      <c r="AY1221" s="37"/>
      <c r="AZ1221" s="37"/>
    </row>
    <row r="1222" spans="1:52" ht="15.5" customHeight="1">
      <c r="A1222" s="360"/>
      <c r="B1222" s="340"/>
      <c r="C1222" s="181"/>
      <c r="D1222" s="30"/>
      <c r="E1222" s="30"/>
      <c r="F1222" s="30"/>
      <c r="G1222" s="37"/>
      <c r="H1222" s="37"/>
      <c r="I1222" s="37"/>
      <c r="J1222" s="37" t="s">
        <v>69</v>
      </c>
      <c r="K1222" s="325" t="s">
        <v>69</v>
      </c>
      <c r="L1222" s="181"/>
      <c r="M1222" s="181"/>
      <c r="N1222" s="37"/>
      <c r="O1222" s="31"/>
      <c r="P1222" s="37"/>
      <c r="Q1222" s="181"/>
      <c r="R1222" s="181"/>
      <c r="S1222" s="181"/>
      <c r="T1222" s="181"/>
      <c r="U1222" s="181"/>
      <c r="V1222" s="37"/>
      <c r="W1222" s="181"/>
      <c r="X1222" s="38"/>
      <c r="Y1222" s="38"/>
      <c r="Z1222" s="38"/>
      <c r="AA1222" s="38"/>
      <c r="AB1222" s="248"/>
      <c r="AC1222" s="250"/>
      <c r="AD1222" s="181"/>
      <c r="AE1222" s="37"/>
      <c r="AF1222" s="37"/>
      <c r="AG1222" s="33"/>
      <c r="AH1222" s="37"/>
      <c r="AI1222" s="37"/>
      <c r="AJ1222" s="181"/>
      <c r="AK1222" s="37"/>
      <c r="AL1222" s="37"/>
      <c r="AM1222" s="181"/>
      <c r="AN1222" s="37"/>
      <c r="AO1222" s="37"/>
      <c r="AP1222" s="37"/>
      <c r="AQ1222" s="37"/>
      <c r="AR1222" s="37"/>
      <c r="AS1222" s="37"/>
      <c r="AT1222" s="37"/>
      <c r="AU1222" s="37"/>
      <c r="AV1222" s="37"/>
      <c r="AW1222" s="37"/>
      <c r="AX1222" s="37"/>
      <c r="AY1222" s="37"/>
      <c r="AZ1222" s="37"/>
    </row>
    <row r="1223" spans="1:52" ht="15.5" customHeight="1">
      <c r="A1223" s="360"/>
      <c r="B1223" s="340"/>
      <c r="C1223" s="181"/>
      <c r="D1223" s="30"/>
      <c r="E1223" s="30"/>
      <c r="F1223" s="30"/>
      <c r="G1223" s="37"/>
      <c r="H1223" s="37"/>
      <c r="I1223" s="37"/>
      <c r="J1223" s="37" t="s">
        <v>69</v>
      </c>
      <c r="K1223" s="325" t="s">
        <v>69</v>
      </c>
      <c r="L1223" s="181"/>
      <c r="M1223" s="181"/>
      <c r="N1223" s="37"/>
      <c r="O1223" s="31"/>
      <c r="P1223" s="37"/>
      <c r="Q1223" s="181"/>
      <c r="R1223" s="181"/>
      <c r="S1223" s="181"/>
      <c r="T1223" s="181"/>
      <c r="U1223" s="181"/>
      <c r="V1223" s="37"/>
      <c r="W1223" s="181"/>
      <c r="X1223" s="38"/>
      <c r="Y1223" s="38"/>
      <c r="Z1223" s="38"/>
      <c r="AA1223" s="38"/>
      <c r="AB1223" s="248"/>
      <c r="AC1223" s="250"/>
      <c r="AD1223" s="181"/>
      <c r="AE1223" s="37"/>
      <c r="AF1223" s="37"/>
      <c r="AG1223" s="33"/>
      <c r="AH1223" s="37"/>
      <c r="AI1223" s="37"/>
      <c r="AJ1223" s="181"/>
      <c r="AK1223" s="37"/>
      <c r="AL1223" s="37"/>
      <c r="AM1223" s="181"/>
      <c r="AN1223" s="37"/>
      <c r="AO1223" s="37"/>
      <c r="AP1223" s="37"/>
      <c r="AQ1223" s="37"/>
      <c r="AR1223" s="37"/>
      <c r="AS1223" s="37"/>
      <c r="AT1223" s="37"/>
      <c r="AU1223" s="37"/>
      <c r="AV1223" s="37"/>
      <c r="AW1223" s="37"/>
      <c r="AX1223" s="37"/>
      <c r="AY1223" s="37"/>
      <c r="AZ1223" s="37"/>
    </row>
    <row r="1224" spans="1:52" ht="15.5" customHeight="1">
      <c r="A1224" s="360"/>
      <c r="B1224" s="340"/>
      <c r="C1224" s="181"/>
      <c r="D1224" s="30"/>
      <c r="E1224" s="30"/>
      <c r="F1224" s="30"/>
      <c r="G1224" s="37"/>
      <c r="H1224" s="37"/>
      <c r="I1224" s="37"/>
      <c r="J1224" s="37" t="s">
        <v>69</v>
      </c>
      <c r="K1224" s="325" t="s">
        <v>69</v>
      </c>
      <c r="L1224" s="181"/>
      <c r="M1224" s="181"/>
      <c r="N1224" s="37"/>
      <c r="O1224" s="31"/>
      <c r="P1224" s="37"/>
      <c r="Q1224" s="181"/>
      <c r="R1224" s="181"/>
      <c r="S1224" s="181"/>
      <c r="T1224" s="181"/>
      <c r="U1224" s="181"/>
      <c r="V1224" s="37"/>
      <c r="W1224" s="181"/>
      <c r="X1224" s="38"/>
      <c r="Y1224" s="38"/>
      <c r="Z1224" s="38"/>
      <c r="AA1224" s="38"/>
      <c r="AB1224" s="248"/>
      <c r="AC1224" s="250"/>
      <c r="AD1224" s="181"/>
      <c r="AE1224" s="37"/>
      <c r="AF1224" s="37"/>
      <c r="AG1224" s="33"/>
      <c r="AH1224" s="37"/>
      <c r="AI1224" s="37"/>
      <c r="AJ1224" s="181"/>
      <c r="AK1224" s="37"/>
      <c r="AL1224" s="37"/>
      <c r="AM1224" s="181"/>
      <c r="AN1224" s="37"/>
      <c r="AO1224" s="37"/>
      <c r="AP1224" s="37"/>
      <c r="AQ1224" s="37"/>
      <c r="AR1224" s="37"/>
      <c r="AS1224" s="37"/>
      <c r="AT1224" s="37"/>
      <c r="AU1224" s="37"/>
      <c r="AV1224" s="37"/>
      <c r="AW1224" s="37"/>
      <c r="AX1224" s="37"/>
      <c r="AY1224" s="37"/>
      <c r="AZ1224" s="37"/>
    </row>
    <row r="1225" spans="1:52" ht="15.5" customHeight="1">
      <c r="A1225" s="360"/>
      <c r="B1225" s="340"/>
      <c r="C1225" s="181"/>
      <c r="D1225" s="30"/>
      <c r="E1225" s="30"/>
      <c r="F1225" s="30"/>
      <c r="G1225" s="37"/>
      <c r="H1225" s="37"/>
      <c r="I1225" s="37"/>
      <c r="J1225" s="37" t="s">
        <v>69</v>
      </c>
      <c r="K1225" s="325" t="s">
        <v>69</v>
      </c>
      <c r="L1225" s="181"/>
      <c r="M1225" s="181"/>
      <c r="N1225" s="37"/>
      <c r="O1225" s="31"/>
      <c r="P1225" s="37"/>
      <c r="Q1225" s="181"/>
      <c r="R1225" s="181"/>
      <c r="S1225" s="181"/>
      <c r="T1225" s="181"/>
      <c r="U1225" s="181"/>
      <c r="V1225" s="37"/>
      <c r="W1225" s="181"/>
      <c r="X1225" s="38"/>
      <c r="Y1225" s="38"/>
      <c r="Z1225" s="38"/>
      <c r="AA1225" s="38"/>
      <c r="AB1225" s="248"/>
      <c r="AC1225" s="250"/>
      <c r="AD1225" s="181"/>
      <c r="AE1225" s="37"/>
      <c r="AF1225" s="37"/>
      <c r="AG1225" s="33"/>
      <c r="AH1225" s="37"/>
      <c r="AI1225" s="37"/>
      <c r="AJ1225" s="181"/>
      <c r="AK1225" s="37"/>
      <c r="AL1225" s="37"/>
      <c r="AM1225" s="181"/>
      <c r="AN1225" s="37"/>
      <c r="AO1225" s="37"/>
      <c r="AP1225" s="37"/>
      <c r="AQ1225" s="37"/>
      <c r="AR1225" s="37"/>
      <c r="AS1225" s="37"/>
      <c r="AT1225" s="37"/>
      <c r="AU1225" s="37"/>
      <c r="AV1225" s="37"/>
      <c r="AW1225" s="37"/>
      <c r="AX1225" s="37"/>
      <c r="AY1225" s="37"/>
      <c r="AZ1225" s="37"/>
    </row>
    <row r="1226" spans="1:52" ht="15.5" customHeight="1">
      <c r="A1226" s="360"/>
      <c r="B1226" s="340"/>
      <c r="C1226" s="181"/>
      <c r="D1226" s="30"/>
      <c r="E1226" s="30"/>
      <c r="F1226" s="30"/>
      <c r="G1226" s="37"/>
      <c r="H1226" s="37"/>
      <c r="I1226" s="37"/>
      <c r="J1226" s="37" t="s">
        <v>69</v>
      </c>
      <c r="K1226" s="325" t="s">
        <v>69</v>
      </c>
      <c r="L1226" s="181"/>
      <c r="M1226" s="181"/>
      <c r="N1226" s="37"/>
      <c r="O1226" s="31"/>
      <c r="P1226" s="37"/>
      <c r="Q1226" s="181"/>
      <c r="R1226" s="181"/>
      <c r="S1226" s="181"/>
      <c r="T1226" s="181"/>
      <c r="U1226" s="181"/>
      <c r="V1226" s="37"/>
      <c r="W1226" s="181"/>
      <c r="X1226" s="38"/>
      <c r="Y1226" s="38"/>
      <c r="Z1226" s="38"/>
      <c r="AA1226" s="38"/>
      <c r="AB1226" s="248"/>
      <c r="AC1226" s="250"/>
      <c r="AD1226" s="181"/>
      <c r="AE1226" s="37"/>
      <c r="AF1226" s="37"/>
      <c r="AG1226" s="33"/>
      <c r="AH1226" s="37"/>
      <c r="AI1226" s="37"/>
      <c r="AJ1226" s="181"/>
      <c r="AK1226" s="37"/>
      <c r="AL1226" s="37"/>
      <c r="AM1226" s="181"/>
      <c r="AN1226" s="37"/>
      <c r="AO1226" s="37"/>
      <c r="AP1226" s="37"/>
      <c r="AQ1226" s="37"/>
      <c r="AR1226" s="37"/>
      <c r="AS1226" s="37"/>
      <c r="AT1226" s="37"/>
      <c r="AU1226" s="37"/>
      <c r="AV1226" s="37"/>
      <c r="AW1226" s="37"/>
      <c r="AX1226" s="37"/>
      <c r="AY1226" s="37"/>
      <c r="AZ1226" s="37"/>
    </row>
    <row r="1227" spans="1:52" ht="15.5" customHeight="1">
      <c r="A1227" s="360"/>
      <c r="B1227" s="340"/>
      <c r="C1227" s="181"/>
      <c r="D1227" s="30"/>
      <c r="E1227" s="30"/>
      <c r="F1227" s="30"/>
      <c r="G1227" s="37"/>
      <c r="H1227" s="37"/>
      <c r="I1227" s="37"/>
      <c r="J1227" s="37" t="s">
        <v>69</v>
      </c>
      <c r="K1227" s="325" t="s">
        <v>69</v>
      </c>
      <c r="L1227" s="181"/>
      <c r="M1227" s="181"/>
      <c r="N1227" s="37"/>
      <c r="O1227" s="31"/>
      <c r="P1227" s="37"/>
      <c r="Q1227" s="181"/>
      <c r="R1227" s="181"/>
      <c r="S1227" s="181"/>
      <c r="T1227" s="181"/>
      <c r="U1227" s="181"/>
      <c r="V1227" s="37"/>
      <c r="W1227" s="181"/>
      <c r="X1227" s="38"/>
      <c r="Y1227" s="38"/>
      <c r="Z1227" s="38"/>
      <c r="AA1227" s="38"/>
      <c r="AB1227" s="248"/>
      <c r="AC1227" s="250"/>
      <c r="AD1227" s="181"/>
      <c r="AE1227" s="37"/>
      <c r="AF1227" s="37"/>
      <c r="AG1227" s="33"/>
      <c r="AH1227" s="37"/>
      <c r="AI1227" s="37"/>
      <c r="AJ1227" s="181"/>
      <c r="AK1227" s="37"/>
      <c r="AL1227" s="37"/>
      <c r="AM1227" s="181"/>
      <c r="AN1227" s="37"/>
      <c r="AO1227" s="37"/>
      <c r="AP1227" s="37"/>
      <c r="AQ1227" s="37"/>
      <c r="AR1227" s="37"/>
      <c r="AS1227" s="37"/>
      <c r="AT1227" s="37"/>
      <c r="AU1227" s="37"/>
      <c r="AV1227" s="37"/>
      <c r="AW1227" s="37"/>
      <c r="AX1227" s="37"/>
      <c r="AY1227" s="37"/>
      <c r="AZ1227" s="37"/>
    </row>
    <row r="1228" spans="1:52" ht="15.5" customHeight="1">
      <c r="A1228" s="360"/>
      <c r="B1228" s="340"/>
      <c r="C1228" s="181"/>
      <c r="D1228" s="30"/>
      <c r="E1228" s="30"/>
      <c r="F1228" s="30"/>
      <c r="G1228" s="37"/>
      <c r="H1228" s="37"/>
      <c r="I1228" s="37"/>
      <c r="J1228" s="37" t="s">
        <v>69</v>
      </c>
      <c r="K1228" s="325" t="s">
        <v>69</v>
      </c>
      <c r="L1228" s="181"/>
      <c r="M1228" s="181"/>
      <c r="N1228" s="37"/>
      <c r="O1228" s="31"/>
      <c r="P1228" s="37"/>
      <c r="Q1228" s="181"/>
      <c r="R1228" s="181"/>
      <c r="S1228" s="181"/>
      <c r="T1228" s="181"/>
      <c r="U1228" s="181"/>
      <c r="V1228" s="37"/>
      <c r="W1228" s="181"/>
      <c r="X1228" s="38"/>
      <c r="Y1228" s="38"/>
      <c r="Z1228" s="38"/>
      <c r="AA1228" s="38"/>
      <c r="AB1228" s="248"/>
      <c r="AC1228" s="250"/>
      <c r="AD1228" s="181"/>
      <c r="AE1228" s="37"/>
      <c r="AF1228" s="37"/>
      <c r="AG1228" s="33"/>
      <c r="AH1228" s="37"/>
      <c r="AI1228" s="37"/>
      <c r="AJ1228" s="181"/>
      <c r="AK1228" s="37"/>
      <c r="AL1228" s="37"/>
      <c r="AM1228" s="181"/>
      <c r="AN1228" s="37"/>
      <c r="AO1228" s="37"/>
      <c r="AP1228" s="37"/>
      <c r="AQ1228" s="37"/>
      <c r="AR1228" s="37"/>
      <c r="AS1228" s="37"/>
      <c r="AT1228" s="37"/>
      <c r="AU1228" s="37"/>
      <c r="AV1228" s="37"/>
      <c r="AW1228" s="37"/>
      <c r="AX1228" s="37"/>
      <c r="AY1228" s="37"/>
      <c r="AZ1228" s="37"/>
    </row>
    <row r="1229" spans="1:52" ht="15.5" customHeight="1">
      <c r="A1229" s="360"/>
      <c r="B1229" s="340"/>
      <c r="C1229" s="181"/>
      <c r="D1229" s="30"/>
      <c r="E1229" s="30"/>
      <c r="F1229" s="30"/>
      <c r="G1229" s="37"/>
      <c r="H1229" s="37"/>
      <c r="I1229" s="37"/>
      <c r="J1229" s="37" t="s">
        <v>69</v>
      </c>
      <c r="K1229" s="325" t="s">
        <v>69</v>
      </c>
      <c r="L1229" s="181"/>
      <c r="M1229" s="181"/>
      <c r="N1229" s="37"/>
      <c r="O1229" s="31"/>
      <c r="P1229" s="37"/>
      <c r="Q1229" s="181"/>
      <c r="R1229" s="181"/>
      <c r="S1229" s="181"/>
      <c r="T1229" s="181"/>
      <c r="U1229" s="181"/>
      <c r="V1229" s="37"/>
      <c r="W1229" s="181"/>
      <c r="X1229" s="38"/>
      <c r="Y1229" s="38"/>
      <c r="Z1229" s="38"/>
      <c r="AA1229" s="38"/>
      <c r="AB1229" s="248"/>
      <c r="AC1229" s="250"/>
      <c r="AD1229" s="181"/>
      <c r="AE1229" s="37"/>
      <c r="AF1229" s="37"/>
      <c r="AG1229" s="33"/>
      <c r="AH1229" s="37"/>
      <c r="AI1229" s="37"/>
      <c r="AJ1229" s="181"/>
      <c r="AK1229" s="37"/>
      <c r="AL1229" s="37"/>
      <c r="AM1229" s="181"/>
      <c r="AN1229" s="37"/>
      <c r="AO1229" s="37"/>
      <c r="AP1229" s="37"/>
      <c r="AQ1229" s="37"/>
      <c r="AR1229" s="37"/>
      <c r="AS1229" s="37"/>
      <c r="AT1229" s="37"/>
      <c r="AU1229" s="37"/>
      <c r="AV1229" s="37"/>
      <c r="AW1229" s="37"/>
      <c r="AX1229" s="37"/>
      <c r="AY1229" s="37"/>
      <c r="AZ1229" s="37"/>
    </row>
    <row r="1230" spans="1:52" ht="15.5" customHeight="1">
      <c r="A1230" s="360"/>
      <c r="B1230" s="340"/>
      <c r="C1230" s="181"/>
      <c r="D1230" s="30"/>
      <c r="E1230" s="30"/>
      <c r="F1230" s="30"/>
      <c r="G1230" s="37"/>
      <c r="H1230" s="37"/>
      <c r="I1230" s="37"/>
      <c r="J1230" s="37" t="s">
        <v>69</v>
      </c>
      <c r="K1230" s="325" t="s">
        <v>69</v>
      </c>
      <c r="L1230" s="181"/>
      <c r="M1230" s="181"/>
      <c r="N1230" s="37"/>
      <c r="O1230" s="31"/>
      <c r="P1230" s="37"/>
      <c r="Q1230" s="181"/>
      <c r="R1230" s="181"/>
      <c r="S1230" s="181"/>
      <c r="T1230" s="181"/>
      <c r="U1230" s="181"/>
      <c r="V1230" s="37"/>
      <c r="W1230" s="181"/>
      <c r="X1230" s="38"/>
      <c r="Y1230" s="38"/>
      <c r="Z1230" s="38"/>
      <c r="AA1230" s="38"/>
      <c r="AB1230" s="248"/>
      <c r="AC1230" s="250"/>
      <c r="AD1230" s="181"/>
      <c r="AE1230" s="37"/>
      <c r="AF1230" s="37"/>
      <c r="AG1230" s="33"/>
      <c r="AH1230" s="37"/>
      <c r="AI1230" s="37"/>
      <c r="AJ1230" s="181"/>
      <c r="AK1230" s="37"/>
      <c r="AL1230" s="37"/>
      <c r="AM1230" s="181"/>
      <c r="AN1230" s="37"/>
      <c r="AO1230" s="37"/>
      <c r="AP1230" s="37"/>
      <c r="AQ1230" s="37"/>
      <c r="AR1230" s="37"/>
      <c r="AS1230" s="37"/>
      <c r="AT1230" s="37"/>
      <c r="AU1230" s="37"/>
      <c r="AV1230" s="37"/>
      <c r="AW1230" s="37"/>
      <c r="AX1230" s="37"/>
      <c r="AY1230" s="37"/>
      <c r="AZ1230" s="37"/>
    </row>
    <row r="1231" spans="1:52" ht="15.5" customHeight="1">
      <c r="A1231" s="360"/>
      <c r="B1231" s="340"/>
      <c r="C1231" s="181"/>
      <c r="D1231" s="30"/>
      <c r="E1231" s="30"/>
      <c r="F1231" s="30"/>
      <c r="G1231" s="37"/>
      <c r="H1231" s="37"/>
      <c r="I1231" s="37"/>
      <c r="J1231" s="37" t="s">
        <v>69</v>
      </c>
      <c r="K1231" s="325" t="s">
        <v>69</v>
      </c>
      <c r="L1231" s="181"/>
      <c r="M1231" s="181"/>
      <c r="N1231" s="37"/>
      <c r="O1231" s="31"/>
      <c r="P1231" s="37"/>
      <c r="Q1231" s="181"/>
      <c r="R1231" s="181"/>
      <c r="S1231" s="181"/>
      <c r="T1231" s="181"/>
      <c r="U1231" s="181"/>
      <c r="V1231" s="37"/>
      <c r="W1231" s="181"/>
      <c r="X1231" s="38"/>
      <c r="Y1231" s="38"/>
      <c r="Z1231" s="38"/>
      <c r="AA1231" s="38"/>
      <c r="AB1231" s="248"/>
      <c r="AC1231" s="250"/>
      <c r="AD1231" s="181"/>
      <c r="AE1231" s="37"/>
      <c r="AF1231" s="37"/>
      <c r="AG1231" s="33"/>
      <c r="AH1231" s="37"/>
      <c r="AI1231" s="37"/>
      <c r="AJ1231" s="181"/>
      <c r="AK1231" s="37"/>
      <c r="AL1231" s="37"/>
      <c r="AM1231" s="181"/>
      <c r="AN1231" s="37"/>
      <c r="AO1231" s="37"/>
      <c r="AP1231" s="37"/>
      <c r="AQ1231" s="37"/>
      <c r="AR1231" s="37"/>
      <c r="AS1231" s="37"/>
      <c r="AT1231" s="37"/>
      <c r="AU1231" s="37"/>
      <c r="AV1231" s="37"/>
      <c r="AW1231" s="37"/>
      <c r="AX1231" s="37"/>
      <c r="AY1231" s="37"/>
      <c r="AZ1231" s="37"/>
    </row>
    <row r="1232" spans="1:52" ht="15.5" customHeight="1">
      <c r="A1232" s="360"/>
      <c r="B1232" s="340"/>
      <c r="C1232" s="181"/>
      <c r="D1232" s="30"/>
      <c r="E1232" s="30"/>
      <c r="F1232" s="30"/>
      <c r="G1232" s="37"/>
      <c r="H1232" s="37"/>
      <c r="I1232" s="37"/>
      <c r="J1232" s="37" t="s">
        <v>69</v>
      </c>
      <c r="K1232" s="325" t="s">
        <v>69</v>
      </c>
      <c r="L1232" s="181"/>
      <c r="M1232" s="181"/>
      <c r="N1232" s="37"/>
      <c r="O1232" s="31"/>
      <c r="P1232" s="37"/>
      <c r="Q1232" s="181"/>
      <c r="R1232" s="181"/>
      <c r="S1232" s="181"/>
      <c r="T1232" s="181"/>
      <c r="U1232" s="181"/>
      <c r="V1232" s="37"/>
      <c r="W1232" s="181"/>
      <c r="X1232" s="38"/>
      <c r="Y1232" s="38"/>
      <c r="Z1232" s="38"/>
      <c r="AA1232" s="38"/>
      <c r="AB1232" s="248"/>
      <c r="AC1232" s="250"/>
      <c r="AD1232" s="181"/>
      <c r="AE1232" s="37"/>
      <c r="AF1232" s="37"/>
      <c r="AG1232" s="33"/>
      <c r="AH1232" s="37"/>
      <c r="AI1232" s="37"/>
      <c r="AJ1232" s="181"/>
      <c r="AK1232" s="37"/>
      <c r="AL1232" s="37"/>
      <c r="AM1232" s="181"/>
      <c r="AN1232" s="37"/>
      <c r="AO1232" s="37"/>
      <c r="AP1232" s="37"/>
      <c r="AQ1232" s="37"/>
      <c r="AR1232" s="37"/>
      <c r="AS1232" s="37"/>
      <c r="AT1232" s="37"/>
      <c r="AU1232" s="37"/>
      <c r="AV1232" s="37"/>
      <c r="AW1232" s="37"/>
      <c r="AX1232" s="37"/>
      <c r="AY1232" s="37"/>
      <c r="AZ1232" s="37"/>
    </row>
    <row r="1233" spans="1:52" ht="15.5" customHeight="1">
      <c r="A1233" s="360"/>
      <c r="B1233" s="340"/>
      <c r="C1233" s="181"/>
      <c r="D1233" s="30"/>
      <c r="E1233" s="30"/>
      <c r="F1233" s="30"/>
      <c r="G1233" s="37"/>
      <c r="H1233" s="37"/>
      <c r="I1233" s="37"/>
      <c r="J1233" s="37" t="s">
        <v>69</v>
      </c>
      <c r="K1233" s="325" t="s">
        <v>69</v>
      </c>
      <c r="L1233" s="181"/>
      <c r="M1233" s="181"/>
      <c r="N1233" s="37"/>
      <c r="O1233" s="31"/>
      <c r="P1233" s="37"/>
      <c r="Q1233" s="181"/>
      <c r="R1233" s="181"/>
      <c r="S1233" s="181"/>
      <c r="T1233" s="181"/>
      <c r="U1233" s="181"/>
      <c r="V1233" s="37"/>
      <c r="W1233" s="181"/>
      <c r="X1233" s="38"/>
      <c r="Y1233" s="38"/>
      <c r="Z1233" s="38"/>
      <c r="AA1233" s="38"/>
      <c r="AB1233" s="248"/>
      <c r="AC1233" s="250"/>
      <c r="AD1233" s="181"/>
      <c r="AE1233" s="37"/>
      <c r="AF1233" s="37"/>
      <c r="AG1233" s="33"/>
      <c r="AH1233" s="37"/>
      <c r="AI1233" s="37"/>
      <c r="AJ1233" s="181"/>
      <c r="AK1233" s="37"/>
      <c r="AL1233" s="37"/>
      <c r="AM1233" s="181"/>
      <c r="AN1233" s="37"/>
      <c r="AO1233" s="37"/>
      <c r="AP1233" s="37"/>
      <c r="AQ1233" s="37"/>
      <c r="AR1233" s="37"/>
      <c r="AS1233" s="37"/>
      <c r="AT1233" s="37"/>
      <c r="AU1233" s="37"/>
      <c r="AV1233" s="37"/>
      <c r="AW1233" s="37"/>
      <c r="AX1233" s="37"/>
      <c r="AY1233" s="37"/>
      <c r="AZ1233" s="37"/>
    </row>
    <row r="1234" spans="1:52" ht="15.5" customHeight="1">
      <c r="A1234" s="360"/>
      <c r="B1234" s="340"/>
      <c r="C1234" s="181"/>
      <c r="D1234" s="30"/>
      <c r="E1234" s="30"/>
      <c r="F1234" s="30"/>
      <c r="G1234" s="37"/>
      <c r="H1234" s="37"/>
      <c r="I1234" s="37"/>
      <c r="J1234" s="37" t="s">
        <v>69</v>
      </c>
      <c r="K1234" s="325" t="s">
        <v>69</v>
      </c>
      <c r="L1234" s="181"/>
      <c r="M1234" s="181"/>
      <c r="N1234" s="37"/>
      <c r="O1234" s="31"/>
      <c r="P1234" s="37"/>
      <c r="Q1234" s="181"/>
      <c r="R1234" s="181"/>
      <c r="S1234" s="181"/>
      <c r="T1234" s="181"/>
      <c r="U1234" s="181"/>
      <c r="V1234" s="37"/>
      <c r="W1234" s="181"/>
      <c r="X1234" s="38"/>
      <c r="Y1234" s="38"/>
      <c r="Z1234" s="38"/>
      <c r="AA1234" s="38"/>
      <c r="AB1234" s="248"/>
      <c r="AC1234" s="250"/>
      <c r="AD1234" s="181"/>
      <c r="AE1234" s="37"/>
      <c r="AF1234" s="37"/>
      <c r="AG1234" s="33"/>
      <c r="AH1234" s="37"/>
      <c r="AI1234" s="37"/>
      <c r="AJ1234" s="181"/>
      <c r="AK1234" s="37"/>
      <c r="AL1234" s="37"/>
      <c r="AM1234" s="181"/>
      <c r="AN1234" s="37"/>
      <c r="AO1234" s="37"/>
      <c r="AP1234" s="37"/>
      <c r="AQ1234" s="37"/>
      <c r="AR1234" s="37"/>
      <c r="AS1234" s="37"/>
      <c r="AT1234" s="37"/>
      <c r="AU1234" s="37"/>
      <c r="AV1234" s="37"/>
      <c r="AW1234" s="37"/>
      <c r="AX1234" s="37"/>
      <c r="AY1234" s="37"/>
      <c r="AZ1234" s="37"/>
    </row>
    <row r="1235" spans="1:52" ht="15.5" customHeight="1">
      <c r="A1235" s="360"/>
      <c r="B1235" s="340"/>
      <c r="C1235" s="181"/>
      <c r="D1235" s="30"/>
      <c r="E1235" s="30"/>
      <c r="F1235" s="30"/>
      <c r="G1235" s="37"/>
      <c r="H1235" s="37"/>
      <c r="I1235" s="37"/>
      <c r="J1235" s="37" t="s">
        <v>69</v>
      </c>
      <c r="K1235" s="325" t="s">
        <v>69</v>
      </c>
      <c r="L1235" s="181"/>
      <c r="M1235" s="181"/>
      <c r="N1235" s="37"/>
      <c r="O1235" s="31"/>
      <c r="P1235" s="37"/>
      <c r="Q1235" s="181"/>
      <c r="R1235" s="181"/>
      <c r="S1235" s="181"/>
      <c r="T1235" s="181"/>
      <c r="U1235" s="181"/>
      <c r="V1235" s="37"/>
      <c r="W1235" s="181"/>
      <c r="X1235" s="38"/>
      <c r="Y1235" s="38"/>
      <c r="Z1235" s="38"/>
      <c r="AA1235" s="38"/>
      <c r="AB1235" s="248"/>
      <c r="AC1235" s="250"/>
      <c r="AD1235" s="181"/>
      <c r="AE1235" s="37"/>
      <c r="AF1235" s="37"/>
      <c r="AG1235" s="33"/>
      <c r="AH1235" s="37"/>
      <c r="AI1235" s="37"/>
      <c r="AJ1235" s="181"/>
      <c r="AK1235" s="37"/>
      <c r="AL1235" s="37"/>
      <c r="AM1235" s="181"/>
      <c r="AN1235" s="37"/>
      <c r="AO1235" s="37"/>
      <c r="AP1235" s="37"/>
      <c r="AQ1235" s="37"/>
      <c r="AR1235" s="37"/>
      <c r="AS1235" s="37"/>
      <c r="AT1235" s="37"/>
      <c r="AU1235" s="37"/>
      <c r="AV1235" s="37"/>
      <c r="AW1235" s="37"/>
      <c r="AX1235" s="37"/>
      <c r="AY1235" s="37"/>
      <c r="AZ1235" s="37"/>
    </row>
    <row r="1236" spans="1:52" ht="15.5" customHeight="1">
      <c r="A1236" s="360"/>
      <c r="B1236" s="340"/>
      <c r="C1236" s="181"/>
      <c r="D1236" s="30"/>
      <c r="E1236" s="30"/>
      <c r="F1236" s="30"/>
      <c r="G1236" s="37"/>
      <c r="H1236" s="37"/>
      <c r="I1236" s="37"/>
      <c r="J1236" s="37" t="s">
        <v>69</v>
      </c>
      <c r="K1236" s="325" t="s">
        <v>69</v>
      </c>
      <c r="L1236" s="181"/>
      <c r="M1236" s="181"/>
      <c r="N1236" s="37"/>
      <c r="O1236" s="31"/>
      <c r="P1236" s="37"/>
      <c r="Q1236" s="181"/>
      <c r="R1236" s="181"/>
      <c r="S1236" s="181"/>
      <c r="T1236" s="181"/>
      <c r="U1236" s="181"/>
      <c r="V1236" s="37"/>
      <c r="W1236" s="181"/>
      <c r="X1236" s="38"/>
      <c r="Y1236" s="38"/>
      <c r="Z1236" s="38"/>
      <c r="AA1236" s="38"/>
      <c r="AB1236" s="248"/>
      <c r="AC1236" s="250"/>
      <c r="AD1236" s="181"/>
      <c r="AE1236" s="37"/>
      <c r="AF1236" s="37"/>
      <c r="AG1236" s="33"/>
      <c r="AH1236" s="37"/>
      <c r="AI1236" s="37"/>
      <c r="AJ1236" s="181"/>
      <c r="AK1236" s="37"/>
      <c r="AL1236" s="37"/>
      <c r="AM1236" s="181"/>
      <c r="AN1236" s="37"/>
      <c r="AO1236" s="37"/>
      <c r="AP1236" s="37"/>
      <c r="AQ1236" s="37"/>
      <c r="AR1236" s="37"/>
      <c r="AS1236" s="37"/>
      <c r="AT1236" s="37"/>
      <c r="AU1236" s="37"/>
      <c r="AV1236" s="37"/>
      <c r="AW1236" s="37"/>
      <c r="AX1236" s="37"/>
      <c r="AY1236" s="37"/>
      <c r="AZ1236" s="37"/>
    </row>
    <row r="1237" spans="1:52" ht="15.5" customHeight="1">
      <c r="A1237" s="360"/>
      <c r="B1237" s="340"/>
      <c r="C1237" s="181"/>
      <c r="D1237" s="30"/>
      <c r="E1237" s="30"/>
      <c r="F1237" s="30"/>
      <c r="G1237" s="37"/>
      <c r="H1237" s="37"/>
      <c r="I1237" s="37"/>
      <c r="J1237" s="37" t="s">
        <v>69</v>
      </c>
      <c r="K1237" s="325" t="s">
        <v>69</v>
      </c>
      <c r="L1237" s="181"/>
      <c r="M1237" s="181"/>
      <c r="N1237" s="37"/>
      <c r="O1237" s="31"/>
      <c r="P1237" s="37"/>
      <c r="Q1237" s="181"/>
      <c r="R1237" s="181"/>
      <c r="S1237" s="181"/>
      <c r="T1237" s="181"/>
      <c r="U1237" s="181"/>
      <c r="V1237" s="37"/>
      <c r="W1237" s="181"/>
      <c r="X1237" s="38"/>
      <c r="Y1237" s="38"/>
      <c r="Z1237" s="38"/>
      <c r="AA1237" s="38"/>
      <c r="AB1237" s="248"/>
      <c r="AC1237" s="250"/>
      <c r="AD1237" s="181"/>
      <c r="AE1237" s="37"/>
      <c r="AF1237" s="37"/>
      <c r="AG1237" s="33"/>
      <c r="AH1237" s="37"/>
      <c r="AI1237" s="37"/>
      <c r="AJ1237" s="181"/>
      <c r="AK1237" s="37"/>
      <c r="AL1237" s="37"/>
      <c r="AM1237" s="181"/>
      <c r="AN1237" s="37"/>
      <c r="AO1237" s="37"/>
      <c r="AP1237" s="37"/>
      <c r="AQ1237" s="37"/>
      <c r="AR1237" s="37"/>
      <c r="AS1237" s="37"/>
      <c r="AT1237" s="37"/>
      <c r="AU1237" s="37"/>
      <c r="AV1237" s="37"/>
      <c r="AW1237" s="37"/>
      <c r="AX1237" s="37"/>
      <c r="AY1237" s="37"/>
      <c r="AZ1237" s="37"/>
    </row>
    <row r="1238" spans="1:52" ht="15.5" customHeight="1">
      <c r="A1238" s="360"/>
      <c r="B1238" s="340"/>
      <c r="C1238" s="181"/>
      <c r="D1238" s="30"/>
      <c r="E1238" s="30"/>
      <c r="F1238" s="30"/>
      <c r="G1238" s="37"/>
      <c r="H1238" s="37"/>
      <c r="I1238" s="37"/>
      <c r="J1238" s="37" t="s">
        <v>69</v>
      </c>
      <c r="K1238" s="325" t="s">
        <v>69</v>
      </c>
      <c r="L1238" s="181"/>
      <c r="M1238" s="181"/>
      <c r="N1238" s="37"/>
      <c r="O1238" s="31"/>
      <c r="P1238" s="37"/>
      <c r="Q1238" s="181"/>
      <c r="R1238" s="181"/>
      <c r="S1238" s="181"/>
      <c r="T1238" s="181"/>
      <c r="U1238" s="181"/>
      <c r="V1238" s="37"/>
      <c r="W1238" s="181"/>
      <c r="X1238" s="38"/>
      <c r="Y1238" s="38"/>
      <c r="Z1238" s="38"/>
      <c r="AA1238" s="38"/>
      <c r="AB1238" s="248"/>
      <c r="AC1238" s="250"/>
      <c r="AD1238" s="181"/>
      <c r="AE1238" s="37"/>
      <c r="AF1238" s="37"/>
      <c r="AG1238" s="33"/>
      <c r="AH1238" s="37"/>
      <c r="AI1238" s="37"/>
      <c r="AJ1238" s="181"/>
      <c r="AK1238" s="37"/>
      <c r="AL1238" s="37"/>
      <c r="AM1238" s="181"/>
      <c r="AN1238" s="37"/>
      <c r="AO1238" s="37"/>
      <c r="AP1238" s="37"/>
      <c r="AQ1238" s="37"/>
      <c r="AR1238" s="37"/>
      <c r="AS1238" s="37"/>
      <c r="AT1238" s="37"/>
      <c r="AU1238" s="37"/>
      <c r="AV1238" s="37"/>
      <c r="AW1238" s="37"/>
      <c r="AX1238" s="37"/>
      <c r="AY1238" s="37"/>
      <c r="AZ1238" s="37"/>
    </row>
    <row r="1239" spans="1:52" ht="15.5" customHeight="1">
      <c r="A1239" s="360"/>
      <c r="B1239" s="340"/>
      <c r="C1239" s="181"/>
      <c r="D1239" s="30"/>
      <c r="E1239" s="30"/>
      <c r="F1239" s="30"/>
      <c r="G1239" s="37"/>
      <c r="H1239" s="37"/>
      <c r="I1239" s="37"/>
      <c r="J1239" s="37" t="s">
        <v>69</v>
      </c>
      <c r="K1239" s="325" t="s">
        <v>69</v>
      </c>
      <c r="L1239" s="181"/>
      <c r="M1239" s="181"/>
      <c r="N1239" s="37"/>
      <c r="O1239" s="31"/>
      <c r="P1239" s="37"/>
      <c r="Q1239" s="181"/>
      <c r="R1239" s="181"/>
      <c r="S1239" s="181"/>
      <c r="T1239" s="181"/>
      <c r="U1239" s="181"/>
      <c r="V1239" s="37"/>
      <c r="W1239" s="181"/>
      <c r="X1239" s="38"/>
      <c r="Y1239" s="38"/>
      <c r="Z1239" s="38"/>
      <c r="AA1239" s="38"/>
      <c r="AB1239" s="248"/>
      <c r="AC1239" s="250"/>
      <c r="AD1239" s="181"/>
      <c r="AE1239" s="37"/>
      <c r="AF1239" s="37"/>
      <c r="AG1239" s="33"/>
      <c r="AH1239" s="37"/>
      <c r="AI1239" s="37"/>
      <c r="AJ1239" s="181"/>
      <c r="AK1239" s="37"/>
      <c r="AL1239" s="37"/>
      <c r="AM1239" s="181"/>
      <c r="AN1239" s="37"/>
      <c r="AO1239" s="37"/>
      <c r="AP1239" s="37"/>
      <c r="AQ1239" s="37"/>
      <c r="AR1239" s="37"/>
      <c r="AS1239" s="37"/>
      <c r="AT1239" s="37"/>
      <c r="AU1239" s="37"/>
      <c r="AV1239" s="37"/>
      <c r="AW1239" s="37"/>
      <c r="AX1239" s="37"/>
      <c r="AY1239" s="37"/>
      <c r="AZ1239" s="37"/>
    </row>
    <row r="1240" spans="1:52" ht="15.5" customHeight="1">
      <c r="A1240" s="360"/>
      <c r="B1240" s="340"/>
      <c r="C1240" s="181"/>
      <c r="D1240" s="30"/>
      <c r="E1240" s="30"/>
      <c r="F1240" s="30"/>
      <c r="G1240" s="37"/>
      <c r="H1240" s="37"/>
      <c r="I1240" s="37"/>
      <c r="J1240" s="37" t="s">
        <v>69</v>
      </c>
      <c r="K1240" s="325" t="s">
        <v>69</v>
      </c>
      <c r="L1240" s="181"/>
      <c r="M1240" s="181"/>
      <c r="N1240" s="37"/>
      <c r="O1240" s="31"/>
      <c r="P1240" s="37"/>
      <c r="Q1240" s="181"/>
      <c r="R1240" s="181"/>
      <c r="S1240" s="181"/>
      <c r="T1240" s="181"/>
      <c r="U1240" s="181"/>
      <c r="V1240" s="37"/>
      <c r="W1240" s="181"/>
      <c r="X1240" s="38"/>
      <c r="Y1240" s="38"/>
      <c r="Z1240" s="38"/>
      <c r="AA1240" s="38"/>
      <c r="AB1240" s="248"/>
      <c r="AC1240" s="250"/>
      <c r="AD1240" s="181"/>
      <c r="AE1240" s="37"/>
      <c r="AF1240" s="37"/>
      <c r="AG1240" s="33"/>
      <c r="AH1240" s="37"/>
      <c r="AI1240" s="37"/>
      <c r="AJ1240" s="181"/>
      <c r="AK1240" s="37"/>
      <c r="AL1240" s="37"/>
      <c r="AM1240" s="181"/>
      <c r="AN1240" s="37"/>
      <c r="AO1240" s="37"/>
      <c r="AP1240" s="37"/>
      <c r="AQ1240" s="37"/>
      <c r="AR1240" s="37"/>
      <c r="AS1240" s="37"/>
      <c r="AT1240" s="37"/>
      <c r="AU1240" s="37"/>
      <c r="AV1240" s="37"/>
      <c r="AW1240" s="37"/>
      <c r="AX1240" s="37"/>
      <c r="AY1240" s="37"/>
      <c r="AZ1240" s="37"/>
    </row>
    <row r="1241" spans="1:52" ht="15.5" customHeight="1">
      <c r="A1241" s="360"/>
      <c r="B1241" s="340"/>
      <c r="C1241" s="181"/>
      <c r="D1241" s="30"/>
      <c r="E1241" s="30"/>
      <c r="F1241" s="30"/>
      <c r="G1241" s="37"/>
      <c r="H1241" s="37"/>
      <c r="I1241" s="37"/>
      <c r="J1241" s="37" t="s">
        <v>69</v>
      </c>
      <c r="K1241" s="325" t="s">
        <v>69</v>
      </c>
      <c r="L1241" s="181"/>
      <c r="M1241" s="181"/>
      <c r="N1241" s="37"/>
      <c r="O1241" s="31"/>
      <c r="P1241" s="37"/>
      <c r="Q1241" s="181"/>
      <c r="R1241" s="181"/>
      <c r="S1241" s="181"/>
      <c r="T1241" s="181"/>
      <c r="U1241" s="181"/>
      <c r="V1241" s="37"/>
      <c r="W1241" s="181"/>
      <c r="X1241" s="38"/>
      <c r="Y1241" s="38"/>
      <c r="Z1241" s="38"/>
      <c r="AA1241" s="38"/>
      <c r="AB1241" s="248"/>
      <c r="AC1241" s="250"/>
      <c r="AD1241" s="181"/>
      <c r="AE1241" s="37"/>
      <c r="AF1241" s="37"/>
      <c r="AG1241" s="33"/>
      <c r="AH1241" s="37"/>
      <c r="AI1241" s="37"/>
      <c r="AJ1241" s="181"/>
      <c r="AK1241" s="37"/>
      <c r="AL1241" s="37"/>
      <c r="AM1241" s="181"/>
      <c r="AN1241" s="37"/>
      <c r="AO1241" s="37"/>
      <c r="AP1241" s="37"/>
      <c r="AQ1241" s="37"/>
      <c r="AR1241" s="37"/>
      <c r="AS1241" s="37"/>
      <c r="AT1241" s="37"/>
      <c r="AU1241" s="37"/>
      <c r="AV1241" s="37"/>
      <c r="AW1241" s="37"/>
      <c r="AX1241" s="37"/>
      <c r="AY1241" s="37"/>
      <c r="AZ1241" s="37"/>
    </row>
    <row r="1242" spans="1:52" ht="15.5" customHeight="1">
      <c r="A1242" s="360"/>
      <c r="B1242" s="340"/>
      <c r="C1242" s="181"/>
      <c r="D1242" s="30"/>
      <c r="E1242" s="30"/>
      <c r="F1242" s="30"/>
      <c r="G1242" s="37"/>
      <c r="H1242" s="37"/>
      <c r="I1242" s="37"/>
      <c r="J1242" s="37" t="s">
        <v>69</v>
      </c>
      <c r="K1242" s="325" t="s">
        <v>69</v>
      </c>
      <c r="L1242" s="181"/>
      <c r="M1242" s="181"/>
      <c r="N1242" s="37"/>
      <c r="O1242" s="31"/>
      <c r="P1242" s="37"/>
      <c r="Q1242" s="181"/>
      <c r="R1242" s="181"/>
      <c r="S1242" s="181"/>
      <c r="T1242" s="181"/>
      <c r="U1242" s="181"/>
      <c r="V1242" s="37"/>
      <c r="W1242" s="181"/>
      <c r="X1242" s="38"/>
      <c r="Y1242" s="38"/>
      <c r="Z1242" s="38"/>
      <c r="AA1242" s="38"/>
      <c r="AB1242" s="248"/>
      <c r="AC1242" s="250"/>
      <c r="AD1242" s="181"/>
      <c r="AE1242" s="37"/>
      <c r="AF1242" s="37"/>
      <c r="AG1242" s="33"/>
      <c r="AH1242" s="37"/>
      <c r="AI1242" s="37"/>
      <c r="AJ1242" s="181"/>
      <c r="AK1242" s="37"/>
      <c r="AL1242" s="37"/>
      <c r="AM1242" s="181"/>
      <c r="AN1242" s="37"/>
      <c r="AO1242" s="37"/>
      <c r="AP1242" s="37"/>
      <c r="AQ1242" s="37"/>
      <c r="AR1242" s="37"/>
      <c r="AS1242" s="37"/>
      <c r="AT1242" s="37"/>
      <c r="AU1242" s="37"/>
      <c r="AV1242" s="37"/>
      <c r="AW1242" s="37"/>
      <c r="AX1242" s="37"/>
      <c r="AY1242" s="37"/>
      <c r="AZ1242" s="37"/>
    </row>
    <row r="1243" spans="1:52" ht="15.5" customHeight="1">
      <c r="A1243" s="360"/>
      <c r="B1243" s="340"/>
      <c r="C1243" s="181"/>
      <c r="D1243" s="30"/>
      <c r="E1243" s="30"/>
      <c r="F1243" s="30"/>
      <c r="G1243" s="37"/>
      <c r="H1243" s="37"/>
      <c r="I1243" s="37"/>
      <c r="J1243" s="37" t="s">
        <v>69</v>
      </c>
      <c r="K1243" s="325" t="s">
        <v>69</v>
      </c>
      <c r="L1243" s="181"/>
      <c r="M1243" s="181"/>
      <c r="N1243" s="37"/>
      <c r="O1243" s="31"/>
      <c r="P1243" s="37"/>
      <c r="Q1243" s="181"/>
      <c r="R1243" s="181"/>
      <c r="S1243" s="181"/>
      <c r="T1243" s="181"/>
      <c r="U1243" s="181"/>
      <c r="V1243" s="37"/>
      <c r="W1243" s="181"/>
      <c r="X1243" s="38"/>
      <c r="Y1243" s="38"/>
      <c r="Z1243" s="38"/>
      <c r="AA1243" s="38"/>
      <c r="AB1243" s="248"/>
      <c r="AC1243" s="250"/>
      <c r="AD1243" s="181"/>
      <c r="AE1243" s="37"/>
      <c r="AF1243" s="37"/>
      <c r="AG1243" s="33"/>
      <c r="AH1243" s="37"/>
      <c r="AI1243" s="37"/>
      <c r="AJ1243" s="181"/>
      <c r="AK1243" s="37"/>
      <c r="AL1243" s="37"/>
      <c r="AM1243" s="181"/>
      <c r="AN1243" s="37"/>
      <c r="AO1243" s="37"/>
      <c r="AP1243" s="37"/>
      <c r="AQ1243" s="37"/>
      <c r="AR1243" s="37"/>
      <c r="AS1243" s="37"/>
      <c r="AT1243" s="37"/>
      <c r="AU1243" s="37"/>
      <c r="AV1243" s="37"/>
      <c r="AW1243" s="37"/>
      <c r="AX1243" s="37"/>
      <c r="AY1243" s="37"/>
      <c r="AZ1243" s="37"/>
    </row>
    <row r="1244" spans="1:52" ht="15.5" customHeight="1">
      <c r="A1244" s="360"/>
      <c r="B1244" s="340"/>
      <c r="C1244" s="181"/>
      <c r="D1244" s="30"/>
      <c r="E1244" s="30"/>
      <c r="F1244" s="30"/>
      <c r="G1244" s="37"/>
      <c r="H1244" s="37"/>
      <c r="I1244" s="37"/>
      <c r="J1244" s="37" t="s">
        <v>69</v>
      </c>
      <c r="K1244" s="325" t="s">
        <v>69</v>
      </c>
      <c r="L1244" s="181"/>
      <c r="M1244" s="181"/>
      <c r="N1244" s="37"/>
      <c r="O1244" s="31"/>
      <c r="P1244" s="37"/>
      <c r="Q1244" s="181"/>
      <c r="R1244" s="181"/>
      <c r="S1244" s="181"/>
      <c r="T1244" s="181"/>
      <c r="U1244" s="181"/>
      <c r="V1244" s="37"/>
      <c r="W1244" s="181"/>
      <c r="X1244" s="38"/>
      <c r="Y1244" s="38"/>
      <c r="Z1244" s="38"/>
      <c r="AA1244" s="38"/>
      <c r="AB1244" s="248"/>
      <c r="AC1244" s="250"/>
      <c r="AD1244" s="181"/>
      <c r="AE1244" s="37"/>
      <c r="AF1244" s="37"/>
      <c r="AG1244" s="33"/>
      <c r="AH1244" s="37"/>
      <c r="AI1244" s="37"/>
      <c r="AJ1244" s="181"/>
      <c r="AK1244" s="37"/>
      <c r="AL1244" s="37"/>
      <c r="AM1244" s="181"/>
      <c r="AN1244" s="37"/>
      <c r="AO1244" s="37"/>
      <c r="AP1244" s="37"/>
      <c r="AQ1244" s="37"/>
      <c r="AR1244" s="37"/>
      <c r="AS1244" s="37"/>
      <c r="AT1244" s="37"/>
      <c r="AU1244" s="37"/>
      <c r="AV1244" s="37"/>
      <c r="AW1244" s="37"/>
      <c r="AX1244" s="37"/>
      <c r="AY1244" s="37"/>
      <c r="AZ1244" s="37"/>
    </row>
    <row r="1245" spans="1:52" ht="15.5" customHeight="1">
      <c r="A1245" s="360"/>
      <c r="B1245" s="340"/>
      <c r="C1245" s="181"/>
      <c r="D1245" s="30"/>
      <c r="E1245" s="30"/>
      <c r="F1245" s="30"/>
      <c r="G1245" s="37"/>
      <c r="H1245" s="37"/>
      <c r="I1245" s="37"/>
      <c r="J1245" s="37" t="s">
        <v>69</v>
      </c>
      <c r="K1245" s="325" t="s">
        <v>69</v>
      </c>
      <c r="L1245" s="181"/>
      <c r="M1245" s="181"/>
      <c r="N1245" s="37"/>
      <c r="O1245" s="31"/>
      <c r="P1245" s="37"/>
      <c r="Q1245" s="181"/>
      <c r="R1245" s="181"/>
      <c r="S1245" s="181"/>
      <c r="T1245" s="181"/>
      <c r="U1245" s="181"/>
      <c r="V1245" s="37"/>
      <c r="W1245" s="181"/>
      <c r="X1245" s="38"/>
      <c r="Y1245" s="38"/>
      <c r="Z1245" s="38"/>
      <c r="AA1245" s="38"/>
      <c r="AB1245" s="248"/>
      <c r="AC1245" s="250"/>
      <c r="AD1245" s="181"/>
      <c r="AE1245" s="37"/>
      <c r="AF1245" s="37"/>
      <c r="AG1245" s="33"/>
      <c r="AH1245" s="37"/>
      <c r="AI1245" s="37"/>
      <c r="AJ1245" s="181"/>
      <c r="AK1245" s="37"/>
      <c r="AL1245" s="37"/>
      <c r="AM1245" s="181"/>
      <c r="AN1245" s="37"/>
      <c r="AO1245" s="37"/>
      <c r="AP1245" s="37"/>
      <c r="AQ1245" s="37"/>
      <c r="AR1245" s="37"/>
      <c r="AS1245" s="37"/>
      <c r="AT1245" s="37"/>
      <c r="AU1245" s="37"/>
      <c r="AV1245" s="37"/>
      <c r="AW1245" s="37"/>
      <c r="AX1245" s="37"/>
      <c r="AY1245" s="37"/>
      <c r="AZ1245" s="37"/>
    </row>
    <row r="1246" spans="1:52" ht="15.5" customHeight="1">
      <c r="A1246" s="360"/>
      <c r="B1246" s="340"/>
      <c r="C1246" s="181"/>
      <c r="D1246" s="30"/>
      <c r="E1246" s="30"/>
      <c r="F1246" s="30"/>
      <c r="G1246" s="37"/>
      <c r="H1246" s="37"/>
      <c r="I1246" s="37"/>
      <c r="J1246" s="37" t="s">
        <v>69</v>
      </c>
      <c r="K1246" s="325" t="s">
        <v>69</v>
      </c>
      <c r="L1246" s="181"/>
      <c r="M1246" s="181"/>
      <c r="N1246" s="37"/>
      <c r="O1246" s="31"/>
      <c r="P1246" s="37"/>
      <c r="Q1246" s="181"/>
      <c r="R1246" s="181"/>
      <c r="S1246" s="181"/>
      <c r="T1246" s="181"/>
      <c r="U1246" s="181"/>
      <c r="V1246" s="37"/>
      <c r="W1246" s="181"/>
      <c r="X1246" s="38"/>
      <c r="Y1246" s="38"/>
      <c r="Z1246" s="38"/>
      <c r="AA1246" s="38"/>
      <c r="AB1246" s="248"/>
      <c r="AC1246" s="250"/>
      <c r="AD1246" s="181"/>
      <c r="AE1246" s="37"/>
      <c r="AF1246" s="37"/>
      <c r="AG1246" s="33"/>
      <c r="AH1246" s="37"/>
      <c r="AI1246" s="37"/>
      <c r="AJ1246" s="181"/>
      <c r="AK1246" s="37"/>
      <c r="AL1246" s="37"/>
      <c r="AM1246" s="181"/>
      <c r="AN1246" s="37"/>
      <c r="AO1246" s="37"/>
      <c r="AP1246" s="37"/>
      <c r="AQ1246" s="37"/>
      <c r="AR1246" s="37"/>
      <c r="AS1246" s="37"/>
      <c r="AT1246" s="37"/>
      <c r="AU1246" s="37"/>
      <c r="AV1246" s="37"/>
      <c r="AW1246" s="37"/>
      <c r="AX1246" s="37"/>
      <c r="AY1246" s="37"/>
      <c r="AZ1246" s="37"/>
    </row>
    <row r="1247" spans="1:52" ht="15.5" customHeight="1">
      <c r="A1247" s="360"/>
      <c r="B1247" s="340"/>
      <c r="C1247" s="181"/>
      <c r="D1247" s="30"/>
      <c r="E1247" s="30"/>
      <c r="F1247" s="30"/>
      <c r="G1247" s="37"/>
      <c r="H1247" s="37"/>
      <c r="I1247" s="37"/>
      <c r="J1247" s="37" t="s">
        <v>69</v>
      </c>
      <c r="K1247" s="325" t="s">
        <v>69</v>
      </c>
      <c r="L1247" s="181"/>
      <c r="M1247" s="181"/>
      <c r="N1247" s="37"/>
      <c r="O1247" s="31"/>
      <c r="P1247" s="37"/>
      <c r="Q1247" s="181"/>
      <c r="R1247" s="181"/>
      <c r="S1247" s="181"/>
      <c r="T1247" s="181"/>
      <c r="U1247" s="181"/>
      <c r="V1247" s="37"/>
      <c r="W1247" s="181"/>
      <c r="X1247" s="38"/>
      <c r="Y1247" s="38"/>
      <c r="Z1247" s="38"/>
      <c r="AA1247" s="38"/>
      <c r="AB1247" s="248"/>
      <c r="AC1247" s="250"/>
      <c r="AD1247" s="181"/>
      <c r="AE1247" s="37"/>
      <c r="AF1247" s="37"/>
      <c r="AG1247" s="33"/>
      <c r="AH1247" s="37"/>
      <c r="AI1247" s="37"/>
      <c r="AJ1247" s="181"/>
      <c r="AK1247" s="37"/>
      <c r="AL1247" s="37"/>
      <c r="AM1247" s="181"/>
      <c r="AN1247" s="37"/>
      <c r="AO1247" s="37"/>
      <c r="AP1247" s="37"/>
      <c r="AQ1247" s="37"/>
      <c r="AR1247" s="37"/>
      <c r="AS1247" s="37"/>
      <c r="AT1247" s="37"/>
      <c r="AU1247" s="37"/>
      <c r="AV1247" s="37"/>
      <c r="AW1247" s="37"/>
      <c r="AX1247" s="37"/>
      <c r="AY1247" s="37"/>
      <c r="AZ1247" s="37"/>
    </row>
    <row r="1248" spans="1:52" ht="15.5" customHeight="1">
      <c r="A1248" s="360"/>
      <c r="B1248" s="340"/>
      <c r="C1248" s="181"/>
      <c r="D1248" s="30"/>
      <c r="E1248" s="30"/>
      <c r="F1248" s="30"/>
      <c r="G1248" s="37"/>
      <c r="H1248" s="37"/>
      <c r="I1248" s="37"/>
      <c r="J1248" s="37" t="s">
        <v>69</v>
      </c>
      <c r="K1248" s="325" t="s">
        <v>69</v>
      </c>
      <c r="L1248" s="181"/>
      <c r="M1248" s="181"/>
      <c r="N1248" s="37"/>
      <c r="O1248" s="31"/>
      <c r="P1248" s="37"/>
      <c r="Q1248" s="181"/>
      <c r="R1248" s="181"/>
      <c r="S1248" s="181"/>
      <c r="T1248" s="181"/>
      <c r="U1248" s="181"/>
      <c r="V1248" s="37"/>
      <c r="W1248" s="181"/>
      <c r="X1248" s="38"/>
      <c r="Y1248" s="38"/>
      <c r="Z1248" s="38"/>
      <c r="AA1248" s="38"/>
      <c r="AB1248" s="248"/>
      <c r="AC1248" s="250"/>
      <c r="AD1248" s="181"/>
      <c r="AE1248" s="37"/>
      <c r="AF1248" s="37"/>
      <c r="AG1248" s="33"/>
      <c r="AH1248" s="37"/>
      <c r="AI1248" s="37"/>
      <c r="AJ1248" s="181"/>
      <c r="AK1248" s="37"/>
      <c r="AL1248" s="37"/>
      <c r="AM1248" s="181"/>
      <c r="AN1248" s="37"/>
      <c r="AO1248" s="37"/>
      <c r="AP1248" s="37"/>
      <c r="AQ1248" s="37"/>
      <c r="AR1248" s="37"/>
      <c r="AS1248" s="37"/>
      <c r="AT1248" s="37"/>
      <c r="AU1248" s="37"/>
      <c r="AV1248" s="37"/>
      <c r="AW1248" s="37"/>
      <c r="AX1248" s="37"/>
      <c r="AY1248" s="37"/>
      <c r="AZ1248" s="37"/>
    </row>
    <row r="1249" spans="1:52" ht="15.5" customHeight="1">
      <c r="A1249" s="360"/>
      <c r="B1249" s="340"/>
      <c r="C1249" s="181"/>
      <c r="D1249" s="30"/>
      <c r="E1249" s="30"/>
      <c r="F1249" s="30"/>
      <c r="G1249" s="37"/>
      <c r="H1249" s="37"/>
      <c r="I1249" s="37"/>
      <c r="J1249" s="37" t="s">
        <v>69</v>
      </c>
      <c r="K1249" s="325" t="s">
        <v>69</v>
      </c>
      <c r="L1249" s="181"/>
      <c r="M1249" s="181"/>
      <c r="N1249" s="37"/>
      <c r="O1249" s="31"/>
      <c r="P1249" s="37"/>
      <c r="Q1249" s="181"/>
      <c r="R1249" s="181"/>
      <c r="S1249" s="181"/>
      <c r="T1249" s="181"/>
      <c r="U1249" s="181"/>
      <c r="V1249" s="37"/>
      <c r="W1249" s="181"/>
      <c r="X1249" s="38"/>
      <c r="Y1249" s="38"/>
      <c r="Z1249" s="38"/>
      <c r="AA1249" s="38"/>
      <c r="AB1249" s="248"/>
      <c r="AC1249" s="250"/>
      <c r="AD1249" s="181"/>
      <c r="AE1249" s="37"/>
      <c r="AF1249" s="37"/>
      <c r="AG1249" s="33"/>
      <c r="AH1249" s="37"/>
      <c r="AI1249" s="37"/>
      <c r="AJ1249" s="181"/>
      <c r="AK1249" s="37"/>
      <c r="AL1249" s="37"/>
      <c r="AM1249" s="181"/>
      <c r="AN1249" s="37"/>
      <c r="AO1249" s="37"/>
      <c r="AP1249" s="37"/>
      <c r="AQ1249" s="37"/>
      <c r="AR1249" s="37"/>
      <c r="AS1249" s="37"/>
      <c r="AT1249" s="37"/>
      <c r="AU1249" s="37"/>
      <c r="AV1249" s="37"/>
      <c r="AW1249" s="37"/>
      <c r="AX1249" s="37"/>
      <c r="AY1249" s="37"/>
      <c r="AZ1249" s="37"/>
    </row>
    <row r="1250" spans="1:52" ht="15.5" customHeight="1">
      <c r="A1250" s="360"/>
      <c r="B1250" s="340"/>
      <c r="C1250" s="181"/>
      <c r="D1250" s="30"/>
      <c r="E1250" s="30"/>
      <c r="F1250" s="30"/>
      <c r="G1250" s="37"/>
      <c r="H1250" s="37"/>
      <c r="I1250" s="37"/>
      <c r="J1250" s="37" t="s">
        <v>69</v>
      </c>
      <c r="K1250" s="325" t="s">
        <v>69</v>
      </c>
      <c r="L1250" s="181"/>
      <c r="M1250" s="181"/>
      <c r="N1250" s="37"/>
      <c r="O1250" s="31"/>
      <c r="P1250" s="37"/>
      <c r="Q1250" s="181"/>
      <c r="R1250" s="181"/>
      <c r="S1250" s="181"/>
      <c r="T1250" s="181"/>
      <c r="U1250" s="181"/>
      <c r="V1250" s="37"/>
      <c r="W1250" s="181"/>
      <c r="X1250" s="38"/>
      <c r="Y1250" s="38"/>
      <c r="Z1250" s="38"/>
      <c r="AA1250" s="38"/>
      <c r="AB1250" s="248"/>
      <c r="AC1250" s="250"/>
      <c r="AD1250" s="181"/>
      <c r="AE1250" s="37"/>
      <c r="AF1250" s="37"/>
      <c r="AG1250" s="33"/>
      <c r="AH1250" s="37"/>
      <c r="AI1250" s="37"/>
      <c r="AJ1250" s="181"/>
      <c r="AK1250" s="37"/>
      <c r="AL1250" s="37"/>
      <c r="AM1250" s="181"/>
      <c r="AN1250" s="37"/>
      <c r="AO1250" s="37"/>
      <c r="AP1250" s="37"/>
      <c r="AQ1250" s="37"/>
      <c r="AR1250" s="37"/>
      <c r="AS1250" s="37"/>
      <c r="AT1250" s="37"/>
      <c r="AU1250" s="37"/>
      <c r="AV1250" s="37"/>
      <c r="AW1250" s="37"/>
      <c r="AX1250" s="37"/>
      <c r="AY1250" s="37"/>
      <c r="AZ1250" s="37"/>
    </row>
    <row r="1251" spans="1:52" ht="15.5" customHeight="1">
      <c r="A1251" s="360"/>
      <c r="B1251" s="340"/>
      <c r="C1251" s="181"/>
      <c r="D1251" s="30"/>
      <c r="E1251" s="30"/>
      <c r="F1251" s="30"/>
      <c r="G1251" s="37"/>
      <c r="H1251" s="37"/>
      <c r="I1251" s="37"/>
      <c r="J1251" s="37" t="s">
        <v>69</v>
      </c>
      <c r="K1251" s="325" t="s">
        <v>69</v>
      </c>
      <c r="L1251" s="181"/>
      <c r="M1251" s="181"/>
      <c r="N1251" s="37"/>
      <c r="O1251" s="31"/>
      <c r="P1251" s="37"/>
      <c r="Q1251" s="181"/>
      <c r="R1251" s="181"/>
      <c r="S1251" s="181"/>
      <c r="T1251" s="181"/>
      <c r="U1251" s="181"/>
      <c r="V1251" s="37"/>
      <c r="W1251" s="181"/>
      <c r="X1251" s="38"/>
      <c r="Y1251" s="38"/>
      <c r="Z1251" s="38"/>
      <c r="AA1251" s="38"/>
      <c r="AB1251" s="248"/>
      <c r="AC1251" s="250"/>
      <c r="AD1251" s="181"/>
      <c r="AE1251" s="37"/>
      <c r="AF1251" s="37"/>
      <c r="AG1251" s="33"/>
      <c r="AH1251" s="37"/>
      <c r="AI1251" s="37"/>
      <c r="AJ1251" s="181"/>
      <c r="AK1251" s="37"/>
      <c r="AL1251" s="37"/>
      <c r="AM1251" s="181"/>
      <c r="AN1251" s="37"/>
      <c r="AO1251" s="37"/>
      <c r="AP1251" s="37"/>
      <c r="AQ1251" s="37"/>
      <c r="AR1251" s="37"/>
      <c r="AS1251" s="37"/>
      <c r="AT1251" s="37"/>
      <c r="AU1251" s="37"/>
      <c r="AV1251" s="37"/>
      <c r="AW1251" s="37"/>
      <c r="AX1251" s="37"/>
      <c r="AY1251" s="37"/>
      <c r="AZ1251" s="37"/>
    </row>
    <row r="1252" spans="1:52" ht="15.5" customHeight="1">
      <c r="A1252" s="360"/>
      <c r="B1252" s="340"/>
      <c r="C1252" s="181"/>
      <c r="D1252" s="30"/>
      <c r="E1252" s="30"/>
      <c r="F1252" s="30"/>
      <c r="G1252" s="37"/>
      <c r="H1252" s="37"/>
      <c r="I1252" s="37"/>
      <c r="J1252" s="37" t="s">
        <v>69</v>
      </c>
      <c r="K1252" s="325" t="s">
        <v>69</v>
      </c>
      <c r="L1252" s="181"/>
      <c r="M1252" s="181"/>
      <c r="N1252" s="37"/>
      <c r="O1252" s="31"/>
      <c r="P1252" s="37"/>
      <c r="Q1252" s="181"/>
      <c r="R1252" s="181"/>
      <c r="S1252" s="181"/>
      <c r="T1252" s="181"/>
      <c r="U1252" s="181"/>
      <c r="V1252" s="37"/>
      <c r="W1252" s="181"/>
      <c r="X1252" s="38"/>
      <c r="Y1252" s="38"/>
      <c r="Z1252" s="38"/>
      <c r="AA1252" s="38"/>
      <c r="AB1252" s="248"/>
      <c r="AC1252" s="250"/>
      <c r="AD1252" s="181"/>
      <c r="AE1252" s="37"/>
      <c r="AF1252" s="37"/>
      <c r="AG1252" s="33"/>
      <c r="AH1252" s="37"/>
      <c r="AI1252" s="37"/>
      <c r="AJ1252" s="181"/>
      <c r="AK1252" s="37"/>
      <c r="AL1252" s="37"/>
      <c r="AM1252" s="181"/>
      <c r="AN1252" s="37"/>
      <c r="AO1252" s="37"/>
      <c r="AP1252" s="37"/>
      <c r="AQ1252" s="37"/>
      <c r="AR1252" s="37"/>
      <c r="AS1252" s="37"/>
      <c r="AT1252" s="37"/>
      <c r="AU1252" s="37"/>
      <c r="AV1252" s="37"/>
      <c r="AW1252" s="37"/>
      <c r="AX1252" s="37"/>
      <c r="AY1252" s="37"/>
      <c r="AZ1252" s="37"/>
    </row>
    <row r="1253" spans="1:52" ht="15.5" customHeight="1">
      <c r="A1253" s="360"/>
      <c r="B1253" s="340"/>
      <c r="C1253" s="181"/>
      <c r="D1253" s="30"/>
      <c r="E1253" s="30"/>
      <c r="F1253" s="30"/>
      <c r="G1253" s="37"/>
      <c r="H1253" s="37"/>
      <c r="I1253" s="37"/>
      <c r="J1253" s="37" t="s">
        <v>69</v>
      </c>
      <c r="K1253" s="325" t="s">
        <v>69</v>
      </c>
      <c r="L1253" s="181"/>
      <c r="M1253" s="181"/>
      <c r="N1253" s="37"/>
      <c r="O1253" s="31"/>
      <c r="P1253" s="37"/>
      <c r="Q1253" s="181"/>
      <c r="R1253" s="181"/>
      <c r="S1253" s="181"/>
      <c r="T1253" s="181"/>
      <c r="U1253" s="181"/>
      <c r="V1253" s="37"/>
      <c r="W1253" s="181"/>
      <c r="X1253" s="38"/>
      <c r="Y1253" s="38"/>
      <c r="Z1253" s="38"/>
      <c r="AA1253" s="38"/>
      <c r="AB1253" s="248"/>
      <c r="AC1253" s="250"/>
      <c r="AD1253" s="181"/>
      <c r="AE1253" s="37"/>
      <c r="AF1253" s="37"/>
      <c r="AG1253" s="33"/>
      <c r="AH1253" s="37"/>
      <c r="AI1253" s="37"/>
      <c r="AJ1253" s="181"/>
      <c r="AK1253" s="37"/>
      <c r="AL1253" s="37"/>
      <c r="AM1253" s="181"/>
      <c r="AN1253" s="37"/>
      <c r="AO1253" s="37"/>
      <c r="AP1253" s="37"/>
      <c r="AQ1253" s="37"/>
      <c r="AR1253" s="37"/>
      <c r="AS1253" s="37"/>
      <c r="AT1253" s="37"/>
      <c r="AU1253" s="37"/>
      <c r="AV1253" s="37"/>
      <c r="AW1253" s="37"/>
      <c r="AX1253" s="37"/>
      <c r="AY1253" s="37"/>
      <c r="AZ1253" s="37"/>
    </row>
    <row r="1254" spans="1:52" ht="15.5" customHeight="1">
      <c r="A1254" s="360"/>
      <c r="B1254" s="340"/>
      <c r="C1254" s="181"/>
      <c r="D1254" s="30"/>
      <c r="E1254" s="30"/>
      <c r="F1254" s="30"/>
      <c r="G1254" s="37"/>
      <c r="H1254" s="37"/>
      <c r="I1254" s="37"/>
      <c r="J1254" s="37" t="s">
        <v>69</v>
      </c>
      <c r="K1254" s="325" t="s">
        <v>69</v>
      </c>
      <c r="L1254" s="181"/>
      <c r="M1254" s="181"/>
      <c r="N1254" s="37"/>
      <c r="O1254" s="31"/>
      <c r="P1254" s="37"/>
      <c r="Q1254" s="181"/>
      <c r="R1254" s="181"/>
      <c r="S1254" s="181"/>
      <c r="T1254" s="181"/>
      <c r="U1254" s="181"/>
      <c r="V1254" s="37"/>
      <c r="W1254" s="181"/>
      <c r="X1254" s="38"/>
      <c r="Y1254" s="38"/>
      <c r="Z1254" s="38"/>
      <c r="AA1254" s="38"/>
      <c r="AB1254" s="248"/>
      <c r="AC1254" s="250"/>
      <c r="AD1254" s="181"/>
      <c r="AE1254" s="37"/>
      <c r="AF1254" s="37"/>
      <c r="AG1254" s="33"/>
      <c r="AH1254" s="37"/>
      <c r="AI1254" s="37"/>
      <c r="AJ1254" s="181"/>
      <c r="AK1254" s="37"/>
      <c r="AL1254" s="37"/>
      <c r="AM1254" s="181"/>
      <c r="AN1254" s="37"/>
      <c r="AO1254" s="37"/>
      <c r="AP1254" s="37"/>
      <c r="AQ1254" s="37"/>
      <c r="AR1254" s="37"/>
      <c r="AS1254" s="37"/>
      <c r="AT1254" s="37"/>
      <c r="AU1254" s="37"/>
      <c r="AV1254" s="37"/>
      <c r="AW1254" s="37"/>
      <c r="AX1254" s="37"/>
      <c r="AY1254" s="37"/>
      <c r="AZ1254" s="37"/>
    </row>
    <row r="1255" spans="1:52" ht="15.5" customHeight="1">
      <c r="A1255" s="360"/>
      <c r="B1255" s="340"/>
      <c r="C1255" s="181"/>
      <c r="D1255" s="30"/>
      <c r="E1255" s="30"/>
      <c r="F1255" s="30"/>
      <c r="G1255" s="37"/>
      <c r="H1255" s="37"/>
      <c r="I1255" s="37"/>
      <c r="J1255" s="37" t="s">
        <v>69</v>
      </c>
      <c r="K1255" s="325" t="s">
        <v>69</v>
      </c>
      <c r="L1255" s="181"/>
      <c r="M1255" s="181"/>
      <c r="N1255" s="37"/>
      <c r="O1255" s="31"/>
      <c r="P1255" s="37"/>
      <c r="Q1255" s="181"/>
      <c r="R1255" s="181"/>
      <c r="S1255" s="181"/>
      <c r="T1255" s="181"/>
      <c r="U1255" s="181"/>
      <c r="V1255" s="37"/>
      <c r="W1255" s="181"/>
      <c r="X1255" s="38"/>
      <c r="Y1255" s="38"/>
      <c r="Z1255" s="38"/>
      <c r="AA1255" s="38"/>
      <c r="AB1255" s="248"/>
      <c r="AC1255" s="250"/>
      <c r="AD1255" s="181"/>
      <c r="AE1255" s="37"/>
      <c r="AF1255" s="37"/>
      <c r="AG1255" s="33"/>
      <c r="AH1255" s="37"/>
      <c r="AI1255" s="37"/>
      <c r="AJ1255" s="181"/>
      <c r="AK1255" s="37"/>
      <c r="AL1255" s="37"/>
      <c r="AM1255" s="181"/>
      <c r="AN1255" s="37"/>
      <c r="AO1255" s="37"/>
      <c r="AP1255" s="37"/>
      <c r="AQ1255" s="37"/>
      <c r="AR1255" s="37"/>
      <c r="AS1255" s="37"/>
      <c r="AT1255" s="37"/>
      <c r="AU1255" s="37"/>
      <c r="AV1255" s="37"/>
      <c r="AW1255" s="37"/>
      <c r="AX1255" s="37"/>
      <c r="AY1255" s="37"/>
      <c r="AZ1255" s="37"/>
    </row>
    <row r="1256" spans="1:52" ht="15.5" customHeight="1">
      <c r="A1256" s="360"/>
      <c r="B1256" s="340"/>
      <c r="C1256" s="181"/>
      <c r="D1256" s="30"/>
      <c r="E1256" s="30"/>
      <c r="F1256" s="30"/>
      <c r="G1256" s="37"/>
      <c r="H1256" s="37"/>
      <c r="I1256" s="37"/>
      <c r="J1256" s="37" t="s">
        <v>69</v>
      </c>
      <c r="K1256" s="325" t="s">
        <v>69</v>
      </c>
      <c r="L1256" s="181"/>
      <c r="M1256" s="181"/>
      <c r="N1256" s="37"/>
      <c r="O1256" s="31"/>
      <c r="P1256" s="37"/>
      <c r="Q1256" s="181"/>
      <c r="R1256" s="181"/>
      <c r="S1256" s="181"/>
      <c r="T1256" s="181"/>
      <c r="U1256" s="181"/>
      <c r="V1256" s="37"/>
      <c r="W1256" s="181"/>
      <c r="X1256" s="38"/>
      <c r="Y1256" s="38"/>
      <c r="Z1256" s="38"/>
      <c r="AA1256" s="38"/>
      <c r="AB1256" s="248"/>
      <c r="AC1256" s="250"/>
      <c r="AD1256" s="181"/>
      <c r="AE1256" s="37"/>
      <c r="AF1256" s="37"/>
      <c r="AG1256" s="33"/>
      <c r="AH1256" s="37"/>
      <c r="AI1256" s="37"/>
      <c r="AJ1256" s="181"/>
      <c r="AK1256" s="37"/>
      <c r="AL1256" s="37"/>
      <c r="AM1256" s="181"/>
      <c r="AN1256" s="37"/>
      <c r="AO1256" s="37"/>
      <c r="AP1256" s="37"/>
      <c r="AQ1256" s="37"/>
      <c r="AR1256" s="37"/>
      <c r="AS1256" s="37"/>
      <c r="AT1256" s="37"/>
      <c r="AU1256" s="37"/>
      <c r="AV1256" s="37"/>
      <c r="AW1256" s="37"/>
      <c r="AX1256" s="37"/>
      <c r="AY1256" s="37"/>
      <c r="AZ1256" s="37"/>
    </row>
    <row r="1257" spans="1:52" ht="15.5" customHeight="1">
      <c r="A1257" s="360"/>
      <c r="B1257" s="340"/>
      <c r="C1257" s="181"/>
      <c r="D1257" s="30"/>
      <c r="E1257" s="30"/>
      <c r="F1257" s="30"/>
      <c r="G1257" s="37"/>
      <c r="H1257" s="37"/>
      <c r="I1257" s="37"/>
      <c r="J1257" s="37" t="s">
        <v>69</v>
      </c>
      <c r="K1257" s="325" t="s">
        <v>69</v>
      </c>
      <c r="L1257" s="181"/>
      <c r="M1257" s="181"/>
      <c r="N1257" s="37"/>
      <c r="O1257" s="31"/>
      <c r="P1257" s="37"/>
      <c r="Q1257" s="181"/>
      <c r="R1257" s="181"/>
      <c r="S1257" s="181"/>
      <c r="T1257" s="181"/>
      <c r="U1257" s="181"/>
      <c r="V1257" s="37"/>
      <c r="W1257" s="181"/>
      <c r="X1257" s="38"/>
      <c r="Y1257" s="38"/>
      <c r="Z1257" s="38"/>
      <c r="AA1257" s="38"/>
      <c r="AB1257" s="248"/>
      <c r="AC1257" s="250"/>
      <c r="AD1257" s="181"/>
      <c r="AE1257" s="37"/>
      <c r="AF1257" s="37"/>
      <c r="AG1257" s="33"/>
      <c r="AH1257" s="37"/>
      <c r="AI1257" s="37"/>
      <c r="AJ1257" s="181"/>
      <c r="AK1257" s="37"/>
      <c r="AL1257" s="37"/>
      <c r="AM1257" s="181"/>
      <c r="AN1257" s="37"/>
      <c r="AO1257" s="37"/>
      <c r="AP1257" s="37"/>
      <c r="AQ1257" s="37"/>
      <c r="AR1257" s="37"/>
      <c r="AS1257" s="37"/>
      <c r="AT1257" s="37"/>
      <c r="AU1257" s="37"/>
      <c r="AV1257" s="37"/>
      <c r="AW1257" s="37"/>
      <c r="AX1257" s="37"/>
      <c r="AY1257" s="37"/>
      <c r="AZ1257" s="37"/>
    </row>
    <row r="1258" spans="1:52" ht="15.5" customHeight="1">
      <c r="A1258" s="360"/>
      <c r="B1258" s="340"/>
      <c r="C1258" s="181"/>
      <c r="D1258" s="30"/>
      <c r="E1258" s="30"/>
      <c r="F1258" s="30"/>
      <c r="G1258" s="37"/>
      <c r="H1258" s="37"/>
      <c r="I1258" s="37"/>
      <c r="J1258" s="37" t="s">
        <v>69</v>
      </c>
      <c r="K1258" s="325" t="s">
        <v>69</v>
      </c>
      <c r="L1258" s="181"/>
      <c r="M1258" s="181"/>
      <c r="N1258" s="37"/>
      <c r="O1258" s="31"/>
      <c r="P1258" s="37"/>
      <c r="Q1258" s="181"/>
      <c r="R1258" s="181"/>
      <c r="S1258" s="181"/>
      <c r="T1258" s="181"/>
      <c r="U1258" s="181"/>
      <c r="V1258" s="37"/>
      <c r="W1258" s="181"/>
      <c r="X1258" s="38"/>
      <c r="Y1258" s="38"/>
      <c r="Z1258" s="38"/>
      <c r="AA1258" s="38"/>
      <c r="AB1258" s="248"/>
      <c r="AC1258" s="250"/>
      <c r="AD1258" s="181"/>
      <c r="AE1258" s="37"/>
      <c r="AF1258" s="37"/>
      <c r="AG1258" s="33"/>
      <c r="AH1258" s="37"/>
      <c r="AI1258" s="37"/>
      <c r="AJ1258" s="181"/>
      <c r="AK1258" s="37"/>
      <c r="AL1258" s="37"/>
      <c r="AM1258" s="181"/>
      <c r="AN1258" s="37"/>
      <c r="AO1258" s="37"/>
      <c r="AP1258" s="37"/>
      <c r="AQ1258" s="37"/>
      <c r="AR1258" s="37"/>
      <c r="AS1258" s="37"/>
      <c r="AT1258" s="37"/>
      <c r="AU1258" s="37"/>
      <c r="AV1258" s="37"/>
      <c r="AW1258" s="37"/>
      <c r="AX1258" s="37"/>
      <c r="AY1258" s="37"/>
      <c r="AZ1258" s="37"/>
    </row>
    <row r="1259" spans="1:52" ht="15.5" customHeight="1">
      <c r="A1259" s="360"/>
      <c r="B1259" s="340"/>
      <c r="C1259" s="181"/>
      <c r="D1259" s="30"/>
      <c r="E1259" s="30"/>
      <c r="F1259" s="30"/>
      <c r="G1259" s="37"/>
      <c r="H1259" s="37"/>
      <c r="I1259" s="37"/>
      <c r="J1259" s="37" t="s">
        <v>69</v>
      </c>
      <c r="K1259" s="325" t="s">
        <v>69</v>
      </c>
      <c r="L1259" s="181"/>
      <c r="M1259" s="181"/>
      <c r="N1259" s="37"/>
      <c r="O1259" s="31"/>
      <c r="P1259" s="37"/>
      <c r="Q1259" s="181"/>
      <c r="R1259" s="181"/>
      <c r="S1259" s="181"/>
      <c r="T1259" s="181"/>
      <c r="U1259" s="181"/>
      <c r="V1259" s="37"/>
      <c r="W1259" s="181"/>
      <c r="X1259" s="38"/>
      <c r="Y1259" s="38"/>
      <c r="Z1259" s="38"/>
      <c r="AA1259" s="38"/>
      <c r="AB1259" s="248"/>
      <c r="AC1259" s="250"/>
      <c r="AD1259" s="181"/>
      <c r="AE1259" s="37"/>
      <c r="AF1259" s="37"/>
      <c r="AG1259" s="33"/>
      <c r="AH1259" s="37"/>
      <c r="AI1259" s="37"/>
      <c r="AJ1259" s="181"/>
      <c r="AK1259" s="37"/>
      <c r="AL1259" s="37"/>
      <c r="AM1259" s="181"/>
      <c r="AN1259" s="37"/>
      <c r="AO1259" s="37"/>
      <c r="AP1259" s="37"/>
      <c r="AQ1259" s="37"/>
      <c r="AR1259" s="37"/>
      <c r="AS1259" s="37"/>
      <c r="AT1259" s="37"/>
      <c r="AU1259" s="37"/>
      <c r="AV1259" s="37"/>
      <c r="AW1259" s="37"/>
      <c r="AX1259" s="37"/>
      <c r="AY1259" s="37"/>
      <c r="AZ1259" s="37"/>
    </row>
    <row r="1260" spans="1:52" ht="15.5" customHeight="1">
      <c r="A1260" s="360"/>
      <c r="B1260" s="340"/>
      <c r="C1260" s="181"/>
      <c r="D1260" s="30"/>
      <c r="E1260" s="30"/>
      <c r="F1260" s="30"/>
      <c r="G1260" s="37"/>
      <c r="H1260" s="37"/>
      <c r="I1260" s="37"/>
      <c r="J1260" s="37" t="s">
        <v>69</v>
      </c>
      <c r="K1260" s="325" t="s">
        <v>69</v>
      </c>
      <c r="L1260" s="181"/>
      <c r="M1260" s="181"/>
      <c r="N1260" s="37"/>
      <c r="O1260" s="31"/>
      <c r="P1260" s="37"/>
      <c r="Q1260" s="181"/>
      <c r="R1260" s="181"/>
      <c r="S1260" s="181"/>
      <c r="T1260" s="181"/>
      <c r="U1260" s="181"/>
      <c r="V1260" s="37"/>
      <c r="W1260" s="181"/>
      <c r="X1260" s="38"/>
      <c r="Y1260" s="38"/>
      <c r="Z1260" s="38"/>
      <c r="AA1260" s="38"/>
      <c r="AB1260" s="248"/>
      <c r="AC1260" s="250"/>
      <c r="AD1260" s="181"/>
      <c r="AE1260" s="37"/>
      <c r="AF1260" s="37"/>
      <c r="AG1260" s="33"/>
      <c r="AH1260" s="37"/>
      <c r="AI1260" s="37"/>
      <c r="AJ1260" s="181"/>
      <c r="AK1260" s="37"/>
      <c r="AL1260" s="37"/>
      <c r="AM1260" s="181"/>
      <c r="AN1260" s="37"/>
      <c r="AO1260" s="37"/>
      <c r="AP1260" s="37"/>
      <c r="AQ1260" s="37"/>
      <c r="AR1260" s="37"/>
      <c r="AS1260" s="37"/>
      <c r="AT1260" s="37"/>
      <c r="AU1260" s="37"/>
      <c r="AV1260" s="37"/>
      <c r="AW1260" s="37"/>
      <c r="AX1260" s="37"/>
      <c r="AY1260" s="37"/>
      <c r="AZ1260" s="37"/>
    </row>
    <row r="1261" spans="1:52" ht="15.5" customHeight="1">
      <c r="A1261" s="360"/>
      <c r="B1261" s="340"/>
      <c r="C1261" s="181"/>
      <c r="D1261" s="30"/>
      <c r="E1261" s="30"/>
      <c r="F1261" s="30"/>
      <c r="G1261" s="37"/>
      <c r="H1261" s="37"/>
      <c r="I1261" s="37"/>
      <c r="J1261" s="37" t="s">
        <v>69</v>
      </c>
      <c r="K1261" s="325" t="s">
        <v>69</v>
      </c>
      <c r="L1261" s="181"/>
      <c r="M1261" s="181"/>
      <c r="N1261" s="37"/>
      <c r="O1261" s="31"/>
      <c r="P1261" s="37"/>
      <c r="Q1261" s="181"/>
      <c r="R1261" s="181"/>
      <c r="S1261" s="181"/>
      <c r="T1261" s="181"/>
      <c r="U1261" s="181"/>
      <c r="V1261" s="37"/>
      <c r="W1261" s="181"/>
      <c r="X1261" s="38"/>
      <c r="Y1261" s="38"/>
      <c r="Z1261" s="38"/>
      <c r="AA1261" s="38"/>
      <c r="AB1261" s="248"/>
      <c r="AC1261" s="250"/>
      <c r="AD1261" s="181"/>
      <c r="AE1261" s="37"/>
      <c r="AF1261" s="37"/>
      <c r="AG1261" s="33"/>
      <c r="AH1261" s="37"/>
      <c r="AI1261" s="37"/>
      <c r="AJ1261" s="181"/>
      <c r="AK1261" s="37"/>
      <c r="AL1261" s="37"/>
      <c r="AM1261" s="181"/>
      <c r="AN1261" s="37"/>
      <c r="AO1261" s="37"/>
      <c r="AP1261" s="37"/>
      <c r="AQ1261" s="37"/>
      <c r="AR1261" s="37"/>
      <c r="AS1261" s="37"/>
      <c r="AT1261" s="37"/>
      <c r="AU1261" s="37"/>
      <c r="AV1261" s="37"/>
      <c r="AW1261" s="37"/>
      <c r="AX1261" s="37"/>
      <c r="AY1261" s="37"/>
      <c r="AZ1261" s="37"/>
    </row>
    <row r="1262" spans="1:52" ht="15.5" customHeight="1">
      <c r="A1262" s="360"/>
      <c r="B1262" s="340"/>
      <c r="C1262" s="181"/>
      <c r="D1262" s="30"/>
      <c r="E1262" s="30"/>
      <c r="F1262" s="30"/>
      <c r="G1262" s="37"/>
      <c r="H1262" s="37"/>
      <c r="I1262" s="37"/>
      <c r="J1262" s="37" t="s">
        <v>69</v>
      </c>
      <c r="K1262" s="325" t="s">
        <v>69</v>
      </c>
      <c r="L1262" s="181"/>
      <c r="M1262" s="181"/>
      <c r="N1262" s="37"/>
      <c r="O1262" s="31"/>
      <c r="P1262" s="37"/>
      <c r="Q1262" s="181"/>
      <c r="R1262" s="181"/>
      <c r="S1262" s="181"/>
      <c r="T1262" s="181"/>
      <c r="U1262" s="181"/>
      <c r="V1262" s="37"/>
      <c r="W1262" s="181"/>
      <c r="X1262" s="38"/>
      <c r="Y1262" s="38"/>
      <c r="Z1262" s="38"/>
      <c r="AA1262" s="38"/>
      <c r="AB1262" s="248"/>
      <c r="AC1262" s="250"/>
      <c r="AD1262" s="181"/>
      <c r="AE1262" s="37"/>
      <c r="AF1262" s="37"/>
      <c r="AG1262" s="33"/>
      <c r="AH1262" s="37"/>
      <c r="AI1262" s="37"/>
      <c r="AJ1262" s="181"/>
      <c r="AK1262" s="37"/>
      <c r="AL1262" s="37"/>
      <c r="AM1262" s="181"/>
      <c r="AN1262" s="37"/>
      <c r="AO1262" s="37"/>
      <c r="AP1262" s="37"/>
      <c r="AQ1262" s="37"/>
      <c r="AR1262" s="37"/>
      <c r="AS1262" s="37"/>
      <c r="AT1262" s="37"/>
      <c r="AU1262" s="37"/>
      <c r="AV1262" s="37"/>
      <c r="AW1262" s="37"/>
      <c r="AX1262" s="37"/>
      <c r="AY1262" s="37"/>
      <c r="AZ1262" s="37"/>
    </row>
    <row r="1263" spans="1:52" ht="15.5" customHeight="1">
      <c r="A1263" s="360"/>
      <c r="B1263" s="340"/>
      <c r="C1263" s="181"/>
      <c r="D1263" s="30"/>
      <c r="E1263" s="30"/>
      <c r="F1263" s="30"/>
      <c r="G1263" s="37"/>
      <c r="H1263" s="37"/>
      <c r="I1263" s="37"/>
      <c r="J1263" s="37" t="s">
        <v>69</v>
      </c>
      <c r="K1263" s="325" t="s">
        <v>69</v>
      </c>
      <c r="L1263" s="181"/>
      <c r="M1263" s="181"/>
      <c r="N1263" s="37"/>
      <c r="O1263" s="31"/>
      <c r="P1263" s="37"/>
      <c r="Q1263" s="181"/>
      <c r="R1263" s="181"/>
      <c r="S1263" s="181"/>
      <c r="T1263" s="181"/>
      <c r="U1263" s="181"/>
      <c r="V1263" s="37"/>
      <c r="W1263" s="181"/>
      <c r="X1263" s="38"/>
      <c r="Y1263" s="38"/>
      <c r="Z1263" s="38"/>
      <c r="AA1263" s="38"/>
      <c r="AB1263" s="248"/>
      <c r="AC1263" s="250"/>
      <c r="AD1263" s="181"/>
      <c r="AE1263" s="37"/>
      <c r="AF1263" s="37"/>
      <c r="AG1263" s="33"/>
      <c r="AH1263" s="37"/>
      <c r="AI1263" s="37"/>
      <c r="AJ1263" s="181"/>
      <c r="AK1263" s="37"/>
      <c r="AL1263" s="37"/>
      <c r="AM1263" s="181"/>
      <c r="AN1263" s="37"/>
      <c r="AO1263" s="37"/>
      <c r="AP1263" s="37"/>
      <c r="AQ1263" s="37"/>
      <c r="AR1263" s="37"/>
      <c r="AS1263" s="37"/>
      <c r="AT1263" s="37"/>
      <c r="AU1263" s="37"/>
      <c r="AV1263" s="37"/>
      <c r="AW1263" s="37"/>
      <c r="AX1263" s="37"/>
      <c r="AY1263" s="37"/>
      <c r="AZ1263" s="37"/>
    </row>
    <row r="1264" spans="1:52" ht="15.5" customHeight="1">
      <c r="A1264" s="360"/>
      <c r="B1264" s="340"/>
      <c r="C1264" s="181"/>
      <c r="D1264" s="30"/>
      <c r="E1264" s="30"/>
      <c r="F1264" s="30"/>
      <c r="G1264" s="37"/>
      <c r="H1264" s="37"/>
      <c r="I1264" s="37"/>
      <c r="J1264" s="37" t="s">
        <v>69</v>
      </c>
      <c r="K1264" s="325" t="s">
        <v>69</v>
      </c>
      <c r="L1264" s="181"/>
      <c r="M1264" s="181"/>
      <c r="N1264" s="37"/>
      <c r="O1264" s="31"/>
      <c r="P1264" s="37"/>
      <c r="Q1264" s="181"/>
      <c r="R1264" s="181"/>
      <c r="S1264" s="181"/>
      <c r="T1264" s="181"/>
      <c r="U1264" s="181"/>
      <c r="V1264" s="37"/>
      <c r="W1264" s="181"/>
      <c r="X1264" s="38"/>
      <c r="Y1264" s="38"/>
      <c r="Z1264" s="38"/>
      <c r="AA1264" s="38"/>
      <c r="AB1264" s="248"/>
      <c r="AC1264" s="250"/>
      <c r="AD1264" s="181"/>
      <c r="AE1264" s="37"/>
      <c r="AF1264" s="37"/>
      <c r="AG1264" s="33"/>
      <c r="AH1264" s="37"/>
      <c r="AI1264" s="37"/>
      <c r="AJ1264" s="181"/>
      <c r="AK1264" s="37"/>
      <c r="AL1264" s="37"/>
      <c r="AM1264" s="181"/>
      <c r="AN1264" s="37"/>
      <c r="AO1264" s="37"/>
      <c r="AP1264" s="37"/>
      <c r="AQ1264" s="37"/>
      <c r="AR1264" s="37"/>
      <c r="AS1264" s="37"/>
      <c r="AT1264" s="37"/>
      <c r="AU1264" s="37"/>
      <c r="AV1264" s="37"/>
      <c r="AW1264" s="37"/>
      <c r="AX1264" s="37"/>
      <c r="AY1264" s="37"/>
      <c r="AZ1264" s="37"/>
    </row>
    <row r="1265" spans="1:52" ht="15.5" customHeight="1">
      <c r="A1265" s="360"/>
      <c r="B1265" s="340"/>
      <c r="C1265" s="181"/>
      <c r="D1265" s="30"/>
      <c r="E1265" s="30"/>
      <c r="F1265" s="30"/>
      <c r="G1265" s="37"/>
      <c r="H1265" s="37"/>
      <c r="I1265" s="37"/>
      <c r="J1265" s="37" t="s">
        <v>69</v>
      </c>
      <c r="K1265" s="325" t="s">
        <v>69</v>
      </c>
      <c r="L1265" s="181"/>
      <c r="M1265" s="181"/>
      <c r="N1265" s="37"/>
      <c r="O1265" s="31"/>
      <c r="P1265" s="37"/>
      <c r="Q1265" s="181"/>
      <c r="R1265" s="181"/>
      <c r="S1265" s="181"/>
      <c r="T1265" s="181"/>
      <c r="U1265" s="181"/>
      <c r="V1265" s="37"/>
      <c r="W1265" s="181"/>
      <c r="X1265" s="38"/>
      <c r="Y1265" s="38"/>
      <c r="Z1265" s="38"/>
      <c r="AA1265" s="38"/>
      <c r="AB1265" s="248"/>
      <c r="AC1265" s="250"/>
      <c r="AD1265" s="181"/>
      <c r="AE1265" s="37"/>
      <c r="AF1265" s="37"/>
      <c r="AG1265" s="33"/>
      <c r="AH1265" s="37"/>
      <c r="AI1265" s="37"/>
      <c r="AJ1265" s="181"/>
      <c r="AK1265" s="37"/>
      <c r="AL1265" s="37"/>
      <c r="AM1265" s="181"/>
      <c r="AN1265" s="37"/>
      <c r="AO1265" s="37"/>
      <c r="AP1265" s="37"/>
      <c r="AQ1265" s="37"/>
      <c r="AR1265" s="37"/>
      <c r="AS1265" s="37"/>
      <c r="AT1265" s="37"/>
      <c r="AU1265" s="37"/>
      <c r="AV1265" s="37"/>
      <c r="AW1265" s="37"/>
      <c r="AX1265" s="37"/>
      <c r="AY1265" s="37"/>
      <c r="AZ1265" s="37"/>
    </row>
    <row r="1266" spans="1:52" ht="15.5" customHeight="1">
      <c r="A1266" s="360"/>
      <c r="B1266" s="340"/>
      <c r="C1266" s="181"/>
      <c r="D1266" s="30"/>
      <c r="E1266" s="30"/>
      <c r="F1266" s="30"/>
      <c r="G1266" s="37"/>
      <c r="H1266" s="37"/>
      <c r="I1266" s="37"/>
      <c r="J1266" s="37" t="s">
        <v>69</v>
      </c>
      <c r="K1266" s="325" t="s">
        <v>69</v>
      </c>
      <c r="L1266" s="181"/>
      <c r="M1266" s="181"/>
      <c r="N1266" s="37"/>
      <c r="O1266" s="31"/>
      <c r="P1266" s="37"/>
      <c r="Q1266" s="181"/>
      <c r="R1266" s="181"/>
      <c r="S1266" s="181"/>
      <c r="T1266" s="181"/>
      <c r="U1266" s="181"/>
      <c r="V1266" s="37"/>
      <c r="W1266" s="181"/>
      <c r="X1266" s="38"/>
      <c r="Y1266" s="38"/>
      <c r="Z1266" s="38"/>
      <c r="AA1266" s="38"/>
      <c r="AB1266" s="248"/>
      <c r="AC1266" s="250"/>
      <c r="AD1266" s="181"/>
      <c r="AE1266" s="37"/>
      <c r="AF1266" s="37"/>
      <c r="AG1266" s="33"/>
      <c r="AH1266" s="37"/>
      <c r="AI1266" s="37"/>
      <c r="AJ1266" s="181"/>
      <c r="AK1266" s="37"/>
      <c r="AL1266" s="37"/>
      <c r="AM1266" s="181"/>
      <c r="AN1266" s="37"/>
      <c r="AO1266" s="37"/>
      <c r="AP1266" s="37"/>
      <c r="AQ1266" s="37"/>
      <c r="AR1266" s="37"/>
      <c r="AS1266" s="37"/>
      <c r="AT1266" s="37"/>
      <c r="AU1266" s="37"/>
      <c r="AV1266" s="37"/>
      <c r="AW1266" s="37"/>
      <c r="AX1266" s="37"/>
      <c r="AY1266" s="37"/>
      <c r="AZ1266" s="37"/>
    </row>
    <row r="1267" spans="1:52" ht="15.5" customHeight="1">
      <c r="A1267" s="360"/>
      <c r="B1267" s="340"/>
      <c r="C1267" s="181"/>
      <c r="D1267" s="30"/>
      <c r="E1267" s="30"/>
      <c r="F1267" s="30"/>
      <c r="G1267" s="37"/>
      <c r="H1267" s="37"/>
      <c r="I1267" s="37"/>
      <c r="J1267" s="37" t="s">
        <v>69</v>
      </c>
      <c r="K1267" s="325" t="s">
        <v>69</v>
      </c>
      <c r="L1267" s="181"/>
      <c r="M1267" s="181"/>
      <c r="N1267" s="37"/>
      <c r="O1267" s="31"/>
      <c r="P1267" s="37"/>
      <c r="Q1267" s="181"/>
      <c r="R1267" s="181"/>
      <c r="S1267" s="181"/>
      <c r="T1267" s="181"/>
      <c r="U1267" s="181"/>
      <c r="V1267" s="37"/>
      <c r="W1267" s="181"/>
      <c r="X1267" s="38"/>
      <c r="Y1267" s="38"/>
      <c r="Z1267" s="38"/>
      <c r="AA1267" s="38"/>
      <c r="AB1267" s="248"/>
      <c r="AC1267" s="250"/>
      <c r="AD1267" s="181"/>
      <c r="AE1267" s="37"/>
      <c r="AF1267" s="37"/>
      <c r="AG1267" s="33"/>
      <c r="AH1267" s="37"/>
      <c r="AI1267" s="37"/>
      <c r="AJ1267" s="181"/>
      <c r="AK1267" s="37"/>
      <c r="AL1267" s="37"/>
      <c r="AM1267" s="181"/>
      <c r="AN1267" s="37"/>
      <c r="AO1267" s="37"/>
      <c r="AP1267" s="37"/>
      <c r="AQ1267" s="37"/>
      <c r="AR1267" s="37"/>
      <c r="AS1267" s="37"/>
      <c r="AT1267" s="37"/>
      <c r="AU1267" s="37"/>
      <c r="AV1267" s="37"/>
      <c r="AW1267" s="37"/>
      <c r="AX1267" s="37"/>
      <c r="AY1267" s="37"/>
      <c r="AZ1267" s="37"/>
    </row>
    <row r="1268" spans="1:52" ht="15.5" customHeight="1">
      <c r="A1268" s="360"/>
      <c r="B1268" s="340"/>
      <c r="C1268" s="181"/>
      <c r="D1268" s="30"/>
      <c r="E1268" s="30"/>
      <c r="F1268" s="30"/>
      <c r="G1268" s="37"/>
      <c r="H1268" s="37"/>
      <c r="I1268" s="37"/>
      <c r="J1268" s="37" t="s">
        <v>69</v>
      </c>
      <c r="K1268" s="325" t="s">
        <v>69</v>
      </c>
      <c r="L1268" s="181"/>
      <c r="M1268" s="181"/>
      <c r="N1268" s="37"/>
      <c r="O1268" s="31"/>
      <c r="P1268" s="37"/>
      <c r="Q1268" s="181"/>
      <c r="R1268" s="181"/>
      <c r="S1268" s="181"/>
      <c r="T1268" s="181"/>
      <c r="U1268" s="181"/>
      <c r="V1268" s="37"/>
      <c r="W1268" s="181"/>
      <c r="X1268" s="38"/>
      <c r="Y1268" s="38"/>
      <c r="Z1268" s="38"/>
      <c r="AA1268" s="38"/>
      <c r="AB1268" s="248"/>
      <c r="AC1268" s="250"/>
      <c r="AD1268" s="181"/>
      <c r="AE1268" s="37"/>
      <c r="AF1268" s="37"/>
      <c r="AG1268" s="33"/>
      <c r="AH1268" s="37"/>
      <c r="AI1268" s="37"/>
      <c r="AJ1268" s="181"/>
      <c r="AK1268" s="37"/>
      <c r="AL1268" s="37"/>
      <c r="AM1268" s="181"/>
      <c r="AN1268" s="37"/>
      <c r="AO1268" s="37"/>
      <c r="AP1268" s="37"/>
      <c r="AQ1268" s="37"/>
      <c r="AR1268" s="37"/>
      <c r="AS1268" s="37"/>
      <c r="AT1268" s="37"/>
      <c r="AU1268" s="37"/>
      <c r="AV1268" s="37"/>
      <c r="AW1268" s="37"/>
      <c r="AX1268" s="37"/>
      <c r="AY1268" s="37"/>
      <c r="AZ1268" s="37"/>
    </row>
    <row r="1269" spans="1:52" ht="15.5" customHeight="1">
      <c r="A1269" s="360"/>
      <c r="B1269" s="340"/>
      <c r="C1269" s="181"/>
      <c r="D1269" s="30"/>
      <c r="E1269" s="30"/>
      <c r="F1269" s="30"/>
      <c r="G1269" s="37"/>
      <c r="H1269" s="37"/>
      <c r="I1269" s="37"/>
      <c r="J1269" s="37" t="s">
        <v>69</v>
      </c>
      <c r="K1269" s="325" t="s">
        <v>69</v>
      </c>
      <c r="L1269" s="181"/>
      <c r="M1269" s="181"/>
      <c r="N1269" s="37"/>
      <c r="O1269" s="31"/>
      <c r="P1269" s="37"/>
      <c r="Q1269" s="181"/>
      <c r="R1269" s="181"/>
      <c r="S1269" s="181"/>
      <c r="T1269" s="181"/>
      <c r="U1269" s="181"/>
      <c r="V1269" s="37"/>
      <c r="W1269" s="181"/>
      <c r="X1269" s="38"/>
      <c r="Y1269" s="38"/>
      <c r="Z1269" s="38"/>
      <c r="AA1269" s="38"/>
      <c r="AB1269" s="248"/>
      <c r="AC1269" s="250"/>
      <c r="AD1269" s="181"/>
      <c r="AE1269" s="37"/>
      <c r="AF1269" s="37"/>
      <c r="AG1269" s="33"/>
      <c r="AH1269" s="37"/>
      <c r="AI1269" s="37"/>
      <c r="AJ1269" s="181"/>
      <c r="AK1269" s="37"/>
      <c r="AL1269" s="37"/>
      <c r="AM1269" s="181"/>
      <c r="AN1269" s="37"/>
      <c r="AO1269" s="37"/>
      <c r="AP1269" s="37"/>
      <c r="AQ1269" s="37"/>
      <c r="AR1269" s="37"/>
      <c r="AS1269" s="37"/>
      <c r="AT1269" s="37"/>
      <c r="AU1269" s="37"/>
      <c r="AV1269" s="37"/>
      <c r="AW1269" s="37"/>
      <c r="AX1269" s="37"/>
      <c r="AY1269" s="37"/>
      <c r="AZ1269" s="37"/>
    </row>
    <row r="1270" spans="1:52" ht="15.5" customHeight="1">
      <c r="A1270" s="360"/>
      <c r="B1270" s="340"/>
      <c r="C1270" s="181"/>
      <c r="D1270" s="30"/>
      <c r="E1270" s="30"/>
      <c r="F1270" s="30"/>
      <c r="G1270" s="37"/>
      <c r="H1270" s="37"/>
      <c r="I1270" s="37"/>
      <c r="J1270" s="37" t="s">
        <v>69</v>
      </c>
      <c r="K1270" s="325" t="s">
        <v>69</v>
      </c>
      <c r="L1270" s="181"/>
      <c r="M1270" s="181"/>
      <c r="N1270" s="37"/>
      <c r="O1270" s="31"/>
      <c r="P1270" s="37"/>
      <c r="Q1270" s="181"/>
      <c r="R1270" s="181"/>
      <c r="S1270" s="181"/>
      <c r="T1270" s="181"/>
      <c r="U1270" s="181"/>
      <c r="V1270" s="37"/>
      <c r="W1270" s="181"/>
      <c r="X1270" s="38"/>
      <c r="Y1270" s="38"/>
      <c r="Z1270" s="38"/>
      <c r="AA1270" s="38"/>
      <c r="AB1270" s="248"/>
      <c r="AC1270" s="250"/>
      <c r="AD1270" s="181"/>
      <c r="AE1270" s="37"/>
      <c r="AF1270" s="37"/>
      <c r="AG1270" s="33"/>
      <c r="AH1270" s="37"/>
      <c r="AI1270" s="37"/>
      <c r="AJ1270" s="181"/>
      <c r="AK1270" s="37"/>
      <c r="AL1270" s="37"/>
      <c r="AM1270" s="181"/>
      <c r="AN1270" s="37"/>
      <c r="AO1270" s="37"/>
      <c r="AP1270" s="37"/>
      <c r="AQ1270" s="37"/>
      <c r="AR1270" s="37"/>
      <c r="AS1270" s="37"/>
      <c r="AT1270" s="37"/>
      <c r="AU1270" s="37"/>
      <c r="AV1270" s="37"/>
      <c r="AW1270" s="37"/>
      <c r="AX1270" s="37"/>
      <c r="AY1270" s="37"/>
      <c r="AZ1270" s="37"/>
    </row>
    <row r="1271" spans="1:52" ht="15.5" customHeight="1">
      <c r="A1271" s="360"/>
      <c r="B1271" s="340"/>
      <c r="C1271" s="181"/>
      <c r="D1271" s="30"/>
      <c r="E1271" s="30"/>
      <c r="F1271" s="30"/>
      <c r="G1271" s="37"/>
      <c r="H1271" s="37"/>
      <c r="I1271" s="37"/>
      <c r="J1271" s="37" t="s">
        <v>69</v>
      </c>
      <c r="K1271" s="325" t="s">
        <v>69</v>
      </c>
      <c r="L1271" s="181"/>
      <c r="M1271" s="181"/>
      <c r="N1271" s="37"/>
      <c r="O1271" s="31"/>
      <c r="P1271" s="37"/>
      <c r="Q1271" s="181"/>
      <c r="R1271" s="181"/>
      <c r="S1271" s="181"/>
      <c r="T1271" s="181"/>
      <c r="U1271" s="181"/>
      <c r="V1271" s="37"/>
      <c r="W1271" s="181"/>
      <c r="X1271" s="38"/>
      <c r="Y1271" s="38"/>
      <c r="Z1271" s="38"/>
      <c r="AA1271" s="38"/>
      <c r="AB1271" s="248"/>
      <c r="AC1271" s="250"/>
      <c r="AD1271" s="181"/>
      <c r="AE1271" s="37"/>
      <c r="AF1271" s="37"/>
      <c r="AG1271" s="33"/>
      <c r="AH1271" s="37"/>
      <c r="AI1271" s="37"/>
      <c r="AJ1271" s="181"/>
      <c r="AK1271" s="37"/>
      <c r="AL1271" s="37"/>
      <c r="AM1271" s="181"/>
      <c r="AN1271" s="37"/>
      <c r="AO1271" s="37"/>
      <c r="AP1271" s="37"/>
      <c r="AQ1271" s="37"/>
      <c r="AR1271" s="37"/>
      <c r="AS1271" s="37"/>
      <c r="AT1271" s="37"/>
      <c r="AU1271" s="37"/>
      <c r="AV1271" s="37"/>
      <c r="AW1271" s="37"/>
      <c r="AX1271" s="37"/>
      <c r="AY1271" s="37"/>
      <c r="AZ1271" s="37"/>
    </row>
    <row r="1272" spans="1:52" ht="15.5" customHeight="1">
      <c r="A1272" s="360"/>
      <c r="B1272" s="340"/>
      <c r="C1272" s="181"/>
      <c r="D1272" s="30"/>
      <c r="E1272" s="30"/>
      <c r="F1272" s="30"/>
      <c r="G1272" s="37"/>
      <c r="H1272" s="37"/>
      <c r="I1272" s="37"/>
      <c r="J1272" s="37" t="s">
        <v>69</v>
      </c>
      <c r="K1272" s="325" t="s">
        <v>69</v>
      </c>
      <c r="L1272" s="181"/>
      <c r="M1272" s="181"/>
      <c r="N1272" s="37"/>
      <c r="O1272" s="31"/>
      <c r="P1272" s="37"/>
      <c r="Q1272" s="181"/>
      <c r="R1272" s="181"/>
      <c r="S1272" s="181"/>
      <c r="T1272" s="181"/>
      <c r="U1272" s="181"/>
      <c r="V1272" s="37"/>
      <c r="W1272" s="181"/>
      <c r="X1272" s="38"/>
      <c r="Y1272" s="38"/>
      <c r="Z1272" s="38"/>
      <c r="AA1272" s="38"/>
      <c r="AB1272" s="248"/>
      <c r="AC1272" s="250"/>
      <c r="AD1272" s="181"/>
      <c r="AE1272" s="37"/>
      <c r="AF1272" s="37"/>
      <c r="AG1272" s="33"/>
      <c r="AH1272" s="37"/>
      <c r="AI1272" s="37"/>
      <c r="AJ1272" s="181"/>
      <c r="AK1272" s="37"/>
      <c r="AL1272" s="37"/>
      <c r="AM1272" s="181"/>
      <c r="AN1272" s="37"/>
      <c r="AO1272" s="37"/>
      <c r="AP1272" s="37"/>
      <c r="AQ1272" s="37"/>
      <c r="AR1272" s="37"/>
      <c r="AS1272" s="37"/>
      <c r="AT1272" s="37"/>
      <c r="AU1272" s="37"/>
      <c r="AV1272" s="37"/>
      <c r="AW1272" s="37"/>
      <c r="AX1272" s="37"/>
      <c r="AY1272" s="37"/>
      <c r="AZ1272" s="37"/>
    </row>
    <row r="1273" spans="1:52" ht="15.5" customHeight="1">
      <c r="A1273" s="360"/>
      <c r="B1273" s="340"/>
      <c r="C1273" s="181"/>
      <c r="D1273" s="30"/>
      <c r="E1273" s="30"/>
      <c r="F1273" s="30"/>
      <c r="G1273" s="37"/>
      <c r="H1273" s="37"/>
      <c r="I1273" s="37"/>
      <c r="J1273" s="37" t="s">
        <v>69</v>
      </c>
      <c r="K1273" s="325" t="s">
        <v>69</v>
      </c>
      <c r="L1273" s="181"/>
      <c r="M1273" s="181"/>
      <c r="N1273" s="37"/>
      <c r="O1273" s="31"/>
      <c r="P1273" s="37"/>
      <c r="Q1273" s="181"/>
      <c r="R1273" s="181"/>
      <c r="S1273" s="181"/>
      <c r="T1273" s="181"/>
      <c r="U1273" s="181"/>
      <c r="V1273" s="37"/>
      <c r="W1273" s="181"/>
      <c r="X1273" s="38"/>
      <c r="Y1273" s="38"/>
      <c r="Z1273" s="38"/>
      <c r="AA1273" s="38"/>
      <c r="AB1273" s="248"/>
      <c r="AC1273" s="250"/>
      <c r="AD1273" s="181"/>
      <c r="AE1273" s="37"/>
      <c r="AF1273" s="37"/>
      <c r="AG1273" s="33"/>
      <c r="AH1273" s="37"/>
      <c r="AI1273" s="37"/>
      <c r="AJ1273" s="181"/>
      <c r="AK1273" s="37"/>
      <c r="AL1273" s="37"/>
      <c r="AM1273" s="181"/>
      <c r="AN1273" s="37"/>
      <c r="AO1273" s="37"/>
      <c r="AP1273" s="37"/>
      <c r="AQ1273" s="37"/>
      <c r="AR1273" s="37"/>
      <c r="AS1273" s="37"/>
      <c r="AT1273" s="37"/>
      <c r="AU1273" s="37"/>
      <c r="AV1273" s="37"/>
      <c r="AW1273" s="37"/>
      <c r="AX1273" s="37"/>
      <c r="AY1273" s="37"/>
      <c r="AZ1273" s="37"/>
    </row>
    <row r="1274" spans="1:52" ht="15.5" customHeight="1">
      <c r="A1274" s="360"/>
      <c r="B1274" s="340"/>
      <c r="C1274" s="181"/>
      <c r="D1274" s="30"/>
      <c r="E1274" s="30"/>
      <c r="F1274" s="30"/>
      <c r="G1274" s="37"/>
      <c r="H1274" s="37"/>
      <c r="I1274" s="37"/>
      <c r="J1274" s="37" t="s">
        <v>69</v>
      </c>
      <c r="K1274" s="325" t="s">
        <v>69</v>
      </c>
      <c r="L1274" s="181"/>
      <c r="M1274" s="181"/>
      <c r="N1274" s="37"/>
      <c r="O1274" s="31"/>
      <c r="P1274" s="37"/>
      <c r="Q1274" s="181"/>
      <c r="R1274" s="181"/>
      <c r="S1274" s="181"/>
      <c r="T1274" s="181"/>
      <c r="U1274" s="181"/>
      <c r="V1274" s="37"/>
      <c r="W1274" s="181"/>
      <c r="X1274" s="38"/>
      <c r="Y1274" s="38"/>
      <c r="Z1274" s="38"/>
      <c r="AA1274" s="38"/>
      <c r="AB1274" s="248"/>
      <c r="AC1274" s="250"/>
      <c r="AD1274" s="181"/>
      <c r="AE1274" s="37"/>
      <c r="AF1274" s="37"/>
      <c r="AG1274" s="33"/>
      <c r="AH1274" s="37"/>
      <c r="AI1274" s="37"/>
      <c r="AJ1274" s="181"/>
      <c r="AK1274" s="37"/>
      <c r="AL1274" s="37"/>
      <c r="AM1274" s="181"/>
      <c r="AN1274" s="37"/>
      <c r="AO1274" s="37"/>
      <c r="AP1274" s="37"/>
      <c r="AQ1274" s="37"/>
      <c r="AR1274" s="37"/>
      <c r="AS1274" s="37"/>
      <c r="AT1274" s="37"/>
      <c r="AU1274" s="37"/>
      <c r="AV1274" s="37"/>
      <c r="AW1274" s="37"/>
      <c r="AX1274" s="37"/>
      <c r="AY1274" s="37"/>
      <c r="AZ1274" s="37"/>
    </row>
    <row r="1275" spans="1:52" ht="15.5" customHeight="1">
      <c r="A1275" s="360"/>
      <c r="B1275" s="340"/>
      <c r="C1275" s="181"/>
      <c r="D1275" s="30"/>
      <c r="E1275" s="30"/>
      <c r="F1275" s="30"/>
      <c r="G1275" s="37"/>
      <c r="H1275" s="37"/>
      <c r="I1275" s="37"/>
      <c r="J1275" s="37" t="s">
        <v>69</v>
      </c>
      <c r="K1275" s="325" t="s">
        <v>69</v>
      </c>
      <c r="L1275" s="181"/>
      <c r="M1275" s="181"/>
      <c r="N1275" s="37"/>
      <c r="O1275" s="31"/>
      <c r="P1275" s="37"/>
      <c r="Q1275" s="181"/>
      <c r="R1275" s="181"/>
      <c r="S1275" s="181"/>
      <c r="T1275" s="181"/>
      <c r="U1275" s="181"/>
      <c r="V1275" s="37"/>
      <c r="W1275" s="181"/>
      <c r="X1275" s="38"/>
      <c r="Y1275" s="38"/>
      <c r="Z1275" s="38"/>
      <c r="AA1275" s="38"/>
      <c r="AB1275" s="248"/>
      <c r="AC1275" s="250"/>
      <c r="AD1275" s="181"/>
      <c r="AE1275" s="37"/>
      <c r="AF1275" s="37"/>
      <c r="AG1275" s="33"/>
      <c r="AH1275" s="37"/>
      <c r="AI1275" s="37"/>
      <c r="AJ1275" s="181"/>
      <c r="AK1275" s="37"/>
      <c r="AL1275" s="37"/>
      <c r="AM1275" s="181"/>
      <c r="AN1275" s="37"/>
      <c r="AO1275" s="37"/>
      <c r="AP1275" s="37"/>
      <c r="AQ1275" s="37"/>
      <c r="AR1275" s="37"/>
      <c r="AS1275" s="37"/>
      <c r="AT1275" s="37"/>
      <c r="AU1275" s="37"/>
      <c r="AV1275" s="37"/>
      <c r="AW1275" s="37"/>
      <c r="AX1275" s="37"/>
      <c r="AY1275" s="37"/>
      <c r="AZ1275" s="37"/>
    </row>
    <row r="1276" spans="1:52" ht="15.5" customHeight="1">
      <c r="A1276" s="360"/>
      <c r="B1276" s="340"/>
      <c r="C1276" s="181"/>
      <c r="D1276" s="30"/>
      <c r="E1276" s="30"/>
      <c r="F1276" s="30"/>
      <c r="G1276" s="37"/>
      <c r="H1276" s="37"/>
      <c r="I1276" s="37"/>
      <c r="J1276" s="37" t="s">
        <v>69</v>
      </c>
      <c r="K1276" s="325" t="s">
        <v>69</v>
      </c>
      <c r="L1276" s="181"/>
      <c r="M1276" s="181"/>
      <c r="N1276" s="37"/>
      <c r="O1276" s="31"/>
      <c r="P1276" s="37"/>
      <c r="Q1276" s="181"/>
      <c r="R1276" s="181"/>
      <c r="S1276" s="181"/>
      <c r="T1276" s="181"/>
      <c r="U1276" s="181"/>
      <c r="V1276" s="37"/>
      <c r="W1276" s="181"/>
      <c r="X1276" s="38"/>
      <c r="Y1276" s="38"/>
      <c r="Z1276" s="38"/>
      <c r="AA1276" s="38"/>
      <c r="AB1276" s="248"/>
      <c r="AC1276" s="250"/>
      <c r="AD1276" s="181"/>
      <c r="AE1276" s="37"/>
      <c r="AF1276" s="37"/>
      <c r="AG1276" s="33"/>
      <c r="AH1276" s="37"/>
      <c r="AI1276" s="37"/>
      <c r="AJ1276" s="181"/>
      <c r="AK1276" s="37"/>
      <c r="AL1276" s="37"/>
      <c r="AM1276" s="181"/>
      <c r="AN1276" s="37"/>
      <c r="AO1276" s="37"/>
      <c r="AP1276" s="37"/>
      <c r="AQ1276" s="37"/>
      <c r="AR1276" s="37"/>
      <c r="AS1276" s="37"/>
      <c r="AT1276" s="37"/>
      <c r="AU1276" s="37"/>
      <c r="AV1276" s="37"/>
      <c r="AW1276" s="37"/>
      <c r="AX1276" s="37"/>
      <c r="AY1276" s="37"/>
      <c r="AZ1276" s="37"/>
    </row>
    <row r="1277" spans="1:52" ht="15.5" customHeight="1">
      <c r="A1277" s="360"/>
      <c r="B1277" s="340"/>
      <c r="C1277" s="181"/>
      <c r="D1277" s="30"/>
      <c r="E1277" s="30"/>
      <c r="F1277" s="30"/>
      <c r="G1277" s="37"/>
      <c r="H1277" s="37"/>
      <c r="I1277" s="37"/>
      <c r="J1277" s="37" t="s">
        <v>69</v>
      </c>
      <c r="K1277" s="325" t="s">
        <v>69</v>
      </c>
      <c r="L1277" s="181"/>
      <c r="M1277" s="181"/>
      <c r="N1277" s="37"/>
      <c r="O1277" s="31"/>
      <c r="P1277" s="37"/>
      <c r="Q1277" s="181"/>
      <c r="R1277" s="181"/>
      <c r="S1277" s="181"/>
      <c r="T1277" s="181"/>
      <c r="U1277" s="181"/>
      <c r="V1277" s="37"/>
      <c r="W1277" s="181"/>
      <c r="X1277" s="38"/>
      <c r="Y1277" s="38"/>
      <c r="Z1277" s="38"/>
      <c r="AA1277" s="38"/>
      <c r="AB1277" s="248"/>
      <c r="AC1277" s="250"/>
      <c r="AD1277" s="181"/>
      <c r="AE1277" s="37"/>
      <c r="AF1277" s="37"/>
      <c r="AG1277" s="33"/>
      <c r="AH1277" s="37"/>
      <c r="AI1277" s="37"/>
      <c r="AJ1277" s="181"/>
      <c r="AK1277" s="37"/>
      <c r="AL1277" s="37"/>
      <c r="AM1277" s="181"/>
      <c r="AN1277" s="37"/>
      <c r="AO1277" s="37"/>
      <c r="AP1277" s="37"/>
      <c r="AQ1277" s="37"/>
      <c r="AR1277" s="37"/>
      <c r="AS1277" s="37"/>
      <c r="AT1277" s="37"/>
      <c r="AU1277" s="37"/>
      <c r="AV1277" s="37"/>
      <c r="AW1277" s="37"/>
      <c r="AX1277" s="37"/>
      <c r="AY1277" s="37"/>
      <c r="AZ1277" s="37"/>
    </row>
    <row r="1278" spans="1:52" ht="15.5" customHeight="1">
      <c r="A1278" s="360"/>
      <c r="B1278" s="340"/>
      <c r="C1278" s="181"/>
      <c r="D1278" s="30"/>
      <c r="E1278" s="30"/>
      <c r="F1278" s="30"/>
      <c r="G1278" s="37"/>
      <c r="H1278" s="37"/>
      <c r="I1278" s="37"/>
      <c r="J1278" s="37" t="s">
        <v>69</v>
      </c>
      <c r="K1278" s="325" t="s">
        <v>69</v>
      </c>
      <c r="L1278" s="181"/>
      <c r="M1278" s="181"/>
      <c r="N1278" s="37"/>
      <c r="O1278" s="31"/>
      <c r="P1278" s="37"/>
      <c r="Q1278" s="181"/>
      <c r="R1278" s="181"/>
      <c r="S1278" s="181"/>
      <c r="T1278" s="181"/>
      <c r="U1278" s="181"/>
      <c r="V1278" s="37"/>
      <c r="W1278" s="181"/>
      <c r="X1278" s="38"/>
      <c r="Y1278" s="38"/>
      <c r="Z1278" s="38"/>
      <c r="AA1278" s="38"/>
      <c r="AB1278" s="248"/>
      <c r="AC1278" s="250"/>
      <c r="AD1278" s="181"/>
      <c r="AE1278" s="37"/>
      <c r="AF1278" s="37"/>
      <c r="AG1278" s="33"/>
      <c r="AH1278" s="37"/>
      <c r="AI1278" s="37"/>
      <c r="AJ1278" s="181"/>
      <c r="AK1278" s="37"/>
      <c r="AL1278" s="37"/>
      <c r="AM1278" s="181"/>
      <c r="AN1278" s="37"/>
      <c r="AO1278" s="37"/>
      <c r="AP1278" s="37"/>
      <c r="AQ1278" s="37"/>
      <c r="AR1278" s="37"/>
      <c r="AS1278" s="37"/>
      <c r="AT1278" s="37"/>
      <c r="AU1278" s="37"/>
      <c r="AV1278" s="37"/>
      <c r="AW1278" s="37"/>
      <c r="AX1278" s="37"/>
      <c r="AY1278" s="37"/>
      <c r="AZ1278" s="37"/>
    </row>
    <row r="1279" spans="1:52" ht="15.5" customHeight="1">
      <c r="A1279" s="360"/>
      <c r="B1279" s="340"/>
      <c r="C1279" s="181"/>
      <c r="D1279" s="30"/>
      <c r="E1279" s="30"/>
      <c r="F1279" s="30"/>
      <c r="G1279" s="37"/>
      <c r="H1279" s="37"/>
      <c r="I1279" s="37"/>
      <c r="J1279" s="37" t="s">
        <v>69</v>
      </c>
      <c r="K1279" s="325" t="s">
        <v>69</v>
      </c>
      <c r="L1279" s="181"/>
      <c r="M1279" s="181"/>
      <c r="N1279" s="37"/>
      <c r="O1279" s="31"/>
      <c r="P1279" s="37"/>
      <c r="Q1279" s="181"/>
      <c r="R1279" s="181"/>
      <c r="S1279" s="181"/>
      <c r="T1279" s="181"/>
      <c r="U1279" s="181"/>
      <c r="V1279" s="37"/>
      <c r="W1279" s="181"/>
      <c r="X1279" s="38"/>
      <c r="Y1279" s="38"/>
      <c r="Z1279" s="38"/>
      <c r="AA1279" s="38"/>
      <c r="AB1279" s="248"/>
      <c r="AC1279" s="250"/>
      <c r="AD1279" s="181"/>
      <c r="AE1279" s="37"/>
      <c r="AF1279" s="37"/>
      <c r="AG1279" s="33"/>
      <c r="AH1279" s="37"/>
      <c r="AI1279" s="37"/>
      <c r="AJ1279" s="181"/>
      <c r="AK1279" s="37"/>
      <c r="AL1279" s="37"/>
      <c r="AM1279" s="181"/>
      <c r="AN1279" s="37"/>
      <c r="AO1279" s="37"/>
      <c r="AP1279" s="37"/>
      <c r="AQ1279" s="37"/>
      <c r="AR1279" s="37"/>
      <c r="AS1279" s="37"/>
      <c r="AT1279" s="37"/>
      <c r="AU1279" s="37"/>
      <c r="AV1279" s="37"/>
      <c r="AW1279" s="37"/>
      <c r="AX1279" s="37"/>
      <c r="AY1279" s="37"/>
      <c r="AZ1279" s="37"/>
    </row>
    <row r="1280" spans="1:52" ht="15.5" customHeight="1">
      <c r="A1280" s="360"/>
      <c r="B1280" s="340"/>
      <c r="C1280" s="181"/>
      <c r="D1280" s="30"/>
      <c r="E1280" s="30"/>
      <c r="F1280" s="30"/>
      <c r="G1280" s="37"/>
      <c r="H1280" s="37"/>
      <c r="I1280" s="37"/>
      <c r="J1280" s="37" t="s">
        <v>69</v>
      </c>
      <c r="K1280" s="325" t="s">
        <v>69</v>
      </c>
      <c r="L1280" s="181"/>
      <c r="M1280" s="181"/>
      <c r="N1280" s="37"/>
      <c r="O1280" s="31"/>
      <c r="P1280" s="37"/>
      <c r="Q1280" s="181"/>
      <c r="R1280" s="181"/>
      <c r="S1280" s="181"/>
      <c r="T1280" s="181"/>
      <c r="U1280" s="181"/>
      <c r="V1280" s="37"/>
      <c r="W1280" s="181"/>
      <c r="X1280" s="38"/>
      <c r="Y1280" s="38"/>
      <c r="Z1280" s="38"/>
      <c r="AA1280" s="38"/>
      <c r="AB1280" s="248"/>
      <c r="AC1280" s="250"/>
      <c r="AD1280" s="181"/>
      <c r="AE1280" s="37"/>
      <c r="AF1280" s="37"/>
      <c r="AG1280" s="33"/>
      <c r="AH1280" s="37"/>
      <c r="AI1280" s="37"/>
      <c r="AJ1280" s="181"/>
      <c r="AK1280" s="37"/>
      <c r="AL1280" s="37"/>
      <c r="AM1280" s="181"/>
      <c r="AN1280" s="37"/>
      <c r="AO1280" s="37"/>
      <c r="AP1280" s="37"/>
      <c r="AQ1280" s="37"/>
      <c r="AR1280" s="37"/>
      <c r="AS1280" s="37"/>
      <c r="AT1280" s="37"/>
      <c r="AU1280" s="37"/>
      <c r="AV1280" s="37"/>
      <c r="AW1280" s="37"/>
      <c r="AX1280" s="37"/>
      <c r="AY1280" s="37"/>
      <c r="AZ1280" s="37"/>
    </row>
    <row r="1281" spans="1:52" ht="15.5" customHeight="1">
      <c r="A1281" s="360"/>
      <c r="B1281" s="340"/>
      <c r="C1281" s="181"/>
      <c r="D1281" s="30"/>
      <c r="E1281" s="30"/>
      <c r="F1281" s="30"/>
      <c r="G1281" s="37"/>
      <c r="H1281" s="37"/>
      <c r="I1281" s="37"/>
      <c r="J1281" s="37" t="s">
        <v>69</v>
      </c>
      <c r="K1281" s="325" t="s">
        <v>69</v>
      </c>
      <c r="L1281" s="181"/>
      <c r="M1281" s="181"/>
      <c r="N1281" s="37"/>
      <c r="O1281" s="31"/>
      <c r="P1281" s="37"/>
      <c r="Q1281" s="181"/>
      <c r="R1281" s="181"/>
      <c r="S1281" s="181"/>
      <c r="T1281" s="181"/>
      <c r="U1281" s="181"/>
      <c r="V1281" s="37"/>
      <c r="W1281" s="181"/>
      <c r="X1281" s="38"/>
      <c r="Y1281" s="38"/>
      <c r="Z1281" s="38"/>
      <c r="AA1281" s="38"/>
      <c r="AB1281" s="248"/>
      <c r="AC1281" s="250"/>
      <c r="AD1281" s="181"/>
      <c r="AE1281" s="37"/>
      <c r="AF1281" s="37"/>
      <c r="AG1281" s="33"/>
      <c r="AH1281" s="37"/>
      <c r="AI1281" s="37"/>
      <c r="AJ1281" s="181"/>
      <c r="AK1281" s="37"/>
      <c r="AL1281" s="37"/>
      <c r="AM1281" s="181"/>
      <c r="AN1281" s="37"/>
      <c r="AO1281" s="37"/>
      <c r="AP1281" s="37"/>
      <c r="AQ1281" s="37"/>
      <c r="AR1281" s="37"/>
      <c r="AS1281" s="37"/>
      <c r="AT1281" s="37"/>
      <c r="AU1281" s="37"/>
      <c r="AV1281" s="37"/>
      <c r="AW1281" s="37"/>
      <c r="AX1281" s="37"/>
      <c r="AY1281" s="37"/>
      <c r="AZ1281" s="37"/>
    </row>
    <row r="1282" spans="1:52" ht="15.5" customHeight="1">
      <c r="A1282" s="360"/>
      <c r="B1282" s="340"/>
      <c r="C1282" s="181"/>
      <c r="D1282" s="30"/>
      <c r="E1282" s="30"/>
      <c r="F1282" s="30"/>
      <c r="G1282" s="37"/>
      <c r="H1282" s="37"/>
      <c r="I1282" s="37"/>
      <c r="J1282" s="37" t="s">
        <v>69</v>
      </c>
      <c r="K1282" s="325" t="s">
        <v>69</v>
      </c>
      <c r="L1282" s="181"/>
      <c r="M1282" s="181"/>
      <c r="N1282" s="37"/>
      <c r="O1282" s="31"/>
      <c r="P1282" s="37"/>
      <c r="Q1282" s="181"/>
      <c r="R1282" s="181"/>
      <c r="S1282" s="181"/>
      <c r="T1282" s="181"/>
      <c r="U1282" s="181"/>
      <c r="V1282" s="37"/>
      <c r="W1282" s="181"/>
      <c r="X1282" s="38"/>
      <c r="Y1282" s="38"/>
      <c r="Z1282" s="38"/>
      <c r="AA1282" s="38"/>
      <c r="AB1282" s="248"/>
      <c r="AC1282" s="250"/>
      <c r="AD1282" s="181"/>
      <c r="AE1282" s="37"/>
      <c r="AF1282" s="37"/>
      <c r="AG1282" s="33"/>
      <c r="AH1282" s="37"/>
      <c r="AI1282" s="37"/>
      <c r="AJ1282" s="181"/>
      <c r="AK1282" s="37"/>
      <c r="AL1282" s="37"/>
      <c r="AM1282" s="181"/>
      <c r="AN1282" s="37"/>
      <c r="AO1282" s="37"/>
      <c r="AP1282" s="37"/>
      <c r="AQ1282" s="37"/>
      <c r="AR1282" s="37"/>
      <c r="AS1282" s="37"/>
      <c r="AT1282" s="37"/>
      <c r="AU1282" s="37"/>
      <c r="AV1282" s="37"/>
      <c r="AW1282" s="37"/>
      <c r="AX1282" s="37"/>
      <c r="AY1282" s="37"/>
      <c r="AZ1282" s="37"/>
    </row>
    <row r="1283" spans="1:52" ht="15.5" customHeight="1">
      <c r="A1283" s="360"/>
      <c r="B1283" s="340"/>
      <c r="C1283" s="181"/>
      <c r="D1283" s="30"/>
      <c r="E1283" s="30"/>
      <c r="F1283" s="30"/>
      <c r="G1283" s="37"/>
      <c r="H1283" s="37"/>
      <c r="I1283" s="37"/>
      <c r="J1283" s="37" t="s">
        <v>69</v>
      </c>
      <c r="K1283" s="325" t="s">
        <v>69</v>
      </c>
      <c r="L1283" s="181"/>
      <c r="M1283" s="181"/>
      <c r="N1283" s="37"/>
      <c r="O1283" s="31"/>
      <c r="P1283" s="37"/>
      <c r="Q1283" s="181"/>
      <c r="R1283" s="181"/>
      <c r="S1283" s="181"/>
      <c r="T1283" s="181"/>
      <c r="U1283" s="181"/>
      <c r="V1283" s="37"/>
      <c r="W1283" s="181"/>
      <c r="X1283" s="38"/>
      <c r="Y1283" s="38"/>
      <c r="Z1283" s="38"/>
      <c r="AA1283" s="38"/>
      <c r="AB1283" s="248"/>
      <c r="AC1283" s="250"/>
      <c r="AD1283" s="181"/>
      <c r="AE1283" s="37"/>
      <c r="AF1283" s="37"/>
      <c r="AG1283" s="33"/>
      <c r="AH1283" s="37"/>
      <c r="AI1283" s="37"/>
      <c r="AJ1283" s="181"/>
      <c r="AK1283" s="37"/>
      <c r="AL1283" s="37"/>
      <c r="AM1283" s="181"/>
      <c r="AN1283" s="37"/>
      <c r="AO1283" s="37"/>
      <c r="AP1283" s="37"/>
      <c r="AQ1283" s="37"/>
      <c r="AR1283" s="37"/>
      <c r="AS1283" s="37"/>
      <c r="AT1283" s="37"/>
      <c r="AU1283" s="37"/>
      <c r="AV1283" s="37"/>
      <c r="AW1283" s="37"/>
      <c r="AX1283" s="37"/>
      <c r="AY1283" s="37"/>
      <c r="AZ1283" s="37"/>
    </row>
    <row r="1284" spans="1:52" ht="15.5" customHeight="1">
      <c r="A1284" s="360"/>
      <c r="B1284" s="340"/>
      <c r="C1284" s="181"/>
      <c r="D1284" s="30"/>
      <c r="E1284" s="30"/>
      <c r="F1284" s="30"/>
      <c r="G1284" s="37"/>
      <c r="H1284" s="37"/>
      <c r="I1284" s="37"/>
      <c r="J1284" s="37" t="s">
        <v>69</v>
      </c>
      <c r="K1284" s="325" t="s">
        <v>69</v>
      </c>
      <c r="L1284" s="181"/>
      <c r="M1284" s="181"/>
      <c r="N1284" s="37"/>
      <c r="O1284" s="31"/>
      <c r="P1284" s="37"/>
      <c r="Q1284" s="181"/>
      <c r="R1284" s="181"/>
      <c r="S1284" s="181"/>
      <c r="T1284" s="181"/>
      <c r="U1284" s="181"/>
      <c r="V1284" s="37"/>
      <c r="W1284" s="181"/>
      <c r="X1284" s="38"/>
      <c r="Y1284" s="38"/>
      <c r="Z1284" s="38"/>
      <c r="AA1284" s="38"/>
      <c r="AB1284" s="248"/>
      <c r="AC1284" s="250"/>
      <c r="AD1284" s="181"/>
      <c r="AE1284" s="37"/>
      <c r="AF1284" s="37"/>
      <c r="AG1284" s="33"/>
      <c r="AH1284" s="37"/>
      <c r="AI1284" s="37"/>
      <c r="AJ1284" s="181"/>
      <c r="AK1284" s="37"/>
      <c r="AL1284" s="37"/>
      <c r="AM1284" s="181"/>
      <c r="AN1284" s="37"/>
      <c r="AO1284" s="37"/>
      <c r="AP1284" s="37"/>
      <c r="AQ1284" s="37"/>
      <c r="AR1284" s="37"/>
      <c r="AS1284" s="37"/>
      <c r="AT1284" s="37"/>
      <c r="AU1284" s="37"/>
      <c r="AV1284" s="37"/>
      <c r="AW1284" s="37"/>
      <c r="AX1284" s="37"/>
      <c r="AY1284" s="37"/>
      <c r="AZ1284" s="37"/>
    </row>
    <row r="1285" spans="1:52" ht="15.5" customHeight="1">
      <c r="A1285" s="360"/>
      <c r="B1285" s="340"/>
      <c r="C1285" s="181"/>
      <c r="D1285" s="30"/>
      <c r="E1285" s="30"/>
      <c r="F1285" s="30"/>
      <c r="G1285" s="37"/>
      <c r="H1285" s="37"/>
      <c r="I1285" s="37"/>
      <c r="J1285" s="37" t="s">
        <v>69</v>
      </c>
      <c r="K1285" s="325" t="s">
        <v>69</v>
      </c>
      <c r="L1285" s="181"/>
      <c r="M1285" s="181"/>
      <c r="N1285" s="37"/>
      <c r="O1285" s="31"/>
      <c r="P1285" s="37"/>
      <c r="Q1285" s="181"/>
      <c r="R1285" s="181"/>
      <c r="S1285" s="181"/>
      <c r="T1285" s="181"/>
      <c r="U1285" s="181"/>
      <c r="V1285" s="37"/>
      <c r="W1285" s="181"/>
      <c r="X1285" s="38"/>
      <c r="Y1285" s="38"/>
      <c r="Z1285" s="38"/>
      <c r="AA1285" s="38"/>
      <c r="AB1285" s="248"/>
      <c r="AC1285" s="250"/>
      <c r="AD1285" s="181"/>
      <c r="AE1285" s="37"/>
      <c r="AF1285" s="37"/>
      <c r="AG1285" s="33"/>
      <c r="AH1285" s="37"/>
      <c r="AI1285" s="37"/>
      <c r="AJ1285" s="181"/>
      <c r="AK1285" s="37"/>
      <c r="AL1285" s="37"/>
      <c r="AM1285" s="181"/>
      <c r="AN1285" s="37"/>
      <c r="AO1285" s="37"/>
      <c r="AP1285" s="37"/>
      <c r="AQ1285" s="37"/>
      <c r="AR1285" s="37"/>
      <c r="AS1285" s="37"/>
      <c r="AT1285" s="37"/>
      <c r="AU1285" s="37"/>
      <c r="AV1285" s="37"/>
      <c r="AW1285" s="37"/>
      <c r="AX1285" s="37"/>
      <c r="AY1285" s="37"/>
      <c r="AZ1285" s="37"/>
    </row>
    <row r="1286" spans="1:52" ht="15.5" customHeight="1">
      <c r="A1286" s="360"/>
      <c r="B1286" s="340"/>
      <c r="C1286" s="181"/>
      <c r="D1286" s="30"/>
      <c r="E1286" s="30"/>
      <c r="F1286" s="30"/>
      <c r="G1286" s="37"/>
      <c r="H1286" s="37"/>
      <c r="I1286" s="37"/>
      <c r="J1286" s="37" t="s">
        <v>69</v>
      </c>
      <c r="K1286" s="325" t="s">
        <v>69</v>
      </c>
      <c r="L1286" s="181"/>
      <c r="M1286" s="181"/>
      <c r="N1286" s="37"/>
      <c r="O1286" s="31"/>
      <c r="P1286" s="37"/>
      <c r="Q1286" s="181"/>
      <c r="R1286" s="181"/>
      <c r="S1286" s="181"/>
      <c r="T1286" s="181"/>
      <c r="U1286" s="181"/>
      <c r="V1286" s="37"/>
      <c r="W1286" s="181"/>
      <c r="X1286" s="38"/>
      <c r="Y1286" s="38"/>
      <c r="Z1286" s="38"/>
      <c r="AA1286" s="38"/>
      <c r="AB1286" s="248"/>
      <c r="AC1286" s="250"/>
      <c r="AD1286" s="181"/>
      <c r="AE1286" s="37"/>
      <c r="AF1286" s="37"/>
      <c r="AG1286" s="33"/>
      <c r="AH1286" s="37"/>
      <c r="AI1286" s="37"/>
      <c r="AJ1286" s="181"/>
      <c r="AK1286" s="37"/>
      <c r="AL1286" s="37"/>
      <c r="AM1286" s="181"/>
      <c r="AN1286" s="37"/>
      <c r="AO1286" s="37"/>
      <c r="AP1286" s="37"/>
      <c r="AQ1286" s="37"/>
      <c r="AR1286" s="37"/>
      <c r="AS1286" s="37"/>
      <c r="AT1286" s="37"/>
      <c r="AU1286" s="37"/>
      <c r="AV1286" s="37"/>
      <c r="AW1286" s="37"/>
      <c r="AX1286" s="37"/>
      <c r="AY1286" s="37"/>
      <c r="AZ1286" s="37"/>
    </row>
    <row r="1287" spans="1:52" ht="15.5" customHeight="1">
      <c r="A1287" s="360"/>
      <c r="B1287" s="340"/>
      <c r="C1287" s="181"/>
      <c r="D1287" s="30"/>
      <c r="E1287" s="30"/>
      <c r="F1287" s="30"/>
      <c r="G1287" s="37"/>
      <c r="H1287" s="37"/>
      <c r="I1287" s="37"/>
      <c r="J1287" s="37" t="s">
        <v>69</v>
      </c>
      <c r="K1287" s="325" t="s">
        <v>69</v>
      </c>
      <c r="L1287" s="181"/>
      <c r="M1287" s="181"/>
      <c r="N1287" s="37"/>
      <c r="O1287" s="31"/>
      <c r="P1287" s="37"/>
      <c r="Q1287" s="181"/>
      <c r="R1287" s="181"/>
      <c r="S1287" s="181"/>
      <c r="T1287" s="181"/>
      <c r="U1287" s="181"/>
      <c r="V1287" s="37"/>
      <c r="W1287" s="181"/>
      <c r="X1287" s="38"/>
      <c r="Y1287" s="38"/>
      <c r="Z1287" s="38"/>
      <c r="AA1287" s="38"/>
      <c r="AB1287" s="248"/>
      <c r="AC1287" s="250"/>
      <c r="AD1287" s="181"/>
      <c r="AE1287" s="37"/>
      <c r="AF1287" s="37"/>
      <c r="AG1287" s="33"/>
      <c r="AH1287" s="37"/>
      <c r="AI1287" s="37"/>
      <c r="AJ1287" s="181"/>
      <c r="AK1287" s="37"/>
      <c r="AL1287" s="37"/>
      <c r="AM1287" s="181"/>
      <c r="AN1287" s="37"/>
      <c r="AO1287" s="37"/>
      <c r="AP1287" s="37"/>
      <c r="AQ1287" s="37"/>
      <c r="AR1287" s="37"/>
      <c r="AS1287" s="37"/>
      <c r="AT1287" s="37"/>
      <c r="AU1287" s="37"/>
      <c r="AV1287" s="37"/>
      <c r="AW1287" s="37"/>
      <c r="AX1287" s="37"/>
      <c r="AY1287" s="37"/>
      <c r="AZ1287" s="37"/>
    </row>
    <row r="1288" spans="1:52" ht="15.5" customHeight="1">
      <c r="A1288" s="360"/>
      <c r="B1288" s="340"/>
      <c r="C1288" s="181"/>
      <c r="D1288" s="30"/>
      <c r="E1288" s="30"/>
      <c r="F1288" s="30"/>
      <c r="G1288" s="37"/>
      <c r="H1288" s="37"/>
      <c r="I1288" s="37"/>
      <c r="J1288" s="37" t="s">
        <v>69</v>
      </c>
      <c r="K1288" s="325" t="s">
        <v>69</v>
      </c>
      <c r="L1288" s="181"/>
      <c r="M1288" s="181"/>
      <c r="N1288" s="37"/>
      <c r="O1288" s="31"/>
      <c r="P1288" s="37"/>
      <c r="Q1288" s="181"/>
      <c r="R1288" s="181"/>
      <c r="S1288" s="181"/>
      <c r="T1288" s="181"/>
      <c r="U1288" s="181"/>
      <c r="V1288" s="37"/>
      <c r="W1288" s="181"/>
      <c r="X1288" s="38"/>
      <c r="Y1288" s="38"/>
      <c r="Z1288" s="38"/>
      <c r="AA1288" s="38"/>
      <c r="AB1288" s="248"/>
      <c r="AC1288" s="250"/>
      <c r="AD1288" s="181"/>
      <c r="AE1288" s="37"/>
      <c r="AF1288" s="37"/>
      <c r="AG1288" s="33"/>
      <c r="AH1288" s="37"/>
      <c r="AI1288" s="37"/>
      <c r="AJ1288" s="181"/>
      <c r="AK1288" s="37"/>
      <c r="AL1288" s="37"/>
      <c r="AM1288" s="181"/>
      <c r="AN1288" s="37"/>
      <c r="AO1288" s="37"/>
      <c r="AP1288" s="37"/>
      <c r="AQ1288" s="37"/>
      <c r="AR1288" s="37"/>
      <c r="AS1288" s="37"/>
      <c r="AT1288" s="37"/>
      <c r="AU1288" s="37"/>
      <c r="AV1288" s="37"/>
      <c r="AW1288" s="37"/>
      <c r="AX1288" s="37"/>
      <c r="AY1288" s="37"/>
      <c r="AZ1288" s="37"/>
    </row>
    <row r="1289" spans="1:52" ht="15.5" customHeight="1">
      <c r="A1289" s="360"/>
      <c r="B1289" s="340"/>
      <c r="C1289" s="181"/>
      <c r="D1289" s="30"/>
      <c r="E1289" s="30"/>
      <c r="F1289" s="30"/>
      <c r="G1289" s="37"/>
      <c r="H1289" s="37"/>
      <c r="I1289" s="37"/>
      <c r="J1289" s="37" t="s">
        <v>69</v>
      </c>
      <c r="K1289" s="325" t="s">
        <v>69</v>
      </c>
      <c r="L1289" s="181"/>
      <c r="M1289" s="181"/>
      <c r="N1289" s="37"/>
      <c r="O1289" s="31"/>
      <c r="P1289" s="37"/>
      <c r="Q1289" s="181"/>
      <c r="R1289" s="181"/>
      <c r="S1289" s="181"/>
      <c r="T1289" s="181"/>
      <c r="U1289" s="181"/>
      <c r="V1289" s="37"/>
      <c r="W1289" s="181"/>
      <c r="X1289" s="38"/>
      <c r="Y1289" s="38"/>
      <c r="Z1289" s="38"/>
      <c r="AA1289" s="38"/>
      <c r="AB1289" s="248"/>
      <c r="AC1289" s="250"/>
      <c r="AD1289" s="181"/>
      <c r="AE1289" s="37"/>
      <c r="AF1289" s="37"/>
      <c r="AG1289" s="33"/>
      <c r="AH1289" s="37"/>
      <c r="AI1289" s="37"/>
      <c r="AJ1289" s="181"/>
      <c r="AK1289" s="37"/>
      <c r="AL1289" s="37"/>
      <c r="AM1289" s="181"/>
      <c r="AN1289" s="37"/>
      <c r="AO1289" s="37"/>
      <c r="AP1289" s="37"/>
      <c r="AQ1289" s="37"/>
      <c r="AR1289" s="37"/>
      <c r="AS1289" s="37"/>
      <c r="AT1289" s="37"/>
      <c r="AU1289" s="37"/>
      <c r="AV1289" s="37"/>
      <c r="AW1289" s="37"/>
      <c r="AX1289" s="37"/>
      <c r="AY1289" s="37"/>
      <c r="AZ1289" s="37"/>
    </row>
    <row r="1290" spans="1:52" ht="15.5" customHeight="1">
      <c r="A1290" s="360"/>
      <c r="B1290" s="340"/>
      <c r="C1290" s="181"/>
      <c r="D1290" s="30"/>
      <c r="E1290" s="30"/>
      <c r="F1290" s="30"/>
      <c r="G1290" s="37"/>
      <c r="H1290" s="37"/>
      <c r="I1290" s="37"/>
      <c r="J1290" s="37" t="s">
        <v>69</v>
      </c>
      <c r="K1290" s="325" t="s">
        <v>69</v>
      </c>
      <c r="L1290" s="181"/>
      <c r="M1290" s="181"/>
      <c r="N1290" s="37"/>
      <c r="O1290" s="31"/>
      <c r="P1290" s="37"/>
      <c r="Q1290" s="181"/>
      <c r="R1290" s="181"/>
      <c r="S1290" s="181"/>
      <c r="T1290" s="181"/>
      <c r="U1290" s="181"/>
      <c r="V1290" s="37"/>
      <c r="W1290" s="181"/>
      <c r="X1290" s="38"/>
      <c r="Y1290" s="38"/>
      <c r="Z1290" s="38"/>
      <c r="AA1290" s="38"/>
      <c r="AB1290" s="248"/>
      <c r="AC1290" s="250"/>
      <c r="AD1290" s="181"/>
      <c r="AE1290" s="37"/>
      <c r="AF1290" s="37"/>
      <c r="AG1290" s="33"/>
      <c r="AH1290" s="37"/>
      <c r="AI1290" s="37"/>
      <c r="AJ1290" s="181"/>
      <c r="AK1290" s="37"/>
      <c r="AL1290" s="37"/>
      <c r="AM1290" s="181"/>
      <c r="AN1290" s="37"/>
      <c r="AO1290" s="37"/>
      <c r="AP1290" s="37"/>
      <c r="AQ1290" s="37"/>
      <c r="AR1290" s="37"/>
      <c r="AS1290" s="37"/>
      <c r="AT1290" s="37"/>
      <c r="AU1290" s="37"/>
      <c r="AV1290" s="37"/>
      <c r="AW1290" s="37"/>
      <c r="AX1290" s="37"/>
      <c r="AY1290" s="37"/>
      <c r="AZ1290" s="37"/>
    </row>
    <row r="1291" spans="1:52" ht="15.5" customHeight="1">
      <c r="A1291" s="360"/>
      <c r="B1291" s="340"/>
      <c r="C1291" s="181"/>
      <c r="D1291" s="30"/>
      <c r="E1291" s="30"/>
      <c r="F1291" s="30"/>
      <c r="G1291" s="37"/>
      <c r="H1291" s="37"/>
      <c r="I1291" s="37"/>
      <c r="J1291" s="37" t="s">
        <v>69</v>
      </c>
      <c r="K1291" s="325" t="s">
        <v>69</v>
      </c>
      <c r="L1291" s="181"/>
      <c r="M1291" s="181"/>
      <c r="N1291" s="37"/>
      <c r="O1291" s="31"/>
      <c r="P1291" s="37"/>
      <c r="Q1291" s="181"/>
      <c r="R1291" s="181"/>
      <c r="S1291" s="181"/>
      <c r="T1291" s="181"/>
      <c r="U1291" s="181"/>
      <c r="V1291" s="37"/>
      <c r="W1291" s="181"/>
      <c r="X1291" s="38"/>
      <c r="Y1291" s="38"/>
      <c r="Z1291" s="38"/>
      <c r="AA1291" s="38"/>
      <c r="AB1291" s="248"/>
      <c r="AC1291" s="250"/>
      <c r="AD1291" s="181"/>
      <c r="AE1291" s="37"/>
      <c r="AF1291" s="37"/>
      <c r="AG1291" s="33"/>
      <c r="AH1291" s="37"/>
      <c r="AI1291" s="37"/>
      <c r="AJ1291" s="181"/>
      <c r="AK1291" s="37"/>
      <c r="AL1291" s="37"/>
      <c r="AM1291" s="181"/>
      <c r="AN1291" s="37"/>
      <c r="AO1291" s="37"/>
      <c r="AP1291" s="37"/>
      <c r="AQ1291" s="37"/>
      <c r="AR1291" s="37"/>
      <c r="AS1291" s="37"/>
      <c r="AT1291" s="37"/>
      <c r="AU1291" s="37"/>
      <c r="AV1291" s="37"/>
      <c r="AW1291" s="37"/>
      <c r="AX1291" s="37"/>
      <c r="AY1291" s="37"/>
      <c r="AZ1291" s="37"/>
    </row>
    <row r="1292" spans="1:52" ht="15.5" customHeight="1">
      <c r="A1292" s="360"/>
      <c r="B1292" s="340"/>
      <c r="C1292" s="181"/>
      <c r="D1292" s="30"/>
      <c r="E1292" s="30"/>
      <c r="F1292" s="30"/>
      <c r="G1292" s="37"/>
      <c r="H1292" s="37"/>
      <c r="I1292" s="37"/>
      <c r="J1292" s="37" t="s">
        <v>69</v>
      </c>
      <c r="K1292" s="325" t="s">
        <v>69</v>
      </c>
      <c r="L1292" s="181"/>
      <c r="M1292" s="181"/>
      <c r="N1292" s="37"/>
      <c r="O1292" s="31"/>
      <c r="P1292" s="37"/>
      <c r="Q1292" s="181"/>
      <c r="R1292" s="181"/>
      <c r="S1292" s="181"/>
      <c r="T1292" s="181"/>
      <c r="U1292" s="181"/>
      <c r="V1292" s="37"/>
      <c r="W1292" s="181"/>
      <c r="X1292" s="38"/>
      <c r="Y1292" s="38"/>
      <c r="Z1292" s="38"/>
      <c r="AA1292" s="38"/>
      <c r="AB1292" s="248"/>
      <c r="AC1292" s="250"/>
      <c r="AD1292" s="181"/>
      <c r="AE1292" s="37"/>
      <c r="AF1292" s="37"/>
      <c r="AG1292" s="33"/>
      <c r="AH1292" s="37"/>
      <c r="AI1292" s="37"/>
      <c r="AJ1292" s="181"/>
      <c r="AK1292" s="37"/>
      <c r="AL1292" s="37"/>
      <c r="AM1292" s="181"/>
      <c r="AN1292" s="37"/>
      <c r="AO1292" s="37"/>
      <c r="AP1292" s="37"/>
      <c r="AQ1292" s="37"/>
      <c r="AR1292" s="37"/>
      <c r="AS1292" s="37"/>
      <c r="AT1292" s="37"/>
      <c r="AU1292" s="37"/>
      <c r="AV1292" s="37"/>
      <c r="AW1292" s="37"/>
      <c r="AX1292" s="37"/>
      <c r="AY1292" s="37"/>
      <c r="AZ1292" s="37"/>
    </row>
    <row r="1293" spans="1:52" ht="15.5" customHeight="1">
      <c r="A1293" s="360"/>
      <c r="B1293" s="340"/>
      <c r="C1293" s="181"/>
      <c r="D1293" s="30"/>
      <c r="E1293" s="30"/>
      <c r="F1293" s="30"/>
      <c r="G1293" s="37"/>
      <c r="H1293" s="37"/>
      <c r="I1293" s="37"/>
      <c r="J1293" s="37" t="s">
        <v>69</v>
      </c>
      <c r="K1293" s="325" t="s">
        <v>69</v>
      </c>
      <c r="L1293" s="181"/>
      <c r="M1293" s="181"/>
      <c r="N1293" s="37"/>
      <c r="O1293" s="31"/>
      <c r="P1293" s="37"/>
      <c r="Q1293" s="181"/>
      <c r="R1293" s="181"/>
      <c r="S1293" s="181"/>
      <c r="T1293" s="181"/>
      <c r="U1293" s="181"/>
      <c r="V1293" s="37"/>
      <c r="W1293" s="181"/>
      <c r="X1293" s="38"/>
      <c r="Y1293" s="38"/>
      <c r="Z1293" s="38"/>
      <c r="AA1293" s="38"/>
      <c r="AB1293" s="248"/>
      <c r="AC1293" s="250"/>
      <c r="AD1293" s="181"/>
      <c r="AE1293" s="37"/>
      <c r="AF1293" s="37"/>
      <c r="AG1293" s="33"/>
      <c r="AH1293" s="37"/>
      <c r="AI1293" s="37"/>
      <c r="AJ1293" s="181"/>
      <c r="AK1293" s="37"/>
      <c r="AL1293" s="37"/>
      <c r="AM1293" s="181"/>
      <c r="AN1293" s="37"/>
      <c r="AO1293" s="37"/>
      <c r="AP1293" s="37"/>
      <c r="AQ1293" s="37"/>
      <c r="AR1293" s="37"/>
      <c r="AS1293" s="37"/>
      <c r="AT1293" s="37"/>
      <c r="AU1293" s="37"/>
      <c r="AV1293" s="37"/>
      <c r="AW1293" s="37"/>
      <c r="AX1293" s="37"/>
      <c r="AY1293" s="37"/>
      <c r="AZ1293" s="37"/>
    </row>
    <row r="1294" spans="1:52" ht="15.5" customHeight="1">
      <c r="A1294" s="360"/>
      <c r="B1294" s="340"/>
      <c r="C1294" s="181"/>
      <c r="D1294" s="30"/>
      <c r="E1294" s="30"/>
      <c r="F1294" s="30"/>
      <c r="G1294" s="37"/>
      <c r="H1294" s="37"/>
      <c r="I1294" s="37"/>
      <c r="J1294" s="37" t="s">
        <v>69</v>
      </c>
      <c r="K1294" s="325" t="s">
        <v>69</v>
      </c>
      <c r="L1294" s="181"/>
      <c r="M1294" s="181"/>
      <c r="N1294" s="37"/>
      <c r="O1294" s="31"/>
      <c r="P1294" s="37"/>
      <c r="Q1294" s="181"/>
      <c r="R1294" s="181"/>
      <c r="S1294" s="181"/>
      <c r="T1294" s="181"/>
      <c r="U1294" s="181"/>
      <c r="V1294" s="37"/>
      <c r="W1294" s="181"/>
      <c r="X1294" s="38"/>
      <c r="Y1294" s="38"/>
      <c r="Z1294" s="38"/>
      <c r="AA1294" s="38"/>
      <c r="AB1294" s="248"/>
      <c r="AC1294" s="250"/>
      <c r="AD1294" s="181"/>
      <c r="AE1294" s="37"/>
      <c r="AF1294" s="37"/>
      <c r="AG1294" s="33"/>
      <c r="AH1294" s="37"/>
      <c r="AI1294" s="37"/>
      <c r="AJ1294" s="181"/>
      <c r="AK1294" s="37"/>
      <c r="AL1294" s="37"/>
      <c r="AM1294" s="181"/>
      <c r="AN1294" s="37"/>
      <c r="AO1294" s="37"/>
      <c r="AP1294" s="37"/>
      <c r="AQ1294" s="37"/>
      <c r="AR1294" s="37"/>
      <c r="AS1294" s="37"/>
      <c r="AT1294" s="37"/>
      <c r="AU1294" s="37"/>
      <c r="AV1294" s="37"/>
      <c r="AW1294" s="37"/>
      <c r="AX1294" s="37"/>
      <c r="AY1294" s="37"/>
      <c r="AZ1294" s="37"/>
    </row>
    <row r="1295" spans="1:52" ht="15.5" customHeight="1">
      <c r="A1295" s="360"/>
      <c r="B1295" s="340"/>
      <c r="C1295" s="181"/>
      <c r="D1295" s="30"/>
      <c r="E1295" s="30"/>
      <c r="F1295" s="30"/>
      <c r="G1295" s="37"/>
      <c r="H1295" s="37"/>
      <c r="I1295" s="37"/>
      <c r="J1295" s="37" t="s">
        <v>69</v>
      </c>
      <c r="K1295" s="325" t="s">
        <v>69</v>
      </c>
      <c r="L1295" s="181"/>
      <c r="M1295" s="181"/>
      <c r="N1295" s="37"/>
      <c r="O1295" s="31"/>
      <c r="P1295" s="37"/>
      <c r="Q1295" s="181"/>
      <c r="R1295" s="181"/>
      <c r="S1295" s="181"/>
      <c r="T1295" s="181"/>
      <c r="U1295" s="181"/>
      <c r="V1295" s="37"/>
      <c r="W1295" s="181"/>
      <c r="X1295" s="38"/>
      <c r="Y1295" s="38"/>
      <c r="Z1295" s="38"/>
      <c r="AA1295" s="38"/>
      <c r="AB1295" s="248"/>
      <c r="AC1295" s="250"/>
      <c r="AD1295" s="181"/>
      <c r="AE1295" s="37"/>
      <c r="AF1295" s="37"/>
      <c r="AG1295" s="33"/>
      <c r="AH1295" s="37"/>
      <c r="AI1295" s="37"/>
      <c r="AJ1295" s="181"/>
      <c r="AK1295" s="37"/>
      <c r="AL1295" s="37"/>
      <c r="AM1295" s="181"/>
      <c r="AN1295" s="37"/>
      <c r="AO1295" s="37"/>
      <c r="AP1295" s="37"/>
      <c r="AQ1295" s="37"/>
      <c r="AR1295" s="37"/>
      <c r="AS1295" s="37"/>
      <c r="AT1295" s="37"/>
      <c r="AU1295" s="37"/>
      <c r="AV1295" s="37"/>
      <c r="AW1295" s="37"/>
      <c r="AX1295" s="37"/>
      <c r="AY1295" s="37"/>
      <c r="AZ1295" s="37"/>
    </row>
    <row r="1296" spans="1:52" ht="15.5" customHeight="1">
      <c r="A1296" s="360"/>
      <c r="B1296" s="340"/>
      <c r="C1296" s="181"/>
      <c r="D1296" s="30"/>
      <c r="E1296" s="30"/>
      <c r="F1296" s="30"/>
      <c r="G1296" s="37"/>
      <c r="H1296" s="37"/>
      <c r="I1296" s="37"/>
      <c r="J1296" s="37" t="s">
        <v>69</v>
      </c>
      <c r="K1296" s="325" t="s">
        <v>69</v>
      </c>
      <c r="L1296" s="181"/>
      <c r="M1296" s="181"/>
      <c r="N1296" s="37"/>
      <c r="O1296" s="31"/>
      <c r="P1296" s="37"/>
      <c r="Q1296" s="181"/>
      <c r="R1296" s="181"/>
      <c r="S1296" s="181"/>
      <c r="T1296" s="181"/>
      <c r="U1296" s="181"/>
      <c r="V1296" s="37"/>
      <c r="W1296" s="181"/>
      <c r="X1296" s="38"/>
      <c r="Y1296" s="38"/>
      <c r="Z1296" s="38"/>
      <c r="AA1296" s="38"/>
      <c r="AB1296" s="248"/>
      <c r="AC1296" s="250"/>
      <c r="AD1296" s="181"/>
      <c r="AE1296" s="37"/>
      <c r="AF1296" s="37"/>
      <c r="AG1296" s="33"/>
      <c r="AH1296" s="37"/>
      <c r="AI1296" s="37"/>
      <c r="AJ1296" s="181"/>
      <c r="AK1296" s="37"/>
      <c r="AL1296" s="37"/>
      <c r="AM1296" s="181"/>
      <c r="AN1296" s="37"/>
      <c r="AO1296" s="37"/>
      <c r="AP1296" s="37"/>
      <c r="AQ1296" s="37"/>
      <c r="AR1296" s="37"/>
      <c r="AS1296" s="37"/>
      <c r="AT1296" s="37"/>
      <c r="AU1296" s="37"/>
      <c r="AV1296" s="37"/>
      <c r="AW1296" s="37"/>
      <c r="AX1296" s="37"/>
      <c r="AY1296" s="37"/>
      <c r="AZ1296" s="37"/>
    </row>
    <row r="1297" spans="1:52" ht="15.5" customHeight="1">
      <c r="A1297" s="360"/>
      <c r="B1297" s="340"/>
      <c r="C1297" s="181"/>
      <c r="D1297" s="30"/>
      <c r="E1297" s="30"/>
      <c r="F1297" s="30"/>
      <c r="G1297" s="37"/>
      <c r="H1297" s="37"/>
      <c r="I1297" s="37"/>
      <c r="J1297" s="37" t="s">
        <v>69</v>
      </c>
      <c r="K1297" s="325" t="s">
        <v>69</v>
      </c>
      <c r="L1297" s="181"/>
      <c r="M1297" s="181"/>
      <c r="N1297" s="37"/>
      <c r="O1297" s="31"/>
      <c r="P1297" s="37"/>
      <c r="Q1297" s="181"/>
      <c r="R1297" s="181"/>
      <c r="S1297" s="181"/>
      <c r="T1297" s="181"/>
      <c r="U1297" s="181"/>
      <c r="V1297" s="37"/>
      <c r="W1297" s="181"/>
      <c r="X1297" s="38"/>
      <c r="Y1297" s="38"/>
      <c r="Z1297" s="38"/>
      <c r="AA1297" s="38"/>
      <c r="AB1297" s="248"/>
      <c r="AC1297" s="250"/>
      <c r="AD1297" s="181"/>
      <c r="AE1297" s="37"/>
      <c r="AF1297" s="37"/>
      <c r="AG1297" s="33"/>
      <c r="AH1297" s="37"/>
      <c r="AI1297" s="37"/>
      <c r="AJ1297" s="181"/>
      <c r="AK1297" s="37"/>
      <c r="AL1297" s="37"/>
      <c r="AM1297" s="181"/>
      <c r="AN1297" s="37"/>
      <c r="AO1297" s="37"/>
      <c r="AP1297" s="37"/>
      <c r="AQ1297" s="37"/>
      <c r="AR1297" s="37"/>
      <c r="AS1297" s="37"/>
      <c r="AT1297" s="37"/>
      <c r="AU1297" s="37"/>
      <c r="AV1297" s="37"/>
      <c r="AW1297" s="37"/>
      <c r="AX1297" s="37"/>
      <c r="AY1297" s="37"/>
      <c r="AZ1297" s="37"/>
    </row>
    <row r="1298" spans="1:52" ht="15.5" customHeight="1">
      <c r="A1298" s="360"/>
      <c r="B1298" s="340"/>
      <c r="C1298" s="181"/>
      <c r="D1298" s="30"/>
      <c r="E1298" s="30"/>
      <c r="F1298" s="30"/>
      <c r="G1298" s="37"/>
      <c r="H1298" s="37"/>
      <c r="I1298" s="37"/>
      <c r="J1298" s="37" t="s">
        <v>69</v>
      </c>
      <c r="K1298" s="325" t="s">
        <v>69</v>
      </c>
      <c r="L1298" s="181"/>
      <c r="M1298" s="181"/>
      <c r="N1298" s="37"/>
      <c r="O1298" s="31"/>
      <c r="P1298" s="37"/>
      <c r="Q1298" s="181"/>
      <c r="R1298" s="181"/>
      <c r="S1298" s="181"/>
      <c r="T1298" s="181"/>
      <c r="U1298" s="181"/>
      <c r="V1298" s="37"/>
      <c r="W1298" s="181"/>
      <c r="X1298" s="38"/>
      <c r="Y1298" s="38"/>
      <c r="Z1298" s="38"/>
      <c r="AA1298" s="38"/>
      <c r="AB1298" s="248"/>
      <c r="AC1298" s="250"/>
      <c r="AD1298" s="181"/>
      <c r="AE1298" s="37"/>
      <c r="AF1298" s="37"/>
      <c r="AG1298" s="33"/>
      <c r="AH1298" s="37"/>
      <c r="AI1298" s="37"/>
      <c r="AJ1298" s="181"/>
      <c r="AK1298" s="37"/>
      <c r="AL1298" s="37"/>
      <c r="AM1298" s="181"/>
      <c r="AN1298" s="37"/>
      <c r="AO1298" s="37"/>
      <c r="AP1298" s="37"/>
      <c r="AQ1298" s="37"/>
      <c r="AR1298" s="37"/>
      <c r="AS1298" s="37"/>
      <c r="AT1298" s="37"/>
      <c r="AU1298" s="37"/>
      <c r="AV1298" s="37"/>
      <c r="AW1298" s="37"/>
      <c r="AX1298" s="37"/>
      <c r="AY1298" s="37"/>
      <c r="AZ1298" s="37"/>
    </row>
    <row r="1299" spans="1:52" ht="15.5" customHeight="1">
      <c r="A1299" s="360"/>
      <c r="B1299" s="340"/>
      <c r="C1299" s="181"/>
      <c r="D1299" s="30"/>
      <c r="E1299" s="30"/>
      <c r="F1299" s="30"/>
      <c r="G1299" s="37"/>
      <c r="H1299" s="37"/>
      <c r="I1299" s="37"/>
      <c r="J1299" s="37" t="s">
        <v>69</v>
      </c>
      <c r="K1299" s="325" t="s">
        <v>69</v>
      </c>
      <c r="L1299" s="181"/>
      <c r="M1299" s="181"/>
      <c r="N1299" s="37"/>
      <c r="O1299" s="31"/>
      <c r="P1299" s="37"/>
      <c r="Q1299" s="181"/>
      <c r="R1299" s="181"/>
      <c r="S1299" s="181"/>
      <c r="T1299" s="181"/>
      <c r="U1299" s="181"/>
      <c r="V1299" s="37"/>
      <c r="W1299" s="181"/>
      <c r="X1299" s="38"/>
      <c r="Y1299" s="38"/>
      <c r="Z1299" s="38"/>
      <c r="AA1299" s="38"/>
      <c r="AB1299" s="248"/>
      <c r="AC1299" s="250"/>
      <c r="AD1299" s="181"/>
      <c r="AE1299" s="37"/>
      <c r="AF1299" s="37"/>
      <c r="AG1299" s="33"/>
      <c r="AH1299" s="37"/>
      <c r="AI1299" s="37"/>
      <c r="AJ1299" s="181"/>
      <c r="AK1299" s="37"/>
      <c r="AL1299" s="37"/>
      <c r="AM1299" s="181"/>
      <c r="AN1299" s="37"/>
      <c r="AO1299" s="37"/>
      <c r="AP1299" s="37"/>
      <c r="AQ1299" s="37"/>
      <c r="AR1299" s="37"/>
      <c r="AS1299" s="37"/>
      <c r="AT1299" s="37"/>
      <c r="AU1299" s="37"/>
      <c r="AV1299" s="37"/>
      <c r="AW1299" s="37"/>
      <c r="AX1299" s="37"/>
      <c r="AY1299" s="37"/>
      <c r="AZ1299" s="37"/>
    </row>
    <row r="1300" spans="1:52" ht="15.5" customHeight="1">
      <c r="A1300" s="360"/>
      <c r="B1300" s="340"/>
      <c r="C1300" s="181"/>
      <c r="D1300" s="30"/>
      <c r="E1300" s="30"/>
      <c r="F1300" s="30"/>
      <c r="G1300" s="37"/>
      <c r="H1300" s="37"/>
      <c r="I1300" s="37"/>
      <c r="J1300" s="37" t="s">
        <v>69</v>
      </c>
      <c r="K1300" s="325" t="s">
        <v>69</v>
      </c>
      <c r="L1300" s="181"/>
      <c r="M1300" s="181"/>
      <c r="N1300" s="37"/>
      <c r="O1300" s="31"/>
      <c r="P1300" s="37"/>
      <c r="Q1300" s="181"/>
      <c r="R1300" s="181"/>
      <c r="S1300" s="181"/>
      <c r="T1300" s="181"/>
      <c r="U1300" s="181"/>
      <c r="V1300" s="37"/>
      <c r="W1300" s="181"/>
      <c r="X1300" s="38"/>
      <c r="Y1300" s="38"/>
      <c r="Z1300" s="38"/>
      <c r="AA1300" s="38"/>
      <c r="AB1300" s="248"/>
      <c r="AC1300" s="250"/>
      <c r="AD1300" s="181"/>
      <c r="AE1300" s="37"/>
      <c r="AF1300" s="37"/>
      <c r="AG1300" s="33"/>
      <c r="AH1300" s="37"/>
      <c r="AI1300" s="37"/>
      <c r="AJ1300" s="181"/>
      <c r="AK1300" s="37"/>
      <c r="AL1300" s="37"/>
      <c r="AM1300" s="181"/>
      <c r="AN1300" s="37"/>
      <c r="AO1300" s="37"/>
      <c r="AP1300" s="37"/>
      <c r="AQ1300" s="37"/>
      <c r="AR1300" s="37"/>
      <c r="AS1300" s="37"/>
      <c r="AT1300" s="37"/>
      <c r="AU1300" s="37"/>
      <c r="AV1300" s="37"/>
      <c r="AW1300" s="37"/>
      <c r="AX1300" s="37"/>
      <c r="AY1300" s="37"/>
      <c r="AZ1300" s="37"/>
    </row>
    <row r="1301" spans="1:52" ht="15.5" customHeight="1">
      <c r="A1301" s="360"/>
      <c r="B1301" s="340"/>
      <c r="C1301" s="181"/>
      <c r="D1301" s="30"/>
      <c r="E1301" s="30"/>
      <c r="F1301" s="30"/>
      <c r="G1301" s="37"/>
      <c r="H1301" s="37"/>
      <c r="I1301" s="37"/>
      <c r="J1301" s="37" t="s">
        <v>69</v>
      </c>
      <c r="K1301" s="325" t="s">
        <v>69</v>
      </c>
      <c r="L1301" s="181"/>
      <c r="M1301" s="181"/>
      <c r="N1301" s="37"/>
      <c r="O1301" s="31"/>
      <c r="P1301" s="37"/>
      <c r="Q1301" s="181"/>
      <c r="R1301" s="181"/>
      <c r="S1301" s="181"/>
      <c r="T1301" s="181"/>
      <c r="U1301" s="181"/>
      <c r="V1301" s="37"/>
      <c r="W1301" s="181"/>
      <c r="X1301" s="38"/>
      <c r="Y1301" s="38"/>
      <c r="Z1301" s="38"/>
      <c r="AA1301" s="38"/>
      <c r="AB1301" s="248"/>
      <c r="AC1301" s="250"/>
      <c r="AD1301" s="181"/>
      <c r="AE1301" s="37"/>
      <c r="AF1301" s="37"/>
      <c r="AG1301" s="33"/>
      <c r="AH1301" s="37"/>
      <c r="AI1301" s="37"/>
      <c r="AJ1301" s="181"/>
      <c r="AK1301" s="37"/>
      <c r="AL1301" s="37"/>
      <c r="AM1301" s="181"/>
      <c r="AN1301" s="37"/>
      <c r="AO1301" s="37"/>
      <c r="AP1301" s="37"/>
      <c r="AQ1301" s="37"/>
      <c r="AR1301" s="37"/>
      <c r="AS1301" s="37"/>
      <c r="AT1301" s="37"/>
      <c r="AU1301" s="37"/>
      <c r="AV1301" s="37"/>
      <c r="AW1301" s="37"/>
      <c r="AX1301" s="37"/>
      <c r="AY1301" s="37"/>
      <c r="AZ1301" s="37"/>
    </row>
    <row r="1302" spans="1:52" ht="15.5" customHeight="1">
      <c r="A1302" s="360"/>
      <c r="B1302" s="340"/>
      <c r="C1302" s="181"/>
      <c r="D1302" s="30"/>
      <c r="E1302" s="30"/>
      <c r="F1302" s="30"/>
      <c r="G1302" s="37"/>
      <c r="H1302" s="37"/>
      <c r="I1302" s="37"/>
      <c r="J1302" s="37" t="s">
        <v>69</v>
      </c>
      <c r="K1302" s="325" t="s">
        <v>69</v>
      </c>
      <c r="L1302" s="181"/>
      <c r="M1302" s="181"/>
      <c r="N1302" s="37"/>
      <c r="O1302" s="31"/>
      <c r="P1302" s="37"/>
      <c r="Q1302" s="181"/>
      <c r="R1302" s="181"/>
      <c r="S1302" s="181"/>
      <c r="T1302" s="181"/>
      <c r="U1302" s="181"/>
      <c r="V1302" s="37"/>
      <c r="W1302" s="181"/>
      <c r="X1302" s="38"/>
      <c r="Y1302" s="38"/>
      <c r="Z1302" s="38"/>
      <c r="AA1302" s="38"/>
      <c r="AB1302" s="248"/>
      <c r="AC1302" s="250"/>
      <c r="AD1302" s="181"/>
      <c r="AE1302" s="37"/>
      <c r="AF1302" s="37"/>
      <c r="AG1302" s="33"/>
      <c r="AH1302" s="37"/>
      <c r="AI1302" s="37"/>
      <c r="AJ1302" s="181"/>
      <c r="AK1302" s="37"/>
      <c r="AL1302" s="37"/>
      <c r="AM1302" s="181"/>
      <c r="AN1302" s="37"/>
      <c r="AO1302" s="37"/>
      <c r="AP1302" s="37"/>
      <c r="AQ1302" s="37"/>
      <c r="AR1302" s="37"/>
      <c r="AS1302" s="37"/>
      <c r="AT1302" s="37"/>
      <c r="AU1302" s="37"/>
      <c r="AV1302" s="37"/>
      <c r="AW1302" s="37"/>
      <c r="AX1302" s="37"/>
      <c r="AY1302" s="37"/>
      <c r="AZ1302" s="37"/>
    </row>
    <row r="1303" spans="1:52" ht="15.5" customHeight="1">
      <c r="A1303" s="360"/>
      <c r="B1303" s="340"/>
      <c r="C1303" s="181"/>
      <c r="D1303" s="30"/>
      <c r="E1303" s="30"/>
      <c r="F1303" s="30"/>
      <c r="G1303" s="37"/>
      <c r="H1303" s="37"/>
      <c r="I1303" s="37"/>
      <c r="J1303" s="37" t="s">
        <v>69</v>
      </c>
      <c r="K1303" s="325" t="s">
        <v>69</v>
      </c>
      <c r="L1303" s="181"/>
      <c r="M1303" s="181"/>
      <c r="N1303" s="37"/>
      <c r="O1303" s="31"/>
      <c r="P1303" s="37"/>
      <c r="Q1303" s="181"/>
      <c r="R1303" s="181"/>
      <c r="S1303" s="181"/>
      <c r="T1303" s="181"/>
      <c r="U1303" s="181"/>
      <c r="V1303" s="37"/>
      <c r="W1303" s="181"/>
      <c r="X1303" s="38"/>
      <c r="Y1303" s="38"/>
      <c r="Z1303" s="38"/>
      <c r="AA1303" s="38"/>
      <c r="AB1303" s="248"/>
      <c r="AC1303" s="250"/>
      <c r="AD1303" s="181"/>
      <c r="AE1303" s="37"/>
      <c r="AF1303" s="37"/>
      <c r="AG1303" s="33"/>
      <c r="AH1303" s="37"/>
      <c r="AI1303" s="37"/>
      <c r="AJ1303" s="181"/>
      <c r="AK1303" s="37"/>
      <c r="AL1303" s="37"/>
      <c r="AM1303" s="181"/>
      <c r="AN1303" s="37"/>
      <c r="AO1303" s="37"/>
      <c r="AP1303" s="37"/>
      <c r="AQ1303" s="37"/>
      <c r="AR1303" s="37"/>
      <c r="AS1303" s="37"/>
      <c r="AT1303" s="37"/>
      <c r="AU1303" s="37"/>
      <c r="AV1303" s="37"/>
      <c r="AW1303" s="37"/>
      <c r="AX1303" s="37"/>
      <c r="AY1303" s="37"/>
      <c r="AZ1303" s="37"/>
    </row>
    <row r="1304" spans="1:52" ht="15.5" customHeight="1">
      <c r="A1304" s="360"/>
      <c r="B1304" s="340"/>
      <c r="C1304" s="181"/>
      <c r="D1304" s="30"/>
      <c r="E1304" s="30"/>
      <c r="F1304" s="30"/>
      <c r="G1304" s="37"/>
      <c r="H1304" s="37"/>
      <c r="I1304" s="37"/>
      <c r="J1304" s="37" t="s">
        <v>69</v>
      </c>
      <c r="K1304" s="325" t="s">
        <v>69</v>
      </c>
      <c r="L1304" s="181"/>
      <c r="M1304" s="181"/>
      <c r="N1304" s="37"/>
      <c r="O1304" s="31"/>
      <c r="P1304" s="37"/>
      <c r="Q1304" s="181"/>
      <c r="R1304" s="181"/>
      <c r="S1304" s="181"/>
      <c r="T1304" s="181"/>
      <c r="U1304" s="181"/>
      <c r="V1304" s="37"/>
      <c r="W1304" s="181"/>
      <c r="X1304" s="38"/>
      <c r="Y1304" s="38"/>
      <c r="Z1304" s="38"/>
      <c r="AA1304" s="38"/>
      <c r="AB1304" s="248"/>
      <c r="AC1304" s="250"/>
      <c r="AD1304" s="181"/>
      <c r="AE1304" s="37"/>
      <c r="AF1304" s="37"/>
      <c r="AG1304" s="33"/>
      <c r="AH1304" s="37"/>
      <c r="AI1304" s="37"/>
      <c r="AJ1304" s="181"/>
      <c r="AK1304" s="37"/>
      <c r="AL1304" s="37"/>
      <c r="AM1304" s="181"/>
      <c r="AN1304" s="37"/>
      <c r="AO1304" s="37"/>
      <c r="AP1304" s="37"/>
      <c r="AQ1304" s="37"/>
      <c r="AR1304" s="37"/>
      <c r="AS1304" s="37"/>
      <c r="AT1304" s="37"/>
      <c r="AU1304" s="37"/>
      <c r="AV1304" s="37"/>
      <c r="AW1304" s="37"/>
      <c r="AX1304" s="37"/>
      <c r="AY1304" s="37"/>
      <c r="AZ1304" s="37"/>
    </row>
    <row r="1305" spans="1:52" ht="15.5" customHeight="1">
      <c r="A1305" s="360"/>
      <c r="B1305" s="340"/>
      <c r="C1305" s="181"/>
      <c r="D1305" s="30"/>
      <c r="E1305" s="30"/>
      <c r="F1305" s="30"/>
      <c r="G1305" s="37"/>
      <c r="H1305" s="37"/>
      <c r="I1305" s="37"/>
      <c r="J1305" s="37" t="s">
        <v>69</v>
      </c>
      <c r="K1305" s="325" t="s">
        <v>69</v>
      </c>
      <c r="L1305" s="181"/>
      <c r="M1305" s="181"/>
      <c r="N1305" s="37"/>
      <c r="O1305" s="31"/>
      <c r="P1305" s="37"/>
      <c r="Q1305" s="181"/>
      <c r="R1305" s="181"/>
      <c r="S1305" s="181"/>
      <c r="T1305" s="181"/>
      <c r="U1305" s="181"/>
      <c r="V1305" s="37"/>
      <c r="W1305" s="181"/>
      <c r="X1305" s="38"/>
      <c r="Y1305" s="38"/>
      <c r="Z1305" s="38"/>
      <c r="AA1305" s="38"/>
      <c r="AB1305" s="248"/>
      <c r="AC1305" s="250"/>
      <c r="AD1305" s="181"/>
      <c r="AE1305" s="37"/>
      <c r="AF1305" s="37"/>
      <c r="AG1305" s="33"/>
      <c r="AH1305" s="37"/>
      <c r="AI1305" s="37"/>
      <c r="AJ1305" s="181"/>
      <c r="AK1305" s="37"/>
      <c r="AL1305" s="37"/>
      <c r="AM1305" s="181"/>
      <c r="AN1305" s="37"/>
      <c r="AO1305" s="37"/>
      <c r="AP1305" s="37"/>
      <c r="AQ1305" s="37"/>
      <c r="AR1305" s="37"/>
      <c r="AS1305" s="37"/>
      <c r="AT1305" s="37"/>
      <c r="AU1305" s="37"/>
      <c r="AV1305" s="37"/>
      <c r="AW1305" s="37"/>
      <c r="AX1305" s="37"/>
      <c r="AY1305" s="37"/>
      <c r="AZ1305" s="37"/>
    </row>
    <row r="1306" spans="1:52" ht="15.5" customHeight="1">
      <c r="A1306" s="360"/>
      <c r="B1306" s="340"/>
      <c r="C1306" s="181"/>
      <c r="D1306" s="30"/>
      <c r="E1306" s="30"/>
      <c r="F1306" s="30"/>
      <c r="G1306" s="37"/>
      <c r="H1306" s="37"/>
      <c r="I1306" s="37"/>
      <c r="J1306" s="37" t="s">
        <v>69</v>
      </c>
      <c r="K1306" s="325" t="s">
        <v>69</v>
      </c>
      <c r="L1306" s="181"/>
      <c r="M1306" s="181"/>
      <c r="N1306" s="37"/>
      <c r="O1306" s="31"/>
      <c r="P1306" s="37"/>
      <c r="Q1306" s="181"/>
      <c r="R1306" s="181"/>
      <c r="S1306" s="181"/>
      <c r="T1306" s="181"/>
      <c r="U1306" s="181"/>
      <c r="V1306" s="37"/>
      <c r="W1306" s="181"/>
      <c r="X1306" s="38"/>
      <c r="Y1306" s="38"/>
      <c r="Z1306" s="38"/>
      <c r="AA1306" s="38"/>
      <c r="AB1306" s="248"/>
      <c r="AC1306" s="250"/>
      <c r="AD1306" s="181"/>
      <c r="AE1306" s="37"/>
      <c r="AF1306" s="37"/>
      <c r="AG1306" s="33"/>
      <c r="AH1306" s="37"/>
      <c r="AI1306" s="37"/>
      <c r="AJ1306" s="181"/>
      <c r="AK1306" s="37"/>
      <c r="AL1306" s="37"/>
      <c r="AM1306" s="181"/>
      <c r="AN1306" s="37"/>
      <c r="AO1306" s="37"/>
      <c r="AP1306" s="37"/>
      <c r="AQ1306" s="37"/>
      <c r="AR1306" s="37"/>
      <c r="AS1306" s="37"/>
      <c r="AT1306" s="37"/>
      <c r="AU1306" s="37"/>
      <c r="AV1306" s="37"/>
      <c r="AW1306" s="37"/>
      <c r="AX1306" s="37"/>
      <c r="AY1306" s="37"/>
      <c r="AZ1306" s="37"/>
    </row>
    <row r="1307" spans="1:52" ht="15.5" customHeight="1">
      <c r="A1307" s="360"/>
      <c r="B1307" s="340"/>
      <c r="C1307" s="181"/>
      <c r="D1307" s="30"/>
      <c r="E1307" s="30"/>
      <c r="F1307" s="30"/>
      <c r="G1307" s="37"/>
      <c r="H1307" s="37"/>
      <c r="I1307" s="37"/>
      <c r="J1307" s="37" t="s">
        <v>69</v>
      </c>
      <c r="K1307" s="325" t="s">
        <v>69</v>
      </c>
      <c r="L1307" s="181"/>
      <c r="M1307" s="181"/>
      <c r="N1307" s="37"/>
      <c r="O1307" s="31"/>
      <c r="P1307" s="37"/>
      <c r="Q1307" s="181"/>
      <c r="R1307" s="181"/>
      <c r="S1307" s="181"/>
      <c r="T1307" s="181"/>
      <c r="U1307" s="181"/>
      <c r="V1307" s="37"/>
      <c r="W1307" s="181"/>
      <c r="X1307" s="38"/>
      <c r="Y1307" s="38"/>
      <c r="Z1307" s="38"/>
      <c r="AA1307" s="38"/>
      <c r="AB1307" s="248"/>
      <c r="AC1307" s="250"/>
      <c r="AD1307" s="181"/>
      <c r="AE1307" s="37"/>
      <c r="AF1307" s="37"/>
      <c r="AG1307" s="33"/>
      <c r="AH1307" s="37"/>
      <c r="AI1307" s="37"/>
      <c r="AJ1307" s="181"/>
      <c r="AK1307" s="37"/>
      <c r="AL1307" s="37"/>
      <c r="AM1307" s="181"/>
      <c r="AN1307" s="37"/>
      <c r="AO1307" s="37"/>
      <c r="AP1307" s="37"/>
      <c r="AQ1307" s="37"/>
      <c r="AR1307" s="37"/>
      <c r="AS1307" s="37"/>
      <c r="AT1307" s="37"/>
      <c r="AU1307" s="37"/>
      <c r="AV1307" s="37"/>
      <c r="AW1307" s="37"/>
      <c r="AX1307" s="37"/>
      <c r="AY1307" s="37"/>
      <c r="AZ1307" s="37"/>
    </row>
    <row r="1308" spans="1:52" ht="15.5" customHeight="1">
      <c r="A1308" s="360"/>
      <c r="B1308" s="340"/>
      <c r="C1308" s="181"/>
      <c r="D1308" s="30"/>
      <c r="E1308" s="30"/>
      <c r="F1308" s="30"/>
      <c r="G1308" s="37"/>
      <c r="H1308" s="37"/>
      <c r="I1308" s="37"/>
      <c r="J1308" s="37" t="s">
        <v>69</v>
      </c>
      <c r="K1308" s="325" t="s">
        <v>69</v>
      </c>
      <c r="L1308" s="181"/>
      <c r="M1308" s="181"/>
      <c r="N1308" s="37"/>
      <c r="O1308" s="31"/>
      <c r="P1308" s="37"/>
      <c r="Q1308" s="181"/>
      <c r="R1308" s="181"/>
      <c r="S1308" s="181"/>
      <c r="T1308" s="181"/>
      <c r="U1308" s="181"/>
      <c r="V1308" s="37"/>
      <c r="W1308" s="181"/>
      <c r="X1308" s="38"/>
      <c r="Y1308" s="38"/>
      <c r="Z1308" s="38"/>
      <c r="AA1308" s="38"/>
      <c r="AB1308" s="248"/>
      <c r="AC1308" s="250"/>
      <c r="AD1308" s="181"/>
      <c r="AE1308" s="37"/>
      <c r="AF1308" s="37"/>
      <c r="AG1308" s="33"/>
      <c r="AH1308" s="37"/>
      <c r="AI1308" s="37"/>
      <c r="AJ1308" s="181"/>
      <c r="AK1308" s="37"/>
      <c r="AL1308" s="37"/>
      <c r="AM1308" s="181"/>
      <c r="AN1308" s="37"/>
      <c r="AO1308" s="37"/>
      <c r="AP1308" s="37"/>
      <c r="AQ1308" s="37"/>
      <c r="AR1308" s="37"/>
      <c r="AS1308" s="37"/>
      <c r="AT1308" s="37"/>
      <c r="AU1308" s="37"/>
      <c r="AV1308" s="37"/>
      <c r="AW1308" s="37"/>
      <c r="AX1308" s="37"/>
      <c r="AY1308" s="37"/>
      <c r="AZ1308" s="37"/>
    </row>
    <row r="1309" spans="1:52" ht="15.5" customHeight="1">
      <c r="A1309" s="360"/>
      <c r="B1309" s="340"/>
      <c r="C1309" s="181"/>
      <c r="D1309" s="30"/>
      <c r="E1309" s="30"/>
      <c r="F1309" s="30"/>
      <c r="G1309" s="37"/>
      <c r="H1309" s="37"/>
      <c r="I1309" s="37"/>
      <c r="J1309" s="37" t="s">
        <v>69</v>
      </c>
      <c r="K1309" s="325" t="s">
        <v>69</v>
      </c>
      <c r="L1309" s="181"/>
      <c r="M1309" s="181"/>
      <c r="N1309" s="37"/>
      <c r="O1309" s="31"/>
      <c r="P1309" s="37"/>
      <c r="Q1309" s="181"/>
      <c r="R1309" s="181"/>
      <c r="S1309" s="181"/>
      <c r="T1309" s="181"/>
      <c r="U1309" s="181"/>
      <c r="V1309" s="37"/>
      <c r="W1309" s="181"/>
      <c r="X1309" s="38"/>
      <c r="Y1309" s="38"/>
      <c r="Z1309" s="38"/>
      <c r="AA1309" s="38"/>
      <c r="AB1309" s="248"/>
      <c r="AC1309" s="250"/>
      <c r="AD1309" s="181"/>
      <c r="AE1309" s="37"/>
      <c r="AF1309" s="37"/>
      <c r="AG1309" s="33"/>
      <c r="AH1309" s="37"/>
      <c r="AI1309" s="37"/>
      <c r="AJ1309" s="181"/>
      <c r="AK1309" s="37"/>
      <c r="AL1309" s="37"/>
      <c r="AM1309" s="181"/>
      <c r="AN1309" s="37"/>
      <c r="AO1309" s="37"/>
      <c r="AP1309" s="37"/>
      <c r="AQ1309" s="37"/>
      <c r="AR1309" s="37"/>
      <c r="AS1309" s="37"/>
      <c r="AT1309" s="37"/>
      <c r="AU1309" s="37"/>
      <c r="AV1309" s="37"/>
      <c r="AW1309" s="37"/>
      <c r="AX1309" s="37"/>
      <c r="AY1309" s="37"/>
      <c r="AZ1309" s="37"/>
    </row>
    <row r="1310" spans="1:52" ht="15.5" customHeight="1">
      <c r="A1310" s="360"/>
      <c r="B1310" s="340"/>
      <c r="C1310" s="181"/>
      <c r="D1310" s="30"/>
      <c r="E1310" s="30"/>
      <c r="F1310" s="30"/>
      <c r="G1310" s="37"/>
      <c r="H1310" s="37"/>
      <c r="I1310" s="37"/>
      <c r="J1310" s="37" t="s">
        <v>69</v>
      </c>
      <c r="K1310" s="325" t="s">
        <v>69</v>
      </c>
      <c r="L1310" s="181"/>
      <c r="M1310" s="181"/>
      <c r="N1310" s="37"/>
      <c r="O1310" s="31"/>
      <c r="P1310" s="37"/>
      <c r="Q1310" s="181"/>
      <c r="R1310" s="181"/>
      <c r="S1310" s="181"/>
      <c r="T1310" s="181"/>
      <c r="U1310" s="181"/>
      <c r="V1310" s="37"/>
      <c r="W1310" s="181"/>
      <c r="X1310" s="38"/>
      <c r="Y1310" s="38"/>
      <c r="Z1310" s="38"/>
      <c r="AA1310" s="38"/>
      <c r="AB1310" s="248"/>
      <c r="AC1310" s="250"/>
      <c r="AD1310" s="181"/>
      <c r="AE1310" s="37"/>
      <c r="AF1310" s="37"/>
      <c r="AG1310" s="33"/>
      <c r="AH1310" s="37"/>
      <c r="AI1310" s="37"/>
      <c r="AJ1310" s="181"/>
      <c r="AK1310" s="37"/>
      <c r="AL1310" s="37"/>
      <c r="AM1310" s="181"/>
      <c r="AN1310" s="37"/>
      <c r="AO1310" s="37"/>
      <c r="AP1310" s="37"/>
      <c r="AQ1310" s="37"/>
      <c r="AR1310" s="37"/>
      <c r="AS1310" s="37"/>
      <c r="AT1310" s="37"/>
      <c r="AU1310" s="37"/>
      <c r="AV1310" s="37"/>
      <c r="AW1310" s="37"/>
      <c r="AX1310" s="37"/>
      <c r="AY1310" s="37"/>
      <c r="AZ1310" s="37"/>
    </row>
    <row r="1311" spans="1:52" ht="15.5" customHeight="1">
      <c r="A1311" s="360"/>
      <c r="B1311" s="340"/>
      <c r="C1311" s="181"/>
      <c r="D1311" s="30"/>
      <c r="E1311" s="30"/>
      <c r="F1311" s="30"/>
      <c r="G1311" s="37"/>
      <c r="H1311" s="37"/>
      <c r="I1311" s="37"/>
      <c r="J1311" s="37" t="s">
        <v>69</v>
      </c>
      <c r="K1311" s="325" t="s">
        <v>69</v>
      </c>
      <c r="L1311" s="181"/>
      <c r="M1311" s="181"/>
      <c r="N1311" s="37"/>
      <c r="O1311" s="31"/>
      <c r="P1311" s="37"/>
      <c r="Q1311" s="181"/>
      <c r="R1311" s="181"/>
      <c r="S1311" s="181"/>
      <c r="T1311" s="181"/>
      <c r="U1311" s="181"/>
      <c r="V1311" s="37"/>
      <c r="W1311" s="181"/>
      <c r="X1311" s="38"/>
      <c r="Y1311" s="38"/>
      <c r="Z1311" s="38"/>
      <c r="AA1311" s="38"/>
      <c r="AB1311" s="248"/>
      <c r="AC1311" s="250"/>
      <c r="AD1311" s="181"/>
      <c r="AE1311" s="37"/>
      <c r="AF1311" s="37"/>
      <c r="AG1311" s="33"/>
      <c r="AH1311" s="37"/>
      <c r="AI1311" s="37"/>
      <c r="AJ1311" s="181"/>
      <c r="AK1311" s="37"/>
      <c r="AL1311" s="37"/>
      <c r="AM1311" s="181"/>
      <c r="AN1311" s="37"/>
      <c r="AO1311" s="37"/>
      <c r="AP1311" s="37"/>
      <c r="AQ1311" s="37"/>
      <c r="AR1311" s="37"/>
      <c r="AS1311" s="37"/>
      <c r="AT1311" s="37"/>
      <c r="AU1311" s="37"/>
      <c r="AV1311" s="37"/>
      <c r="AW1311" s="37"/>
      <c r="AX1311" s="37"/>
      <c r="AY1311" s="37"/>
      <c r="AZ1311" s="37"/>
    </row>
    <row r="1312" spans="1:52" ht="15.5" customHeight="1">
      <c r="A1312" s="360"/>
      <c r="B1312" s="340"/>
      <c r="C1312" s="181"/>
      <c r="D1312" s="30"/>
      <c r="E1312" s="30"/>
      <c r="F1312" s="30"/>
      <c r="G1312" s="37"/>
      <c r="H1312" s="37"/>
      <c r="I1312" s="37"/>
      <c r="J1312" s="37" t="s">
        <v>69</v>
      </c>
      <c r="K1312" s="325" t="s">
        <v>69</v>
      </c>
      <c r="L1312" s="181"/>
      <c r="M1312" s="181"/>
      <c r="N1312" s="37"/>
      <c r="O1312" s="31"/>
      <c r="P1312" s="37"/>
      <c r="Q1312" s="181"/>
      <c r="R1312" s="181"/>
      <c r="S1312" s="181"/>
      <c r="T1312" s="181"/>
      <c r="U1312" s="181"/>
      <c r="V1312" s="37"/>
      <c r="W1312" s="181"/>
      <c r="X1312" s="38"/>
      <c r="Y1312" s="38"/>
      <c r="Z1312" s="38"/>
      <c r="AA1312" s="38"/>
      <c r="AB1312" s="248"/>
      <c r="AC1312" s="250"/>
      <c r="AD1312" s="181"/>
      <c r="AE1312" s="37"/>
      <c r="AF1312" s="37"/>
      <c r="AG1312" s="33"/>
      <c r="AH1312" s="37"/>
      <c r="AI1312" s="37"/>
      <c r="AJ1312" s="181"/>
      <c r="AK1312" s="37"/>
      <c r="AL1312" s="37"/>
      <c r="AM1312" s="181"/>
      <c r="AN1312" s="37"/>
      <c r="AO1312" s="37"/>
      <c r="AP1312" s="37"/>
      <c r="AQ1312" s="37"/>
      <c r="AR1312" s="37"/>
      <c r="AS1312" s="37"/>
      <c r="AT1312" s="37"/>
      <c r="AU1312" s="37"/>
      <c r="AV1312" s="37"/>
      <c r="AW1312" s="37"/>
      <c r="AX1312" s="37"/>
      <c r="AY1312" s="37"/>
      <c r="AZ1312" s="37"/>
    </row>
    <row r="1313" spans="1:52" ht="15.5" customHeight="1">
      <c r="A1313" s="360"/>
      <c r="B1313" s="340"/>
      <c r="C1313" s="181"/>
      <c r="D1313" s="30"/>
      <c r="E1313" s="30"/>
      <c r="F1313" s="30"/>
      <c r="G1313" s="37"/>
      <c r="H1313" s="37"/>
      <c r="I1313" s="37"/>
      <c r="J1313" s="37" t="s">
        <v>69</v>
      </c>
      <c r="K1313" s="325" t="s">
        <v>69</v>
      </c>
      <c r="L1313" s="181"/>
      <c r="M1313" s="181"/>
      <c r="N1313" s="37"/>
      <c r="O1313" s="31"/>
      <c r="P1313" s="37"/>
      <c r="Q1313" s="181"/>
      <c r="R1313" s="181"/>
      <c r="S1313" s="181"/>
      <c r="T1313" s="181"/>
      <c r="U1313" s="181"/>
      <c r="V1313" s="37"/>
      <c r="W1313" s="181"/>
      <c r="X1313" s="38"/>
      <c r="Y1313" s="38"/>
      <c r="Z1313" s="38"/>
      <c r="AA1313" s="38"/>
      <c r="AB1313" s="248"/>
      <c r="AC1313" s="250"/>
      <c r="AD1313" s="181"/>
      <c r="AE1313" s="37"/>
      <c r="AF1313" s="37"/>
      <c r="AG1313" s="33"/>
      <c r="AH1313" s="37"/>
      <c r="AI1313" s="37"/>
      <c r="AJ1313" s="181"/>
      <c r="AK1313" s="37"/>
      <c r="AL1313" s="37"/>
      <c r="AM1313" s="181"/>
      <c r="AN1313" s="37"/>
      <c r="AO1313" s="37"/>
      <c r="AP1313" s="37"/>
      <c r="AQ1313" s="37"/>
      <c r="AR1313" s="37"/>
      <c r="AS1313" s="37"/>
      <c r="AT1313" s="37"/>
      <c r="AU1313" s="37"/>
      <c r="AV1313" s="37"/>
      <c r="AW1313" s="37"/>
      <c r="AX1313" s="37"/>
      <c r="AY1313" s="37"/>
      <c r="AZ1313" s="37"/>
    </row>
    <row r="1314" spans="1:52" ht="15.5" customHeight="1">
      <c r="A1314" s="360"/>
      <c r="B1314" s="340"/>
      <c r="C1314" s="181"/>
      <c r="D1314" s="30"/>
      <c r="E1314" s="30"/>
      <c r="F1314" s="30"/>
      <c r="G1314" s="37"/>
      <c r="H1314" s="37"/>
      <c r="I1314" s="37"/>
      <c r="J1314" s="37" t="s">
        <v>69</v>
      </c>
      <c r="K1314" s="325" t="s">
        <v>69</v>
      </c>
      <c r="L1314" s="181"/>
      <c r="M1314" s="181"/>
      <c r="N1314" s="37"/>
      <c r="O1314" s="31"/>
      <c r="P1314" s="37"/>
      <c r="Q1314" s="181"/>
      <c r="R1314" s="181"/>
      <c r="S1314" s="181"/>
      <c r="T1314" s="181"/>
      <c r="U1314" s="181"/>
      <c r="V1314" s="37"/>
      <c r="W1314" s="181"/>
      <c r="X1314" s="38"/>
      <c r="Y1314" s="38"/>
      <c r="Z1314" s="38"/>
      <c r="AA1314" s="38"/>
      <c r="AB1314" s="248"/>
      <c r="AC1314" s="250"/>
      <c r="AD1314" s="181"/>
      <c r="AE1314" s="37"/>
      <c r="AF1314" s="37"/>
      <c r="AG1314" s="33"/>
      <c r="AH1314" s="37"/>
      <c r="AI1314" s="37"/>
      <c r="AJ1314" s="181"/>
      <c r="AK1314" s="37"/>
      <c r="AL1314" s="37"/>
      <c r="AM1314" s="181"/>
      <c r="AN1314" s="37"/>
      <c r="AO1314" s="37"/>
      <c r="AP1314" s="37"/>
      <c r="AQ1314" s="37"/>
      <c r="AR1314" s="37"/>
      <c r="AS1314" s="37"/>
      <c r="AT1314" s="37"/>
      <c r="AU1314" s="37"/>
      <c r="AV1314" s="37"/>
      <c r="AW1314" s="37"/>
      <c r="AX1314" s="37"/>
      <c r="AY1314" s="37"/>
      <c r="AZ1314" s="37"/>
    </row>
    <row r="1315" spans="1:52" ht="15.5" customHeight="1">
      <c r="A1315" s="360"/>
      <c r="B1315" s="340"/>
      <c r="C1315" s="181"/>
      <c r="D1315" s="30"/>
      <c r="E1315" s="30"/>
      <c r="F1315" s="30"/>
      <c r="G1315" s="37"/>
      <c r="H1315" s="37"/>
      <c r="I1315" s="37"/>
      <c r="J1315" s="37" t="s">
        <v>69</v>
      </c>
      <c r="K1315" s="325" t="s">
        <v>69</v>
      </c>
      <c r="L1315" s="181"/>
      <c r="M1315" s="181"/>
      <c r="N1315" s="37"/>
      <c r="O1315" s="31"/>
      <c r="P1315" s="37"/>
      <c r="Q1315" s="181"/>
      <c r="R1315" s="181"/>
      <c r="S1315" s="181"/>
      <c r="T1315" s="181"/>
      <c r="U1315" s="181"/>
      <c r="V1315" s="37"/>
      <c r="W1315" s="181"/>
      <c r="X1315" s="38"/>
      <c r="Y1315" s="38"/>
      <c r="Z1315" s="38"/>
      <c r="AA1315" s="38"/>
      <c r="AB1315" s="248"/>
      <c r="AC1315" s="250"/>
      <c r="AD1315" s="181"/>
      <c r="AE1315" s="37"/>
      <c r="AF1315" s="37"/>
      <c r="AG1315" s="33"/>
      <c r="AH1315" s="37"/>
      <c r="AI1315" s="37"/>
      <c r="AJ1315" s="181"/>
      <c r="AK1315" s="37"/>
      <c r="AL1315" s="37"/>
      <c r="AM1315" s="181"/>
      <c r="AN1315" s="37"/>
      <c r="AO1315" s="37"/>
      <c r="AP1315" s="37"/>
      <c r="AQ1315" s="37"/>
      <c r="AR1315" s="37"/>
      <c r="AS1315" s="37"/>
      <c r="AT1315" s="37"/>
      <c r="AU1315" s="37"/>
      <c r="AV1315" s="37"/>
      <c r="AW1315" s="37"/>
      <c r="AX1315" s="37"/>
      <c r="AY1315" s="37"/>
      <c r="AZ1315" s="37"/>
    </row>
    <row r="1316" spans="1:52" ht="15.5" customHeight="1">
      <c r="A1316" s="360"/>
      <c r="B1316" s="340"/>
      <c r="C1316" s="181"/>
      <c r="D1316" s="30"/>
      <c r="E1316" s="30"/>
      <c r="F1316" s="30"/>
      <c r="G1316" s="37"/>
      <c r="H1316" s="37"/>
      <c r="I1316" s="37"/>
      <c r="J1316" s="37" t="s">
        <v>69</v>
      </c>
      <c r="K1316" s="325" t="s">
        <v>69</v>
      </c>
      <c r="L1316" s="181"/>
      <c r="M1316" s="181"/>
      <c r="N1316" s="37"/>
      <c r="O1316" s="31"/>
      <c r="P1316" s="37"/>
      <c r="Q1316" s="181"/>
      <c r="R1316" s="181"/>
      <c r="S1316" s="181"/>
      <c r="T1316" s="181"/>
      <c r="U1316" s="181"/>
      <c r="V1316" s="37"/>
      <c r="W1316" s="181"/>
      <c r="X1316" s="38"/>
      <c r="Y1316" s="38"/>
      <c r="Z1316" s="38"/>
      <c r="AA1316" s="38"/>
      <c r="AB1316" s="248"/>
      <c r="AC1316" s="250"/>
      <c r="AD1316" s="181"/>
      <c r="AE1316" s="37"/>
      <c r="AF1316" s="37"/>
      <c r="AG1316" s="33"/>
      <c r="AH1316" s="37"/>
      <c r="AI1316" s="37"/>
      <c r="AJ1316" s="181"/>
      <c r="AK1316" s="37"/>
      <c r="AL1316" s="37"/>
      <c r="AM1316" s="181"/>
      <c r="AN1316" s="37"/>
      <c r="AO1316" s="37"/>
      <c r="AP1316" s="37"/>
      <c r="AQ1316" s="37"/>
      <c r="AR1316" s="37"/>
      <c r="AS1316" s="37"/>
      <c r="AT1316" s="37"/>
      <c r="AU1316" s="37"/>
      <c r="AV1316" s="37"/>
      <c r="AW1316" s="37"/>
      <c r="AX1316" s="37"/>
      <c r="AY1316" s="37"/>
      <c r="AZ1316" s="37"/>
    </row>
    <row r="1317" spans="1:52" ht="15.5" customHeight="1">
      <c r="A1317" s="360"/>
      <c r="B1317" s="340"/>
      <c r="C1317" s="181"/>
      <c r="D1317" s="30"/>
      <c r="E1317" s="30"/>
      <c r="F1317" s="30"/>
      <c r="G1317" s="37"/>
      <c r="H1317" s="37"/>
      <c r="I1317" s="37"/>
      <c r="J1317" s="37" t="s">
        <v>69</v>
      </c>
      <c r="K1317" s="325" t="s">
        <v>69</v>
      </c>
      <c r="L1317" s="181"/>
      <c r="M1317" s="181"/>
      <c r="N1317" s="37"/>
      <c r="O1317" s="31"/>
      <c r="P1317" s="37"/>
      <c r="Q1317" s="181"/>
      <c r="R1317" s="181"/>
      <c r="S1317" s="181"/>
      <c r="T1317" s="181"/>
      <c r="U1317" s="181"/>
      <c r="V1317" s="37"/>
      <c r="W1317" s="181"/>
      <c r="X1317" s="38"/>
      <c r="Y1317" s="38"/>
      <c r="Z1317" s="38"/>
      <c r="AA1317" s="38"/>
      <c r="AB1317" s="248"/>
      <c r="AC1317" s="250"/>
      <c r="AD1317" s="181"/>
      <c r="AE1317" s="37"/>
      <c r="AF1317" s="37"/>
      <c r="AG1317" s="33"/>
      <c r="AH1317" s="37"/>
      <c r="AI1317" s="37"/>
      <c r="AJ1317" s="181"/>
      <c r="AK1317" s="37"/>
      <c r="AL1317" s="37"/>
      <c r="AM1317" s="181"/>
      <c r="AN1317" s="37"/>
      <c r="AO1317" s="37"/>
      <c r="AP1317" s="37"/>
      <c r="AQ1317" s="37"/>
      <c r="AR1317" s="37"/>
      <c r="AS1317" s="37"/>
      <c r="AT1317" s="37"/>
      <c r="AU1317" s="37"/>
      <c r="AV1317" s="37"/>
      <c r="AW1317" s="37"/>
      <c r="AX1317" s="37"/>
      <c r="AY1317" s="37"/>
      <c r="AZ1317" s="37"/>
    </row>
    <row r="1318" spans="1:52" ht="15.5" customHeight="1">
      <c r="A1318" s="360"/>
      <c r="B1318" s="340"/>
      <c r="C1318" s="181"/>
      <c r="D1318" s="30"/>
      <c r="E1318" s="30"/>
      <c r="F1318" s="30"/>
      <c r="G1318" s="37"/>
      <c r="H1318" s="37"/>
      <c r="I1318" s="37"/>
      <c r="J1318" s="37" t="s">
        <v>69</v>
      </c>
      <c r="K1318" s="325" t="s">
        <v>69</v>
      </c>
      <c r="L1318" s="181"/>
      <c r="M1318" s="181"/>
      <c r="N1318" s="37"/>
      <c r="O1318" s="31"/>
      <c r="P1318" s="37"/>
      <c r="Q1318" s="181"/>
      <c r="R1318" s="181"/>
      <c r="S1318" s="181"/>
      <c r="T1318" s="181"/>
      <c r="U1318" s="181"/>
      <c r="V1318" s="37"/>
      <c r="W1318" s="181"/>
      <c r="X1318" s="38"/>
      <c r="Y1318" s="38"/>
      <c r="Z1318" s="38"/>
      <c r="AA1318" s="38"/>
      <c r="AB1318" s="248"/>
      <c r="AC1318" s="250"/>
      <c r="AD1318" s="181"/>
      <c r="AE1318" s="37"/>
      <c r="AF1318" s="37"/>
      <c r="AG1318" s="33"/>
      <c r="AH1318" s="37"/>
      <c r="AI1318" s="37"/>
      <c r="AJ1318" s="181"/>
      <c r="AK1318" s="37"/>
      <c r="AL1318" s="37"/>
      <c r="AM1318" s="181"/>
      <c r="AN1318" s="37"/>
      <c r="AO1318" s="37"/>
      <c r="AP1318" s="37"/>
      <c r="AQ1318" s="37"/>
      <c r="AR1318" s="37"/>
      <c r="AS1318" s="37"/>
      <c r="AT1318" s="37"/>
      <c r="AU1318" s="37"/>
      <c r="AV1318" s="37"/>
      <c r="AW1318" s="37"/>
      <c r="AX1318" s="37"/>
      <c r="AY1318" s="37"/>
      <c r="AZ1318" s="37"/>
    </row>
    <row r="1319" spans="1:52" ht="15.5" customHeight="1">
      <c r="A1319" s="360"/>
      <c r="B1319" s="340"/>
      <c r="C1319" s="181"/>
      <c r="D1319" s="30"/>
      <c r="E1319" s="30"/>
      <c r="F1319" s="30"/>
      <c r="G1319" s="37"/>
      <c r="H1319" s="37"/>
      <c r="I1319" s="37"/>
      <c r="J1319" s="37" t="s">
        <v>69</v>
      </c>
      <c r="K1319" s="325" t="s">
        <v>69</v>
      </c>
      <c r="L1319" s="181"/>
      <c r="M1319" s="181"/>
      <c r="N1319" s="37"/>
      <c r="O1319" s="31"/>
      <c r="P1319" s="37"/>
      <c r="Q1319" s="181"/>
      <c r="R1319" s="181"/>
      <c r="S1319" s="181"/>
      <c r="T1319" s="181"/>
      <c r="U1319" s="181"/>
      <c r="V1319" s="37"/>
      <c r="W1319" s="181"/>
      <c r="X1319" s="38"/>
      <c r="Y1319" s="38"/>
      <c r="Z1319" s="38"/>
      <c r="AA1319" s="38"/>
      <c r="AB1319" s="248"/>
      <c r="AC1319" s="250"/>
      <c r="AD1319" s="181"/>
      <c r="AE1319" s="37"/>
      <c r="AF1319" s="37"/>
      <c r="AG1319" s="33"/>
      <c r="AH1319" s="37"/>
      <c r="AI1319" s="37"/>
      <c r="AJ1319" s="181"/>
      <c r="AK1319" s="37"/>
      <c r="AL1319" s="37"/>
      <c r="AM1319" s="181"/>
      <c r="AN1319" s="37"/>
      <c r="AO1319" s="37"/>
      <c r="AP1319" s="37"/>
      <c r="AQ1319" s="37"/>
      <c r="AR1319" s="37"/>
      <c r="AS1319" s="37"/>
      <c r="AT1319" s="37"/>
      <c r="AU1319" s="37"/>
      <c r="AV1319" s="37"/>
      <c r="AW1319" s="37"/>
      <c r="AX1319" s="37"/>
      <c r="AY1319" s="37"/>
      <c r="AZ1319" s="37"/>
    </row>
    <row r="1320" spans="1:52" ht="15.5" customHeight="1">
      <c r="A1320" s="360"/>
      <c r="B1320" s="340"/>
      <c r="C1320" s="181"/>
      <c r="D1320" s="30"/>
      <c r="E1320" s="30"/>
      <c r="F1320" s="30"/>
      <c r="G1320" s="37"/>
      <c r="H1320" s="37"/>
      <c r="I1320" s="37"/>
      <c r="J1320" s="37" t="s">
        <v>69</v>
      </c>
      <c r="K1320" s="325" t="s">
        <v>69</v>
      </c>
      <c r="L1320" s="181"/>
      <c r="M1320" s="181"/>
      <c r="N1320" s="37"/>
      <c r="O1320" s="31"/>
      <c r="P1320" s="37"/>
      <c r="Q1320" s="181"/>
      <c r="R1320" s="181"/>
      <c r="S1320" s="181"/>
      <c r="T1320" s="181"/>
      <c r="U1320" s="181"/>
      <c r="V1320" s="37"/>
      <c r="W1320" s="181"/>
      <c r="X1320" s="38"/>
      <c r="Y1320" s="38"/>
      <c r="Z1320" s="38"/>
      <c r="AA1320" s="38"/>
      <c r="AB1320" s="248"/>
      <c r="AC1320" s="250"/>
      <c r="AD1320" s="181"/>
      <c r="AE1320" s="37"/>
      <c r="AF1320" s="37"/>
      <c r="AG1320" s="33"/>
      <c r="AH1320" s="37"/>
      <c r="AI1320" s="37"/>
      <c r="AJ1320" s="181"/>
      <c r="AK1320" s="37"/>
      <c r="AL1320" s="37"/>
      <c r="AM1320" s="181"/>
      <c r="AN1320" s="37"/>
      <c r="AO1320" s="37"/>
      <c r="AP1320" s="37"/>
      <c r="AQ1320" s="37"/>
      <c r="AR1320" s="37"/>
      <c r="AS1320" s="37"/>
      <c r="AT1320" s="37"/>
      <c r="AU1320" s="37"/>
      <c r="AV1320" s="37"/>
      <c r="AW1320" s="37"/>
      <c r="AX1320" s="37"/>
      <c r="AY1320" s="37"/>
      <c r="AZ1320" s="37"/>
    </row>
    <row r="1321" spans="1:52" ht="15.5" customHeight="1">
      <c r="A1321" s="360"/>
      <c r="B1321" s="340"/>
      <c r="C1321" s="181"/>
      <c r="D1321" s="30"/>
      <c r="E1321" s="30"/>
      <c r="F1321" s="30"/>
      <c r="G1321" s="37"/>
      <c r="H1321" s="37"/>
      <c r="I1321" s="37"/>
      <c r="J1321" s="37" t="s">
        <v>69</v>
      </c>
      <c r="K1321" s="325" t="s">
        <v>69</v>
      </c>
      <c r="L1321" s="181"/>
      <c r="M1321" s="181"/>
      <c r="N1321" s="37"/>
      <c r="O1321" s="31"/>
      <c r="P1321" s="37"/>
      <c r="Q1321" s="181"/>
      <c r="R1321" s="181"/>
      <c r="S1321" s="181"/>
      <c r="T1321" s="181"/>
      <c r="U1321" s="181"/>
      <c r="V1321" s="37"/>
      <c r="W1321" s="181"/>
      <c r="X1321" s="38"/>
      <c r="Y1321" s="38"/>
      <c r="Z1321" s="38"/>
      <c r="AA1321" s="38"/>
      <c r="AB1321" s="248"/>
      <c r="AC1321" s="250"/>
      <c r="AD1321" s="181"/>
      <c r="AE1321" s="37"/>
      <c r="AF1321" s="37"/>
      <c r="AG1321" s="33"/>
      <c r="AH1321" s="37"/>
      <c r="AI1321" s="37"/>
      <c r="AJ1321" s="181"/>
      <c r="AK1321" s="37"/>
      <c r="AL1321" s="37"/>
      <c r="AM1321" s="181"/>
      <c r="AN1321" s="37"/>
      <c r="AO1321" s="37"/>
      <c r="AP1321" s="37"/>
      <c r="AQ1321" s="37"/>
      <c r="AR1321" s="37"/>
      <c r="AS1321" s="37"/>
      <c r="AT1321" s="37"/>
      <c r="AU1321" s="37"/>
      <c r="AV1321" s="37"/>
      <c r="AW1321" s="37"/>
      <c r="AX1321" s="37"/>
      <c r="AY1321" s="37"/>
      <c r="AZ1321" s="37"/>
    </row>
    <row r="1322" spans="1:52" ht="15.5" customHeight="1">
      <c r="A1322" s="360"/>
      <c r="B1322" s="340"/>
      <c r="C1322" s="181"/>
      <c r="D1322" s="30"/>
      <c r="E1322" s="30"/>
      <c r="F1322" s="30"/>
      <c r="G1322" s="37"/>
      <c r="H1322" s="37"/>
      <c r="I1322" s="37"/>
      <c r="J1322" s="37" t="s">
        <v>69</v>
      </c>
      <c r="K1322" s="325" t="s">
        <v>69</v>
      </c>
      <c r="L1322" s="181"/>
      <c r="M1322" s="181"/>
      <c r="N1322" s="37"/>
      <c r="O1322" s="31"/>
      <c r="P1322" s="37"/>
      <c r="Q1322" s="181"/>
      <c r="R1322" s="181"/>
      <c r="S1322" s="181"/>
      <c r="T1322" s="181"/>
      <c r="U1322" s="181"/>
      <c r="V1322" s="37"/>
      <c r="W1322" s="181"/>
      <c r="X1322" s="38"/>
      <c r="Y1322" s="38"/>
      <c r="Z1322" s="38"/>
      <c r="AA1322" s="38"/>
      <c r="AB1322" s="248"/>
      <c r="AC1322" s="250"/>
      <c r="AD1322" s="181"/>
      <c r="AE1322" s="37"/>
      <c r="AF1322" s="37"/>
      <c r="AG1322" s="33"/>
      <c r="AH1322" s="37"/>
      <c r="AI1322" s="37"/>
      <c r="AJ1322" s="181"/>
      <c r="AK1322" s="37"/>
      <c r="AL1322" s="37"/>
      <c r="AM1322" s="181"/>
      <c r="AN1322" s="37"/>
      <c r="AO1322" s="37"/>
      <c r="AP1322" s="37"/>
      <c r="AQ1322" s="37"/>
      <c r="AR1322" s="37"/>
      <c r="AS1322" s="37"/>
      <c r="AT1322" s="37"/>
      <c r="AU1322" s="37"/>
      <c r="AV1322" s="37"/>
      <c r="AW1322" s="37"/>
      <c r="AX1322" s="37"/>
      <c r="AY1322" s="37"/>
      <c r="AZ1322" s="37"/>
    </row>
    <row r="1323" spans="1:52" ht="15.5" customHeight="1">
      <c r="A1323" s="360"/>
      <c r="B1323" s="340"/>
      <c r="C1323" s="181"/>
      <c r="D1323" s="30"/>
      <c r="E1323" s="30"/>
      <c r="F1323" s="30"/>
      <c r="G1323" s="37"/>
      <c r="H1323" s="37"/>
      <c r="I1323" s="37"/>
      <c r="J1323" s="37" t="s">
        <v>69</v>
      </c>
      <c r="K1323" s="325" t="s">
        <v>69</v>
      </c>
      <c r="L1323" s="181"/>
      <c r="M1323" s="181"/>
      <c r="N1323" s="37"/>
      <c r="O1323" s="31"/>
      <c r="P1323" s="37"/>
      <c r="Q1323" s="181"/>
      <c r="R1323" s="181"/>
      <c r="S1323" s="181"/>
      <c r="T1323" s="181"/>
      <c r="U1323" s="181"/>
      <c r="V1323" s="37"/>
      <c r="W1323" s="181"/>
      <c r="X1323" s="38"/>
      <c r="Y1323" s="38"/>
      <c r="Z1323" s="38"/>
      <c r="AA1323" s="38"/>
      <c r="AB1323" s="248"/>
      <c r="AC1323" s="250"/>
      <c r="AD1323" s="181"/>
      <c r="AE1323" s="37"/>
      <c r="AF1323" s="37"/>
      <c r="AG1323" s="33"/>
      <c r="AH1323" s="37"/>
      <c r="AI1323" s="37"/>
      <c r="AJ1323" s="181"/>
      <c r="AK1323" s="37"/>
      <c r="AL1323" s="37"/>
      <c r="AM1323" s="181"/>
      <c r="AN1323" s="37"/>
      <c r="AO1323" s="37"/>
      <c r="AP1323" s="37"/>
      <c r="AQ1323" s="37"/>
      <c r="AR1323" s="37"/>
      <c r="AS1323" s="37"/>
      <c r="AT1323" s="37"/>
      <c r="AU1323" s="37"/>
      <c r="AV1323" s="37"/>
      <c r="AW1323" s="37"/>
      <c r="AX1323" s="37"/>
      <c r="AY1323" s="37"/>
      <c r="AZ1323" s="37"/>
    </row>
    <row r="1324" spans="1:52" ht="15.5" customHeight="1">
      <c r="A1324" s="360"/>
      <c r="B1324" s="340"/>
      <c r="C1324" s="181"/>
      <c r="D1324" s="30"/>
      <c r="E1324" s="30"/>
      <c r="F1324" s="30"/>
      <c r="G1324" s="37"/>
      <c r="H1324" s="37"/>
      <c r="I1324" s="37"/>
      <c r="J1324" s="37" t="s">
        <v>69</v>
      </c>
      <c r="K1324" s="325" t="s">
        <v>69</v>
      </c>
      <c r="L1324" s="181"/>
      <c r="M1324" s="181"/>
      <c r="N1324" s="37"/>
      <c r="O1324" s="31"/>
      <c r="P1324" s="37"/>
      <c r="Q1324" s="181"/>
      <c r="R1324" s="181"/>
      <c r="S1324" s="181"/>
      <c r="T1324" s="181"/>
      <c r="U1324" s="181"/>
      <c r="V1324" s="37"/>
      <c r="W1324" s="181"/>
      <c r="X1324" s="38"/>
      <c r="Y1324" s="38"/>
      <c r="Z1324" s="38"/>
      <c r="AA1324" s="38"/>
      <c r="AB1324" s="248"/>
      <c r="AC1324" s="250"/>
      <c r="AD1324" s="181"/>
      <c r="AE1324" s="37"/>
      <c r="AF1324" s="37"/>
      <c r="AG1324" s="33"/>
      <c r="AH1324" s="37"/>
      <c r="AI1324" s="37"/>
      <c r="AJ1324" s="181"/>
      <c r="AK1324" s="37"/>
      <c r="AL1324" s="37"/>
      <c r="AM1324" s="181"/>
      <c r="AN1324" s="37"/>
      <c r="AO1324" s="37"/>
      <c r="AP1324" s="37"/>
      <c r="AQ1324" s="37"/>
      <c r="AR1324" s="37"/>
      <c r="AS1324" s="37"/>
      <c r="AT1324" s="37"/>
      <c r="AU1324" s="37"/>
      <c r="AV1324" s="37"/>
      <c r="AW1324" s="37"/>
      <c r="AX1324" s="37"/>
      <c r="AY1324" s="37"/>
      <c r="AZ1324" s="37"/>
    </row>
    <row r="1325" spans="1:52" ht="15.5" customHeight="1">
      <c r="A1325" s="360"/>
      <c r="B1325" s="340"/>
      <c r="C1325" s="181"/>
      <c r="D1325" s="30"/>
      <c r="E1325" s="30"/>
      <c r="F1325" s="30"/>
      <c r="G1325" s="37"/>
      <c r="H1325" s="37"/>
      <c r="I1325" s="37"/>
      <c r="J1325" s="37" t="s">
        <v>69</v>
      </c>
      <c r="K1325" s="325" t="s">
        <v>69</v>
      </c>
      <c r="L1325" s="181"/>
      <c r="M1325" s="181"/>
      <c r="N1325" s="37"/>
      <c r="O1325" s="31"/>
      <c r="P1325" s="37"/>
      <c r="Q1325" s="181"/>
      <c r="R1325" s="181"/>
      <c r="S1325" s="181"/>
      <c r="T1325" s="181"/>
      <c r="U1325" s="181"/>
      <c r="V1325" s="37"/>
      <c r="W1325" s="181"/>
      <c r="X1325" s="38"/>
      <c r="Y1325" s="38"/>
      <c r="Z1325" s="38"/>
      <c r="AA1325" s="38"/>
      <c r="AB1325" s="248"/>
      <c r="AC1325" s="250"/>
      <c r="AD1325" s="181"/>
      <c r="AE1325" s="37"/>
      <c r="AF1325" s="37"/>
      <c r="AG1325" s="33"/>
      <c r="AH1325" s="37"/>
      <c r="AI1325" s="37"/>
      <c r="AJ1325" s="181"/>
      <c r="AK1325" s="37"/>
      <c r="AL1325" s="37"/>
      <c r="AM1325" s="181"/>
      <c r="AN1325" s="37"/>
      <c r="AO1325" s="37"/>
      <c r="AP1325" s="37"/>
      <c r="AQ1325" s="37"/>
      <c r="AR1325" s="37"/>
      <c r="AS1325" s="37"/>
      <c r="AT1325" s="37"/>
      <c r="AU1325" s="37"/>
      <c r="AV1325" s="37"/>
      <c r="AW1325" s="37"/>
      <c r="AX1325" s="37"/>
      <c r="AY1325" s="37"/>
      <c r="AZ1325" s="37"/>
    </row>
    <row r="1326" spans="1:52" ht="15.5" customHeight="1">
      <c r="A1326" s="360"/>
      <c r="B1326" s="340"/>
      <c r="C1326" s="181"/>
      <c r="D1326" s="30"/>
      <c r="E1326" s="30"/>
      <c r="F1326" s="30"/>
      <c r="G1326" s="37"/>
      <c r="H1326" s="37"/>
      <c r="I1326" s="37"/>
      <c r="J1326" s="37" t="s">
        <v>69</v>
      </c>
      <c r="K1326" s="325" t="s">
        <v>69</v>
      </c>
      <c r="L1326" s="181"/>
      <c r="M1326" s="181"/>
      <c r="N1326" s="37"/>
      <c r="O1326" s="31"/>
      <c r="P1326" s="37"/>
      <c r="Q1326" s="181"/>
      <c r="R1326" s="181"/>
      <c r="S1326" s="181"/>
      <c r="T1326" s="181"/>
      <c r="U1326" s="181"/>
      <c r="V1326" s="37"/>
      <c r="W1326" s="181"/>
      <c r="X1326" s="38"/>
      <c r="Y1326" s="38"/>
      <c r="Z1326" s="38"/>
      <c r="AA1326" s="38"/>
      <c r="AB1326" s="248"/>
      <c r="AC1326" s="250"/>
      <c r="AD1326" s="181"/>
      <c r="AE1326" s="37"/>
      <c r="AF1326" s="37"/>
      <c r="AG1326" s="33"/>
      <c r="AH1326" s="37"/>
      <c r="AI1326" s="37"/>
      <c r="AJ1326" s="181"/>
      <c r="AK1326" s="37"/>
      <c r="AL1326" s="37"/>
      <c r="AM1326" s="181"/>
      <c r="AN1326" s="37"/>
      <c r="AO1326" s="37"/>
      <c r="AP1326" s="37"/>
      <c r="AQ1326" s="37"/>
      <c r="AR1326" s="37"/>
      <c r="AS1326" s="37"/>
      <c r="AT1326" s="37"/>
      <c r="AU1326" s="37"/>
      <c r="AV1326" s="37"/>
      <c r="AW1326" s="37"/>
      <c r="AX1326" s="37"/>
      <c r="AY1326" s="37"/>
      <c r="AZ1326" s="37"/>
    </row>
    <row r="1327" spans="1:52" ht="15.5" customHeight="1">
      <c r="A1327" s="360"/>
      <c r="B1327" s="340"/>
      <c r="C1327" s="181"/>
      <c r="D1327" s="30"/>
      <c r="E1327" s="30"/>
      <c r="F1327" s="30"/>
      <c r="G1327" s="37"/>
      <c r="H1327" s="37"/>
      <c r="I1327" s="37"/>
      <c r="J1327" s="37" t="s">
        <v>69</v>
      </c>
      <c r="K1327" s="325" t="s">
        <v>69</v>
      </c>
      <c r="L1327" s="181"/>
      <c r="M1327" s="181"/>
      <c r="N1327" s="37"/>
      <c r="O1327" s="31"/>
      <c r="P1327" s="37"/>
      <c r="Q1327" s="181"/>
      <c r="R1327" s="181"/>
      <c r="S1327" s="181"/>
      <c r="T1327" s="181"/>
      <c r="U1327" s="181"/>
      <c r="V1327" s="37"/>
      <c r="W1327" s="181"/>
      <c r="X1327" s="38"/>
      <c r="Y1327" s="38"/>
      <c r="Z1327" s="38"/>
      <c r="AA1327" s="38"/>
      <c r="AB1327" s="248"/>
      <c r="AC1327" s="250"/>
      <c r="AD1327" s="181"/>
      <c r="AE1327" s="37"/>
      <c r="AF1327" s="37"/>
      <c r="AG1327" s="33"/>
      <c r="AH1327" s="37"/>
      <c r="AI1327" s="37"/>
      <c r="AJ1327" s="181"/>
      <c r="AK1327" s="37"/>
      <c r="AL1327" s="37"/>
      <c r="AM1327" s="181"/>
      <c r="AN1327" s="37"/>
      <c r="AO1327" s="37"/>
      <c r="AP1327" s="37"/>
      <c r="AQ1327" s="37"/>
      <c r="AR1327" s="37"/>
      <c r="AS1327" s="37"/>
      <c r="AT1327" s="37"/>
      <c r="AU1327" s="37"/>
      <c r="AV1327" s="37"/>
      <c r="AW1327" s="37"/>
      <c r="AX1327" s="37"/>
      <c r="AY1327" s="37"/>
      <c r="AZ1327" s="37"/>
    </row>
    <row r="1328" spans="1:52" ht="15.5" customHeight="1">
      <c r="A1328" s="360"/>
      <c r="B1328" s="340"/>
      <c r="C1328" s="181"/>
      <c r="D1328" s="30"/>
      <c r="E1328" s="30"/>
      <c r="F1328" s="30"/>
      <c r="G1328" s="37"/>
      <c r="H1328" s="37"/>
      <c r="I1328" s="37"/>
      <c r="J1328" s="37" t="s">
        <v>69</v>
      </c>
      <c r="K1328" s="325" t="s">
        <v>69</v>
      </c>
      <c r="L1328" s="181"/>
      <c r="M1328" s="181"/>
      <c r="N1328" s="37"/>
      <c r="O1328" s="31"/>
      <c r="P1328" s="37"/>
      <c r="Q1328" s="181"/>
      <c r="R1328" s="181"/>
      <c r="S1328" s="181"/>
      <c r="T1328" s="181"/>
      <c r="U1328" s="181"/>
      <c r="V1328" s="37"/>
      <c r="W1328" s="181"/>
      <c r="X1328" s="38"/>
      <c r="Y1328" s="38"/>
      <c r="Z1328" s="38"/>
      <c r="AA1328" s="38"/>
      <c r="AB1328" s="248"/>
      <c r="AC1328" s="250"/>
      <c r="AD1328" s="181"/>
      <c r="AE1328" s="37"/>
      <c r="AF1328" s="37"/>
      <c r="AG1328" s="33"/>
      <c r="AH1328" s="37"/>
      <c r="AI1328" s="37"/>
      <c r="AJ1328" s="181"/>
      <c r="AK1328" s="37"/>
      <c r="AL1328" s="37"/>
      <c r="AM1328" s="181"/>
      <c r="AN1328" s="37"/>
      <c r="AO1328" s="37"/>
      <c r="AP1328" s="37"/>
      <c r="AQ1328" s="37"/>
      <c r="AR1328" s="37"/>
      <c r="AS1328" s="37"/>
      <c r="AT1328" s="37"/>
      <c r="AU1328" s="37"/>
      <c r="AV1328" s="37"/>
      <c r="AW1328" s="37"/>
      <c r="AX1328" s="37"/>
      <c r="AY1328" s="37"/>
      <c r="AZ1328" s="37"/>
    </row>
    <row r="1329" spans="1:52" ht="15.5" customHeight="1">
      <c r="A1329" s="360"/>
      <c r="B1329" s="340"/>
      <c r="C1329" s="181"/>
      <c r="D1329" s="30"/>
      <c r="E1329" s="30"/>
      <c r="F1329" s="30"/>
      <c r="G1329" s="37"/>
      <c r="H1329" s="37"/>
      <c r="I1329" s="37"/>
      <c r="J1329" s="37" t="s">
        <v>69</v>
      </c>
      <c r="K1329" s="325" t="s">
        <v>69</v>
      </c>
      <c r="L1329" s="181"/>
      <c r="M1329" s="181"/>
      <c r="N1329" s="37"/>
      <c r="O1329" s="31"/>
      <c r="P1329" s="37"/>
      <c r="Q1329" s="181"/>
      <c r="R1329" s="181"/>
      <c r="S1329" s="181"/>
      <c r="T1329" s="181"/>
      <c r="U1329" s="181"/>
      <c r="V1329" s="37"/>
      <c r="W1329" s="181"/>
      <c r="X1329" s="38"/>
      <c r="Y1329" s="38"/>
      <c r="Z1329" s="38"/>
      <c r="AA1329" s="38"/>
      <c r="AB1329" s="248"/>
      <c r="AC1329" s="250"/>
      <c r="AD1329" s="181"/>
      <c r="AE1329" s="37"/>
      <c r="AF1329" s="37"/>
      <c r="AG1329" s="33"/>
      <c r="AH1329" s="37"/>
      <c r="AI1329" s="37"/>
      <c r="AJ1329" s="181"/>
      <c r="AK1329" s="37"/>
      <c r="AL1329" s="37"/>
      <c r="AM1329" s="181"/>
      <c r="AN1329" s="37"/>
      <c r="AO1329" s="37"/>
      <c r="AP1329" s="37"/>
      <c r="AQ1329" s="37"/>
      <c r="AR1329" s="37"/>
      <c r="AS1329" s="37"/>
      <c r="AT1329" s="37"/>
      <c r="AU1329" s="37"/>
      <c r="AV1329" s="37"/>
      <c r="AW1329" s="37"/>
      <c r="AX1329" s="37"/>
      <c r="AY1329" s="37"/>
      <c r="AZ1329" s="37"/>
    </row>
    <row r="1330" spans="1:52" ht="15.5" customHeight="1">
      <c r="A1330" s="360"/>
      <c r="B1330" s="340"/>
      <c r="C1330" s="181"/>
      <c r="D1330" s="30"/>
      <c r="E1330" s="30"/>
      <c r="F1330" s="30"/>
      <c r="G1330" s="37"/>
      <c r="H1330" s="37"/>
      <c r="I1330" s="37"/>
      <c r="J1330" s="37" t="s">
        <v>69</v>
      </c>
      <c r="K1330" s="325" t="s">
        <v>69</v>
      </c>
      <c r="L1330" s="181"/>
      <c r="M1330" s="181"/>
      <c r="N1330" s="37"/>
      <c r="O1330" s="31"/>
      <c r="P1330" s="37"/>
      <c r="Q1330" s="181"/>
      <c r="R1330" s="181"/>
      <c r="S1330" s="181"/>
      <c r="T1330" s="181"/>
      <c r="U1330" s="181"/>
      <c r="V1330" s="37"/>
      <c r="W1330" s="181"/>
      <c r="X1330" s="38"/>
      <c r="Y1330" s="38"/>
      <c r="Z1330" s="38"/>
      <c r="AA1330" s="38"/>
      <c r="AB1330" s="248"/>
      <c r="AC1330" s="250"/>
      <c r="AD1330" s="181"/>
      <c r="AE1330" s="37"/>
      <c r="AF1330" s="37"/>
      <c r="AG1330" s="33"/>
      <c r="AH1330" s="37"/>
      <c r="AI1330" s="37"/>
      <c r="AJ1330" s="181"/>
      <c r="AK1330" s="37"/>
      <c r="AL1330" s="37"/>
      <c r="AM1330" s="181"/>
      <c r="AN1330" s="37"/>
      <c r="AO1330" s="37"/>
      <c r="AP1330" s="37"/>
      <c r="AQ1330" s="37"/>
      <c r="AR1330" s="37"/>
      <c r="AS1330" s="37"/>
      <c r="AT1330" s="37"/>
      <c r="AU1330" s="37"/>
      <c r="AV1330" s="37"/>
      <c r="AW1330" s="37"/>
      <c r="AX1330" s="37"/>
      <c r="AY1330" s="37"/>
      <c r="AZ1330" s="37"/>
    </row>
    <row r="1331" spans="1:52" ht="15.5" customHeight="1">
      <c r="A1331" s="360"/>
      <c r="B1331" s="340"/>
      <c r="C1331" s="181"/>
      <c r="D1331" s="30"/>
      <c r="E1331" s="30"/>
      <c r="F1331" s="30"/>
      <c r="G1331" s="37"/>
      <c r="H1331" s="37"/>
      <c r="I1331" s="37"/>
      <c r="J1331" s="37" t="s">
        <v>69</v>
      </c>
      <c r="K1331" s="325" t="s">
        <v>69</v>
      </c>
      <c r="L1331" s="181"/>
      <c r="M1331" s="181"/>
      <c r="N1331" s="37"/>
      <c r="O1331" s="31"/>
      <c r="P1331" s="37"/>
      <c r="Q1331" s="181"/>
      <c r="R1331" s="181"/>
      <c r="S1331" s="181"/>
      <c r="T1331" s="181"/>
      <c r="U1331" s="181"/>
      <c r="V1331" s="37"/>
      <c r="W1331" s="181"/>
      <c r="X1331" s="38"/>
      <c r="Y1331" s="38"/>
      <c r="Z1331" s="38"/>
      <c r="AA1331" s="38"/>
      <c r="AB1331" s="248"/>
      <c r="AC1331" s="250"/>
      <c r="AD1331" s="181"/>
      <c r="AE1331" s="37"/>
      <c r="AF1331" s="37"/>
      <c r="AG1331" s="33"/>
      <c r="AH1331" s="37"/>
      <c r="AI1331" s="37"/>
      <c r="AJ1331" s="181"/>
      <c r="AK1331" s="37"/>
      <c r="AL1331" s="37"/>
      <c r="AM1331" s="181"/>
      <c r="AN1331" s="37"/>
      <c r="AO1331" s="37"/>
      <c r="AP1331" s="37"/>
      <c r="AQ1331" s="37"/>
      <c r="AR1331" s="37"/>
      <c r="AS1331" s="37"/>
      <c r="AT1331" s="37"/>
      <c r="AU1331" s="37"/>
      <c r="AV1331" s="37"/>
      <c r="AW1331" s="37"/>
      <c r="AX1331" s="37"/>
      <c r="AY1331" s="37"/>
      <c r="AZ1331" s="37"/>
    </row>
    <row r="1332" spans="1:52" ht="15.5" customHeight="1">
      <c r="A1332" s="360"/>
      <c r="B1332" s="340"/>
      <c r="C1332" s="181"/>
      <c r="D1332" s="30"/>
      <c r="E1332" s="30"/>
      <c r="F1332" s="30"/>
      <c r="G1332" s="37"/>
      <c r="H1332" s="37"/>
      <c r="I1332" s="37"/>
      <c r="J1332" s="37" t="s">
        <v>69</v>
      </c>
      <c r="K1332" s="325" t="s">
        <v>69</v>
      </c>
      <c r="L1332" s="181"/>
      <c r="M1332" s="181"/>
      <c r="N1332" s="37"/>
      <c r="O1332" s="31"/>
      <c r="P1332" s="37"/>
      <c r="Q1332" s="181"/>
      <c r="R1332" s="181"/>
      <c r="S1332" s="181"/>
      <c r="T1332" s="181"/>
      <c r="U1332" s="181"/>
      <c r="V1332" s="37"/>
      <c r="W1332" s="181"/>
      <c r="X1332" s="38"/>
      <c r="Y1332" s="38"/>
      <c r="Z1332" s="38"/>
      <c r="AA1332" s="38"/>
      <c r="AB1332" s="248"/>
      <c r="AC1332" s="250"/>
      <c r="AD1332" s="181"/>
      <c r="AE1332" s="37"/>
      <c r="AF1332" s="37"/>
      <c r="AG1332" s="33"/>
      <c r="AH1332" s="37"/>
      <c r="AI1332" s="37"/>
      <c r="AJ1332" s="181"/>
      <c r="AK1332" s="37"/>
      <c r="AL1332" s="37"/>
      <c r="AM1332" s="181"/>
      <c r="AN1332" s="37"/>
      <c r="AO1332" s="37"/>
      <c r="AP1332" s="37"/>
      <c r="AQ1332" s="37"/>
      <c r="AR1332" s="37"/>
      <c r="AS1332" s="37"/>
      <c r="AT1332" s="37"/>
      <c r="AU1332" s="37"/>
      <c r="AV1332" s="37"/>
      <c r="AW1332" s="37"/>
      <c r="AX1332" s="37"/>
      <c r="AY1332" s="37"/>
      <c r="AZ1332" s="37"/>
    </row>
    <row r="1333" spans="1:52" ht="15.5" customHeight="1">
      <c r="A1333" s="360"/>
      <c r="B1333" s="340"/>
      <c r="C1333" s="181"/>
      <c r="D1333" s="30"/>
      <c r="E1333" s="30"/>
      <c r="F1333" s="30"/>
      <c r="G1333" s="37"/>
      <c r="H1333" s="37"/>
      <c r="I1333" s="37"/>
      <c r="J1333" s="37" t="s">
        <v>69</v>
      </c>
      <c r="K1333" s="325" t="s">
        <v>69</v>
      </c>
      <c r="L1333" s="181"/>
      <c r="M1333" s="181"/>
      <c r="N1333" s="37"/>
      <c r="O1333" s="31"/>
      <c r="P1333" s="37"/>
      <c r="Q1333" s="181"/>
      <c r="R1333" s="181"/>
      <c r="S1333" s="181"/>
      <c r="T1333" s="181"/>
      <c r="U1333" s="181"/>
      <c r="V1333" s="37"/>
      <c r="W1333" s="181"/>
      <c r="X1333" s="38"/>
      <c r="Y1333" s="38"/>
      <c r="Z1333" s="38"/>
      <c r="AA1333" s="38"/>
      <c r="AB1333" s="248"/>
      <c r="AC1333" s="250"/>
      <c r="AD1333" s="181"/>
      <c r="AE1333" s="37"/>
      <c r="AF1333" s="37"/>
      <c r="AG1333" s="33"/>
      <c r="AH1333" s="37"/>
      <c r="AI1333" s="37"/>
      <c r="AJ1333" s="181"/>
      <c r="AK1333" s="37"/>
      <c r="AL1333" s="37"/>
      <c r="AM1333" s="181"/>
      <c r="AN1333" s="37"/>
      <c r="AO1333" s="37"/>
      <c r="AP1333" s="37"/>
      <c r="AQ1333" s="37"/>
      <c r="AR1333" s="37"/>
      <c r="AS1333" s="37"/>
      <c r="AT1333" s="37"/>
      <c r="AU1333" s="37"/>
      <c r="AV1333" s="37"/>
      <c r="AW1333" s="37"/>
      <c r="AX1333" s="37"/>
      <c r="AY1333" s="37"/>
      <c r="AZ1333" s="37"/>
    </row>
    <row r="1334" spans="1:52" ht="15.5" customHeight="1">
      <c r="A1334" s="360"/>
      <c r="B1334" s="340"/>
      <c r="C1334" s="181"/>
      <c r="D1334" s="30"/>
      <c r="E1334" s="30"/>
      <c r="F1334" s="30"/>
      <c r="G1334" s="37"/>
      <c r="H1334" s="37"/>
      <c r="I1334" s="37"/>
      <c r="J1334" s="37" t="s">
        <v>69</v>
      </c>
      <c r="K1334" s="325" t="s">
        <v>69</v>
      </c>
      <c r="L1334" s="181"/>
      <c r="M1334" s="181"/>
      <c r="N1334" s="37"/>
      <c r="O1334" s="31"/>
      <c r="P1334" s="37"/>
      <c r="Q1334" s="181"/>
      <c r="R1334" s="181"/>
      <c r="S1334" s="181"/>
      <c r="T1334" s="181"/>
      <c r="U1334" s="181"/>
      <c r="V1334" s="37"/>
      <c r="W1334" s="181"/>
      <c r="X1334" s="38"/>
      <c r="Y1334" s="38"/>
      <c r="Z1334" s="38"/>
      <c r="AA1334" s="38"/>
      <c r="AB1334" s="248"/>
      <c r="AC1334" s="250"/>
      <c r="AD1334" s="181"/>
      <c r="AE1334" s="37"/>
      <c r="AF1334" s="37"/>
      <c r="AG1334" s="33"/>
      <c r="AH1334" s="37"/>
      <c r="AI1334" s="37"/>
      <c r="AJ1334" s="181"/>
      <c r="AK1334" s="37"/>
      <c r="AL1334" s="37"/>
      <c r="AM1334" s="181"/>
      <c r="AN1334" s="37"/>
      <c r="AO1334" s="37"/>
      <c r="AP1334" s="37"/>
      <c r="AQ1334" s="37"/>
      <c r="AR1334" s="37"/>
      <c r="AS1334" s="37"/>
      <c r="AT1334" s="37"/>
      <c r="AU1334" s="37"/>
      <c r="AV1334" s="37"/>
      <c r="AW1334" s="37"/>
      <c r="AX1334" s="37"/>
      <c r="AY1334" s="37"/>
      <c r="AZ1334" s="37"/>
    </row>
    <row r="1335" spans="1:52" ht="15.5" customHeight="1">
      <c r="A1335" s="360"/>
      <c r="B1335" s="340"/>
      <c r="C1335" s="181"/>
      <c r="D1335" s="30"/>
      <c r="E1335" s="30"/>
      <c r="F1335" s="30"/>
      <c r="G1335" s="37"/>
      <c r="H1335" s="37"/>
      <c r="I1335" s="37"/>
      <c r="J1335" s="37" t="s">
        <v>69</v>
      </c>
      <c r="K1335" s="325" t="s">
        <v>69</v>
      </c>
      <c r="L1335" s="181"/>
      <c r="M1335" s="181"/>
      <c r="N1335" s="37"/>
      <c r="O1335" s="31"/>
      <c r="P1335" s="37"/>
      <c r="Q1335" s="181"/>
      <c r="R1335" s="181"/>
      <c r="S1335" s="181"/>
      <c r="T1335" s="181"/>
      <c r="U1335" s="181"/>
      <c r="V1335" s="37"/>
      <c r="W1335" s="181"/>
      <c r="X1335" s="38"/>
      <c r="Y1335" s="38"/>
      <c r="Z1335" s="38"/>
      <c r="AA1335" s="38"/>
      <c r="AB1335" s="248"/>
      <c r="AC1335" s="250"/>
      <c r="AD1335" s="181"/>
      <c r="AE1335" s="37"/>
      <c r="AF1335" s="37"/>
      <c r="AG1335" s="33"/>
      <c r="AH1335" s="37"/>
      <c r="AI1335" s="37"/>
      <c r="AJ1335" s="181"/>
      <c r="AK1335" s="37"/>
      <c r="AL1335" s="37"/>
      <c r="AM1335" s="181"/>
      <c r="AN1335" s="37"/>
      <c r="AO1335" s="37"/>
      <c r="AP1335" s="37"/>
      <c r="AQ1335" s="37"/>
      <c r="AR1335" s="37"/>
      <c r="AS1335" s="37"/>
      <c r="AT1335" s="37"/>
      <c r="AU1335" s="37"/>
      <c r="AV1335" s="37"/>
      <c r="AW1335" s="37"/>
      <c r="AX1335" s="37"/>
      <c r="AY1335" s="37"/>
      <c r="AZ1335" s="37"/>
    </row>
    <row r="1336" spans="1:52" ht="15.5" customHeight="1">
      <c r="A1336" s="360"/>
      <c r="B1336" s="340"/>
      <c r="C1336" s="181"/>
      <c r="D1336" s="30"/>
      <c r="E1336" s="30"/>
      <c r="F1336" s="30"/>
      <c r="G1336" s="37"/>
      <c r="H1336" s="37"/>
      <c r="I1336" s="37"/>
      <c r="J1336" s="37" t="s">
        <v>69</v>
      </c>
      <c r="K1336" s="325" t="s">
        <v>69</v>
      </c>
      <c r="L1336" s="181"/>
      <c r="M1336" s="181"/>
      <c r="N1336" s="37"/>
      <c r="O1336" s="31"/>
      <c r="P1336" s="37"/>
      <c r="Q1336" s="181"/>
      <c r="R1336" s="181"/>
      <c r="S1336" s="181"/>
      <c r="T1336" s="181"/>
      <c r="U1336" s="181"/>
      <c r="V1336" s="37"/>
      <c r="W1336" s="181"/>
      <c r="X1336" s="38"/>
      <c r="Y1336" s="38"/>
      <c r="Z1336" s="38"/>
      <c r="AA1336" s="38"/>
      <c r="AB1336" s="248"/>
      <c r="AC1336" s="250"/>
      <c r="AD1336" s="181"/>
      <c r="AE1336" s="37"/>
      <c r="AF1336" s="37"/>
      <c r="AG1336" s="33"/>
      <c r="AH1336" s="37"/>
      <c r="AI1336" s="37"/>
      <c r="AJ1336" s="181"/>
      <c r="AK1336" s="37"/>
      <c r="AL1336" s="37"/>
      <c r="AM1336" s="181"/>
      <c r="AN1336" s="37"/>
      <c r="AO1336" s="37"/>
      <c r="AP1336" s="37"/>
      <c r="AQ1336" s="37"/>
      <c r="AR1336" s="37"/>
      <c r="AS1336" s="37"/>
      <c r="AT1336" s="37"/>
      <c r="AU1336" s="37"/>
      <c r="AV1336" s="37"/>
      <c r="AW1336" s="37"/>
      <c r="AX1336" s="37"/>
      <c r="AY1336" s="37"/>
      <c r="AZ1336" s="37"/>
    </row>
    <row r="1337" spans="1:52" ht="15.5" customHeight="1">
      <c r="A1337" s="360"/>
      <c r="B1337" s="340"/>
      <c r="C1337" s="181"/>
      <c r="D1337" s="30"/>
      <c r="E1337" s="30"/>
      <c r="F1337" s="30"/>
      <c r="G1337" s="37"/>
      <c r="H1337" s="37"/>
      <c r="I1337" s="37"/>
      <c r="J1337" s="37" t="s">
        <v>69</v>
      </c>
      <c r="K1337" s="325" t="s">
        <v>69</v>
      </c>
      <c r="L1337" s="181"/>
      <c r="M1337" s="181"/>
      <c r="N1337" s="37"/>
      <c r="O1337" s="31"/>
      <c r="P1337" s="37"/>
      <c r="Q1337" s="181"/>
      <c r="R1337" s="181"/>
      <c r="S1337" s="181"/>
      <c r="T1337" s="181"/>
      <c r="U1337" s="181"/>
      <c r="V1337" s="37"/>
      <c r="W1337" s="181"/>
      <c r="X1337" s="38"/>
      <c r="Y1337" s="38"/>
      <c r="Z1337" s="38"/>
      <c r="AA1337" s="38"/>
      <c r="AB1337" s="248"/>
      <c r="AC1337" s="250"/>
      <c r="AD1337" s="181"/>
      <c r="AE1337" s="37"/>
      <c r="AF1337" s="37"/>
      <c r="AG1337" s="33"/>
      <c r="AH1337" s="37"/>
      <c r="AI1337" s="37"/>
      <c r="AJ1337" s="181"/>
      <c r="AK1337" s="37"/>
      <c r="AL1337" s="37"/>
      <c r="AM1337" s="181"/>
      <c r="AN1337" s="37"/>
      <c r="AO1337" s="37"/>
      <c r="AP1337" s="37"/>
      <c r="AQ1337" s="37"/>
      <c r="AR1337" s="37"/>
      <c r="AS1337" s="37"/>
      <c r="AT1337" s="37"/>
      <c r="AU1337" s="37"/>
      <c r="AV1337" s="37"/>
      <c r="AW1337" s="37"/>
      <c r="AX1337" s="37"/>
      <c r="AY1337" s="37"/>
      <c r="AZ1337" s="37"/>
    </row>
    <row r="1338" spans="1:52" ht="15.5" customHeight="1">
      <c r="A1338" s="360"/>
      <c r="B1338" s="340"/>
      <c r="C1338" s="181"/>
      <c r="D1338" s="30"/>
      <c r="E1338" s="30"/>
      <c r="F1338" s="30"/>
      <c r="G1338" s="37"/>
      <c r="H1338" s="37"/>
      <c r="I1338" s="37"/>
      <c r="J1338" s="37" t="s">
        <v>69</v>
      </c>
      <c r="K1338" s="325" t="s">
        <v>69</v>
      </c>
      <c r="L1338" s="181"/>
      <c r="M1338" s="181"/>
      <c r="N1338" s="37"/>
      <c r="O1338" s="31"/>
      <c r="P1338" s="37"/>
      <c r="Q1338" s="181"/>
      <c r="R1338" s="181"/>
      <c r="S1338" s="181"/>
      <c r="T1338" s="181"/>
      <c r="U1338" s="181"/>
      <c r="V1338" s="37"/>
      <c r="W1338" s="181"/>
      <c r="X1338" s="38"/>
      <c r="Y1338" s="38"/>
      <c r="Z1338" s="38"/>
      <c r="AA1338" s="38"/>
      <c r="AB1338" s="248"/>
      <c r="AC1338" s="250"/>
      <c r="AD1338" s="181"/>
      <c r="AE1338" s="37"/>
      <c r="AF1338" s="37"/>
      <c r="AG1338" s="33"/>
      <c r="AH1338" s="37"/>
      <c r="AI1338" s="37"/>
      <c r="AJ1338" s="181"/>
      <c r="AK1338" s="37"/>
      <c r="AL1338" s="37"/>
      <c r="AM1338" s="181"/>
      <c r="AN1338" s="37"/>
      <c r="AO1338" s="37"/>
      <c r="AP1338" s="37"/>
      <c r="AQ1338" s="37"/>
      <c r="AR1338" s="37"/>
      <c r="AS1338" s="37"/>
      <c r="AT1338" s="37"/>
      <c r="AU1338" s="37"/>
      <c r="AV1338" s="37"/>
      <c r="AW1338" s="37"/>
      <c r="AX1338" s="37"/>
      <c r="AY1338" s="37"/>
      <c r="AZ1338" s="37"/>
    </row>
    <row r="1339" spans="1:52" ht="15.5" customHeight="1">
      <c r="A1339" s="360"/>
      <c r="B1339" s="340"/>
      <c r="C1339" s="181"/>
      <c r="D1339" s="30"/>
      <c r="E1339" s="30"/>
      <c r="F1339" s="30"/>
      <c r="G1339" s="37"/>
      <c r="H1339" s="37"/>
      <c r="I1339" s="37"/>
      <c r="J1339" s="37" t="s">
        <v>69</v>
      </c>
      <c r="K1339" s="325" t="s">
        <v>69</v>
      </c>
      <c r="L1339" s="181"/>
      <c r="M1339" s="181"/>
      <c r="N1339" s="37"/>
      <c r="O1339" s="31"/>
      <c r="P1339" s="37"/>
      <c r="Q1339" s="181"/>
      <c r="R1339" s="181"/>
      <c r="S1339" s="181"/>
      <c r="T1339" s="181"/>
      <c r="U1339" s="181"/>
      <c r="V1339" s="37"/>
      <c r="W1339" s="181"/>
      <c r="X1339" s="38"/>
      <c r="Y1339" s="38"/>
      <c r="Z1339" s="38"/>
      <c r="AA1339" s="38"/>
      <c r="AB1339" s="248"/>
      <c r="AC1339" s="250"/>
      <c r="AD1339" s="181"/>
      <c r="AE1339" s="37"/>
      <c r="AF1339" s="37"/>
      <c r="AG1339" s="33"/>
      <c r="AH1339" s="37"/>
      <c r="AI1339" s="37"/>
      <c r="AJ1339" s="181"/>
      <c r="AK1339" s="37"/>
      <c r="AL1339" s="37"/>
      <c r="AM1339" s="181"/>
      <c r="AN1339" s="37"/>
      <c r="AO1339" s="37"/>
      <c r="AP1339" s="37"/>
      <c r="AQ1339" s="37"/>
      <c r="AR1339" s="37"/>
      <c r="AS1339" s="37"/>
      <c r="AT1339" s="37"/>
      <c r="AU1339" s="37"/>
      <c r="AV1339" s="37"/>
      <c r="AW1339" s="37"/>
      <c r="AX1339" s="37"/>
      <c r="AY1339" s="37"/>
      <c r="AZ1339" s="37"/>
    </row>
    <row r="1340" spans="1:52" ht="15.5" customHeight="1">
      <c r="A1340" s="360"/>
      <c r="B1340" s="340"/>
      <c r="C1340" s="181"/>
      <c r="D1340" s="30"/>
      <c r="E1340" s="30"/>
      <c r="F1340" s="30"/>
      <c r="G1340" s="37"/>
      <c r="H1340" s="37"/>
      <c r="I1340" s="37"/>
      <c r="J1340" s="37" t="s">
        <v>69</v>
      </c>
      <c r="K1340" s="325" t="s">
        <v>69</v>
      </c>
      <c r="L1340" s="181"/>
      <c r="M1340" s="181"/>
      <c r="N1340" s="37"/>
      <c r="O1340" s="31"/>
      <c r="P1340" s="37"/>
      <c r="Q1340" s="181"/>
      <c r="R1340" s="181"/>
      <c r="S1340" s="181"/>
      <c r="T1340" s="181"/>
      <c r="U1340" s="181"/>
      <c r="V1340" s="37"/>
      <c r="W1340" s="181"/>
      <c r="X1340" s="38"/>
      <c r="Y1340" s="38"/>
      <c r="Z1340" s="38"/>
      <c r="AA1340" s="38"/>
      <c r="AB1340" s="248"/>
      <c r="AC1340" s="250"/>
      <c r="AD1340" s="181"/>
      <c r="AE1340" s="37"/>
      <c r="AF1340" s="37"/>
      <c r="AG1340" s="33"/>
      <c r="AH1340" s="37"/>
      <c r="AI1340" s="37"/>
      <c r="AJ1340" s="181"/>
      <c r="AK1340" s="37"/>
      <c r="AL1340" s="37"/>
      <c r="AM1340" s="181"/>
      <c r="AN1340" s="37"/>
      <c r="AO1340" s="37"/>
      <c r="AP1340" s="37"/>
      <c r="AQ1340" s="37"/>
      <c r="AR1340" s="37"/>
      <c r="AS1340" s="37"/>
      <c r="AT1340" s="37"/>
      <c r="AU1340" s="37"/>
      <c r="AV1340" s="37"/>
      <c r="AW1340" s="37"/>
      <c r="AX1340" s="37"/>
      <c r="AY1340" s="37"/>
      <c r="AZ1340" s="37"/>
    </row>
    <row r="1341" spans="1:52" ht="15.5" customHeight="1">
      <c r="A1341" s="360"/>
      <c r="B1341" s="340"/>
      <c r="C1341" s="181"/>
      <c r="D1341" s="30"/>
      <c r="E1341" s="30"/>
      <c r="F1341" s="30"/>
      <c r="G1341" s="37"/>
      <c r="H1341" s="37"/>
      <c r="I1341" s="37"/>
      <c r="J1341" s="37" t="s">
        <v>69</v>
      </c>
      <c r="K1341" s="325" t="s">
        <v>69</v>
      </c>
      <c r="L1341" s="181"/>
      <c r="M1341" s="181"/>
      <c r="N1341" s="37"/>
      <c r="O1341" s="31"/>
      <c r="P1341" s="37"/>
      <c r="Q1341" s="181"/>
      <c r="R1341" s="181"/>
      <c r="S1341" s="181"/>
      <c r="T1341" s="181"/>
      <c r="U1341" s="181"/>
      <c r="V1341" s="37"/>
      <c r="W1341" s="181"/>
      <c r="X1341" s="38"/>
      <c r="Y1341" s="38"/>
      <c r="Z1341" s="38"/>
      <c r="AA1341" s="38"/>
      <c r="AB1341" s="248"/>
      <c r="AC1341" s="250"/>
      <c r="AD1341" s="181"/>
      <c r="AE1341" s="37"/>
      <c r="AF1341" s="37"/>
      <c r="AG1341" s="33"/>
      <c r="AH1341" s="37"/>
      <c r="AI1341" s="37"/>
      <c r="AJ1341" s="181"/>
      <c r="AK1341" s="37"/>
      <c r="AL1341" s="37"/>
      <c r="AM1341" s="181"/>
      <c r="AN1341" s="37"/>
      <c r="AO1341" s="37"/>
      <c r="AP1341" s="37"/>
      <c r="AQ1341" s="37"/>
      <c r="AR1341" s="37"/>
      <c r="AS1341" s="37"/>
      <c r="AT1341" s="37"/>
      <c r="AU1341" s="37"/>
      <c r="AV1341" s="37"/>
      <c r="AW1341" s="37"/>
      <c r="AX1341" s="37"/>
      <c r="AY1341" s="37"/>
      <c r="AZ1341" s="37"/>
    </row>
    <row r="1342" spans="1:52" ht="15.5" customHeight="1">
      <c r="A1342" s="360"/>
      <c r="B1342" s="340"/>
      <c r="C1342" s="181"/>
      <c r="D1342" s="30"/>
      <c r="E1342" s="30"/>
      <c r="F1342" s="30"/>
      <c r="G1342" s="37"/>
      <c r="H1342" s="37"/>
      <c r="I1342" s="37"/>
      <c r="J1342" s="37" t="s">
        <v>69</v>
      </c>
      <c r="K1342" s="325" t="s">
        <v>69</v>
      </c>
      <c r="L1342" s="181"/>
      <c r="M1342" s="181"/>
      <c r="N1342" s="37"/>
      <c r="O1342" s="31"/>
      <c r="P1342" s="37"/>
      <c r="Q1342" s="181"/>
      <c r="R1342" s="181"/>
      <c r="S1342" s="181"/>
      <c r="T1342" s="181"/>
      <c r="U1342" s="181"/>
      <c r="V1342" s="37"/>
      <c r="W1342" s="181"/>
      <c r="X1342" s="38"/>
      <c r="Y1342" s="38"/>
      <c r="Z1342" s="38"/>
      <c r="AA1342" s="38"/>
      <c r="AB1342" s="248"/>
      <c r="AC1342" s="250"/>
      <c r="AD1342" s="181"/>
      <c r="AE1342" s="37"/>
      <c r="AF1342" s="37"/>
      <c r="AG1342" s="33"/>
      <c r="AH1342" s="37"/>
      <c r="AI1342" s="37"/>
      <c r="AJ1342" s="181"/>
      <c r="AK1342" s="37"/>
      <c r="AL1342" s="37"/>
      <c r="AM1342" s="181"/>
      <c r="AN1342" s="37"/>
      <c r="AO1342" s="37"/>
      <c r="AP1342" s="37"/>
      <c r="AQ1342" s="37"/>
      <c r="AR1342" s="37"/>
      <c r="AS1342" s="37"/>
      <c r="AT1342" s="37"/>
      <c r="AU1342" s="37"/>
      <c r="AV1342" s="37"/>
      <c r="AW1342" s="37"/>
      <c r="AX1342" s="37"/>
      <c r="AY1342" s="37"/>
      <c r="AZ1342" s="37"/>
    </row>
    <row r="1343" spans="1:52" ht="15.5" customHeight="1">
      <c r="A1343" s="360"/>
      <c r="B1343" s="340"/>
      <c r="C1343" s="181"/>
      <c r="D1343" s="30"/>
      <c r="E1343" s="30"/>
      <c r="F1343" s="30"/>
      <c r="G1343" s="37"/>
      <c r="H1343" s="37"/>
      <c r="I1343" s="37"/>
      <c r="J1343" s="37" t="s">
        <v>69</v>
      </c>
      <c r="K1343" s="325" t="s">
        <v>69</v>
      </c>
      <c r="L1343" s="181"/>
      <c r="M1343" s="181"/>
      <c r="N1343" s="37"/>
      <c r="O1343" s="31"/>
      <c r="P1343" s="37"/>
      <c r="Q1343" s="181"/>
      <c r="R1343" s="181"/>
      <c r="S1343" s="181"/>
      <c r="T1343" s="181"/>
      <c r="U1343" s="181"/>
      <c r="V1343" s="37"/>
      <c r="W1343" s="181"/>
      <c r="X1343" s="38"/>
      <c r="Y1343" s="38"/>
      <c r="Z1343" s="38"/>
      <c r="AA1343" s="38"/>
      <c r="AB1343" s="248"/>
      <c r="AC1343" s="250"/>
      <c r="AD1343" s="181"/>
      <c r="AE1343" s="37"/>
      <c r="AF1343" s="37"/>
      <c r="AG1343" s="33"/>
      <c r="AH1343" s="37"/>
      <c r="AI1343" s="37"/>
      <c r="AJ1343" s="181"/>
      <c r="AK1343" s="37"/>
      <c r="AL1343" s="37"/>
      <c r="AM1343" s="181"/>
      <c r="AN1343" s="37"/>
      <c r="AO1343" s="37"/>
      <c r="AP1343" s="37"/>
      <c r="AQ1343" s="37"/>
      <c r="AR1343" s="37"/>
      <c r="AS1343" s="37"/>
      <c r="AT1343" s="37"/>
      <c r="AU1343" s="37"/>
      <c r="AV1343" s="37"/>
      <c r="AW1343" s="37"/>
      <c r="AX1343" s="37"/>
      <c r="AY1343" s="37"/>
      <c r="AZ1343" s="37"/>
    </row>
    <row r="1344" spans="1:52" ht="15.5" customHeight="1">
      <c r="A1344" s="360"/>
      <c r="B1344" s="340"/>
      <c r="C1344" s="181"/>
      <c r="D1344" s="30"/>
      <c r="E1344" s="30"/>
      <c r="F1344" s="30"/>
      <c r="G1344" s="37"/>
      <c r="H1344" s="37"/>
      <c r="I1344" s="37"/>
      <c r="J1344" s="37" t="s">
        <v>69</v>
      </c>
      <c r="K1344" s="325" t="s">
        <v>69</v>
      </c>
      <c r="L1344" s="181"/>
      <c r="M1344" s="181"/>
      <c r="N1344" s="37"/>
      <c r="O1344" s="31"/>
      <c r="P1344" s="37"/>
      <c r="Q1344" s="181"/>
      <c r="R1344" s="181"/>
      <c r="S1344" s="181"/>
      <c r="T1344" s="181"/>
      <c r="U1344" s="181"/>
      <c r="V1344" s="37"/>
      <c r="W1344" s="181"/>
      <c r="X1344" s="38"/>
      <c r="Y1344" s="38"/>
      <c r="Z1344" s="38"/>
      <c r="AA1344" s="38"/>
      <c r="AB1344" s="248"/>
      <c r="AC1344" s="250"/>
      <c r="AD1344" s="181"/>
      <c r="AE1344" s="37"/>
      <c r="AF1344" s="37"/>
      <c r="AG1344" s="33"/>
      <c r="AH1344" s="37"/>
      <c r="AI1344" s="37"/>
      <c r="AJ1344" s="181"/>
      <c r="AK1344" s="37"/>
      <c r="AL1344" s="37"/>
      <c r="AM1344" s="181"/>
      <c r="AN1344" s="37"/>
      <c r="AO1344" s="37"/>
      <c r="AP1344" s="37"/>
      <c r="AQ1344" s="37"/>
      <c r="AR1344" s="37"/>
      <c r="AS1344" s="37"/>
      <c r="AT1344" s="37"/>
      <c r="AU1344" s="37"/>
      <c r="AV1344" s="37"/>
      <c r="AW1344" s="37"/>
      <c r="AX1344" s="37"/>
      <c r="AY1344" s="37"/>
      <c r="AZ1344" s="37"/>
    </row>
    <row r="1345" spans="1:52" ht="15.5" customHeight="1">
      <c r="A1345" s="360"/>
      <c r="B1345" s="340"/>
      <c r="C1345" s="181"/>
      <c r="D1345" s="30"/>
      <c r="E1345" s="30"/>
      <c r="F1345" s="30"/>
      <c r="G1345" s="37"/>
      <c r="H1345" s="37"/>
      <c r="I1345" s="37"/>
      <c r="J1345" s="37" t="s">
        <v>69</v>
      </c>
      <c r="K1345" s="325" t="s">
        <v>69</v>
      </c>
      <c r="L1345" s="181"/>
      <c r="M1345" s="181"/>
      <c r="N1345" s="37"/>
      <c r="O1345" s="31"/>
      <c r="P1345" s="37"/>
      <c r="Q1345" s="181"/>
      <c r="R1345" s="181"/>
      <c r="S1345" s="181"/>
      <c r="T1345" s="181"/>
      <c r="U1345" s="181"/>
      <c r="V1345" s="37"/>
      <c r="W1345" s="181"/>
      <c r="X1345" s="38"/>
      <c r="Y1345" s="38"/>
      <c r="Z1345" s="38"/>
      <c r="AA1345" s="38"/>
      <c r="AB1345" s="248"/>
      <c r="AC1345" s="250"/>
      <c r="AD1345" s="181"/>
      <c r="AE1345" s="37"/>
      <c r="AF1345" s="37"/>
      <c r="AG1345" s="33"/>
      <c r="AH1345" s="37"/>
      <c r="AI1345" s="37"/>
      <c r="AJ1345" s="181"/>
      <c r="AK1345" s="37"/>
      <c r="AL1345" s="37"/>
      <c r="AM1345" s="181"/>
      <c r="AN1345" s="37"/>
      <c r="AO1345" s="37"/>
      <c r="AP1345" s="37"/>
      <c r="AQ1345" s="37"/>
      <c r="AR1345" s="37"/>
      <c r="AS1345" s="37"/>
      <c r="AT1345" s="37"/>
      <c r="AU1345" s="37"/>
      <c r="AV1345" s="37"/>
      <c r="AW1345" s="37"/>
      <c r="AX1345" s="37"/>
      <c r="AY1345" s="37"/>
      <c r="AZ1345" s="37"/>
    </row>
    <row r="1346" spans="1:52" ht="15.5" customHeight="1">
      <c r="A1346" s="360"/>
      <c r="B1346" s="340"/>
      <c r="C1346" s="181"/>
      <c r="D1346" s="30"/>
      <c r="E1346" s="30"/>
      <c r="F1346" s="30"/>
      <c r="G1346" s="37"/>
      <c r="H1346" s="37"/>
      <c r="I1346" s="37"/>
      <c r="J1346" s="37" t="s">
        <v>69</v>
      </c>
      <c r="K1346" s="325" t="s">
        <v>69</v>
      </c>
      <c r="L1346" s="181"/>
      <c r="M1346" s="181"/>
      <c r="N1346" s="37"/>
      <c r="O1346" s="31"/>
      <c r="P1346" s="37"/>
      <c r="Q1346" s="181"/>
      <c r="R1346" s="181"/>
      <c r="S1346" s="181"/>
      <c r="T1346" s="181"/>
      <c r="U1346" s="181"/>
      <c r="V1346" s="37"/>
      <c r="W1346" s="181"/>
      <c r="X1346" s="38"/>
      <c r="Y1346" s="38"/>
      <c r="Z1346" s="38"/>
      <c r="AA1346" s="38"/>
      <c r="AB1346" s="248"/>
      <c r="AC1346" s="250"/>
      <c r="AD1346" s="181"/>
      <c r="AE1346" s="37"/>
      <c r="AF1346" s="37"/>
      <c r="AG1346" s="33"/>
      <c r="AH1346" s="37"/>
      <c r="AI1346" s="37"/>
      <c r="AJ1346" s="181"/>
      <c r="AK1346" s="37"/>
      <c r="AL1346" s="37"/>
      <c r="AM1346" s="181"/>
      <c r="AN1346" s="37"/>
      <c r="AO1346" s="37"/>
      <c r="AP1346" s="37"/>
      <c r="AQ1346" s="37"/>
      <c r="AR1346" s="37"/>
      <c r="AS1346" s="37"/>
      <c r="AT1346" s="37"/>
      <c r="AU1346" s="37"/>
      <c r="AV1346" s="37"/>
      <c r="AW1346" s="37"/>
      <c r="AX1346" s="37"/>
      <c r="AY1346" s="37"/>
      <c r="AZ1346" s="37"/>
    </row>
    <row r="1347" spans="1:52" ht="15.5" customHeight="1">
      <c r="A1347" s="360"/>
      <c r="B1347" s="340"/>
      <c r="C1347" s="181"/>
      <c r="D1347" s="30"/>
      <c r="E1347" s="30"/>
      <c r="F1347" s="30"/>
      <c r="G1347" s="37"/>
      <c r="H1347" s="37"/>
      <c r="I1347" s="37"/>
      <c r="J1347" s="37" t="s">
        <v>69</v>
      </c>
      <c r="K1347" s="325" t="s">
        <v>69</v>
      </c>
      <c r="L1347" s="181"/>
      <c r="M1347" s="181"/>
      <c r="N1347" s="37"/>
      <c r="O1347" s="31"/>
      <c r="P1347" s="37"/>
      <c r="Q1347" s="181"/>
      <c r="R1347" s="181"/>
      <c r="S1347" s="181"/>
      <c r="T1347" s="181"/>
      <c r="U1347" s="181"/>
      <c r="V1347" s="37"/>
      <c r="W1347" s="181"/>
      <c r="X1347" s="38"/>
      <c r="Y1347" s="38"/>
      <c r="Z1347" s="38"/>
      <c r="AA1347" s="38"/>
      <c r="AB1347" s="248"/>
      <c r="AC1347" s="250"/>
      <c r="AD1347" s="181"/>
      <c r="AE1347" s="37"/>
      <c r="AF1347" s="37"/>
      <c r="AG1347" s="33"/>
      <c r="AH1347" s="37"/>
      <c r="AI1347" s="37"/>
      <c r="AJ1347" s="181"/>
      <c r="AK1347" s="37"/>
      <c r="AL1347" s="37"/>
      <c r="AM1347" s="181"/>
      <c r="AN1347" s="37"/>
      <c r="AO1347" s="37"/>
      <c r="AP1347" s="37"/>
      <c r="AQ1347" s="37"/>
      <c r="AR1347" s="37"/>
      <c r="AS1347" s="37"/>
      <c r="AT1347" s="37"/>
      <c r="AU1347" s="37"/>
      <c r="AV1347" s="37"/>
      <c r="AW1347" s="37"/>
      <c r="AX1347" s="37"/>
      <c r="AY1347" s="37"/>
      <c r="AZ1347" s="37"/>
    </row>
    <row r="1348" spans="1:52" ht="15.5" customHeight="1">
      <c r="A1348" s="360"/>
      <c r="B1348" s="340"/>
      <c r="C1348" s="181"/>
      <c r="D1348" s="30"/>
      <c r="E1348" s="30"/>
      <c r="F1348" s="30"/>
      <c r="G1348" s="37"/>
      <c r="H1348" s="37"/>
      <c r="I1348" s="37"/>
      <c r="J1348" s="37" t="s">
        <v>69</v>
      </c>
      <c r="K1348" s="325" t="s">
        <v>69</v>
      </c>
      <c r="L1348" s="181"/>
      <c r="M1348" s="181"/>
      <c r="N1348" s="37"/>
      <c r="O1348" s="31"/>
      <c r="P1348" s="37"/>
      <c r="Q1348" s="181"/>
      <c r="R1348" s="181"/>
      <c r="S1348" s="181"/>
      <c r="T1348" s="181"/>
      <c r="U1348" s="181"/>
      <c r="V1348" s="37"/>
      <c r="W1348" s="181"/>
      <c r="X1348" s="38"/>
      <c r="Y1348" s="38"/>
      <c r="Z1348" s="38"/>
      <c r="AA1348" s="38"/>
      <c r="AB1348" s="248"/>
      <c r="AC1348" s="250"/>
      <c r="AD1348" s="181"/>
      <c r="AE1348" s="37"/>
      <c r="AF1348" s="37"/>
      <c r="AG1348" s="33"/>
      <c r="AH1348" s="37"/>
      <c r="AI1348" s="37"/>
      <c r="AJ1348" s="181"/>
      <c r="AK1348" s="37"/>
      <c r="AL1348" s="37"/>
      <c r="AM1348" s="181"/>
      <c r="AN1348" s="37"/>
      <c r="AO1348" s="37"/>
      <c r="AP1348" s="37"/>
      <c r="AQ1348" s="37"/>
      <c r="AR1348" s="37"/>
      <c r="AS1348" s="37"/>
      <c r="AT1348" s="37"/>
      <c r="AU1348" s="37"/>
      <c r="AV1348" s="37"/>
      <c r="AW1348" s="37"/>
      <c r="AX1348" s="37"/>
      <c r="AY1348" s="37"/>
      <c r="AZ1348" s="37"/>
    </row>
    <row r="1349" spans="1:52" ht="15.5" customHeight="1">
      <c r="A1349" s="360"/>
      <c r="B1349" s="340"/>
      <c r="C1349" s="181"/>
      <c r="D1349" s="30"/>
      <c r="E1349" s="30"/>
      <c r="F1349" s="30"/>
      <c r="G1349" s="37"/>
      <c r="H1349" s="37"/>
      <c r="I1349" s="37"/>
      <c r="J1349" s="37" t="s">
        <v>69</v>
      </c>
      <c r="K1349" s="325" t="s">
        <v>69</v>
      </c>
      <c r="L1349" s="181"/>
      <c r="M1349" s="181"/>
      <c r="N1349" s="37"/>
      <c r="O1349" s="31"/>
      <c r="P1349" s="37"/>
      <c r="Q1349" s="181"/>
      <c r="R1349" s="181"/>
      <c r="S1349" s="181"/>
      <c r="T1349" s="181"/>
      <c r="U1349" s="181"/>
      <c r="V1349" s="37"/>
      <c r="W1349" s="181"/>
      <c r="X1349" s="38"/>
      <c r="Y1349" s="38"/>
      <c r="Z1349" s="38"/>
      <c r="AA1349" s="38"/>
      <c r="AB1349" s="248"/>
      <c r="AC1349" s="250"/>
      <c r="AD1349" s="181"/>
      <c r="AE1349" s="37"/>
      <c r="AF1349" s="37"/>
      <c r="AG1349" s="33"/>
      <c r="AH1349" s="37"/>
      <c r="AI1349" s="37"/>
      <c r="AJ1349" s="181"/>
      <c r="AK1349" s="37"/>
      <c r="AL1349" s="37"/>
      <c r="AM1349" s="181"/>
      <c r="AN1349" s="37"/>
      <c r="AO1349" s="37"/>
      <c r="AP1349" s="37"/>
      <c r="AQ1349" s="37"/>
      <c r="AR1349" s="37"/>
      <c r="AS1349" s="37"/>
      <c r="AT1349" s="37"/>
      <c r="AU1349" s="37"/>
      <c r="AV1349" s="37"/>
      <c r="AW1349" s="37"/>
      <c r="AX1349" s="37"/>
      <c r="AY1349" s="37"/>
      <c r="AZ1349" s="37"/>
    </row>
    <row r="1350" spans="1:52" ht="15.5" customHeight="1">
      <c r="A1350" s="360"/>
      <c r="B1350" s="340"/>
      <c r="C1350" s="181"/>
      <c r="D1350" s="30"/>
      <c r="E1350" s="30"/>
      <c r="F1350" s="30"/>
      <c r="G1350" s="37"/>
      <c r="H1350" s="37"/>
      <c r="I1350" s="37"/>
      <c r="J1350" s="37" t="s">
        <v>69</v>
      </c>
      <c r="K1350" s="325" t="s">
        <v>69</v>
      </c>
      <c r="L1350" s="181"/>
      <c r="M1350" s="181"/>
      <c r="N1350" s="37"/>
      <c r="O1350" s="31"/>
      <c r="P1350" s="37"/>
      <c r="Q1350" s="181"/>
      <c r="R1350" s="181"/>
      <c r="S1350" s="181"/>
      <c r="T1350" s="181"/>
      <c r="U1350" s="181"/>
      <c r="V1350" s="37"/>
      <c r="W1350" s="181"/>
      <c r="X1350" s="38"/>
      <c r="Y1350" s="38"/>
      <c r="Z1350" s="38"/>
      <c r="AA1350" s="38"/>
      <c r="AB1350" s="248"/>
      <c r="AC1350" s="250"/>
      <c r="AD1350" s="181"/>
      <c r="AE1350" s="37"/>
      <c r="AF1350" s="37"/>
      <c r="AG1350" s="33"/>
      <c r="AH1350" s="37"/>
      <c r="AI1350" s="37"/>
      <c r="AJ1350" s="181"/>
      <c r="AK1350" s="37"/>
      <c r="AL1350" s="37"/>
      <c r="AM1350" s="181"/>
      <c r="AN1350" s="37"/>
      <c r="AO1350" s="37"/>
      <c r="AP1350" s="37"/>
      <c r="AQ1350" s="37"/>
      <c r="AR1350" s="37"/>
      <c r="AS1350" s="37"/>
      <c r="AT1350" s="37"/>
      <c r="AU1350" s="37"/>
      <c r="AV1350" s="37"/>
      <c r="AW1350" s="37"/>
      <c r="AX1350" s="37"/>
      <c r="AY1350" s="37"/>
      <c r="AZ1350" s="37"/>
    </row>
    <row r="1351" spans="1:52" ht="15.5" customHeight="1">
      <c r="A1351" s="360"/>
      <c r="B1351" s="340"/>
      <c r="C1351" s="181"/>
      <c r="D1351" s="30"/>
      <c r="E1351" s="30"/>
      <c r="F1351" s="30"/>
      <c r="G1351" s="37"/>
      <c r="H1351" s="37"/>
      <c r="I1351" s="37"/>
      <c r="J1351" s="37" t="s">
        <v>69</v>
      </c>
      <c r="K1351" s="325" t="s">
        <v>69</v>
      </c>
      <c r="L1351" s="181"/>
      <c r="M1351" s="181"/>
      <c r="N1351" s="37"/>
      <c r="O1351" s="31"/>
      <c r="P1351" s="37"/>
      <c r="Q1351" s="181"/>
      <c r="R1351" s="181"/>
      <c r="S1351" s="181"/>
      <c r="T1351" s="181"/>
      <c r="U1351" s="181"/>
      <c r="V1351" s="37"/>
      <c r="W1351" s="181"/>
      <c r="X1351" s="38"/>
      <c r="Y1351" s="38"/>
      <c r="Z1351" s="38"/>
      <c r="AA1351" s="38"/>
      <c r="AB1351" s="248"/>
      <c r="AC1351" s="250"/>
      <c r="AD1351" s="181"/>
      <c r="AE1351" s="37"/>
      <c r="AF1351" s="37"/>
      <c r="AG1351" s="33"/>
      <c r="AH1351" s="37"/>
      <c r="AI1351" s="37"/>
      <c r="AJ1351" s="181"/>
      <c r="AK1351" s="37"/>
      <c r="AL1351" s="37"/>
      <c r="AM1351" s="181"/>
      <c r="AN1351" s="37"/>
      <c r="AO1351" s="37"/>
      <c r="AP1351" s="37"/>
      <c r="AQ1351" s="37"/>
      <c r="AR1351" s="37"/>
      <c r="AS1351" s="37"/>
      <c r="AT1351" s="37"/>
      <c r="AU1351" s="37"/>
      <c r="AV1351" s="37"/>
      <c r="AW1351" s="37"/>
      <c r="AX1351" s="37"/>
      <c r="AY1351" s="37"/>
      <c r="AZ1351" s="37"/>
    </row>
    <row r="1352" spans="1:52" ht="15.5" customHeight="1">
      <c r="A1352" s="360"/>
      <c r="B1352" s="340"/>
      <c r="C1352" s="181"/>
      <c r="D1352" s="30"/>
      <c r="E1352" s="30"/>
      <c r="F1352" s="30"/>
      <c r="G1352" s="37"/>
      <c r="H1352" s="37"/>
      <c r="I1352" s="37"/>
      <c r="J1352" s="37" t="s">
        <v>69</v>
      </c>
      <c r="K1352" s="325" t="s">
        <v>69</v>
      </c>
      <c r="L1352" s="181"/>
      <c r="M1352" s="181"/>
      <c r="N1352" s="37"/>
      <c r="O1352" s="31"/>
      <c r="P1352" s="37"/>
      <c r="Q1352" s="181"/>
      <c r="R1352" s="181"/>
      <c r="S1352" s="181"/>
      <c r="T1352" s="181"/>
      <c r="U1352" s="181"/>
      <c r="V1352" s="37"/>
      <c r="W1352" s="181"/>
      <c r="X1352" s="38"/>
      <c r="Y1352" s="38"/>
      <c r="Z1352" s="38"/>
      <c r="AA1352" s="38"/>
      <c r="AB1352" s="248"/>
      <c r="AC1352" s="250"/>
      <c r="AD1352" s="181"/>
      <c r="AE1352" s="37"/>
      <c r="AF1352" s="37"/>
      <c r="AG1352" s="33"/>
      <c r="AH1352" s="37"/>
      <c r="AI1352" s="37"/>
      <c r="AJ1352" s="181"/>
      <c r="AK1352" s="37"/>
      <c r="AL1352" s="37"/>
      <c r="AM1352" s="181"/>
      <c r="AN1352" s="37"/>
      <c r="AO1352" s="37"/>
      <c r="AP1352" s="37"/>
      <c r="AQ1352" s="37"/>
      <c r="AR1352" s="37"/>
      <c r="AS1352" s="37"/>
      <c r="AT1352" s="37"/>
      <c r="AU1352" s="37"/>
      <c r="AV1352" s="37"/>
      <c r="AW1352" s="37"/>
      <c r="AX1352" s="37"/>
      <c r="AY1352" s="37"/>
      <c r="AZ1352" s="37"/>
    </row>
    <row r="1353" spans="1:52" ht="15.5" customHeight="1">
      <c r="A1353" s="360"/>
      <c r="B1353" s="340"/>
      <c r="C1353" s="181"/>
      <c r="D1353" s="30"/>
      <c r="E1353" s="30"/>
      <c r="F1353" s="30"/>
      <c r="G1353" s="37"/>
      <c r="H1353" s="37"/>
      <c r="I1353" s="37"/>
      <c r="J1353" s="37" t="s">
        <v>69</v>
      </c>
      <c r="K1353" s="325" t="s">
        <v>69</v>
      </c>
      <c r="L1353" s="181"/>
      <c r="M1353" s="181"/>
      <c r="N1353" s="37"/>
      <c r="O1353" s="31"/>
      <c r="P1353" s="37"/>
      <c r="Q1353" s="181"/>
      <c r="R1353" s="181"/>
      <c r="S1353" s="181"/>
      <c r="T1353" s="181"/>
      <c r="U1353" s="181"/>
      <c r="V1353" s="37"/>
      <c r="W1353" s="181"/>
      <c r="X1353" s="38"/>
      <c r="Y1353" s="38"/>
      <c r="Z1353" s="38"/>
      <c r="AA1353" s="38"/>
      <c r="AB1353" s="248"/>
      <c r="AC1353" s="250"/>
      <c r="AD1353" s="181"/>
      <c r="AE1353" s="37"/>
      <c r="AF1353" s="37"/>
      <c r="AG1353" s="33"/>
      <c r="AH1353" s="37"/>
      <c r="AI1353" s="37"/>
      <c r="AJ1353" s="181"/>
      <c r="AK1353" s="37"/>
      <c r="AL1353" s="37"/>
      <c r="AM1353" s="181"/>
      <c r="AN1353" s="37"/>
      <c r="AO1353" s="37"/>
      <c r="AP1353" s="37"/>
      <c r="AQ1353" s="37"/>
      <c r="AR1353" s="37"/>
      <c r="AS1353" s="37"/>
      <c r="AT1353" s="37"/>
      <c r="AU1353" s="37"/>
      <c r="AV1353" s="37"/>
      <c r="AW1353" s="37"/>
      <c r="AX1353" s="37"/>
      <c r="AY1353" s="37"/>
      <c r="AZ1353" s="37"/>
    </row>
    <row r="1354" spans="1:52" ht="15.5" customHeight="1">
      <c r="A1354" s="360"/>
      <c r="B1354" s="340"/>
      <c r="C1354" s="181"/>
      <c r="D1354" s="30"/>
      <c r="E1354" s="30"/>
      <c r="F1354" s="30"/>
      <c r="G1354" s="37"/>
      <c r="H1354" s="37"/>
      <c r="I1354" s="37"/>
      <c r="J1354" s="37" t="s">
        <v>69</v>
      </c>
      <c r="K1354" s="325" t="s">
        <v>69</v>
      </c>
      <c r="L1354" s="181"/>
      <c r="M1354" s="181"/>
      <c r="N1354" s="37"/>
      <c r="O1354" s="31"/>
      <c r="P1354" s="37"/>
      <c r="Q1354" s="181"/>
      <c r="R1354" s="181"/>
      <c r="S1354" s="181"/>
      <c r="T1354" s="181"/>
      <c r="U1354" s="181"/>
      <c r="V1354" s="37"/>
      <c r="W1354" s="181"/>
      <c r="X1354" s="38"/>
      <c r="Y1354" s="38"/>
      <c r="Z1354" s="38"/>
      <c r="AA1354" s="38"/>
      <c r="AB1354" s="248"/>
      <c r="AC1354" s="250"/>
      <c r="AD1354" s="181"/>
      <c r="AE1354" s="37"/>
      <c r="AF1354" s="37"/>
      <c r="AG1354" s="33"/>
      <c r="AH1354" s="37"/>
      <c r="AI1354" s="37"/>
      <c r="AJ1354" s="181"/>
      <c r="AK1354" s="37"/>
      <c r="AL1354" s="37"/>
      <c r="AM1354" s="181"/>
      <c r="AN1354" s="37"/>
      <c r="AO1354" s="37"/>
      <c r="AP1354" s="37"/>
      <c r="AQ1354" s="37"/>
      <c r="AR1354" s="37"/>
      <c r="AS1354" s="37"/>
      <c r="AT1354" s="37"/>
      <c r="AU1354" s="37"/>
      <c r="AV1354" s="37"/>
      <c r="AW1354" s="37"/>
      <c r="AX1354" s="37"/>
      <c r="AY1354" s="37"/>
      <c r="AZ1354" s="37"/>
    </row>
    <row r="1355" spans="1:52" ht="15.5" customHeight="1">
      <c r="A1355" s="360"/>
      <c r="B1355" s="340"/>
      <c r="C1355" s="181"/>
      <c r="D1355" s="30"/>
      <c r="E1355" s="30"/>
      <c r="F1355" s="30"/>
      <c r="G1355" s="37"/>
      <c r="H1355" s="37"/>
      <c r="I1355" s="37"/>
      <c r="J1355" s="37" t="s">
        <v>69</v>
      </c>
      <c r="K1355" s="325" t="s">
        <v>69</v>
      </c>
      <c r="L1355" s="181"/>
      <c r="M1355" s="181"/>
      <c r="N1355" s="37"/>
      <c r="O1355" s="31"/>
      <c r="P1355" s="37"/>
      <c r="Q1355" s="181"/>
      <c r="R1355" s="181"/>
      <c r="S1355" s="181"/>
      <c r="T1355" s="181"/>
      <c r="U1355" s="181"/>
      <c r="V1355" s="37"/>
      <c r="W1355" s="181"/>
      <c r="X1355" s="38"/>
      <c r="Y1355" s="38"/>
      <c r="Z1355" s="38"/>
      <c r="AA1355" s="38"/>
      <c r="AB1355" s="248"/>
      <c r="AC1355" s="250"/>
      <c r="AD1355" s="181"/>
      <c r="AE1355" s="37"/>
      <c r="AF1355" s="37"/>
      <c r="AG1355" s="33"/>
      <c r="AH1355" s="37"/>
      <c r="AI1355" s="37"/>
      <c r="AJ1355" s="181"/>
      <c r="AK1355" s="37"/>
      <c r="AL1355" s="37"/>
      <c r="AM1355" s="181"/>
      <c r="AN1355" s="37"/>
      <c r="AO1355" s="37"/>
      <c r="AP1355" s="37"/>
      <c r="AQ1355" s="37"/>
      <c r="AR1355" s="37"/>
      <c r="AS1355" s="37"/>
      <c r="AT1355" s="37"/>
      <c r="AU1355" s="37"/>
      <c r="AV1355" s="37"/>
      <c r="AW1355" s="37"/>
      <c r="AX1355" s="37"/>
      <c r="AY1355" s="37"/>
      <c r="AZ1355" s="37"/>
    </row>
    <row r="1356" spans="1:52" ht="15.5" customHeight="1">
      <c r="A1356" s="360"/>
      <c r="B1356" s="340"/>
      <c r="C1356" s="181"/>
      <c r="D1356" s="30"/>
      <c r="E1356" s="30"/>
      <c r="F1356" s="30"/>
      <c r="G1356" s="37"/>
      <c r="H1356" s="37"/>
      <c r="I1356" s="37"/>
      <c r="J1356" s="37" t="s">
        <v>69</v>
      </c>
      <c r="K1356" s="325" t="s">
        <v>69</v>
      </c>
      <c r="L1356" s="181"/>
      <c r="M1356" s="181"/>
      <c r="N1356" s="37"/>
      <c r="O1356" s="31"/>
      <c r="P1356" s="37"/>
      <c r="Q1356" s="181"/>
      <c r="R1356" s="181"/>
      <c r="S1356" s="181"/>
      <c r="T1356" s="181"/>
      <c r="U1356" s="181"/>
      <c r="V1356" s="37"/>
      <c r="W1356" s="181"/>
      <c r="X1356" s="38"/>
      <c r="Y1356" s="38"/>
      <c r="Z1356" s="38"/>
      <c r="AA1356" s="38"/>
      <c r="AB1356" s="248"/>
      <c r="AC1356" s="250"/>
      <c r="AD1356" s="181"/>
      <c r="AE1356" s="37"/>
      <c r="AF1356" s="37"/>
      <c r="AG1356" s="33"/>
      <c r="AH1356" s="37"/>
      <c r="AI1356" s="37"/>
      <c r="AJ1356" s="181"/>
      <c r="AK1356" s="37"/>
      <c r="AL1356" s="37"/>
      <c r="AM1356" s="181"/>
      <c r="AN1356" s="37"/>
      <c r="AO1356" s="37"/>
      <c r="AP1356" s="37"/>
      <c r="AQ1356" s="37"/>
      <c r="AR1356" s="37"/>
      <c r="AS1356" s="37"/>
      <c r="AT1356" s="37"/>
      <c r="AU1356" s="37"/>
      <c r="AV1356" s="37"/>
      <c r="AW1356" s="37"/>
      <c r="AX1356" s="37"/>
      <c r="AY1356" s="37"/>
      <c r="AZ1356" s="37"/>
    </row>
    <row r="1357" spans="1:52" ht="15.5" customHeight="1">
      <c r="A1357" s="360"/>
      <c r="B1357" s="340"/>
      <c r="C1357" s="181"/>
      <c r="D1357" s="30"/>
      <c r="E1357" s="30"/>
      <c r="F1357" s="30"/>
      <c r="G1357" s="37"/>
      <c r="H1357" s="37"/>
      <c r="I1357" s="37"/>
      <c r="J1357" s="37" t="s">
        <v>69</v>
      </c>
      <c r="K1357" s="325" t="s">
        <v>69</v>
      </c>
      <c r="L1357" s="181"/>
      <c r="M1357" s="181"/>
      <c r="N1357" s="37"/>
      <c r="O1357" s="31"/>
      <c r="P1357" s="37"/>
      <c r="Q1357" s="181"/>
      <c r="R1357" s="181"/>
      <c r="S1357" s="181"/>
      <c r="T1357" s="181"/>
      <c r="U1357" s="181"/>
      <c r="V1357" s="37"/>
      <c r="W1357" s="181"/>
      <c r="X1357" s="38"/>
      <c r="Y1357" s="38"/>
      <c r="Z1357" s="38"/>
      <c r="AA1357" s="38"/>
      <c r="AB1357" s="248"/>
      <c r="AC1357" s="250"/>
      <c r="AD1357" s="181"/>
      <c r="AE1357" s="37"/>
      <c r="AF1357" s="37"/>
      <c r="AG1357" s="33"/>
      <c r="AH1357" s="37"/>
      <c r="AI1357" s="37"/>
      <c r="AJ1357" s="181"/>
      <c r="AK1357" s="37"/>
      <c r="AL1357" s="37"/>
      <c r="AM1357" s="181"/>
      <c r="AN1357" s="37"/>
      <c r="AO1357" s="37"/>
      <c r="AP1357" s="37"/>
      <c r="AQ1357" s="37"/>
      <c r="AR1357" s="37"/>
      <c r="AS1357" s="37"/>
      <c r="AT1357" s="37"/>
      <c r="AU1357" s="37"/>
      <c r="AV1357" s="37"/>
      <c r="AW1357" s="37"/>
      <c r="AX1357" s="37"/>
      <c r="AY1357" s="37"/>
      <c r="AZ1357" s="37"/>
    </row>
    <row r="1358" spans="1:52" ht="15.5" customHeight="1">
      <c r="A1358" s="360"/>
      <c r="B1358" s="340"/>
      <c r="C1358" s="181"/>
      <c r="D1358" s="30"/>
      <c r="E1358" s="30"/>
      <c r="F1358" s="30"/>
      <c r="G1358" s="37"/>
      <c r="H1358" s="37"/>
      <c r="I1358" s="37"/>
      <c r="J1358" s="37" t="s">
        <v>69</v>
      </c>
      <c r="K1358" s="325" t="s">
        <v>69</v>
      </c>
      <c r="L1358" s="181"/>
      <c r="M1358" s="181"/>
      <c r="N1358" s="37"/>
      <c r="O1358" s="31"/>
      <c r="P1358" s="37"/>
      <c r="Q1358" s="181"/>
      <c r="R1358" s="181"/>
      <c r="S1358" s="181"/>
      <c r="T1358" s="181"/>
      <c r="U1358" s="181"/>
      <c r="V1358" s="37"/>
      <c r="W1358" s="181"/>
      <c r="X1358" s="38"/>
      <c r="Y1358" s="38"/>
      <c r="Z1358" s="38"/>
      <c r="AA1358" s="38"/>
      <c r="AB1358" s="248"/>
      <c r="AC1358" s="250"/>
      <c r="AD1358" s="181"/>
      <c r="AE1358" s="37"/>
      <c r="AF1358" s="37"/>
      <c r="AG1358" s="33"/>
      <c r="AH1358" s="37"/>
      <c r="AI1358" s="37"/>
      <c r="AJ1358" s="181"/>
      <c r="AK1358" s="37"/>
      <c r="AL1358" s="37"/>
      <c r="AM1358" s="181"/>
      <c r="AN1358" s="37"/>
      <c r="AO1358" s="37"/>
      <c r="AP1358" s="37"/>
      <c r="AQ1358" s="37"/>
      <c r="AR1358" s="37"/>
      <c r="AS1358" s="37"/>
      <c r="AT1358" s="37"/>
      <c r="AU1358" s="37"/>
      <c r="AV1358" s="37"/>
      <c r="AW1358" s="37"/>
      <c r="AX1358" s="37"/>
      <c r="AY1358" s="37"/>
      <c r="AZ1358" s="37"/>
    </row>
    <row r="1359" spans="1:52" ht="15.5" customHeight="1">
      <c r="A1359" s="360"/>
      <c r="B1359" s="340"/>
      <c r="C1359" s="181"/>
      <c r="D1359" s="30"/>
      <c r="E1359" s="30"/>
      <c r="F1359" s="30"/>
      <c r="G1359" s="37"/>
      <c r="H1359" s="37"/>
      <c r="I1359" s="37"/>
      <c r="J1359" s="37" t="s">
        <v>69</v>
      </c>
      <c r="K1359" s="325" t="s">
        <v>69</v>
      </c>
      <c r="L1359" s="181"/>
      <c r="M1359" s="181"/>
      <c r="N1359" s="37"/>
      <c r="O1359" s="31"/>
      <c r="P1359" s="37"/>
      <c r="Q1359" s="181"/>
      <c r="R1359" s="181"/>
      <c r="S1359" s="181"/>
      <c r="T1359" s="181"/>
      <c r="U1359" s="181"/>
      <c r="V1359" s="37"/>
      <c r="W1359" s="181"/>
      <c r="X1359" s="38"/>
      <c r="Y1359" s="38"/>
      <c r="Z1359" s="38"/>
      <c r="AA1359" s="38"/>
      <c r="AB1359" s="248"/>
      <c r="AC1359" s="250"/>
      <c r="AD1359" s="181"/>
      <c r="AE1359" s="37"/>
      <c r="AF1359" s="37"/>
      <c r="AG1359" s="33"/>
      <c r="AH1359" s="37"/>
      <c r="AI1359" s="37"/>
      <c r="AJ1359" s="181"/>
      <c r="AK1359" s="37"/>
      <c r="AL1359" s="37"/>
      <c r="AM1359" s="181"/>
      <c r="AN1359" s="37"/>
      <c r="AO1359" s="37"/>
      <c r="AP1359" s="37"/>
      <c r="AQ1359" s="37"/>
      <c r="AR1359" s="37"/>
      <c r="AS1359" s="37"/>
      <c r="AT1359" s="37"/>
      <c r="AU1359" s="37"/>
      <c r="AV1359" s="37"/>
      <c r="AW1359" s="37"/>
      <c r="AX1359" s="37"/>
      <c r="AY1359" s="37"/>
      <c r="AZ1359" s="37"/>
    </row>
    <row r="1360" spans="1:52" ht="15.5" customHeight="1">
      <c r="A1360" s="360"/>
      <c r="B1360" s="340"/>
      <c r="C1360" s="181"/>
      <c r="D1360" s="30"/>
      <c r="E1360" s="30"/>
      <c r="F1360" s="30"/>
      <c r="G1360" s="37"/>
      <c r="H1360" s="37"/>
      <c r="I1360" s="37"/>
      <c r="J1360" s="37" t="s">
        <v>69</v>
      </c>
      <c r="K1360" s="325" t="s">
        <v>69</v>
      </c>
      <c r="L1360" s="181"/>
      <c r="M1360" s="181"/>
      <c r="N1360" s="37"/>
      <c r="O1360" s="31"/>
      <c r="P1360" s="37"/>
      <c r="Q1360" s="181"/>
      <c r="R1360" s="181"/>
      <c r="S1360" s="181"/>
      <c r="T1360" s="181"/>
      <c r="U1360" s="181"/>
      <c r="V1360" s="37"/>
      <c r="W1360" s="181"/>
      <c r="X1360" s="38"/>
      <c r="Y1360" s="38"/>
      <c r="Z1360" s="38"/>
      <c r="AA1360" s="38"/>
      <c r="AB1360" s="248"/>
      <c r="AC1360" s="250"/>
      <c r="AD1360" s="181"/>
      <c r="AE1360" s="37"/>
      <c r="AF1360" s="37"/>
      <c r="AG1360" s="33"/>
      <c r="AH1360" s="37"/>
      <c r="AI1360" s="37"/>
      <c r="AJ1360" s="181"/>
      <c r="AK1360" s="37"/>
      <c r="AL1360" s="37"/>
      <c r="AM1360" s="181"/>
      <c r="AN1360" s="37"/>
      <c r="AO1360" s="37"/>
      <c r="AP1360" s="37"/>
      <c r="AQ1360" s="37"/>
      <c r="AR1360" s="37"/>
      <c r="AS1360" s="37"/>
      <c r="AT1360" s="37"/>
      <c r="AU1360" s="37"/>
      <c r="AV1360" s="37"/>
      <c r="AW1360" s="37"/>
      <c r="AX1360" s="37"/>
      <c r="AY1360" s="37"/>
      <c r="AZ1360" s="37"/>
    </row>
    <row r="1361" spans="1:52" ht="15.5" customHeight="1">
      <c r="A1361" s="360"/>
      <c r="B1361" s="340"/>
      <c r="C1361" s="181"/>
      <c r="D1361" s="30"/>
      <c r="E1361" s="30"/>
      <c r="F1361" s="30"/>
      <c r="G1361" s="37"/>
      <c r="H1361" s="37"/>
      <c r="I1361" s="37"/>
      <c r="J1361" s="37" t="s">
        <v>69</v>
      </c>
      <c r="K1361" s="325" t="s">
        <v>69</v>
      </c>
      <c r="L1361" s="181"/>
      <c r="M1361" s="181"/>
      <c r="N1361" s="37"/>
      <c r="O1361" s="31"/>
      <c r="P1361" s="37"/>
      <c r="Q1361" s="181"/>
      <c r="R1361" s="181"/>
      <c r="S1361" s="181"/>
      <c r="T1361" s="181"/>
      <c r="U1361" s="181"/>
      <c r="V1361" s="37"/>
      <c r="W1361" s="181"/>
      <c r="X1361" s="38"/>
      <c r="Y1361" s="38"/>
      <c r="Z1361" s="38"/>
      <c r="AA1361" s="38"/>
      <c r="AB1361" s="248"/>
      <c r="AC1361" s="250"/>
      <c r="AD1361" s="181"/>
      <c r="AE1361" s="37"/>
      <c r="AF1361" s="37"/>
      <c r="AG1361" s="33"/>
      <c r="AH1361" s="37"/>
      <c r="AI1361" s="37"/>
      <c r="AJ1361" s="181"/>
      <c r="AK1361" s="37"/>
      <c r="AL1361" s="37"/>
      <c r="AM1361" s="181"/>
      <c r="AN1361" s="37"/>
      <c r="AO1361" s="37"/>
      <c r="AP1361" s="37"/>
      <c r="AQ1361" s="37"/>
      <c r="AR1361" s="37"/>
      <c r="AS1361" s="37"/>
      <c r="AT1361" s="37"/>
      <c r="AU1361" s="37"/>
      <c r="AV1361" s="37"/>
      <c r="AW1361" s="37"/>
      <c r="AX1361" s="37"/>
      <c r="AY1361" s="37"/>
      <c r="AZ1361" s="37"/>
    </row>
    <row r="1362" spans="1:52" ht="15.5" customHeight="1">
      <c r="A1362" s="360"/>
      <c r="B1362" s="340"/>
      <c r="C1362" s="181"/>
      <c r="D1362" s="30"/>
      <c r="E1362" s="30"/>
      <c r="F1362" s="30"/>
      <c r="G1362" s="37"/>
      <c r="H1362" s="37"/>
      <c r="I1362" s="37"/>
      <c r="J1362" s="37" t="s">
        <v>69</v>
      </c>
      <c r="K1362" s="325" t="s">
        <v>69</v>
      </c>
      <c r="L1362" s="181"/>
      <c r="M1362" s="181"/>
      <c r="N1362" s="37"/>
      <c r="O1362" s="31"/>
      <c r="P1362" s="37"/>
      <c r="Q1362" s="181"/>
      <c r="R1362" s="181"/>
      <c r="S1362" s="181"/>
      <c r="T1362" s="181"/>
      <c r="U1362" s="181"/>
      <c r="V1362" s="37"/>
      <c r="W1362" s="181"/>
      <c r="X1362" s="38"/>
      <c r="Y1362" s="38"/>
      <c r="Z1362" s="38"/>
      <c r="AA1362" s="38"/>
      <c r="AB1362" s="248"/>
      <c r="AC1362" s="250"/>
      <c r="AD1362" s="181"/>
      <c r="AE1362" s="37"/>
      <c r="AF1362" s="37"/>
      <c r="AG1362" s="33"/>
      <c r="AH1362" s="37"/>
      <c r="AI1362" s="37"/>
      <c r="AJ1362" s="181"/>
      <c r="AK1362" s="37"/>
      <c r="AL1362" s="37"/>
      <c r="AM1362" s="181"/>
      <c r="AN1362" s="37"/>
      <c r="AO1362" s="37"/>
      <c r="AP1362" s="37"/>
      <c r="AQ1362" s="37"/>
      <c r="AR1362" s="37"/>
      <c r="AS1362" s="37"/>
      <c r="AT1362" s="37"/>
      <c r="AU1362" s="37"/>
      <c r="AV1362" s="37"/>
      <c r="AW1362" s="37"/>
      <c r="AX1362" s="37"/>
      <c r="AY1362" s="37"/>
      <c r="AZ1362" s="37"/>
    </row>
    <row r="1363" spans="1:52" ht="15.5" customHeight="1">
      <c r="A1363" s="360"/>
      <c r="B1363" s="340"/>
      <c r="C1363" s="181"/>
      <c r="D1363" s="30"/>
      <c r="E1363" s="30"/>
      <c r="F1363" s="30"/>
      <c r="G1363" s="37"/>
      <c r="H1363" s="37"/>
      <c r="I1363" s="37"/>
      <c r="J1363" s="37" t="s">
        <v>69</v>
      </c>
      <c r="K1363" s="325" t="s">
        <v>69</v>
      </c>
      <c r="L1363" s="181"/>
      <c r="M1363" s="181"/>
      <c r="N1363" s="37"/>
      <c r="O1363" s="31"/>
      <c r="P1363" s="37"/>
      <c r="Q1363" s="181"/>
      <c r="R1363" s="181"/>
      <c r="S1363" s="181"/>
      <c r="T1363" s="181"/>
      <c r="U1363" s="181"/>
      <c r="V1363" s="37"/>
      <c r="W1363" s="181"/>
      <c r="X1363" s="38"/>
      <c r="Y1363" s="38"/>
      <c r="Z1363" s="38"/>
      <c r="AA1363" s="38"/>
      <c r="AB1363" s="248"/>
      <c r="AC1363" s="250"/>
      <c r="AD1363" s="181"/>
      <c r="AE1363" s="37"/>
      <c r="AF1363" s="37"/>
      <c r="AG1363" s="33"/>
      <c r="AH1363" s="37"/>
      <c r="AI1363" s="37"/>
      <c r="AJ1363" s="181"/>
      <c r="AK1363" s="37"/>
      <c r="AL1363" s="37"/>
      <c r="AM1363" s="181"/>
      <c r="AN1363" s="37"/>
      <c r="AO1363" s="37"/>
      <c r="AP1363" s="37"/>
      <c r="AQ1363" s="37"/>
      <c r="AR1363" s="37"/>
      <c r="AS1363" s="37"/>
      <c r="AT1363" s="37"/>
      <c r="AU1363" s="37"/>
      <c r="AV1363" s="37"/>
      <c r="AW1363" s="37"/>
      <c r="AX1363" s="37"/>
      <c r="AY1363" s="37"/>
      <c r="AZ1363" s="37"/>
    </row>
    <row r="1364" spans="1:52" ht="15.5" customHeight="1">
      <c r="A1364" s="360"/>
      <c r="B1364" s="340"/>
      <c r="C1364" s="181"/>
      <c r="D1364" s="30"/>
      <c r="E1364" s="30"/>
      <c r="F1364" s="30"/>
      <c r="G1364" s="37"/>
      <c r="H1364" s="37"/>
      <c r="I1364" s="37"/>
      <c r="J1364" s="37" t="s">
        <v>69</v>
      </c>
      <c r="K1364" s="325" t="s">
        <v>69</v>
      </c>
      <c r="L1364" s="181"/>
      <c r="M1364" s="181"/>
      <c r="N1364" s="37"/>
      <c r="O1364" s="31"/>
      <c r="P1364" s="37"/>
      <c r="Q1364" s="181"/>
      <c r="R1364" s="181"/>
      <c r="S1364" s="181"/>
      <c r="T1364" s="181"/>
      <c r="U1364" s="181"/>
      <c r="V1364" s="37"/>
      <c r="W1364" s="181"/>
      <c r="X1364" s="38"/>
      <c r="Y1364" s="38"/>
      <c r="Z1364" s="38"/>
      <c r="AA1364" s="38"/>
      <c r="AB1364" s="248"/>
      <c r="AC1364" s="250"/>
      <c r="AD1364" s="181"/>
      <c r="AE1364" s="37"/>
      <c r="AF1364" s="37"/>
      <c r="AG1364" s="33"/>
      <c r="AH1364" s="37"/>
      <c r="AI1364" s="37"/>
      <c r="AJ1364" s="181"/>
      <c r="AK1364" s="37"/>
      <c r="AL1364" s="37"/>
      <c r="AM1364" s="181"/>
      <c r="AN1364" s="37"/>
      <c r="AO1364" s="37"/>
      <c r="AP1364" s="37"/>
      <c r="AQ1364" s="37"/>
      <c r="AR1364" s="37"/>
      <c r="AS1364" s="37"/>
      <c r="AT1364" s="37"/>
      <c r="AU1364" s="37"/>
      <c r="AV1364" s="37"/>
      <c r="AW1364" s="37"/>
      <c r="AX1364" s="37"/>
      <c r="AY1364" s="37"/>
      <c r="AZ1364" s="37"/>
    </row>
    <row r="1365" spans="1:52" ht="15.5" customHeight="1">
      <c r="A1365" s="360"/>
      <c r="B1365" s="340"/>
      <c r="C1365" s="181"/>
      <c r="D1365" s="30"/>
      <c r="E1365" s="30"/>
      <c r="F1365" s="30"/>
      <c r="G1365" s="37"/>
      <c r="H1365" s="37"/>
      <c r="I1365" s="37"/>
      <c r="J1365" s="37" t="s">
        <v>69</v>
      </c>
      <c r="K1365" s="325" t="s">
        <v>69</v>
      </c>
      <c r="L1365" s="181"/>
      <c r="M1365" s="181"/>
      <c r="N1365" s="37"/>
      <c r="O1365" s="31"/>
      <c r="P1365" s="37"/>
      <c r="Q1365" s="181"/>
      <c r="R1365" s="181"/>
      <c r="S1365" s="181"/>
      <c r="T1365" s="181"/>
      <c r="U1365" s="181"/>
      <c r="V1365" s="37"/>
      <c r="W1365" s="181"/>
      <c r="X1365" s="38"/>
      <c r="Y1365" s="38"/>
      <c r="Z1365" s="38"/>
      <c r="AA1365" s="38"/>
      <c r="AB1365" s="248"/>
      <c r="AC1365" s="250"/>
      <c r="AD1365" s="181"/>
      <c r="AE1365" s="37"/>
      <c r="AF1365" s="37"/>
      <c r="AG1365" s="33"/>
      <c r="AH1365" s="37"/>
      <c r="AI1365" s="37"/>
      <c r="AJ1365" s="181"/>
      <c r="AK1365" s="37"/>
      <c r="AL1365" s="37"/>
      <c r="AM1365" s="181"/>
      <c r="AN1365" s="37"/>
      <c r="AO1365" s="37"/>
      <c r="AP1365" s="37"/>
      <c r="AQ1365" s="37"/>
      <c r="AR1365" s="37"/>
      <c r="AS1365" s="37"/>
      <c r="AT1365" s="37"/>
      <c r="AU1365" s="37"/>
      <c r="AV1365" s="37"/>
      <c r="AW1365" s="37"/>
      <c r="AX1365" s="37"/>
      <c r="AY1365" s="37"/>
      <c r="AZ1365" s="37"/>
    </row>
    <row r="1366" spans="1:52" ht="15.5" customHeight="1">
      <c r="A1366" s="360"/>
      <c r="B1366" s="340"/>
      <c r="C1366" s="181"/>
      <c r="D1366" s="30"/>
      <c r="E1366" s="30"/>
      <c r="F1366" s="30"/>
      <c r="G1366" s="37"/>
      <c r="H1366" s="37"/>
      <c r="I1366" s="37"/>
      <c r="J1366" s="37" t="s">
        <v>69</v>
      </c>
      <c r="K1366" s="325" t="s">
        <v>69</v>
      </c>
      <c r="L1366" s="181"/>
      <c r="M1366" s="181"/>
      <c r="N1366" s="37"/>
      <c r="O1366" s="31"/>
      <c r="P1366" s="37"/>
      <c r="Q1366" s="181"/>
      <c r="R1366" s="181"/>
      <c r="S1366" s="181"/>
      <c r="T1366" s="181"/>
      <c r="U1366" s="181"/>
      <c r="V1366" s="37"/>
      <c r="W1366" s="181"/>
      <c r="X1366" s="38"/>
      <c r="Y1366" s="38"/>
      <c r="Z1366" s="38"/>
      <c r="AA1366" s="38"/>
      <c r="AB1366" s="248"/>
      <c r="AC1366" s="250"/>
      <c r="AD1366" s="181"/>
      <c r="AE1366" s="37"/>
      <c r="AF1366" s="37"/>
      <c r="AG1366" s="33"/>
      <c r="AH1366" s="37"/>
      <c r="AI1366" s="37"/>
      <c r="AJ1366" s="181"/>
      <c r="AK1366" s="37"/>
      <c r="AL1366" s="37"/>
      <c r="AM1366" s="181"/>
      <c r="AN1366" s="37"/>
      <c r="AO1366" s="37"/>
      <c r="AP1366" s="37"/>
      <c r="AQ1366" s="37"/>
      <c r="AR1366" s="37"/>
      <c r="AS1366" s="37"/>
      <c r="AT1366" s="37"/>
      <c r="AU1366" s="37"/>
      <c r="AV1366" s="37"/>
      <c r="AW1366" s="37"/>
      <c r="AX1366" s="37"/>
      <c r="AY1366" s="37"/>
      <c r="AZ1366" s="37"/>
    </row>
    <row r="1367" spans="1:52" ht="15.5" customHeight="1">
      <c r="A1367" s="360"/>
      <c r="B1367" s="340"/>
      <c r="C1367" s="181"/>
      <c r="D1367" s="30"/>
      <c r="E1367" s="30"/>
      <c r="F1367" s="30"/>
      <c r="G1367" s="37"/>
      <c r="H1367" s="37"/>
      <c r="I1367" s="37"/>
      <c r="J1367" s="37" t="s">
        <v>69</v>
      </c>
      <c r="K1367" s="325" t="s">
        <v>69</v>
      </c>
      <c r="L1367" s="181"/>
      <c r="M1367" s="181"/>
      <c r="N1367" s="37"/>
      <c r="O1367" s="31"/>
      <c r="P1367" s="37"/>
      <c r="Q1367" s="181"/>
      <c r="R1367" s="181"/>
      <c r="S1367" s="181"/>
      <c r="T1367" s="181"/>
      <c r="U1367" s="181"/>
      <c r="V1367" s="37"/>
      <c r="W1367" s="181"/>
      <c r="X1367" s="38"/>
      <c r="Y1367" s="38"/>
      <c r="Z1367" s="38"/>
      <c r="AA1367" s="38"/>
      <c r="AB1367" s="248"/>
      <c r="AC1367" s="250"/>
      <c r="AD1367" s="181"/>
      <c r="AE1367" s="37"/>
      <c r="AF1367" s="37"/>
      <c r="AG1367" s="33"/>
      <c r="AH1367" s="37"/>
      <c r="AI1367" s="37"/>
      <c r="AJ1367" s="181"/>
      <c r="AK1367" s="37"/>
      <c r="AL1367" s="37"/>
      <c r="AM1367" s="181"/>
      <c r="AN1367" s="37"/>
      <c r="AO1367" s="37"/>
      <c r="AP1367" s="37"/>
      <c r="AQ1367" s="37"/>
      <c r="AR1367" s="37"/>
      <c r="AS1367" s="37"/>
      <c r="AT1367" s="37"/>
      <c r="AU1367" s="37"/>
      <c r="AV1367" s="37"/>
      <c r="AW1367" s="37"/>
      <c r="AX1367" s="37"/>
      <c r="AY1367" s="37"/>
      <c r="AZ1367" s="37"/>
    </row>
    <row r="1368" spans="1:52" ht="15.5" customHeight="1">
      <c r="A1368" s="360"/>
      <c r="B1368" s="340"/>
      <c r="C1368" s="181"/>
      <c r="D1368" s="30"/>
      <c r="E1368" s="30"/>
      <c r="F1368" s="30"/>
      <c r="G1368" s="37"/>
      <c r="H1368" s="37"/>
      <c r="I1368" s="37"/>
      <c r="J1368" s="37" t="s">
        <v>69</v>
      </c>
      <c r="K1368" s="325" t="s">
        <v>69</v>
      </c>
      <c r="L1368" s="181"/>
      <c r="M1368" s="181"/>
      <c r="N1368" s="37"/>
      <c r="O1368" s="31"/>
      <c r="P1368" s="37"/>
      <c r="Q1368" s="181"/>
      <c r="R1368" s="181"/>
      <c r="S1368" s="181"/>
      <c r="T1368" s="181"/>
      <c r="U1368" s="181"/>
      <c r="V1368" s="37"/>
      <c r="W1368" s="181"/>
      <c r="X1368" s="38"/>
      <c r="Y1368" s="38"/>
      <c r="Z1368" s="38"/>
      <c r="AA1368" s="38"/>
      <c r="AB1368" s="248"/>
      <c r="AC1368" s="250"/>
      <c r="AD1368" s="181"/>
      <c r="AE1368" s="37"/>
      <c r="AF1368" s="37"/>
      <c r="AG1368" s="33"/>
      <c r="AH1368" s="37"/>
      <c r="AI1368" s="37"/>
      <c r="AJ1368" s="181"/>
      <c r="AK1368" s="37"/>
      <c r="AL1368" s="37"/>
      <c r="AM1368" s="181"/>
      <c r="AN1368" s="37"/>
      <c r="AO1368" s="37"/>
      <c r="AP1368" s="37"/>
      <c r="AQ1368" s="37"/>
      <c r="AR1368" s="37"/>
      <c r="AS1368" s="37"/>
      <c r="AT1368" s="37"/>
      <c r="AU1368" s="37"/>
      <c r="AV1368" s="37"/>
      <c r="AW1368" s="37"/>
      <c r="AX1368" s="37"/>
      <c r="AY1368" s="37"/>
      <c r="AZ1368" s="37"/>
    </row>
    <row r="1369" spans="1:52" ht="15.5" customHeight="1">
      <c r="A1369" s="360"/>
      <c r="B1369" s="340"/>
      <c r="C1369" s="181"/>
      <c r="D1369" s="30"/>
      <c r="E1369" s="30"/>
      <c r="F1369" s="30"/>
      <c r="G1369" s="37"/>
      <c r="H1369" s="37"/>
      <c r="I1369" s="37"/>
      <c r="J1369" s="37" t="s">
        <v>69</v>
      </c>
      <c r="K1369" s="325" t="s">
        <v>69</v>
      </c>
      <c r="L1369" s="181"/>
      <c r="M1369" s="181"/>
      <c r="N1369" s="37"/>
      <c r="O1369" s="31"/>
      <c r="P1369" s="37"/>
      <c r="Q1369" s="181"/>
      <c r="R1369" s="181"/>
      <c r="S1369" s="181"/>
      <c r="T1369" s="181"/>
      <c r="U1369" s="181"/>
      <c r="V1369" s="37"/>
      <c r="W1369" s="181"/>
      <c r="X1369" s="38"/>
      <c r="Y1369" s="38"/>
      <c r="Z1369" s="38"/>
      <c r="AA1369" s="38"/>
      <c r="AB1369" s="248"/>
      <c r="AC1369" s="250"/>
      <c r="AD1369" s="181"/>
      <c r="AE1369" s="37"/>
      <c r="AF1369" s="37"/>
      <c r="AG1369" s="33"/>
      <c r="AH1369" s="37"/>
      <c r="AI1369" s="37"/>
      <c r="AJ1369" s="181"/>
      <c r="AK1369" s="37"/>
      <c r="AL1369" s="37"/>
      <c r="AM1369" s="181"/>
      <c r="AN1369" s="37"/>
      <c r="AO1369" s="37"/>
      <c r="AP1369" s="37"/>
      <c r="AQ1369" s="37"/>
      <c r="AR1369" s="37"/>
      <c r="AS1369" s="37"/>
      <c r="AT1369" s="37"/>
      <c r="AU1369" s="37"/>
      <c r="AV1369" s="37"/>
      <c r="AW1369" s="37"/>
      <c r="AX1369" s="37"/>
      <c r="AY1369" s="37"/>
      <c r="AZ1369" s="37"/>
    </row>
    <row r="1370" spans="1:52" ht="15.5" customHeight="1">
      <c r="A1370" s="360"/>
      <c r="B1370" s="340"/>
      <c r="C1370" s="181"/>
      <c r="D1370" s="30"/>
      <c r="E1370" s="30"/>
      <c r="F1370" s="30"/>
      <c r="G1370" s="37"/>
      <c r="H1370" s="37"/>
      <c r="I1370" s="37"/>
      <c r="J1370" s="37" t="s">
        <v>69</v>
      </c>
      <c r="K1370" s="325" t="s">
        <v>69</v>
      </c>
      <c r="L1370" s="181"/>
      <c r="M1370" s="181"/>
      <c r="N1370" s="37"/>
      <c r="O1370" s="31"/>
      <c r="P1370" s="37"/>
      <c r="Q1370" s="181"/>
      <c r="R1370" s="181"/>
      <c r="S1370" s="181"/>
      <c r="T1370" s="181"/>
      <c r="U1370" s="181"/>
      <c r="V1370" s="37"/>
      <c r="W1370" s="181"/>
      <c r="X1370" s="38"/>
      <c r="Y1370" s="38"/>
      <c r="Z1370" s="38"/>
      <c r="AA1370" s="38"/>
      <c r="AB1370" s="248"/>
      <c r="AC1370" s="250"/>
      <c r="AD1370" s="181"/>
      <c r="AE1370" s="37"/>
      <c r="AF1370" s="37"/>
      <c r="AG1370" s="33"/>
      <c r="AH1370" s="37"/>
      <c r="AI1370" s="37"/>
      <c r="AJ1370" s="181"/>
      <c r="AK1370" s="37"/>
      <c r="AL1370" s="37"/>
      <c r="AM1370" s="181"/>
      <c r="AN1370" s="37"/>
      <c r="AO1370" s="37"/>
      <c r="AP1370" s="37"/>
      <c r="AQ1370" s="37"/>
      <c r="AR1370" s="37"/>
      <c r="AS1370" s="37"/>
      <c r="AT1370" s="37"/>
      <c r="AU1370" s="37"/>
      <c r="AV1370" s="37"/>
      <c r="AW1370" s="37"/>
      <c r="AX1370" s="37"/>
      <c r="AY1370" s="37"/>
      <c r="AZ1370" s="37"/>
    </row>
    <row r="1371" spans="1:52" ht="15.5" customHeight="1">
      <c r="A1371" s="360"/>
      <c r="B1371" s="340"/>
      <c r="C1371" s="181"/>
      <c r="D1371" s="30"/>
      <c r="E1371" s="30"/>
      <c r="F1371" s="30"/>
      <c r="G1371" s="37"/>
      <c r="H1371" s="37"/>
      <c r="I1371" s="37"/>
      <c r="J1371" s="37" t="s">
        <v>69</v>
      </c>
      <c r="K1371" s="325" t="s">
        <v>69</v>
      </c>
      <c r="L1371" s="181"/>
      <c r="M1371" s="181"/>
      <c r="N1371" s="37"/>
      <c r="O1371" s="31"/>
      <c r="P1371" s="37"/>
      <c r="Q1371" s="181"/>
      <c r="R1371" s="181"/>
      <c r="S1371" s="181"/>
      <c r="T1371" s="181"/>
      <c r="U1371" s="181"/>
      <c r="V1371" s="37"/>
      <c r="W1371" s="181"/>
      <c r="X1371" s="38"/>
      <c r="Y1371" s="38"/>
      <c r="Z1371" s="38"/>
      <c r="AA1371" s="38"/>
      <c r="AB1371" s="248"/>
      <c r="AC1371" s="250"/>
      <c r="AD1371" s="181"/>
      <c r="AE1371" s="37"/>
      <c r="AF1371" s="37"/>
      <c r="AG1371" s="33"/>
      <c r="AH1371" s="37"/>
      <c r="AI1371" s="37"/>
      <c r="AJ1371" s="181"/>
      <c r="AK1371" s="37"/>
      <c r="AL1371" s="37"/>
      <c r="AM1371" s="181"/>
      <c r="AN1371" s="37"/>
      <c r="AO1371" s="37"/>
      <c r="AP1371" s="37"/>
      <c r="AQ1371" s="37"/>
      <c r="AR1371" s="37"/>
      <c r="AS1371" s="37"/>
      <c r="AT1371" s="37"/>
      <c r="AU1371" s="37"/>
      <c r="AV1371" s="37"/>
      <c r="AW1371" s="37"/>
      <c r="AX1371" s="37"/>
      <c r="AY1371" s="37"/>
      <c r="AZ1371" s="37"/>
    </row>
    <row r="1372" spans="1:52" ht="15.5" customHeight="1">
      <c r="A1372" s="360"/>
      <c r="B1372" s="340"/>
      <c r="C1372" s="181"/>
      <c r="D1372" s="30"/>
      <c r="E1372" s="30"/>
      <c r="F1372" s="30"/>
      <c r="G1372" s="37"/>
      <c r="H1372" s="37"/>
      <c r="I1372" s="37"/>
      <c r="J1372" s="37" t="s">
        <v>69</v>
      </c>
      <c r="K1372" s="325" t="s">
        <v>69</v>
      </c>
      <c r="L1372" s="181"/>
      <c r="M1372" s="181"/>
      <c r="N1372" s="37"/>
      <c r="O1372" s="31"/>
      <c r="P1372" s="37"/>
      <c r="Q1372" s="181"/>
      <c r="R1372" s="181"/>
      <c r="S1372" s="181"/>
      <c r="T1372" s="181"/>
      <c r="U1372" s="181"/>
      <c r="V1372" s="37"/>
      <c r="W1372" s="181"/>
      <c r="X1372" s="38"/>
      <c r="Y1372" s="38"/>
      <c r="Z1372" s="38"/>
      <c r="AA1372" s="38"/>
      <c r="AB1372" s="248"/>
      <c r="AC1372" s="250"/>
      <c r="AD1372" s="181"/>
      <c r="AE1372" s="37"/>
      <c r="AF1372" s="37"/>
      <c r="AG1372" s="33"/>
      <c r="AH1372" s="37"/>
      <c r="AI1372" s="37"/>
      <c r="AJ1372" s="181"/>
      <c r="AK1372" s="37"/>
      <c r="AL1372" s="37"/>
      <c r="AM1372" s="181"/>
      <c r="AN1372" s="37"/>
      <c r="AO1372" s="37"/>
      <c r="AP1372" s="37"/>
      <c r="AQ1372" s="37"/>
      <c r="AR1372" s="37"/>
      <c r="AS1372" s="37"/>
      <c r="AT1372" s="37"/>
      <c r="AU1372" s="37"/>
      <c r="AV1372" s="37"/>
      <c r="AW1372" s="37"/>
      <c r="AX1372" s="37"/>
      <c r="AY1372" s="37"/>
      <c r="AZ1372" s="37"/>
    </row>
    <row r="1373" spans="1:52" ht="15.5" customHeight="1">
      <c r="A1373" s="360"/>
      <c r="B1373" s="340"/>
      <c r="C1373" s="181"/>
      <c r="D1373" s="30"/>
      <c r="E1373" s="30"/>
      <c r="F1373" s="30"/>
      <c r="G1373" s="37"/>
      <c r="H1373" s="37"/>
      <c r="I1373" s="37"/>
      <c r="J1373" s="37" t="s">
        <v>69</v>
      </c>
      <c r="K1373" s="325" t="s">
        <v>69</v>
      </c>
      <c r="L1373" s="181"/>
      <c r="M1373" s="181"/>
      <c r="N1373" s="37"/>
      <c r="O1373" s="31"/>
      <c r="P1373" s="37"/>
      <c r="Q1373" s="181"/>
      <c r="R1373" s="181"/>
      <c r="S1373" s="181"/>
      <c r="T1373" s="181"/>
      <c r="U1373" s="181"/>
      <c r="V1373" s="37"/>
      <c r="W1373" s="181"/>
      <c r="X1373" s="38"/>
      <c r="Y1373" s="38"/>
      <c r="Z1373" s="38"/>
      <c r="AA1373" s="38"/>
      <c r="AB1373" s="248"/>
      <c r="AC1373" s="250"/>
      <c r="AD1373" s="181"/>
      <c r="AE1373" s="37"/>
      <c r="AF1373" s="37"/>
      <c r="AG1373" s="33"/>
      <c r="AH1373" s="37"/>
      <c r="AI1373" s="37"/>
      <c r="AJ1373" s="181"/>
      <c r="AK1373" s="37"/>
      <c r="AL1373" s="37"/>
      <c r="AM1373" s="181"/>
      <c r="AN1373" s="37"/>
      <c r="AO1373" s="37"/>
      <c r="AP1373" s="37"/>
      <c r="AQ1373" s="37"/>
      <c r="AR1373" s="37"/>
      <c r="AS1373" s="37"/>
      <c r="AT1373" s="37"/>
      <c r="AU1373" s="37"/>
      <c r="AV1373" s="37"/>
      <c r="AW1373" s="37"/>
      <c r="AX1373" s="37"/>
      <c r="AY1373" s="37"/>
      <c r="AZ1373" s="37"/>
    </row>
    <row r="1374" spans="1:52" ht="15.5" customHeight="1">
      <c r="A1374" s="360"/>
      <c r="B1374" s="340"/>
      <c r="C1374" s="181"/>
      <c r="D1374" s="30"/>
      <c r="E1374" s="30"/>
      <c r="F1374" s="30"/>
      <c r="G1374" s="37"/>
      <c r="H1374" s="37"/>
      <c r="I1374" s="37"/>
      <c r="J1374" s="37" t="s">
        <v>69</v>
      </c>
      <c r="K1374" s="325" t="s">
        <v>69</v>
      </c>
      <c r="L1374" s="181"/>
      <c r="M1374" s="181"/>
      <c r="N1374" s="37"/>
      <c r="O1374" s="31"/>
      <c r="P1374" s="37"/>
      <c r="Q1374" s="181"/>
      <c r="R1374" s="181"/>
      <c r="S1374" s="181"/>
      <c r="T1374" s="181"/>
      <c r="U1374" s="181"/>
      <c r="V1374" s="37"/>
      <c r="W1374" s="181"/>
      <c r="X1374" s="38"/>
      <c r="Y1374" s="38"/>
      <c r="Z1374" s="38"/>
      <c r="AA1374" s="38"/>
      <c r="AB1374" s="248"/>
      <c r="AC1374" s="250"/>
      <c r="AD1374" s="181"/>
      <c r="AE1374" s="37"/>
      <c r="AF1374" s="37"/>
      <c r="AG1374" s="33"/>
      <c r="AH1374" s="37"/>
      <c r="AI1374" s="37"/>
      <c r="AJ1374" s="181"/>
      <c r="AK1374" s="37"/>
      <c r="AL1374" s="37"/>
      <c r="AM1374" s="181"/>
      <c r="AN1374" s="37"/>
      <c r="AO1374" s="37"/>
      <c r="AP1374" s="37"/>
      <c r="AQ1374" s="37"/>
      <c r="AR1374" s="37"/>
      <c r="AS1374" s="37"/>
      <c r="AT1374" s="37"/>
      <c r="AU1374" s="37"/>
      <c r="AV1374" s="37"/>
      <c r="AW1374" s="37"/>
      <c r="AX1374" s="37"/>
      <c r="AY1374" s="37"/>
      <c r="AZ1374" s="37"/>
    </row>
    <row r="1375" spans="1:52" ht="15.5" customHeight="1">
      <c r="A1375" s="360"/>
      <c r="B1375" s="340"/>
      <c r="C1375" s="181"/>
      <c r="D1375" s="30"/>
      <c r="E1375" s="30"/>
      <c r="F1375" s="30"/>
      <c r="G1375" s="37"/>
      <c r="H1375" s="37"/>
      <c r="I1375" s="37"/>
      <c r="J1375" s="37" t="s">
        <v>69</v>
      </c>
      <c r="K1375" s="325" t="s">
        <v>69</v>
      </c>
      <c r="L1375" s="181"/>
      <c r="M1375" s="181"/>
      <c r="N1375" s="37"/>
      <c r="O1375" s="31"/>
      <c r="P1375" s="37"/>
      <c r="Q1375" s="181"/>
      <c r="R1375" s="181"/>
      <c r="S1375" s="181"/>
      <c r="T1375" s="181"/>
      <c r="U1375" s="181"/>
      <c r="V1375" s="37"/>
      <c r="W1375" s="181"/>
      <c r="X1375" s="38"/>
      <c r="Y1375" s="38"/>
      <c r="Z1375" s="38"/>
      <c r="AA1375" s="38"/>
      <c r="AB1375" s="248"/>
      <c r="AC1375" s="250"/>
      <c r="AD1375" s="181"/>
      <c r="AE1375" s="37"/>
      <c r="AF1375" s="37"/>
      <c r="AG1375" s="33"/>
      <c r="AH1375" s="37"/>
      <c r="AI1375" s="37"/>
      <c r="AJ1375" s="181"/>
      <c r="AK1375" s="37"/>
      <c r="AL1375" s="37"/>
      <c r="AM1375" s="181"/>
      <c r="AN1375" s="37"/>
      <c r="AO1375" s="37"/>
      <c r="AP1375" s="37"/>
      <c r="AQ1375" s="37"/>
      <c r="AR1375" s="37"/>
      <c r="AS1375" s="37"/>
      <c r="AT1375" s="37"/>
      <c r="AU1375" s="37"/>
      <c r="AV1375" s="37"/>
      <c r="AW1375" s="37"/>
      <c r="AX1375" s="37"/>
      <c r="AY1375" s="37"/>
      <c r="AZ1375" s="37"/>
    </row>
    <row r="1376" spans="1:52" ht="15.5" customHeight="1">
      <c r="A1376" s="360"/>
      <c r="B1376" s="340"/>
      <c r="C1376" s="181"/>
      <c r="D1376" s="30"/>
      <c r="E1376" s="30"/>
      <c r="F1376" s="30"/>
      <c r="G1376" s="37"/>
      <c r="H1376" s="37"/>
      <c r="I1376" s="37"/>
      <c r="J1376" s="37" t="s">
        <v>69</v>
      </c>
      <c r="K1376" s="325" t="s">
        <v>69</v>
      </c>
      <c r="L1376" s="181"/>
      <c r="M1376" s="181"/>
      <c r="N1376" s="37"/>
      <c r="O1376" s="31"/>
      <c r="P1376" s="37"/>
      <c r="Q1376" s="181"/>
      <c r="R1376" s="181"/>
      <c r="S1376" s="181"/>
      <c r="T1376" s="181"/>
      <c r="U1376" s="181"/>
      <c r="V1376" s="37"/>
      <c r="W1376" s="181"/>
      <c r="X1376" s="38"/>
      <c r="Y1376" s="38"/>
      <c r="Z1376" s="38"/>
      <c r="AA1376" s="38"/>
      <c r="AB1376" s="248"/>
      <c r="AC1376" s="250"/>
      <c r="AD1376" s="181"/>
      <c r="AE1376" s="37"/>
      <c r="AF1376" s="37"/>
      <c r="AG1376" s="33"/>
      <c r="AH1376" s="37"/>
      <c r="AI1376" s="37"/>
      <c r="AJ1376" s="181"/>
      <c r="AK1376" s="37"/>
      <c r="AL1376" s="37"/>
      <c r="AM1376" s="181"/>
      <c r="AN1376" s="37"/>
      <c r="AO1376" s="37"/>
      <c r="AP1376" s="37"/>
      <c r="AQ1376" s="37"/>
      <c r="AR1376" s="37"/>
      <c r="AS1376" s="37"/>
      <c r="AT1376" s="37"/>
      <c r="AU1376" s="37"/>
      <c r="AV1376" s="37"/>
      <c r="AW1376" s="37"/>
      <c r="AX1376" s="37"/>
      <c r="AY1376" s="37"/>
      <c r="AZ1376" s="37"/>
    </row>
    <row r="1377" spans="1:52" ht="15.5" customHeight="1">
      <c r="A1377" s="360"/>
      <c r="B1377" s="340"/>
      <c r="C1377" s="181"/>
      <c r="D1377" s="30"/>
      <c r="E1377" s="30"/>
      <c r="F1377" s="30"/>
      <c r="G1377" s="37"/>
      <c r="H1377" s="37"/>
      <c r="I1377" s="37"/>
      <c r="J1377" s="37" t="s">
        <v>69</v>
      </c>
      <c r="K1377" s="325" t="s">
        <v>69</v>
      </c>
      <c r="L1377" s="181"/>
      <c r="M1377" s="181"/>
      <c r="N1377" s="37"/>
      <c r="O1377" s="31"/>
      <c r="P1377" s="37"/>
      <c r="Q1377" s="181"/>
      <c r="R1377" s="181"/>
      <c r="S1377" s="181"/>
      <c r="T1377" s="181"/>
      <c r="U1377" s="181"/>
      <c r="V1377" s="37"/>
      <c r="W1377" s="181"/>
      <c r="X1377" s="38"/>
      <c r="Y1377" s="38"/>
      <c r="Z1377" s="38"/>
      <c r="AA1377" s="38"/>
      <c r="AB1377" s="248"/>
      <c r="AC1377" s="250"/>
      <c r="AD1377" s="181"/>
      <c r="AE1377" s="37"/>
      <c r="AF1377" s="37"/>
      <c r="AG1377" s="33"/>
      <c r="AH1377" s="37"/>
      <c r="AI1377" s="37"/>
      <c r="AJ1377" s="181"/>
      <c r="AK1377" s="37"/>
      <c r="AL1377" s="37"/>
      <c r="AM1377" s="181"/>
      <c r="AN1377" s="37"/>
      <c r="AO1377" s="37"/>
      <c r="AP1377" s="37"/>
      <c r="AQ1377" s="37"/>
      <c r="AR1377" s="37"/>
      <c r="AS1377" s="37"/>
      <c r="AT1377" s="37"/>
      <c r="AU1377" s="37"/>
      <c r="AV1377" s="37"/>
      <c r="AW1377" s="37"/>
      <c r="AX1377" s="37"/>
      <c r="AY1377" s="37"/>
      <c r="AZ1377" s="37"/>
    </row>
    <row r="1378" spans="1:52" ht="15.5" customHeight="1">
      <c r="A1378" s="360"/>
      <c r="B1378" s="340"/>
      <c r="C1378" s="181"/>
      <c r="D1378" s="30"/>
      <c r="E1378" s="30"/>
      <c r="F1378" s="30"/>
      <c r="G1378" s="37"/>
      <c r="H1378" s="37"/>
      <c r="I1378" s="37"/>
      <c r="J1378" s="37" t="s">
        <v>69</v>
      </c>
      <c r="K1378" s="325" t="s">
        <v>69</v>
      </c>
      <c r="L1378" s="181"/>
      <c r="M1378" s="181"/>
      <c r="N1378" s="37"/>
      <c r="O1378" s="31"/>
      <c r="P1378" s="37"/>
      <c r="Q1378" s="181"/>
      <c r="R1378" s="181"/>
      <c r="S1378" s="181"/>
      <c r="T1378" s="181"/>
      <c r="U1378" s="181"/>
      <c r="V1378" s="37"/>
      <c r="W1378" s="181"/>
      <c r="X1378" s="38"/>
      <c r="Y1378" s="38"/>
      <c r="Z1378" s="38"/>
      <c r="AA1378" s="38"/>
      <c r="AB1378" s="248"/>
      <c r="AC1378" s="250"/>
      <c r="AD1378" s="181"/>
      <c r="AE1378" s="37"/>
      <c r="AF1378" s="37"/>
      <c r="AG1378" s="33"/>
      <c r="AH1378" s="37"/>
      <c r="AI1378" s="37"/>
      <c r="AJ1378" s="181"/>
      <c r="AK1378" s="37"/>
      <c r="AL1378" s="37"/>
      <c r="AM1378" s="181"/>
      <c r="AN1378" s="37"/>
      <c r="AO1378" s="37"/>
      <c r="AP1378" s="37"/>
      <c r="AQ1378" s="37"/>
      <c r="AR1378" s="37"/>
      <c r="AS1378" s="37"/>
      <c r="AT1378" s="37"/>
      <c r="AU1378" s="37"/>
      <c r="AV1378" s="37"/>
      <c r="AW1378" s="37"/>
      <c r="AX1378" s="37"/>
      <c r="AY1378" s="37"/>
      <c r="AZ1378" s="37"/>
    </row>
    <row r="1379" spans="1:52" ht="15.5" customHeight="1">
      <c r="A1379" s="360"/>
      <c r="B1379" s="340"/>
      <c r="C1379" s="181"/>
      <c r="D1379" s="30"/>
      <c r="E1379" s="30"/>
      <c r="F1379" s="30"/>
      <c r="G1379" s="37"/>
      <c r="H1379" s="37"/>
      <c r="I1379" s="37"/>
      <c r="J1379" s="37" t="s">
        <v>69</v>
      </c>
      <c r="K1379" s="325" t="s">
        <v>69</v>
      </c>
      <c r="L1379" s="181"/>
      <c r="M1379" s="181"/>
      <c r="N1379" s="37"/>
      <c r="O1379" s="31"/>
      <c r="P1379" s="37"/>
      <c r="Q1379" s="181"/>
      <c r="R1379" s="181"/>
      <c r="S1379" s="181"/>
      <c r="T1379" s="181"/>
      <c r="U1379" s="181"/>
      <c r="V1379" s="37"/>
      <c r="W1379" s="181"/>
      <c r="X1379" s="38"/>
      <c r="Y1379" s="38"/>
      <c r="Z1379" s="38"/>
      <c r="AA1379" s="38"/>
      <c r="AB1379" s="248"/>
      <c r="AC1379" s="250"/>
      <c r="AD1379" s="181"/>
      <c r="AE1379" s="37"/>
      <c r="AF1379" s="37"/>
      <c r="AG1379" s="33"/>
      <c r="AH1379" s="37"/>
      <c r="AI1379" s="37"/>
      <c r="AJ1379" s="181"/>
      <c r="AK1379" s="37"/>
      <c r="AL1379" s="37"/>
      <c r="AM1379" s="181"/>
      <c r="AN1379" s="37"/>
      <c r="AO1379" s="37"/>
      <c r="AP1379" s="37"/>
      <c r="AQ1379" s="37"/>
      <c r="AR1379" s="37"/>
      <c r="AS1379" s="37"/>
      <c r="AT1379" s="37"/>
      <c r="AU1379" s="37"/>
      <c r="AV1379" s="37"/>
      <c r="AW1379" s="37"/>
      <c r="AX1379" s="37"/>
      <c r="AY1379" s="37"/>
      <c r="AZ1379" s="37"/>
    </row>
    <row r="1380" spans="1:52" ht="15.5" customHeight="1">
      <c r="A1380" s="360"/>
      <c r="B1380" s="340"/>
      <c r="C1380" s="181"/>
      <c r="D1380" s="30"/>
      <c r="E1380" s="30"/>
      <c r="F1380" s="30"/>
      <c r="G1380" s="37"/>
      <c r="H1380" s="37"/>
      <c r="I1380" s="37"/>
      <c r="J1380" s="37" t="s">
        <v>69</v>
      </c>
      <c r="K1380" s="325" t="s">
        <v>69</v>
      </c>
      <c r="L1380" s="181"/>
      <c r="M1380" s="181"/>
      <c r="N1380" s="37"/>
      <c r="O1380" s="31"/>
      <c r="P1380" s="37"/>
      <c r="Q1380" s="181"/>
      <c r="R1380" s="181"/>
      <c r="S1380" s="181"/>
      <c r="T1380" s="181"/>
      <c r="U1380" s="181"/>
      <c r="V1380" s="37"/>
      <c r="W1380" s="181"/>
      <c r="X1380" s="38"/>
      <c r="Y1380" s="38"/>
      <c r="Z1380" s="38"/>
      <c r="AA1380" s="38"/>
      <c r="AB1380" s="248"/>
      <c r="AC1380" s="250"/>
      <c r="AD1380" s="181"/>
      <c r="AE1380" s="37"/>
      <c r="AF1380" s="37"/>
      <c r="AG1380" s="33"/>
      <c r="AH1380" s="37"/>
      <c r="AI1380" s="37"/>
      <c r="AJ1380" s="181"/>
      <c r="AK1380" s="37"/>
      <c r="AL1380" s="37"/>
      <c r="AM1380" s="181"/>
      <c r="AN1380" s="37"/>
      <c r="AO1380" s="37"/>
      <c r="AP1380" s="37"/>
      <c r="AQ1380" s="37"/>
      <c r="AR1380" s="37"/>
      <c r="AS1380" s="37"/>
      <c r="AT1380" s="37"/>
      <c r="AU1380" s="37"/>
      <c r="AV1380" s="37"/>
      <c r="AW1380" s="37"/>
      <c r="AX1380" s="37"/>
      <c r="AY1380" s="37"/>
      <c r="AZ1380" s="37"/>
    </row>
    <row r="1381" spans="1:52" ht="15.5" customHeight="1">
      <c r="A1381" s="360"/>
      <c r="B1381" s="340"/>
      <c r="C1381" s="181"/>
      <c r="D1381" s="30"/>
      <c r="E1381" s="30"/>
      <c r="F1381" s="30"/>
      <c r="G1381" s="37"/>
      <c r="H1381" s="37"/>
      <c r="I1381" s="37"/>
      <c r="J1381" s="37" t="s">
        <v>69</v>
      </c>
      <c r="K1381" s="325" t="s">
        <v>69</v>
      </c>
      <c r="L1381" s="181"/>
      <c r="M1381" s="181"/>
      <c r="N1381" s="37"/>
      <c r="O1381" s="31"/>
      <c r="P1381" s="37"/>
      <c r="Q1381" s="181"/>
      <c r="R1381" s="181"/>
      <c r="S1381" s="181"/>
      <c r="T1381" s="181"/>
      <c r="U1381" s="181"/>
      <c r="V1381" s="37"/>
      <c r="W1381" s="181"/>
      <c r="X1381" s="38"/>
      <c r="Y1381" s="38"/>
      <c r="Z1381" s="38"/>
      <c r="AA1381" s="38"/>
      <c r="AB1381" s="248"/>
      <c r="AC1381" s="250"/>
      <c r="AD1381" s="181"/>
      <c r="AE1381" s="37"/>
      <c r="AF1381" s="37"/>
      <c r="AG1381" s="33"/>
      <c r="AH1381" s="37"/>
      <c r="AI1381" s="37"/>
      <c r="AJ1381" s="181"/>
      <c r="AK1381" s="37"/>
      <c r="AL1381" s="37"/>
      <c r="AM1381" s="181"/>
      <c r="AN1381" s="37"/>
      <c r="AO1381" s="37"/>
      <c r="AP1381" s="37"/>
      <c r="AQ1381" s="37"/>
      <c r="AR1381" s="37"/>
      <c r="AS1381" s="37"/>
      <c r="AT1381" s="37"/>
      <c r="AU1381" s="37"/>
      <c r="AV1381" s="37"/>
      <c r="AW1381" s="37"/>
      <c r="AX1381" s="37"/>
      <c r="AY1381" s="37"/>
      <c r="AZ1381" s="37"/>
    </row>
    <row r="1382" spans="1:52" ht="15.5" customHeight="1">
      <c r="A1382" s="360"/>
      <c r="B1382" s="340"/>
      <c r="C1382" s="181"/>
      <c r="D1382" s="30"/>
      <c r="E1382" s="30"/>
      <c r="F1382" s="30"/>
      <c r="G1382" s="37"/>
      <c r="H1382" s="37"/>
      <c r="I1382" s="37"/>
      <c r="J1382" s="37" t="s">
        <v>69</v>
      </c>
      <c r="K1382" s="325" t="s">
        <v>69</v>
      </c>
      <c r="L1382" s="181"/>
      <c r="M1382" s="181"/>
      <c r="N1382" s="37"/>
      <c r="O1382" s="31"/>
      <c r="P1382" s="37"/>
      <c r="Q1382" s="181"/>
      <c r="R1382" s="181"/>
      <c r="S1382" s="181"/>
      <c r="T1382" s="181"/>
      <c r="U1382" s="181"/>
      <c r="V1382" s="37"/>
      <c r="W1382" s="181"/>
      <c r="X1382" s="38"/>
      <c r="Y1382" s="38"/>
      <c r="Z1382" s="38"/>
      <c r="AA1382" s="38"/>
      <c r="AB1382" s="248"/>
      <c r="AC1382" s="250"/>
      <c r="AD1382" s="181"/>
      <c r="AE1382" s="37"/>
      <c r="AF1382" s="37"/>
      <c r="AG1382" s="33"/>
      <c r="AH1382" s="37"/>
      <c r="AI1382" s="37"/>
      <c r="AJ1382" s="181"/>
      <c r="AK1382" s="37"/>
      <c r="AL1382" s="37"/>
      <c r="AM1382" s="181"/>
      <c r="AN1382" s="37"/>
      <c r="AO1382" s="37"/>
      <c r="AP1382" s="37"/>
      <c r="AQ1382" s="37"/>
      <c r="AR1382" s="37"/>
      <c r="AS1382" s="37"/>
      <c r="AT1382" s="37"/>
      <c r="AU1382" s="37"/>
      <c r="AV1382" s="37"/>
      <c r="AW1382" s="37"/>
      <c r="AX1382" s="37"/>
      <c r="AY1382" s="37"/>
      <c r="AZ1382" s="37"/>
    </row>
    <row r="1383" spans="1:52" ht="15.5" customHeight="1">
      <c r="A1383" s="360"/>
      <c r="B1383" s="340"/>
      <c r="C1383" s="181"/>
      <c r="D1383" s="30"/>
      <c r="E1383" s="30"/>
      <c r="F1383" s="30"/>
      <c r="G1383" s="37"/>
      <c r="H1383" s="37"/>
      <c r="I1383" s="37"/>
      <c r="J1383" s="37" t="s">
        <v>69</v>
      </c>
      <c r="K1383" s="325" t="s">
        <v>69</v>
      </c>
      <c r="L1383" s="181"/>
      <c r="M1383" s="181"/>
      <c r="N1383" s="37"/>
      <c r="O1383" s="31"/>
      <c r="P1383" s="37"/>
      <c r="Q1383" s="181"/>
      <c r="R1383" s="181"/>
      <c r="S1383" s="181"/>
      <c r="T1383" s="181"/>
      <c r="U1383" s="181"/>
      <c r="V1383" s="37"/>
      <c r="W1383" s="181"/>
      <c r="X1383" s="38"/>
      <c r="Y1383" s="38"/>
      <c r="Z1383" s="38"/>
      <c r="AA1383" s="38"/>
      <c r="AB1383" s="248"/>
      <c r="AC1383" s="250"/>
      <c r="AD1383" s="181"/>
      <c r="AE1383" s="37"/>
      <c r="AF1383" s="37"/>
      <c r="AG1383" s="33"/>
      <c r="AH1383" s="37"/>
      <c r="AI1383" s="37"/>
      <c r="AJ1383" s="181"/>
      <c r="AK1383" s="37"/>
      <c r="AL1383" s="37"/>
      <c r="AM1383" s="181"/>
      <c r="AN1383" s="37"/>
      <c r="AO1383" s="37"/>
      <c r="AP1383" s="37"/>
      <c r="AQ1383" s="37"/>
      <c r="AR1383" s="37"/>
      <c r="AS1383" s="37"/>
      <c r="AT1383" s="37"/>
      <c r="AU1383" s="37"/>
      <c r="AV1383" s="37"/>
      <c r="AW1383" s="37"/>
      <c r="AX1383" s="37"/>
      <c r="AY1383" s="37"/>
      <c r="AZ1383" s="37"/>
    </row>
    <row r="1384" spans="1:52" ht="15.5" customHeight="1">
      <c r="A1384" s="360"/>
      <c r="B1384" s="340"/>
      <c r="C1384" s="181"/>
      <c r="D1384" s="30"/>
      <c r="E1384" s="30"/>
      <c r="F1384" s="30"/>
      <c r="G1384" s="37"/>
      <c r="H1384" s="37"/>
      <c r="I1384" s="37"/>
      <c r="J1384" s="37" t="s">
        <v>69</v>
      </c>
      <c r="K1384" s="325" t="s">
        <v>69</v>
      </c>
      <c r="L1384" s="181"/>
      <c r="M1384" s="181"/>
      <c r="N1384" s="37"/>
      <c r="O1384" s="31"/>
      <c r="P1384" s="37"/>
      <c r="Q1384" s="181"/>
      <c r="R1384" s="181"/>
      <c r="S1384" s="181"/>
      <c r="T1384" s="181"/>
      <c r="U1384" s="181"/>
      <c r="V1384" s="37"/>
      <c r="W1384" s="181"/>
      <c r="X1384" s="38"/>
      <c r="Y1384" s="38"/>
      <c r="Z1384" s="38"/>
      <c r="AA1384" s="38"/>
      <c r="AB1384" s="248"/>
      <c r="AC1384" s="250"/>
      <c r="AD1384" s="181"/>
      <c r="AE1384" s="37"/>
      <c r="AF1384" s="37"/>
      <c r="AG1384" s="33"/>
      <c r="AH1384" s="37"/>
      <c r="AI1384" s="37"/>
      <c r="AJ1384" s="181"/>
      <c r="AK1384" s="37"/>
      <c r="AL1384" s="37"/>
      <c r="AM1384" s="181"/>
      <c r="AN1384" s="37"/>
      <c r="AO1384" s="37"/>
      <c r="AP1384" s="37"/>
      <c r="AQ1384" s="37"/>
      <c r="AR1384" s="37"/>
      <c r="AS1384" s="37"/>
      <c r="AT1384" s="37"/>
      <c r="AU1384" s="37"/>
      <c r="AV1384" s="37"/>
      <c r="AW1384" s="37"/>
      <c r="AX1384" s="37"/>
      <c r="AY1384" s="37"/>
      <c r="AZ1384" s="37"/>
    </row>
    <row r="1385" spans="1:52" ht="15.5" customHeight="1">
      <c r="A1385" s="360"/>
      <c r="B1385" s="340"/>
      <c r="C1385" s="181"/>
      <c r="D1385" s="30"/>
      <c r="E1385" s="30"/>
      <c r="F1385" s="30"/>
      <c r="G1385" s="37"/>
      <c r="H1385" s="37"/>
      <c r="I1385" s="37"/>
      <c r="J1385" s="37" t="s">
        <v>69</v>
      </c>
      <c r="K1385" s="325" t="s">
        <v>69</v>
      </c>
      <c r="L1385" s="181"/>
      <c r="M1385" s="181"/>
      <c r="N1385" s="37"/>
      <c r="O1385" s="31"/>
      <c r="P1385" s="37"/>
      <c r="Q1385" s="181"/>
      <c r="R1385" s="181"/>
      <c r="S1385" s="181"/>
      <c r="T1385" s="181"/>
      <c r="U1385" s="181"/>
      <c r="V1385" s="37"/>
      <c r="W1385" s="181"/>
      <c r="X1385" s="38"/>
      <c r="Y1385" s="38"/>
      <c r="Z1385" s="38"/>
      <c r="AA1385" s="38"/>
      <c r="AB1385" s="248"/>
      <c r="AC1385" s="250"/>
      <c r="AD1385" s="181"/>
      <c r="AE1385" s="37"/>
      <c r="AF1385" s="37"/>
      <c r="AG1385" s="33"/>
      <c r="AH1385" s="37"/>
      <c r="AI1385" s="37"/>
      <c r="AJ1385" s="181"/>
      <c r="AK1385" s="37"/>
      <c r="AL1385" s="37"/>
      <c r="AM1385" s="181"/>
      <c r="AN1385" s="37"/>
      <c r="AO1385" s="37"/>
      <c r="AP1385" s="37"/>
      <c r="AQ1385" s="37"/>
      <c r="AR1385" s="37"/>
      <c r="AS1385" s="37"/>
      <c r="AT1385" s="37"/>
      <c r="AU1385" s="37"/>
      <c r="AV1385" s="37"/>
      <c r="AW1385" s="37"/>
      <c r="AX1385" s="37"/>
      <c r="AY1385" s="37"/>
      <c r="AZ1385" s="37"/>
    </row>
    <row r="1386" spans="1:52" ht="15.5" customHeight="1">
      <c r="A1386" s="360"/>
      <c r="B1386" s="340"/>
      <c r="C1386" s="181"/>
      <c r="D1386" s="30"/>
      <c r="E1386" s="30"/>
      <c r="F1386" s="30"/>
      <c r="G1386" s="37"/>
      <c r="H1386" s="37"/>
      <c r="I1386" s="37"/>
      <c r="J1386" s="37" t="s">
        <v>69</v>
      </c>
      <c r="K1386" s="325" t="s">
        <v>69</v>
      </c>
      <c r="L1386" s="181"/>
      <c r="M1386" s="181"/>
      <c r="N1386" s="37"/>
      <c r="O1386" s="31"/>
      <c r="P1386" s="37"/>
      <c r="Q1386" s="181"/>
      <c r="R1386" s="181"/>
      <c r="S1386" s="181"/>
      <c r="T1386" s="181"/>
      <c r="U1386" s="181"/>
      <c r="V1386" s="37"/>
      <c r="W1386" s="181"/>
      <c r="X1386" s="38"/>
      <c r="Y1386" s="38"/>
      <c r="Z1386" s="38"/>
      <c r="AA1386" s="38"/>
      <c r="AB1386" s="248"/>
      <c r="AC1386" s="250"/>
      <c r="AD1386" s="181"/>
      <c r="AE1386" s="37"/>
      <c r="AF1386" s="37"/>
      <c r="AG1386" s="33"/>
      <c r="AH1386" s="37"/>
      <c r="AI1386" s="37"/>
      <c r="AJ1386" s="181"/>
      <c r="AK1386" s="37"/>
      <c r="AL1386" s="37"/>
      <c r="AM1386" s="181"/>
      <c r="AN1386" s="37"/>
      <c r="AO1386" s="37"/>
      <c r="AP1386" s="37"/>
      <c r="AQ1386" s="37"/>
      <c r="AR1386" s="37"/>
      <c r="AS1386" s="37"/>
      <c r="AT1386" s="37"/>
      <c r="AU1386" s="37"/>
      <c r="AV1386" s="37"/>
      <c r="AW1386" s="37"/>
      <c r="AX1386" s="37"/>
      <c r="AY1386" s="37"/>
      <c r="AZ1386" s="37"/>
    </row>
    <row r="1387" spans="1:52" ht="15.5" customHeight="1">
      <c r="A1387" s="360"/>
      <c r="B1387" s="340"/>
      <c r="C1387" s="181"/>
      <c r="D1387" s="30"/>
      <c r="E1387" s="30"/>
      <c r="F1387" s="30"/>
      <c r="G1387" s="37"/>
      <c r="H1387" s="37"/>
      <c r="I1387" s="37"/>
      <c r="J1387" s="37" t="s">
        <v>69</v>
      </c>
      <c r="K1387" s="325" t="s">
        <v>69</v>
      </c>
      <c r="L1387" s="181"/>
      <c r="M1387" s="181"/>
      <c r="N1387" s="37"/>
      <c r="O1387" s="31"/>
      <c r="P1387" s="37"/>
      <c r="Q1387" s="181"/>
      <c r="R1387" s="181"/>
      <c r="S1387" s="181"/>
      <c r="T1387" s="181"/>
      <c r="U1387" s="181"/>
      <c r="V1387" s="37"/>
      <c r="W1387" s="181"/>
      <c r="X1387" s="38"/>
      <c r="Y1387" s="38"/>
      <c r="Z1387" s="38"/>
      <c r="AA1387" s="38"/>
      <c r="AB1387" s="248"/>
      <c r="AC1387" s="250"/>
      <c r="AD1387" s="181"/>
      <c r="AE1387" s="37"/>
      <c r="AF1387" s="37"/>
      <c r="AG1387" s="33"/>
      <c r="AH1387" s="37"/>
      <c r="AI1387" s="37"/>
      <c r="AJ1387" s="181"/>
      <c r="AK1387" s="37"/>
      <c r="AL1387" s="37"/>
      <c r="AM1387" s="181"/>
      <c r="AN1387" s="37"/>
      <c r="AO1387" s="37"/>
      <c r="AP1387" s="37"/>
      <c r="AQ1387" s="37"/>
      <c r="AR1387" s="37"/>
      <c r="AS1387" s="37"/>
      <c r="AT1387" s="37"/>
      <c r="AU1387" s="37"/>
      <c r="AV1387" s="37"/>
      <c r="AW1387" s="37"/>
      <c r="AX1387" s="37"/>
      <c r="AY1387" s="37"/>
      <c r="AZ1387" s="37"/>
    </row>
    <row r="1388" spans="1:52" ht="15.5" customHeight="1">
      <c r="A1388" s="360"/>
      <c r="B1388" s="340"/>
      <c r="C1388" s="181"/>
      <c r="D1388" s="30"/>
      <c r="E1388" s="30"/>
      <c r="F1388" s="30"/>
      <c r="G1388" s="37"/>
      <c r="H1388" s="37"/>
      <c r="I1388" s="37"/>
      <c r="J1388" s="37" t="s">
        <v>69</v>
      </c>
      <c r="K1388" s="325" t="s">
        <v>69</v>
      </c>
      <c r="L1388" s="181"/>
      <c r="M1388" s="181"/>
      <c r="N1388" s="37"/>
      <c r="O1388" s="31"/>
      <c r="P1388" s="37"/>
      <c r="Q1388" s="181"/>
      <c r="R1388" s="181"/>
      <c r="S1388" s="181"/>
      <c r="T1388" s="181"/>
      <c r="U1388" s="181"/>
      <c r="V1388" s="37"/>
      <c r="W1388" s="181"/>
      <c r="X1388" s="38"/>
      <c r="Y1388" s="38"/>
      <c r="Z1388" s="38"/>
      <c r="AA1388" s="38"/>
      <c r="AB1388" s="248"/>
      <c r="AC1388" s="250"/>
      <c r="AD1388" s="181"/>
      <c r="AE1388" s="37"/>
      <c r="AF1388" s="37"/>
      <c r="AG1388" s="33"/>
      <c r="AH1388" s="37"/>
      <c r="AI1388" s="37"/>
      <c r="AJ1388" s="181"/>
      <c r="AK1388" s="37"/>
      <c r="AL1388" s="37"/>
      <c r="AM1388" s="181"/>
      <c r="AN1388" s="37"/>
      <c r="AO1388" s="37"/>
      <c r="AP1388" s="37"/>
      <c r="AQ1388" s="37"/>
      <c r="AR1388" s="37"/>
      <c r="AS1388" s="37"/>
      <c r="AT1388" s="37"/>
      <c r="AU1388" s="37"/>
      <c r="AV1388" s="37"/>
      <c r="AW1388" s="37"/>
      <c r="AX1388" s="37"/>
      <c r="AY1388" s="37"/>
      <c r="AZ1388" s="37"/>
    </row>
    <row r="1389" spans="1:52" ht="15.5" customHeight="1">
      <c r="A1389" s="360"/>
      <c r="B1389" s="340"/>
      <c r="C1389" s="181"/>
      <c r="D1389" s="30"/>
      <c r="E1389" s="30"/>
      <c r="F1389" s="30"/>
      <c r="G1389" s="37"/>
      <c r="H1389" s="37"/>
      <c r="I1389" s="37"/>
      <c r="J1389" s="37" t="s">
        <v>69</v>
      </c>
      <c r="K1389" s="325" t="s">
        <v>69</v>
      </c>
      <c r="L1389" s="181"/>
      <c r="M1389" s="181"/>
      <c r="N1389" s="37"/>
      <c r="O1389" s="31"/>
      <c r="P1389" s="37"/>
      <c r="Q1389" s="181"/>
      <c r="R1389" s="181"/>
      <c r="S1389" s="181"/>
      <c r="T1389" s="181"/>
      <c r="U1389" s="181"/>
      <c r="V1389" s="37"/>
      <c r="W1389" s="181"/>
      <c r="X1389" s="38"/>
      <c r="Y1389" s="38"/>
      <c r="Z1389" s="38"/>
      <c r="AA1389" s="38"/>
      <c r="AB1389" s="248"/>
      <c r="AC1389" s="250"/>
      <c r="AD1389" s="181"/>
      <c r="AE1389" s="37"/>
      <c r="AF1389" s="37"/>
      <c r="AG1389" s="33"/>
      <c r="AH1389" s="37"/>
      <c r="AI1389" s="37"/>
      <c r="AJ1389" s="181"/>
      <c r="AK1389" s="37"/>
      <c r="AL1389" s="37"/>
      <c r="AM1389" s="181"/>
      <c r="AN1389" s="37"/>
      <c r="AO1389" s="37"/>
      <c r="AP1389" s="37"/>
      <c r="AQ1389" s="37"/>
      <c r="AR1389" s="37"/>
      <c r="AS1389" s="37"/>
      <c r="AT1389" s="37"/>
      <c r="AU1389" s="37"/>
      <c r="AV1389" s="37"/>
      <c r="AW1389" s="37"/>
      <c r="AX1389" s="37"/>
      <c r="AY1389" s="37"/>
      <c r="AZ1389" s="37"/>
    </row>
    <row r="1390" spans="1:52" ht="15.5" customHeight="1">
      <c r="A1390" s="360"/>
      <c r="B1390" s="340"/>
      <c r="C1390" s="181"/>
      <c r="D1390" s="30"/>
      <c r="E1390" s="30"/>
      <c r="F1390" s="30"/>
      <c r="G1390" s="37"/>
      <c r="H1390" s="37"/>
      <c r="I1390" s="37"/>
      <c r="J1390" s="37" t="s">
        <v>69</v>
      </c>
      <c r="K1390" s="325" t="s">
        <v>69</v>
      </c>
      <c r="L1390" s="181"/>
      <c r="M1390" s="181"/>
      <c r="N1390" s="37"/>
      <c r="O1390" s="31"/>
      <c r="P1390" s="37"/>
      <c r="Q1390" s="181"/>
      <c r="R1390" s="181"/>
      <c r="S1390" s="181"/>
      <c r="T1390" s="181"/>
      <c r="U1390" s="181"/>
      <c r="V1390" s="37"/>
      <c r="W1390" s="181"/>
      <c r="X1390" s="38"/>
      <c r="Y1390" s="38"/>
      <c r="Z1390" s="38"/>
      <c r="AA1390" s="38"/>
      <c r="AB1390" s="248"/>
      <c r="AC1390" s="250"/>
      <c r="AD1390" s="181"/>
      <c r="AE1390" s="37"/>
      <c r="AF1390" s="37"/>
      <c r="AG1390" s="33"/>
      <c r="AH1390" s="37"/>
      <c r="AI1390" s="37"/>
      <c r="AJ1390" s="181"/>
      <c r="AK1390" s="37"/>
      <c r="AL1390" s="37"/>
      <c r="AM1390" s="181"/>
      <c r="AN1390" s="37"/>
      <c r="AO1390" s="37"/>
      <c r="AP1390" s="37"/>
      <c r="AQ1390" s="37"/>
      <c r="AR1390" s="37"/>
      <c r="AS1390" s="37"/>
      <c r="AT1390" s="37"/>
      <c r="AU1390" s="37"/>
      <c r="AV1390" s="37"/>
      <c r="AW1390" s="37"/>
      <c r="AX1390" s="37"/>
      <c r="AY1390" s="37"/>
      <c r="AZ1390" s="37"/>
    </row>
    <row r="1391" spans="1:52" ht="15.5" customHeight="1">
      <c r="A1391" s="360"/>
      <c r="B1391" s="340"/>
      <c r="C1391" s="181"/>
      <c r="D1391" s="30"/>
      <c r="E1391" s="30"/>
      <c r="F1391" s="30"/>
      <c r="G1391" s="37"/>
      <c r="H1391" s="37"/>
      <c r="I1391" s="37"/>
      <c r="J1391" s="37" t="s">
        <v>69</v>
      </c>
      <c r="K1391" s="325" t="s">
        <v>69</v>
      </c>
      <c r="L1391" s="181"/>
      <c r="M1391" s="181"/>
      <c r="N1391" s="37"/>
      <c r="O1391" s="31"/>
      <c r="P1391" s="37"/>
      <c r="Q1391" s="181"/>
      <c r="R1391" s="181"/>
      <c r="S1391" s="181"/>
      <c r="T1391" s="181"/>
      <c r="U1391" s="181"/>
      <c r="V1391" s="37"/>
      <c r="W1391" s="181"/>
      <c r="X1391" s="38"/>
      <c r="Y1391" s="38"/>
      <c r="Z1391" s="38"/>
      <c r="AA1391" s="38"/>
      <c r="AB1391" s="248"/>
      <c r="AC1391" s="250"/>
      <c r="AD1391" s="181"/>
      <c r="AE1391" s="37"/>
      <c r="AF1391" s="37"/>
      <c r="AG1391" s="33"/>
      <c r="AH1391" s="37"/>
      <c r="AI1391" s="37"/>
      <c r="AJ1391" s="181"/>
      <c r="AK1391" s="37"/>
      <c r="AL1391" s="37"/>
      <c r="AM1391" s="181"/>
      <c r="AN1391" s="37"/>
      <c r="AO1391" s="37"/>
      <c r="AP1391" s="37"/>
      <c r="AQ1391" s="37"/>
      <c r="AR1391" s="37"/>
      <c r="AS1391" s="37"/>
      <c r="AT1391" s="37"/>
      <c r="AU1391" s="37"/>
      <c r="AV1391" s="37"/>
      <c r="AW1391" s="37"/>
      <c r="AX1391" s="37"/>
      <c r="AY1391" s="37"/>
      <c r="AZ1391" s="37"/>
    </row>
    <row r="1392" spans="1:52" ht="15.5" customHeight="1">
      <c r="A1392" s="360"/>
      <c r="B1392" s="340"/>
      <c r="C1392" s="181"/>
      <c r="D1392" s="30"/>
      <c r="E1392" s="30"/>
      <c r="F1392" s="30"/>
      <c r="G1392" s="37"/>
      <c r="H1392" s="37"/>
      <c r="I1392" s="37"/>
      <c r="J1392" s="37" t="s">
        <v>69</v>
      </c>
      <c r="K1392" s="325" t="s">
        <v>69</v>
      </c>
      <c r="L1392" s="181"/>
      <c r="M1392" s="181"/>
      <c r="N1392" s="37"/>
      <c r="O1392" s="31"/>
      <c r="P1392" s="37"/>
      <c r="Q1392" s="181"/>
      <c r="R1392" s="181"/>
      <c r="S1392" s="181"/>
      <c r="T1392" s="181"/>
      <c r="U1392" s="181"/>
      <c r="V1392" s="37"/>
      <c r="W1392" s="181"/>
      <c r="X1392" s="38"/>
      <c r="Y1392" s="38"/>
      <c r="Z1392" s="38"/>
      <c r="AA1392" s="38"/>
      <c r="AB1392" s="248"/>
      <c r="AC1392" s="250"/>
      <c r="AD1392" s="181"/>
      <c r="AE1392" s="37"/>
      <c r="AF1392" s="37"/>
      <c r="AG1392" s="33"/>
      <c r="AH1392" s="37"/>
      <c r="AI1392" s="37"/>
      <c r="AJ1392" s="181"/>
      <c r="AK1392" s="37"/>
      <c r="AL1392" s="37"/>
      <c r="AM1392" s="181"/>
      <c r="AN1392" s="37"/>
      <c r="AO1392" s="37"/>
      <c r="AP1392" s="37"/>
      <c r="AQ1392" s="37"/>
      <c r="AR1392" s="37"/>
      <c r="AS1392" s="37"/>
      <c r="AT1392" s="37"/>
      <c r="AU1392" s="37"/>
      <c r="AV1392" s="37"/>
      <c r="AW1392" s="37"/>
      <c r="AX1392" s="37"/>
      <c r="AY1392" s="37"/>
      <c r="AZ1392" s="37"/>
    </row>
    <row r="1393" spans="1:52" ht="15.5" customHeight="1">
      <c r="A1393" s="360"/>
      <c r="B1393" s="340"/>
      <c r="C1393" s="181"/>
      <c r="D1393" s="30"/>
      <c r="E1393" s="30"/>
      <c r="F1393" s="30"/>
      <c r="G1393" s="37"/>
      <c r="H1393" s="37"/>
      <c r="I1393" s="37"/>
      <c r="J1393" s="37" t="s">
        <v>69</v>
      </c>
      <c r="K1393" s="325" t="s">
        <v>69</v>
      </c>
      <c r="L1393" s="181"/>
      <c r="M1393" s="181"/>
      <c r="N1393" s="37"/>
      <c r="O1393" s="31"/>
      <c r="P1393" s="37"/>
      <c r="Q1393" s="181"/>
      <c r="R1393" s="181"/>
      <c r="S1393" s="181"/>
      <c r="T1393" s="181"/>
      <c r="U1393" s="181"/>
      <c r="V1393" s="37"/>
      <c r="W1393" s="181"/>
      <c r="X1393" s="38"/>
      <c r="Y1393" s="38"/>
      <c r="Z1393" s="38"/>
      <c r="AA1393" s="38"/>
      <c r="AB1393" s="248"/>
      <c r="AC1393" s="250"/>
      <c r="AD1393" s="181"/>
      <c r="AE1393" s="37"/>
      <c r="AF1393" s="37"/>
      <c r="AG1393" s="33"/>
      <c r="AH1393" s="37"/>
      <c r="AI1393" s="37"/>
      <c r="AJ1393" s="181"/>
      <c r="AK1393" s="37"/>
      <c r="AL1393" s="37"/>
      <c r="AM1393" s="181"/>
      <c r="AN1393" s="37"/>
      <c r="AO1393" s="37"/>
      <c r="AP1393" s="37"/>
      <c r="AQ1393" s="37"/>
      <c r="AR1393" s="37"/>
      <c r="AS1393" s="37"/>
      <c r="AT1393" s="37"/>
      <c r="AU1393" s="37"/>
      <c r="AV1393" s="37"/>
      <c r="AW1393" s="37"/>
      <c r="AX1393" s="37"/>
      <c r="AY1393" s="37"/>
      <c r="AZ1393" s="37"/>
    </row>
    <row r="1394" spans="1:52" ht="15.5" customHeight="1">
      <c r="A1394" s="360"/>
      <c r="B1394" s="340"/>
      <c r="C1394" s="181"/>
      <c r="D1394" s="30"/>
      <c r="E1394" s="30"/>
      <c r="F1394" s="30"/>
      <c r="G1394" s="37"/>
      <c r="H1394" s="37"/>
      <c r="I1394" s="37"/>
      <c r="J1394" s="37" t="s">
        <v>69</v>
      </c>
      <c r="K1394" s="325" t="s">
        <v>69</v>
      </c>
      <c r="L1394" s="181"/>
      <c r="M1394" s="181"/>
      <c r="N1394" s="37"/>
      <c r="O1394" s="31"/>
      <c r="P1394" s="37"/>
      <c r="Q1394" s="181"/>
      <c r="R1394" s="181"/>
      <c r="S1394" s="181"/>
      <c r="T1394" s="181"/>
      <c r="U1394" s="181"/>
      <c r="V1394" s="37"/>
      <c r="W1394" s="181"/>
      <c r="X1394" s="38"/>
      <c r="Y1394" s="38"/>
      <c r="Z1394" s="38"/>
      <c r="AA1394" s="38"/>
      <c r="AB1394" s="248"/>
      <c r="AC1394" s="250"/>
      <c r="AD1394" s="181"/>
      <c r="AE1394" s="37"/>
      <c r="AF1394" s="37"/>
      <c r="AG1394" s="33"/>
      <c r="AH1394" s="37"/>
      <c r="AI1394" s="37"/>
      <c r="AJ1394" s="181"/>
      <c r="AK1394" s="37"/>
      <c r="AL1394" s="37"/>
      <c r="AM1394" s="181"/>
      <c r="AN1394" s="37"/>
      <c r="AO1394" s="37"/>
      <c r="AP1394" s="37"/>
      <c r="AQ1394" s="37"/>
      <c r="AR1394" s="37"/>
      <c r="AS1394" s="37"/>
      <c r="AT1394" s="37"/>
      <c r="AU1394" s="37"/>
      <c r="AV1394" s="37"/>
      <c r="AW1394" s="37"/>
      <c r="AX1394" s="37"/>
      <c r="AY1394" s="37"/>
      <c r="AZ1394" s="37"/>
    </row>
    <row r="1395" spans="1:52" ht="15.5" customHeight="1">
      <c r="A1395" s="360"/>
      <c r="B1395" s="340"/>
      <c r="C1395" s="181"/>
      <c r="D1395" s="30"/>
      <c r="E1395" s="30"/>
      <c r="F1395" s="30"/>
      <c r="G1395" s="37"/>
      <c r="H1395" s="37"/>
      <c r="I1395" s="37"/>
      <c r="J1395" s="37" t="s">
        <v>69</v>
      </c>
      <c r="K1395" s="325" t="s">
        <v>69</v>
      </c>
      <c r="L1395" s="181"/>
      <c r="M1395" s="181"/>
      <c r="N1395" s="37"/>
      <c r="O1395" s="31"/>
      <c r="P1395" s="37"/>
      <c r="Q1395" s="181"/>
      <c r="R1395" s="181"/>
      <c r="S1395" s="181"/>
      <c r="T1395" s="181"/>
      <c r="U1395" s="181"/>
      <c r="V1395" s="37"/>
      <c r="W1395" s="181"/>
      <c r="X1395" s="38"/>
      <c r="Y1395" s="38"/>
      <c r="Z1395" s="38"/>
      <c r="AA1395" s="38"/>
      <c r="AB1395" s="248"/>
      <c r="AC1395" s="250"/>
      <c r="AD1395" s="181"/>
      <c r="AE1395" s="37"/>
      <c r="AF1395" s="37"/>
      <c r="AG1395" s="33"/>
      <c r="AH1395" s="37"/>
      <c r="AI1395" s="37"/>
      <c r="AJ1395" s="181"/>
      <c r="AK1395" s="37"/>
      <c r="AL1395" s="37"/>
      <c r="AM1395" s="181"/>
      <c r="AN1395" s="37"/>
      <c r="AO1395" s="37"/>
      <c r="AP1395" s="37"/>
      <c r="AQ1395" s="37"/>
      <c r="AR1395" s="37"/>
      <c r="AS1395" s="37"/>
      <c r="AT1395" s="37"/>
      <c r="AU1395" s="37"/>
      <c r="AV1395" s="37"/>
      <c r="AW1395" s="37"/>
      <c r="AX1395" s="37"/>
      <c r="AY1395" s="37"/>
      <c r="AZ1395" s="37"/>
    </row>
    <row r="1396" spans="1:52" ht="15.5" customHeight="1">
      <c r="A1396" s="360"/>
      <c r="B1396" s="340"/>
      <c r="C1396" s="181"/>
      <c r="D1396" s="30"/>
      <c r="E1396" s="30"/>
      <c r="F1396" s="30"/>
      <c r="G1396" s="37"/>
      <c r="H1396" s="37"/>
      <c r="I1396" s="37"/>
      <c r="J1396" s="37" t="s">
        <v>69</v>
      </c>
      <c r="K1396" s="325" t="s">
        <v>69</v>
      </c>
      <c r="L1396" s="181"/>
      <c r="M1396" s="181"/>
      <c r="N1396" s="37"/>
      <c r="O1396" s="31"/>
      <c r="P1396" s="37"/>
      <c r="Q1396" s="181"/>
      <c r="R1396" s="181"/>
      <c r="S1396" s="181"/>
      <c r="T1396" s="181"/>
      <c r="U1396" s="181"/>
      <c r="V1396" s="37"/>
      <c r="W1396" s="181"/>
      <c r="X1396" s="38"/>
      <c r="Y1396" s="38"/>
      <c r="Z1396" s="38"/>
      <c r="AA1396" s="38"/>
      <c r="AB1396" s="248"/>
      <c r="AC1396" s="250"/>
      <c r="AD1396" s="181"/>
      <c r="AE1396" s="37"/>
      <c r="AF1396" s="37"/>
      <c r="AG1396" s="33"/>
      <c r="AH1396" s="37"/>
      <c r="AI1396" s="37"/>
      <c r="AJ1396" s="181"/>
      <c r="AK1396" s="37"/>
      <c r="AL1396" s="37"/>
      <c r="AM1396" s="181"/>
      <c r="AN1396" s="37"/>
      <c r="AO1396" s="37"/>
      <c r="AP1396" s="37"/>
      <c r="AQ1396" s="37"/>
      <c r="AR1396" s="37"/>
      <c r="AS1396" s="37"/>
      <c r="AT1396" s="37"/>
      <c r="AU1396" s="37"/>
      <c r="AV1396" s="37"/>
      <c r="AW1396" s="37"/>
      <c r="AX1396" s="37"/>
      <c r="AY1396" s="37"/>
      <c r="AZ1396" s="37"/>
    </row>
    <row r="1397" spans="1:52" ht="15.5" customHeight="1">
      <c r="A1397" s="360"/>
      <c r="B1397" s="340"/>
      <c r="C1397" s="181"/>
      <c r="D1397" s="30"/>
      <c r="E1397" s="30"/>
      <c r="F1397" s="30"/>
      <c r="G1397" s="37"/>
      <c r="H1397" s="37"/>
      <c r="I1397" s="37"/>
      <c r="J1397" s="37" t="s">
        <v>69</v>
      </c>
      <c r="K1397" s="325" t="s">
        <v>69</v>
      </c>
      <c r="L1397" s="181"/>
      <c r="M1397" s="181"/>
      <c r="N1397" s="37"/>
      <c r="O1397" s="31"/>
      <c r="P1397" s="37"/>
      <c r="Q1397" s="181"/>
      <c r="R1397" s="181"/>
      <c r="S1397" s="181"/>
      <c r="T1397" s="181"/>
      <c r="U1397" s="181"/>
      <c r="V1397" s="37"/>
      <c r="W1397" s="181"/>
      <c r="X1397" s="38"/>
      <c r="Y1397" s="38"/>
      <c r="Z1397" s="38"/>
      <c r="AA1397" s="38"/>
      <c r="AB1397" s="248"/>
      <c r="AC1397" s="250"/>
      <c r="AD1397" s="181"/>
      <c r="AE1397" s="37"/>
      <c r="AF1397" s="37"/>
      <c r="AG1397" s="33"/>
      <c r="AH1397" s="37"/>
      <c r="AI1397" s="37"/>
      <c r="AJ1397" s="181"/>
      <c r="AK1397" s="37"/>
      <c r="AL1397" s="37"/>
      <c r="AM1397" s="181"/>
      <c r="AN1397" s="37"/>
      <c r="AO1397" s="37"/>
      <c r="AP1397" s="37"/>
      <c r="AQ1397" s="37"/>
      <c r="AR1397" s="37"/>
      <c r="AS1397" s="37"/>
      <c r="AT1397" s="37"/>
      <c r="AU1397" s="37"/>
      <c r="AV1397" s="37"/>
      <c r="AW1397" s="37"/>
      <c r="AX1397" s="37"/>
      <c r="AY1397" s="37"/>
      <c r="AZ1397" s="37"/>
    </row>
    <row r="1398" spans="1:52" ht="15.5" customHeight="1">
      <c r="A1398" s="360"/>
      <c r="B1398" s="340"/>
      <c r="C1398" s="181"/>
      <c r="D1398" s="30"/>
      <c r="E1398" s="30"/>
      <c r="F1398" s="30"/>
      <c r="G1398" s="37"/>
      <c r="H1398" s="37"/>
      <c r="I1398" s="37"/>
      <c r="J1398" s="37" t="s">
        <v>69</v>
      </c>
      <c r="K1398" s="325" t="s">
        <v>69</v>
      </c>
      <c r="L1398" s="181"/>
      <c r="M1398" s="181"/>
      <c r="N1398" s="37"/>
      <c r="O1398" s="31"/>
      <c r="P1398" s="37"/>
      <c r="Q1398" s="181"/>
      <c r="R1398" s="181"/>
      <c r="S1398" s="181"/>
      <c r="T1398" s="181"/>
      <c r="U1398" s="181"/>
      <c r="V1398" s="37"/>
      <c r="W1398" s="181"/>
      <c r="X1398" s="38"/>
      <c r="Y1398" s="38"/>
      <c r="Z1398" s="38"/>
      <c r="AA1398" s="38"/>
      <c r="AB1398" s="248"/>
      <c r="AC1398" s="250"/>
      <c r="AD1398" s="181"/>
      <c r="AE1398" s="37"/>
      <c r="AF1398" s="37"/>
      <c r="AG1398" s="33"/>
      <c r="AH1398" s="37"/>
      <c r="AI1398" s="37"/>
      <c r="AJ1398" s="181"/>
      <c r="AK1398" s="37"/>
      <c r="AL1398" s="37"/>
      <c r="AM1398" s="181"/>
      <c r="AN1398" s="37"/>
      <c r="AO1398" s="37"/>
      <c r="AP1398" s="37"/>
      <c r="AQ1398" s="37"/>
      <c r="AR1398" s="37"/>
      <c r="AS1398" s="37"/>
      <c r="AT1398" s="37"/>
      <c r="AU1398" s="37"/>
      <c r="AV1398" s="37"/>
      <c r="AW1398" s="37"/>
      <c r="AX1398" s="37"/>
      <c r="AY1398" s="37"/>
      <c r="AZ1398" s="37"/>
    </row>
    <row r="1399" spans="1:52" ht="15.5" customHeight="1">
      <c r="A1399" s="360"/>
      <c r="B1399" s="340"/>
      <c r="C1399" s="181"/>
      <c r="D1399" s="30"/>
      <c r="E1399" s="30"/>
      <c r="F1399" s="30"/>
      <c r="G1399" s="37"/>
      <c r="H1399" s="37"/>
      <c r="I1399" s="37"/>
      <c r="J1399" s="37" t="s">
        <v>69</v>
      </c>
      <c r="K1399" s="325" t="s">
        <v>69</v>
      </c>
      <c r="L1399" s="181"/>
      <c r="M1399" s="181"/>
      <c r="N1399" s="37"/>
      <c r="O1399" s="31"/>
      <c r="P1399" s="37"/>
      <c r="Q1399" s="181"/>
      <c r="R1399" s="181"/>
      <c r="S1399" s="181"/>
      <c r="T1399" s="181"/>
      <c r="U1399" s="181"/>
      <c r="V1399" s="37"/>
      <c r="W1399" s="181"/>
      <c r="X1399" s="38"/>
      <c r="Y1399" s="38"/>
      <c r="Z1399" s="38"/>
      <c r="AA1399" s="38"/>
      <c r="AB1399" s="248"/>
      <c r="AC1399" s="250"/>
      <c r="AD1399" s="181"/>
      <c r="AE1399" s="37"/>
      <c r="AF1399" s="37"/>
      <c r="AG1399" s="33"/>
      <c r="AH1399" s="37"/>
      <c r="AI1399" s="37"/>
      <c r="AJ1399" s="181"/>
      <c r="AK1399" s="37"/>
      <c r="AL1399" s="37"/>
      <c r="AM1399" s="181"/>
      <c r="AN1399" s="37"/>
      <c r="AO1399" s="37"/>
      <c r="AP1399" s="37"/>
      <c r="AQ1399" s="37"/>
      <c r="AR1399" s="37"/>
      <c r="AS1399" s="37"/>
      <c r="AT1399" s="37"/>
      <c r="AU1399" s="37"/>
      <c r="AV1399" s="37"/>
      <c r="AW1399" s="37"/>
      <c r="AX1399" s="37"/>
      <c r="AY1399" s="37"/>
      <c r="AZ1399" s="37"/>
    </row>
    <row r="1400" spans="1:52" ht="15.5" customHeight="1">
      <c r="A1400" s="360"/>
      <c r="B1400" s="340"/>
      <c r="C1400" s="181"/>
      <c r="D1400" s="30"/>
      <c r="E1400" s="30"/>
      <c r="F1400" s="30"/>
      <c r="G1400" s="37"/>
      <c r="H1400" s="37"/>
      <c r="I1400" s="37"/>
      <c r="J1400" s="37" t="s">
        <v>69</v>
      </c>
      <c r="K1400" s="325" t="s">
        <v>69</v>
      </c>
      <c r="L1400" s="181"/>
      <c r="M1400" s="181"/>
      <c r="N1400" s="37"/>
      <c r="O1400" s="31"/>
      <c r="P1400" s="37"/>
      <c r="Q1400" s="181"/>
      <c r="R1400" s="181"/>
      <c r="S1400" s="181"/>
      <c r="T1400" s="181"/>
      <c r="U1400" s="181"/>
      <c r="V1400" s="37"/>
      <c r="W1400" s="181"/>
      <c r="X1400" s="38"/>
      <c r="Y1400" s="38"/>
      <c r="Z1400" s="38"/>
      <c r="AA1400" s="38"/>
      <c r="AB1400" s="248"/>
      <c r="AC1400" s="250"/>
      <c r="AD1400" s="181"/>
      <c r="AE1400" s="37"/>
      <c r="AF1400" s="37"/>
      <c r="AG1400" s="33"/>
      <c r="AH1400" s="37"/>
      <c r="AI1400" s="37"/>
      <c r="AJ1400" s="181"/>
      <c r="AK1400" s="37"/>
      <c r="AL1400" s="37"/>
      <c r="AM1400" s="181"/>
      <c r="AN1400" s="37"/>
      <c r="AO1400" s="37"/>
      <c r="AP1400" s="37"/>
      <c r="AQ1400" s="37"/>
      <c r="AR1400" s="37"/>
      <c r="AS1400" s="37"/>
      <c r="AT1400" s="37"/>
      <c r="AU1400" s="37"/>
      <c r="AV1400" s="37"/>
      <c r="AW1400" s="37"/>
      <c r="AX1400" s="37"/>
      <c r="AY1400" s="37"/>
      <c r="AZ1400" s="37"/>
    </row>
    <row r="1401" spans="1:52" ht="15.5" customHeight="1">
      <c r="A1401" s="360"/>
      <c r="B1401" s="340"/>
      <c r="C1401" s="181"/>
      <c r="D1401" s="30"/>
      <c r="E1401" s="30"/>
      <c r="F1401" s="30"/>
      <c r="G1401" s="37"/>
      <c r="H1401" s="37"/>
      <c r="I1401" s="37"/>
      <c r="J1401" s="37" t="s">
        <v>69</v>
      </c>
      <c r="K1401" s="325" t="s">
        <v>69</v>
      </c>
      <c r="L1401" s="181"/>
      <c r="M1401" s="181"/>
      <c r="N1401" s="37"/>
      <c r="O1401" s="31"/>
      <c r="P1401" s="37"/>
      <c r="Q1401" s="181"/>
      <c r="R1401" s="181"/>
      <c r="S1401" s="181"/>
      <c r="T1401" s="181"/>
      <c r="U1401" s="181"/>
      <c r="V1401" s="37"/>
      <c r="W1401" s="181"/>
      <c r="X1401" s="38"/>
      <c r="Y1401" s="38"/>
      <c r="Z1401" s="38"/>
      <c r="AA1401" s="38"/>
      <c r="AB1401" s="248"/>
      <c r="AC1401" s="250"/>
      <c r="AD1401" s="181"/>
      <c r="AE1401" s="37"/>
      <c r="AF1401" s="37"/>
      <c r="AG1401" s="33"/>
      <c r="AH1401" s="37"/>
      <c r="AI1401" s="37"/>
      <c r="AJ1401" s="181"/>
      <c r="AK1401" s="37"/>
      <c r="AL1401" s="37"/>
      <c r="AM1401" s="181"/>
      <c r="AN1401" s="37"/>
      <c r="AO1401" s="37"/>
      <c r="AP1401" s="37"/>
      <c r="AQ1401" s="37"/>
      <c r="AR1401" s="37"/>
      <c r="AS1401" s="37"/>
      <c r="AT1401" s="37"/>
      <c r="AU1401" s="37"/>
      <c r="AV1401" s="37"/>
      <c r="AW1401" s="37"/>
      <c r="AX1401" s="37"/>
      <c r="AY1401" s="37"/>
      <c r="AZ1401" s="37"/>
    </row>
    <row r="1402" spans="1:52" ht="15.5" customHeight="1">
      <c r="A1402" s="360"/>
      <c r="B1402" s="340"/>
      <c r="C1402" s="181"/>
      <c r="D1402" s="30"/>
      <c r="E1402" s="30"/>
      <c r="F1402" s="30"/>
      <c r="G1402" s="37"/>
      <c r="H1402" s="37"/>
      <c r="I1402" s="37"/>
      <c r="J1402" s="37" t="s">
        <v>69</v>
      </c>
      <c r="K1402" s="325" t="s">
        <v>69</v>
      </c>
      <c r="L1402" s="181"/>
      <c r="M1402" s="181"/>
      <c r="N1402" s="37"/>
      <c r="O1402" s="31"/>
      <c r="P1402" s="37"/>
      <c r="Q1402" s="181"/>
      <c r="R1402" s="181"/>
      <c r="S1402" s="181"/>
      <c r="T1402" s="181"/>
      <c r="U1402" s="181"/>
      <c r="V1402" s="37"/>
      <c r="W1402" s="181"/>
      <c r="X1402" s="38"/>
      <c r="Y1402" s="38"/>
      <c r="Z1402" s="38"/>
      <c r="AA1402" s="38"/>
      <c r="AB1402" s="248"/>
      <c r="AC1402" s="250"/>
      <c r="AD1402" s="181"/>
      <c r="AE1402" s="37"/>
      <c r="AF1402" s="37"/>
      <c r="AG1402" s="33"/>
      <c r="AH1402" s="37"/>
      <c r="AI1402" s="37"/>
      <c r="AJ1402" s="181"/>
      <c r="AK1402" s="37"/>
      <c r="AL1402" s="37"/>
      <c r="AM1402" s="181"/>
      <c r="AN1402" s="37"/>
      <c r="AO1402" s="37"/>
      <c r="AP1402" s="37"/>
      <c r="AQ1402" s="37"/>
      <c r="AR1402" s="37"/>
      <c r="AS1402" s="37"/>
      <c r="AT1402" s="37"/>
      <c r="AU1402" s="37"/>
      <c r="AV1402" s="37"/>
      <c r="AW1402" s="37"/>
      <c r="AX1402" s="37"/>
      <c r="AY1402" s="37"/>
      <c r="AZ1402" s="37"/>
    </row>
    <row r="1403" spans="1:52" ht="15.5" customHeight="1">
      <c r="A1403" s="360"/>
      <c r="B1403" s="340"/>
      <c r="C1403" s="181"/>
      <c r="D1403" s="30"/>
      <c r="E1403" s="30"/>
      <c r="F1403" s="30"/>
      <c r="G1403" s="37"/>
      <c r="H1403" s="37"/>
      <c r="I1403" s="37"/>
      <c r="J1403" s="37" t="s">
        <v>69</v>
      </c>
      <c r="K1403" s="325" t="s">
        <v>69</v>
      </c>
      <c r="L1403" s="181"/>
      <c r="M1403" s="181"/>
      <c r="N1403" s="37"/>
      <c r="O1403" s="31"/>
      <c r="P1403" s="37"/>
      <c r="Q1403" s="181"/>
      <c r="R1403" s="181"/>
      <c r="S1403" s="181"/>
      <c r="T1403" s="181"/>
      <c r="U1403" s="181"/>
      <c r="V1403" s="37"/>
      <c r="W1403" s="181"/>
      <c r="X1403" s="38"/>
      <c r="Y1403" s="38"/>
      <c r="Z1403" s="38"/>
      <c r="AA1403" s="38"/>
      <c r="AB1403" s="248"/>
      <c r="AC1403" s="250"/>
      <c r="AD1403" s="181"/>
      <c r="AE1403" s="37"/>
      <c r="AF1403" s="37"/>
      <c r="AG1403" s="33"/>
      <c r="AH1403" s="37"/>
      <c r="AI1403" s="37"/>
      <c r="AJ1403" s="181"/>
      <c r="AK1403" s="37"/>
      <c r="AL1403" s="37"/>
      <c r="AM1403" s="181"/>
      <c r="AN1403" s="37"/>
      <c r="AO1403" s="37"/>
      <c r="AP1403" s="37"/>
      <c r="AQ1403" s="37"/>
      <c r="AR1403" s="37"/>
      <c r="AS1403" s="37"/>
      <c r="AT1403" s="37"/>
      <c r="AU1403" s="37"/>
      <c r="AV1403" s="37"/>
      <c r="AW1403" s="37"/>
      <c r="AX1403" s="37"/>
      <c r="AY1403" s="37"/>
      <c r="AZ1403" s="37"/>
    </row>
    <row r="1404" spans="1:52" ht="15.5" customHeight="1">
      <c r="A1404" s="360"/>
      <c r="B1404" s="340"/>
      <c r="C1404" s="181"/>
      <c r="D1404" s="30"/>
      <c r="E1404" s="30"/>
      <c r="F1404" s="30"/>
      <c r="G1404" s="37"/>
      <c r="H1404" s="37"/>
      <c r="I1404" s="37"/>
      <c r="J1404" s="37" t="s">
        <v>69</v>
      </c>
      <c r="K1404" s="325" t="s">
        <v>69</v>
      </c>
      <c r="L1404" s="181"/>
      <c r="M1404" s="181"/>
      <c r="N1404" s="37"/>
      <c r="O1404" s="31"/>
      <c r="P1404" s="37"/>
      <c r="Q1404" s="181"/>
      <c r="R1404" s="181"/>
      <c r="S1404" s="181"/>
      <c r="T1404" s="181"/>
      <c r="U1404" s="181"/>
      <c r="V1404" s="37"/>
      <c r="W1404" s="181"/>
      <c r="X1404" s="38"/>
      <c r="Y1404" s="38"/>
      <c r="Z1404" s="38"/>
      <c r="AA1404" s="38"/>
      <c r="AB1404" s="248"/>
      <c r="AC1404" s="250"/>
      <c r="AD1404" s="181"/>
      <c r="AE1404" s="37"/>
      <c r="AF1404" s="37"/>
      <c r="AG1404" s="33"/>
      <c r="AH1404" s="37"/>
      <c r="AI1404" s="37"/>
      <c r="AJ1404" s="181"/>
      <c r="AK1404" s="37"/>
      <c r="AL1404" s="37"/>
      <c r="AM1404" s="181"/>
      <c r="AN1404" s="37"/>
      <c r="AO1404" s="37"/>
      <c r="AP1404" s="37"/>
      <c r="AQ1404" s="37"/>
      <c r="AR1404" s="37"/>
      <c r="AS1404" s="37"/>
      <c r="AT1404" s="37"/>
      <c r="AU1404" s="37"/>
      <c r="AV1404" s="37"/>
      <c r="AW1404" s="37"/>
      <c r="AX1404" s="37"/>
      <c r="AY1404" s="37"/>
      <c r="AZ1404" s="37"/>
    </row>
    <row r="1405" spans="1:52" ht="15.5" customHeight="1">
      <c r="A1405" s="360"/>
      <c r="B1405" s="340"/>
      <c r="C1405" s="181"/>
      <c r="D1405" s="30"/>
      <c r="E1405" s="30"/>
      <c r="F1405" s="30"/>
      <c r="G1405" s="37"/>
      <c r="H1405" s="37"/>
      <c r="I1405" s="37"/>
      <c r="J1405" s="37" t="s">
        <v>69</v>
      </c>
      <c r="K1405" s="325" t="s">
        <v>69</v>
      </c>
      <c r="L1405" s="181"/>
      <c r="M1405" s="181"/>
      <c r="N1405" s="37"/>
      <c r="O1405" s="31"/>
      <c r="P1405" s="37"/>
      <c r="Q1405" s="181"/>
      <c r="R1405" s="181"/>
      <c r="S1405" s="181"/>
      <c r="T1405" s="181"/>
      <c r="U1405" s="181"/>
      <c r="V1405" s="37"/>
      <c r="W1405" s="181"/>
      <c r="X1405" s="38"/>
      <c r="Y1405" s="38"/>
      <c r="Z1405" s="38"/>
      <c r="AA1405" s="38"/>
      <c r="AB1405" s="248"/>
      <c r="AC1405" s="250"/>
      <c r="AD1405" s="181"/>
      <c r="AE1405" s="37"/>
      <c r="AF1405" s="37"/>
      <c r="AG1405" s="33"/>
      <c r="AH1405" s="37"/>
      <c r="AI1405" s="37"/>
      <c r="AJ1405" s="181"/>
      <c r="AK1405" s="37"/>
      <c r="AL1405" s="37"/>
      <c r="AM1405" s="181"/>
      <c r="AN1405" s="37"/>
      <c r="AO1405" s="37"/>
      <c r="AP1405" s="37"/>
      <c r="AQ1405" s="37"/>
      <c r="AR1405" s="37"/>
      <c r="AS1405" s="37"/>
      <c r="AT1405" s="37"/>
      <c r="AU1405" s="37"/>
      <c r="AV1405" s="37"/>
      <c r="AW1405" s="37"/>
      <c r="AX1405" s="37"/>
      <c r="AY1405" s="37"/>
      <c r="AZ1405" s="37"/>
    </row>
    <row r="1406" spans="1:52" ht="15.5" customHeight="1">
      <c r="A1406" s="360"/>
      <c r="B1406" s="340"/>
      <c r="C1406" s="181"/>
      <c r="D1406" s="30"/>
      <c r="E1406" s="30"/>
      <c r="F1406" s="30"/>
      <c r="G1406" s="37"/>
      <c r="H1406" s="37"/>
      <c r="I1406" s="37"/>
      <c r="J1406" s="37" t="s">
        <v>69</v>
      </c>
      <c r="K1406" s="325" t="s">
        <v>69</v>
      </c>
      <c r="L1406" s="181"/>
      <c r="M1406" s="181"/>
      <c r="N1406" s="37"/>
      <c r="O1406" s="31"/>
      <c r="P1406" s="37"/>
      <c r="Q1406" s="181"/>
      <c r="R1406" s="181"/>
      <c r="S1406" s="181"/>
      <c r="T1406" s="181"/>
      <c r="U1406" s="181"/>
      <c r="V1406" s="37"/>
      <c r="W1406" s="181"/>
      <c r="X1406" s="38"/>
      <c r="Y1406" s="38"/>
      <c r="Z1406" s="38"/>
      <c r="AA1406" s="38"/>
      <c r="AB1406" s="248"/>
      <c r="AC1406" s="250"/>
      <c r="AD1406" s="181"/>
      <c r="AE1406" s="37"/>
      <c r="AF1406" s="37"/>
      <c r="AG1406" s="33"/>
      <c r="AH1406" s="37"/>
      <c r="AI1406" s="37"/>
      <c r="AJ1406" s="181"/>
      <c r="AK1406" s="37"/>
      <c r="AL1406" s="37"/>
      <c r="AM1406" s="181"/>
      <c r="AN1406" s="37"/>
      <c r="AO1406" s="37"/>
      <c r="AP1406" s="37"/>
      <c r="AQ1406" s="37"/>
      <c r="AR1406" s="37"/>
      <c r="AS1406" s="37"/>
      <c r="AT1406" s="37"/>
      <c r="AU1406" s="37"/>
      <c r="AV1406" s="37"/>
      <c r="AW1406" s="37"/>
      <c r="AX1406" s="37"/>
      <c r="AY1406" s="37"/>
      <c r="AZ1406" s="37"/>
    </row>
    <row r="1407" spans="1:52" ht="15.5" customHeight="1">
      <c r="A1407" s="360"/>
      <c r="B1407" s="340"/>
      <c r="C1407" s="181"/>
      <c r="D1407" s="30"/>
      <c r="E1407" s="30"/>
      <c r="F1407" s="30"/>
      <c r="G1407" s="37"/>
      <c r="H1407" s="37"/>
      <c r="I1407" s="37"/>
      <c r="J1407" s="37" t="s">
        <v>69</v>
      </c>
      <c r="K1407" s="325" t="s">
        <v>69</v>
      </c>
      <c r="L1407" s="181"/>
      <c r="M1407" s="181"/>
      <c r="N1407" s="37"/>
      <c r="O1407" s="31"/>
      <c r="P1407" s="37"/>
      <c r="Q1407" s="181"/>
      <c r="R1407" s="181"/>
      <c r="S1407" s="181"/>
      <c r="T1407" s="181"/>
      <c r="U1407" s="181"/>
      <c r="V1407" s="37"/>
      <c r="W1407" s="181"/>
      <c r="X1407" s="38"/>
      <c r="Y1407" s="38"/>
      <c r="Z1407" s="38"/>
      <c r="AA1407" s="38"/>
      <c r="AB1407" s="248"/>
      <c r="AC1407" s="250"/>
      <c r="AD1407" s="181"/>
      <c r="AE1407" s="37"/>
      <c r="AF1407" s="37"/>
      <c r="AG1407" s="33"/>
      <c r="AH1407" s="37"/>
      <c r="AI1407" s="37"/>
      <c r="AJ1407" s="181"/>
      <c r="AK1407" s="37"/>
      <c r="AL1407" s="37"/>
      <c r="AM1407" s="181"/>
      <c r="AN1407" s="37"/>
      <c r="AO1407" s="37"/>
      <c r="AP1407" s="37"/>
      <c r="AQ1407" s="37"/>
      <c r="AR1407" s="37"/>
      <c r="AS1407" s="37"/>
      <c r="AT1407" s="37"/>
      <c r="AU1407" s="37"/>
      <c r="AV1407" s="37"/>
      <c r="AW1407" s="37"/>
      <c r="AX1407" s="37"/>
      <c r="AY1407" s="37"/>
      <c r="AZ1407" s="37"/>
    </row>
    <row r="1408" spans="1:52" ht="15.5" customHeight="1">
      <c r="A1408" s="360"/>
      <c r="B1408" s="340"/>
      <c r="C1408" s="181"/>
      <c r="D1408" s="30"/>
      <c r="E1408" s="30"/>
      <c r="F1408" s="30"/>
      <c r="G1408" s="37"/>
      <c r="H1408" s="37"/>
      <c r="I1408" s="37"/>
      <c r="J1408" s="37" t="s">
        <v>69</v>
      </c>
      <c r="K1408" s="325" t="s">
        <v>69</v>
      </c>
      <c r="L1408" s="181"/>
      <c r="M1408" s="181"/>
      <c r="N1408" s="37"/>
      <c r="O1408" s="31"/>
      <c r="P1408" s="37"/>
      <c r="Q1408" s="181"/>
      <c r="R1408" s="181"/>
      <c r="S1408" s="181"/>
      <c r="T1408" s="181"/>
      <c r="U1408" s="181"/>
      <c r="V1408" s="37"/>
      <c r="W1408" s="181"/>
      <c r="X1408" s="38"/>
      <c r="Y1408" s="38"/>
      <c r="Z1408" s="38"/>
      <c r="AA1408" s="38"/>
      <c r="AB1408" s="248"/>
      <c r="AC1408" s="250"/>
      <c r="AD1408" s="181"/>
      <c r="AE1408" s="37"/>
      <c r="AF1408" s="37"/>
      <c r="AG1408" s="33"/>
      <c r="AH1408" s="37"/>
      <c r="AI1408" s="37"/>
      <c r="AJ1408" s="181"/>
      <c r="AK1408" s="37"/>
      <c r="AL1408" s="37"/>
      <c r="AM1408" s="181"/>
      <c r="AN1408" s="37"/>
      <c r="AO1408" s="37"/>
      <c r="AP1408" s="37"/>
      <c r="AQ1408" s="37"/>
      <c r="AR1408" s="37"/>
      <c r="AS1408" s="37"/>
      <c r="AT1408" s="37"/>
      <c r="AU1408" s="37"/>
      <c r="AV1408" s="37"/>
      <c r="AW1408" s="37"/>
      <c r="AX1408" s="37"/>
      <c r="AY1408" s="37"/>
      <c r="AZ1408" s="37"/>
    </row>
    <row r="1409" spans="1:52" ht="15.5" customHeight="1">
      <c r="A1409" s="360"/>
      <c r="B1409" s="340"/>
      <c r="C1409" s="181"/>
      <c r="D1409" s="30"/>
      <c r="E1409" s="30"/>
      <c r="F1409" s="30"/>
      <c r="G1409" s="37"/>
      <c r="H1409" s="37"/>
      <c r="I1409" s="37"/>
      <c r="J1409" s="37" t="s">
        <v>69</v>
      </c>
      <c r="K1409" s="325" t="s">
        <v>69</v>
      </c>
      <c r="L1409" s="181"/>
      <c r="M1409" s="181"/>
      <c r="N1409" s="37"/>
      <c r="O1409" s="31"/>
      <c r="P1409" s="37"/>
      <c r="Q1409" s="181"/>
      <c r="R1409" s="181"/>
      <c r="S1409" s="181"/>
      <c r="T1409" s="181"/>
      <c r="U1409" s="181"/>
      <c r="V1409" s="37"/>
      <c r="W1409" s="181"/>
      <c r="X1409" s="38"/>
      <c r="Y1409" s="38"/>
      <c r="Z1409" s="38"/>
      <c r="AA1409" s="38"/>
      <c r="AB1409" s="248"/>
      <c r="AC1409" s="250"/>
      <c r="AD1409" s="181"/>
      <c r="AE1409" s="37"/>
      <c r="AF1409" s="37"/>
      <c r="AG1409" s="33"/>
      <c r="AH1409" s="37"/>
      <c r="AI1409" s="37"/>
      <c r="AJ1409" s="181"/>
      <c r="AK1409" s="37"/>
      <c r="AL1409" s="37"/>
      <c r="AM1409" s="181"/>
      <c r="AN1409" s="37"/>
      <c r="AO1409" s="37"/>
      <c r="AP1409" s="37"/>
      <c r="AQ1409" s="37"/>
      <c r="AR1409" s="37"/>
      <c r="AS1409" s="37"/>
      <c r="AT1409" s="37"/>
      <c r="AU1409" s="37"/>
      <c r="AV1409" s="37"/>
      <c r="AW1409" s="37"/>
      <c r="AX1409" s="37"/>
      <c r="AY1409" s="37"/>
      <c r="AZ1409" s="37"/>
    </row>
    <row r="1410" spans="1:52" ht="15.5" customHeight="1">
      <c r="A1410" s="360"/>
      <c r="B1410" s="340"/>
      <c r="C1410" s="181"/>
      <c r="D1410" s="30"/>
      <c r="E1410" s="30"/>
      <c r="F1410" s="30"/>
      <c r="G1410" s="37"/>
      <c r="H1410" s="37"/>
      <c r="I1410" s="37"/>
      <c r="J1410" s="37" t="s">
        <v>69</v>
      </c>
      <c r="K1410" s="325" t="s">
        <v>69</v>
      </c>
      <c r="L1410" s="181"/>
      <c r="M1410" s="181"/>
      <c r="N1410" s="37"/>
      <c r="O1410" s="31"/>
      <c r="P1410" s="37"/>
      <c r="Q1410" s="181"/>
      <c r="R1410" s="181"/>
      <c r="S1410" s="181"/>
      <c r="T1410" s="181"/>
      <c r="U1410" s="181"/>
      <c r="V1410" s="37"/>
      <c r="W1410" s="181"/>
      <c r="X1410" s="38"/>
      <c r="Y1410" s="38"/>
      <c r="Z1410" s="38"/>
      <c r="AA1410" s="38"/>
      <c r="AB1410" s="248"/>
      <c r="AC1410" s="250"/>
      <c r="AD1410" s="181"/>
      <c r="AE1410" s="37"/>
      <c r="AF1410" s="37"/>
      <c r="AG1410" s="33"/>
      <c r="AH1410" s="37"/>
      <c r="AI1410" s="37"/>
      <c r="AJ1410" s="181"/>
      <c r="AK1410" s="37"/>
      <c r="AL1410" s="37"/>
      <c r="AM1410" s="181"/>
      <c r="AN1410" s="37"/>
      <c r="AO1410" s="37"/>
      <c r="AP1410" s="37"/>
      <c r="AQ1410" s="37"/>
      <c r="AR1410" s="37"/>
      <c r="AS1410" s="37"/>
      <c r="AT1410" s="37"/>
      <c r="AU1410" s="37"/>
      <c r="AV1410" s="37"/>
      <c r="AW1410" s="37"/>
      <c r="AX1410" s="37"/>
      <c r="AY1410" s="37"/>
      <c r="AZ1410" s="37"/>
    </row>
    <row r="1411" spans="1:52" ht="15.5" customHeight="1">
      <c r="A1411" s="360"/>
      <c r="B1411" s="340"/>
      <c r="C1411" s="181"/>
      <c r="D1411" s="30"/>
      <c r="E1411" s="30"/>
      <c r="F1411" s="30"/>
      <c r="G1411" s="37"/>
      <c r="H1411" s="37"/>
      <c r="I1411" s="37"/>
      <c r="J1411" s="37" t="s">
        <v>69</v>
      </c>
      <c r="K1411" s="325" t="s">
        <v>69</v>
      </c>
      <c r="L1411" s="181"/>
      <c r="M1411" s="181"/>
      <c r="N1411" s="37"/>
      <c r="O1411" s="31"/>
      <c r="P1411" s="37"/>
      <c r="Q1411" s="181"/>
      <c r="R1411" s="181"/>
      <c r="S1411" s="181"/>
      <c r="T1411" s="181"/>
      <c r="U1411" s="181"/>
      <c r="V1411" s="37"/>
      <c r="W1411" s="181"/>
      <c r="X1411" s="38"/>
      <c r="Y1411" s="38"/>
      <c r="Z1411" s="38"/>
      <c r="AA1411" s="38"/>
      <c r="AB1411" s="248"/>
      <c r="AC1411" s="250"/>
      <c r="AD1411" s="181"/>
      <c r="AE1411" s="37"/>
      <c r="AF1411" s="37"/>
      <c r="AG1411" s="33"/>
      <c r="AH1411" s="37"/>
      <c r="AI1411" s="37"/>
      <c r="AJ1411" s="181"/>
      <c r="AK1411" s="37"/>
      <c r="AL1411" s="37"/>
      <c r="AM1411" s="181"/>
      <c r="AN1411" s="37"/>
      <c r="AO1411" s="37"/>
      <c r="AP1411" s="37"/>
      <c r="AQ1411" s="37"/>
      <c r="AR1411" s="37"/>
      <c r="AS1411" s="37"/>
      <c r="AT1411" s="37"/>
      <c r="AU1411" s="37"/>
      <c r="AV1411" s="37"/>
      <c r="AW1411" s="37"/>
      <c r="AX1411" s="37"/>
      <c r="AY1411" s="37"/>
      <c r="AZ1411" s="37"/>
    </row>
    <row r="1412" spans="1:52" ht="15.5" customHeight="1">
      <c r="A1412" s="360"/>
      <c r="B1412" s="340"/>
      <c r="C1412" s="181"/>
      <c r="D1412" s="30"/>
      <c r="E1412" s="30"/>
      <c r="F1412" s="30"/>
      <c r="G1412" s="37"/>
      <c r="H1412" s="37"/>
      <c r="I1412" s="37"/>
      <c r="J1412" s="37" t="s">
        <v>69</v>
      </c>
      <c r="K1412" s="325" t="s">
        <v>69</v>
      </c>
      <c r="L1412" s="181"/>
      <c r="M1412" s="181"/>
      <c r="N1412" s="37"/>
      <c r="O1412" s="31"/>
      <c r="P1412" s="37"/>
      <c r="Q1412" s="181"/>
      <c r="R1412" s="181"/>
      <c r="S1412" s="181"/>
      <c r="T1412" s="181"/>
      <c r="U1412" s="181"/>
      <c r="V1412" s="37"/>
      <c r="W1412" s="181"/>
      <c r="X1412" s="38"/>
      <c r="Y1412" s="38"/>
      <c r="Z1412" s="38"/>
      <c r="AA1412" s="38"/>
      <c r="AB1412" s="248"/>
      <c r="AC1412" s="250"/>
      <c r="AD1412" s="181"/>
      <c r="AE1412" s="37"/>
      <c r="AF1412" s="37"/>
      <c r="AG1412" s="33"/>
      <c r="AH1412" s="37"/>
      <c r="AI1412" s="37"/>
      <c r="AJ1412" s="181"/>
      <c r="AK1412" s="37"/>
      <c r="AL1412" s="37"/>
      <c r="AM1412" s="181"/>
      <c r="AN1412" s="37"/>
      <c r="AO1412" s="37"/>
      <c r="AP1412" s="37"/>
      <c r="AQ1412" s="37"/>
      <c r="AR1412" s="37"/>
      <c r="AS1412" s="37"/>
      <c r="AT1412" s="37"/>
      <c r="AU1412" s="37"/>
      <c r="AV1412" s="37"/>
      <c r="AW1412" s="37"/>
      <c r="AX1412" s="37"/>
      <c r="AY1412" s="37"/>
      <c r="AZ1412" s="37"/>
    </row>
    <row r="1413" spans="1:52" ht="15.5" customHeight="1">
      <c r="A1413" s="360"/>
      <c r="B1413" s="340"/>
      <c r="C1413" s="181"/>
      <c r="D1413" s="30"/>
      <c r="E1413" s="30"/>
      <c r="F1413" s="30"/>
      <c r="G1413" s="37"/>
      <c r="H1413" s="37"/>
      <c r="I1413" s="37"/>
      <c r="J1413" s="37" t="s">
        <v>69</v>
      </c>
      <c r="K1413" s="325" t="s">
        <v>69</v>
      </c>
      <c r="L1413" s="181"/>
      <c r="M1413" s="181"/>
      <c r="N1413" s="37"/>
      <c r="O1413" s="31"/>
      <c r="P1413" s="37"/>
      <c r="Q1413" s="181"/>
      <c r="R1413" s="181"/>
      <c r="S1413" s="181"/>
      <c r="T1413" s="181"/>
      <c r="U1413" s="181"/>
      <c r="V1413" s="37"/>
      <c r="W1413" s="181"/>
      <c r="X1413" s="38"/>
      <c r="Y1413" s="38"/>
      <c r="Z1413" s="38"/>
      <c r="AA1413" s="38"/>
      <c r="AB1413" s="248"/>
      <c r="AC1413" s="250"/>
      <c r="AD1413" s="181"/>
      <c r="AE1413" s="37"/>
      <c r="AF1413" s="37"/>
      <c r="AG1413" s="33"/>
      <c r="AH1413" s="37"/>
      <c r="AI1413" s="37"/>
      <c r="AJ1413" s="181"/>
      <c r="AK1413" s="37"/>
      <c r="AL1413" s="37"/>
      <c r="AM1413" s="181"/>
      <c r="AN1413" s="37"/>
      <c r="AO1413" s="37"/>
      <c r="AP1413" s="37"/>
      <c r="AQ1413" s="37"/>
      <c r="AR1413" s="37"/>
      <c r="AS1413" s="37"/>
      <c r="AT1413" s="37"/>
      <c r="AU1413" s="37"/>
      <c r="AV1413" s="37"/>
      <c r="AW1413" s="37"/>
      <c r="AX1413" s="37"/>
      <c r="AY1413" s="37"/>
      <c r="AZ1413" s="37"/>
    </row>
    <row r="1414" spans="1:52" ht="15.5" customHeight="1">
      <c r="A1414" s="360"/>
      <c r="B1414" s="340"/>
      <c r="C1414" s="181"/>
      <c r="D1414" s="30"/>
      <c r="E1414" s="30"/>
      <c r="F1414" s="30"/>
      <c r="G1414" s="37"/>
      <c r="H1414" s="37"/>
      <c r="I1414" s="37"/>
      <c r="J1414" s="37" t="s">
        <v>69</v>
      </c>
      <c r="K1414" s="325" t="s">
        <v>69</v>
      </c>
      <c r="L1414" s="181"/>
      <c r="M1414" s="181"/>
      <c r="N1414" s="37"/>
      <c r="O1414" s="31"/>
      <c r="P1414" s="37"/>
      <c r="Q1414" s="181"/>
      <c r="R1414" s="181"/>
      <c r="S1414" s="181"/>
      <c r="T1414" s="181"/>
      <c r="U1414" s="181"/>
      <c r="V1414" s="37"/>
      <c r="W1414" s="181"/>
      <c r="X1414" s="38"/>
      <c r="Y1414" s="38"/>
      <c r="Z1414" s="38"/>
      <c r="AA1414" s="38"/>
      <c r="AB1414" s="248"/>
      <c r="AC1414" s="250"/>
      <c r="AD1414" s="181"/>
      <c r="AE1414" s="37"/>
      <c r="AF1414" s="37"/>
      <c r="AG1414" s="33"/>
      <c r="AH1414" s="37"/>
      <c r="AI1414" s="37"/>
      <c r="AJ1414" s="181"/>
      <c r="AK1414" s="37"/>
      <c r="AL1414" s="37"/>
      <c r="AM1414" s="181"/>
      <c r="AN1414" s="37"/>
      <c r="AO1414" s="37"/>
      <c r="AP1414" s="37"/>
      <c r="AQ1414" s="37"/>
      <c r="AR1414" s="37"/>
      <c r="AS1414" s="37"/>
      <c r="AT1414" s="37"/>
      <c r="AU1414" s="37"/>
      <c r="AV1414" s="37"/>
      <c r="AW1414" s="37"/>
      <c r="AX1414" s="37"/>
      <c r="AY1414" s="37"/>
      <c r="AZ1414" s="37"/>
    </row>
    <row r="1415" spans="1:52" ht="15.5" customHeight="1">
      <c r="A1415" s="360"/>
      <c r="B1415" s="340"/>
      <c r="C1415" s="181"/>
      <c r="D1415" s="30"/>
      <c r="E1415" s="30"/>
      <c r="F1415" s="30"/>
      <c r="G1415" s="37"/>
      <c r="H1415" s="37"/>
      <c r="I1415" s="37"/>
      <c r="J1415" s="37" t="s">
        <v>69</v>
      </c>
      <c r="K1415" s="325" t="s">
        <v>69</v>
      </c>
      <c r="L1415" s="181"/>
      <c r="M1415" s="181"/>
      <c r="N1415" s="37"/>
      <c r="O1415" s="31"/>
      <c r="P1415" s="37"/>
      <c r="Q1415" s="181"/>
      <c r="R1415" s="181"/>
      <c r="S1415" s="181"/>
      <c r="T1415" s="181"/>
      <c r="U1415" s="181"/>
      <c r="V1415" s="37"/>
      <c r="W1415" s="181"/>
      <c r="X1415" s="38"/>
      <c r="Y1415" s="38"/>
      <c r="Z1415" s="38"/>
      <c r="AA1415" s="38"/>
      <c r="AB1415" s="248"/>
      <c r="AC1415" s="250"/>
      <c r="AD1415" s="181"/>
      <c r="AE1415" s="37"/>
      <c r="AF1415" s="37"/>
      <c r="AG1415" s="33"/>
      <c r="AH1415" s="37"/>
      <c r="AI1415" s="37"/>
      <c r="AJ1415" s="181"/>
      <c r="AK1415" s="37"/>
      <c r="AL1415" s="37"/>
      <c r="AM1415" s="181"/>
      <c r="AN1415" s="37"/>
      <c r="AO1415" s="37"/>
      <c r="AP1415" s="37"/>
      <c r="AQ1415" s="37"/>
      <c r="AR1415" s="37"/>
      <c r="AS1415" s="37"/>
      <c r="AT1415" s="37"/>
      <c r="AU1415" s="37"/>
      <c r="AV1415" s="37"/>
      <c r="AW1415" s="37"/>
      <c r="AX1415" s="37"/>
      <c r="AY1415" s="37"/>
      <c r="AZ1415" s="37"/>
    </row>
    <row r="1416" spans="1:52" ht="15.5" customHeight="1">
      <c r="A1416" s="360"/>
      <c r="B1416" s="340"/>
      <c r="C1416" s="181"/>
      <c r="D1416" s="30"/>
      <c r="E1416" s="30"/>
      <c r="F1416" s="30"/>
      <c r="G1416" s="37"/>
      <c r="H1416" s="37"/>
      <c r="I1416" s="37"/>
      <c r="J1416" s="37" t="s">
        <v>69</v>
      </c>
      <c r="K1416" s="325" t="s">
        <v>69</v>
      </c>
      <c r="L1416" s="181"/>
      <c r="M1416" s="181"/>
      <c r="N1416" s="37"/>
      <c r="O1416" s="31"/>
      <c r="P1416" s="37"/>
      <c r="Q1416" s="181"/>
      <c r="R1416" s="181"/>
      <c r="S1416" s="181"/>
      <c r="T1416" s="181"/>
      <c r="U1416" s="181"/>
      <c r="V1416" s="37"/>
      <c r="W1416" s="181"/>
      <c r="X1416" s="38"/>
      <c r="Y1416" s="38"/>
      <c r="Z1416" s="38"/>
      <c r="AA1416" s="38"/>
      <c r="AB1416" s="248"/>
      <c r="AC1416" s="250"/>
      <c r="AD1416" s="181"/>
      <c r="AE1416" s="37"/>
      <c r="AF1416" s="37"/>
      <c r="AG1416" s="33"/>
      <c r="AH1416" s="37"/>
      <c r="AI1416" s="37"/>
      <c r="AJ1416" s="181"/>
      <c r="AK1416" s="37"/>
      <c r="AL1416" s="37"/>
      <c r="AM1416" s="181"/>
      <c r="AN1416" s="37"/>
      <c r="AO1416" s="37"/>
      <c r="AP1416" s="37"/>
      <c r="AQ1416" s="37"/>
      <c r="AR1416" s="37"/>
      <c r="AS1416" s="37"/>
      <c r="AT1416" s="37"/>
      <c r="AU1416" s="37"/>
      <c r="AV1416" s="37"/>
      <c r="AW1416" s="37"/>
      <c r="AX1416" s="37"/>
      <c r="AY1416" s="37"/>
      <c r="AZ1416" s="37"/>
    </row>
    <row r="1417" spans="1:52" ht="15.5" customHeight="1">
      <c r="A1417" s="360"/>
      <c r="B1417" s="340"/>
      <c r="C1417" s="181"/>
      <c r="D1417" s="30"/>
      <c r="E1417" s="30"/>
      <c r="F1417" s="30"/>
      <c r="G1417" s="37"/>
      <c r="H1417" s="37"/>
      <c r="I1417" s="37"/>
      <c r="J1417" s="37" t="s">
        <v>69</v>
      </c>
      <c r="K1417" s="325" t="s">
        <v>69</v>
      </c>
      <c r="L1417" s="181"/>
      <c r="M1417" s="181"/>
      <c r="N1417" s="37"/>
      <c r="O1417" s="31"/>
      <c r="P1417" s="37"/>
      <c r="Q1417" s="181"/>
      <c r="R1417" s="181"/>
      <c r="S1417" s="181"/>
      <c r="T1417" s="181"/>
      <c r="U1417" s="181"/>
      <c r="V1417" s="37"/>
      <c r="W1417" s="181"/>
      <c r="X1417" s="38"/>
      <c r="Y1417" s="38"/>
      <c r="Z1417" s="38"/>
      <c r="AA1417" s="38"/>
      <c r="AB1417" s="248"/>
      <c r="AC1417" s="250"/>
      <c r="AD1417" s="181"/>
      <c r="AE1417" s="37"/>
      <c r="AF1417" s="37"/>
      <c r="AG1417" s="33"/>
      <c r="AH1417" s="37"/>
      <c r="AI1417" s="37"/>
      <c r="AJ1417" s="181"/>
      <c r="AK1417" s="37"/>
      <c r="AL1417" s="37"/>
      <c r="AM1417" s="181"/>
      <c r="AN1417" s="37"/>
      <c r="AO1417" s="37"/>
      <c r="AP1417" s="37"/>
      <c r="AQ1417" s="37"/>
      <c r="AR1417" s="37"/>
      <c r="AS1417" s="37"/>
      <c r="AT1417" s="37"/>
      <c r="AU1417" s="37"/>
      <c r="AV1417" s="37"/>
      <c r="AW1417" s="37"/>
      <c r="AX1417" s="37"/>
      <c r="AY1417" s="37"/>
      <c r="AZ1417" s="37"/>
    </row>
    <row r="1418" spans="1:52" ht="15.5" customHeight="1">
      <c r="A1418" s="360"/>
      <c r="B1418" s="340"/>
      <c r="C1418" s="181"/>
      <c r="D1418" s="30"/>
      <c r="E1418" s="30"/>
      <c r="F1418" s="30"/>
      <c r="G1418" s="37"/>
      <c r="H1418" s="37"/>
      <c r="I1418" s="37"/>
      <c r="J1418" s="37" t="s">
        <v>69</v>
      </c>
      <c r="K1418" s="325" t="s">
        <v>69</v>
      </c>
      <c r="L1418" s="181"/>
      <c r="M1418" s="181"/>
      <c r="N1418" s="37"/>
      <c r="O1418" s="31"/>
      <c r="P1418" s="37"/>
      <c r="Q1418" s="181"/>
      <c r="R1418" s="181"/>
      <c r="S1418" s="181"/>
      <c r="T1418" s="181"/>
      <c r="U1418" s="181"/>
      <c r="V1418" s="37"/>
      <c r="W1418" s="181"/>
      <c r="X1418" s="38"/>
      <c r="Y1418" s="38"/>
      <c r="Z1418" s="38"/>
      <c r="AA1418" s="38"/>
      <c r="AB1418" s="248"/>
      <c r="AC1418" s="250"/>
      <c r="AD1418" s="181"/>
      <c r="AE1418" s="37"/>
      <c r="AF1418" s="37"/>
      <c r="AG1418" s="33"/>
      <c r="AH1418" s="37"/>
      <c r="AI1418" s="37"/>
      <c r="AJ1418" s="181"/>
      <c r="AK1418" s="37"/>
      <c r="AL1418" s="37"/>
      <c r="AM1418" s="181"/>
      <c r="AN1418" s="37"/>
      <c r="AO1418" s="37"/>
      <c r="AP1418" s="37"/>
      <c r="AQ1418" s="37"/>
      <c r="AR1418" s="37"/>
      <c r="AS1418" s="37"/>
      <c r="AT1418" s="37"/>
      <c r="AU1418" s="37"/>
      <c r="AV1418" s="37"/>
      <c r="AW1418" s="37"/>
      <c r="AX1418" s="37"/>
      <c r="AY1418" s="37"/>
      <c r="AZ1418" s="37"/>
    </row>
    <row r="1419" spans="1:52" ht="15.5" customHeight="1">
      <c r="A1419" s="360"/>
      <c r="B1419" s="340"/>
      <c r="C1419" s="181"/>
      <c r="D1419" s="30"/>
      <c r="E1419" s="30"/>
      <c r="F1419" s="30"/>
      <c r="G1419" s="37"/>
      <c r="H1419" s="37"/>
      <c r="I1419" s="37"/>
      <c r="J1419" s="37" t="s">
        <v>69</v>
      </c>
      <c r="K1419" s="325" t="s">
        <v>69</v>
      </c>
      <c r="L1419" s="181"/>
      <c r="M1419" s="181"/>
      <c r="N1419" s="37"/>
      <c r="O1419" s="31"/>
      <c r="P1419" s="37"/>
      <c r="Q1419" s="181"/>
      <c r="R1419" s="181"/>
      <c r="S1419" s="181"/>
      <c r="T1419" s="181"/>
      <c r="U1419" s="181"/>
      <c r="V1419" s="37"/>
      <c r="W1419" s="181"/>
      <c r="X1419" s="38"/>
      <c r="Y1419" s="38"/>
      <c r="Z1419" s="38"/>
      <c r="AA1419" s="38"/>
      <c r="AB1419" s="248"/>
      <c r="AC1419" s="250"/>
      <c r="AD1419" s="181"/>
      <c r="AE1419" s="37"/>
      <c r="AF1419" s="37"/>
      <c r="AG1419" s="33"/>
      <c r="AH1419" s="37"/>
      <c r="AI1419" s="37"/>
      <c r="AJ1419" s="181"/>
      <c r="AK1419" s="37"/>
      <c r="AL1419" s="37"/>
      <c r="AM1419" s="181"/>
      <c r="AN1419" s="37"/>
      <c r="AO1419" s="37"/>
      <c r="AP1419" s="37"/>
      <c r="AQ1419" s="37"/>
      <c r="AR1419" s="37"/>
      <c r="AS1419" s="37"/>
      <c r="AT1419" s="37"/>
      <c r="AU1419" s="37"/>
      <c r="AV1419" s="37"/>
      <c r="AW1419" s="37"/>
      <c r="AX1419" s="37"/>
      <c r="AY1419" s="37"/>
      <c r="AZ1419" s="37"/>
    </row>
    <row r="1420" spans="1:52" ht="15.5" customHeight="1">
      <c r="A1420" s="360"/>
      <c r="B1420" s="340"/>
      <c r="C1420" s="181"/>
      <c r="D1420" s="30"/>
      <c r="E1420" s="30"/>
      <c r="F1420" s="30"/>
      <c r="G1420" s="37"/>
      <c r="H1420" s="37"/>
      <c r="I1420" s="37"/>
      <c r="J1420" s="37" t="s">
        <v>69</v>
      </c>
      <c r="K1420" s="325" t="s">
        <v>69</v>
      </c>
      <c r="L1420" s="181"/>
      <c r="M1420" s="181"/>
      <c r="N1420" s="37"/>
      <c r="O1420" s="31"/>
      <c r="P1420" s="37"/>
      <c r="Q1420" s="181"/>
      <c r="R1420" s="181"/>
      <c r="S1420" s="181"/>
      <c r="T1420" s="181"/>
      <c r="U1420" s="181"/>
      <c r="V1420" s="37"/>
      <c r="W1420" s="181"/>
      <c r="X1420" s="38"/>
      <c r="Y1420" s="38"/>
      <c r="Z1420" s="38"/>
      <c r="AA1420" s="38"/>
      <c r="AB1420" s="248"/>
      <c r="AC1420" s="250"/>
      <c r="AD1420" s="181"/>
      <c r="AE1420" s="37"/>
      <c r="AF1420" s="37"/>
      <c r="AG1420" s="33"/>
      <c r="AH1420" s="37"/>
      <c r="AI1420" s="37"/>
      <c r="AJ1420" s="181"/>
      <c r="AK1420" s="37"/>
      <c r="AL1420" s="37"/>
      <c r="AM1420" s="181"/>
      <c r="AN1420" s="37"/>
      <c r="AO1420" s="37"/>
      <c r="AP1420" s="37"/>
      <c r="AQ1420" s="37"/>
      <c r="AR1420" s="37"/>
      <c r="AS1420" s="37"/>
      <c r="AT1420" s="37"/>
      <c r="AU1420" s="37"/>
      <c r="AV1420" s="37"/>
      <c r="AW1420" s="37"/>
      <c r="AX1420" s="37"/>
      <c r="AY1420" s="37"/>
      <c r="AZ1420" s="37"/>
    </row>
    <row r="1421" spans="1:52" ht="15.5" customHeight="1">
      <c r="A1421" s="360"/>
      <c r="B1421" s="340"/>
      <c r="C1421" s="181"/>
      <c r="D1421" s="30"/>
      <c r="E1421" s="30"/>
      <c r="F1421" s="30"/>
      <c r="G1421" s="37"/>
      <c r="H1421" s="37"/>
      <c r="I1421" s="37"/>
      <c r="J1421" s="37" t="s">
        <v>69</v>
      </c>
      <c r="K1421" s="325" t="s">
        <v>69</v>
      </c>
      <c r="L1421" s="181"/>
      <c r="M1421" s="181"/>
      <c r="N1421" s="37"/>
      <c r="O1421" s="31"/>
      <c r="P1421" s="37"/>
      <c r="Q1421" s="181"/>
      <c r="R1421" s="181"/>
      <c r="S1421" s="181"/>
      <c r="T1421" s="181"/>
      <c r="U1421" s="181"/>
      <c r="V1421" s="37"/>
      <c r="W1421" s="181"/>
      <c r="X1421" s="38"/>
      <c r="Y1421" s="38"/>
      <c r="Z1421" s="38"/>
      <c r="AA1421" s="38"/>
      <c r="AB1421" s="248"/>
      <c r="AC1421" s="250"/>
      <c r="AD1421" s="181"/>
      <c r="AE1421" s="37"/>
      <c r="AF1421" s="37"/>
      <c r="AG1421" s="33"/>
      <c r="AH1421" s="37"/>
      <c r="AI1421" s="37"/>
      <c r="AJ1421" s="181"/>
      <c r="AK1421" s="37"/>
      <c r="AL1421" s="37"/>
      <c r="AM1421" s="181"/>
      <c r="AN1421" s="37"/>
      <c r="AO1421" s="37"/>
      <c r="AP1421" s="37"/>
      <c r="AQ1421" s="37"/>
      <c r="AR1421" s="37"/>
      <c r="AS1421" s="37"/>
      <c r="AT1421" s="37"/>
      <c r="AU1421" s="37"/>
      <c r="AV1421" s="37"/>
      <c r="AW1421" s="37"/>
      <c r="AX1421" s="37"/>
      <c r="AY1421" s="37"/>
      <c r="AZ1421" s="37"/>
    </row>
    <row r="1422" spans="1:52" ht="15.5" customHeight="1">
      <c r="A1422" s="360"/>
      <c r="B1422" s="340"/>
      <c r="C1422" s="181"/>
      <c r="D1422" s="30"/>
      <c r="E1422" s="30"/>
      <c r="F1422" s="30"/>
      <c r="G1422" s="37"/>
      <c r="H1422" s="37"/>
      <c r="I1422" s="37"/>
      <c r="J1422" s="37" t="s">
        <v>69</v>
      </c>
      <c r="K1422" s="325" t="s">
        <v>69</v>
      </c>
      <c r="L1422" s="181"/>
      <c r="M1422" s="181"/>
      <c r="N1422" s="37"/>
      <c r="O1422" s="31"/>
      <c r="P1422" s="37"/>
      <c r="Q1422" s="181"/>
      <c r="R1422" s="181"/>
      <c r="S1422" s="181"/>
      <c r="T1422" s="181"/>
      <c r="U1422" s="181"/>
      <c r="V1422" s="37"/>
      <c r="W1422" s="181"/>
      <c r="X1422" s="38"/>
      <c r="Y1422" s="38"/>
      <c r="Z1422" s="38"/>
      <c r="AA1422" s="38"/>
      <c r="AB1422" s="248"/>
      <c r="AC1422" s="250"/>
      <c r="AD1422" s="181"/>
      <c r="AE1422" s="37"/>
      <c r="AF1422" s="37"/>
      <c r="AG1422" s="33"/>
      <c r="AH1422" s="37"/>
      <c r="AI1422" s="37"/>
      <c r="AJ1422" s="181"/>
      <c r="AK1422" s="37"/>
      <c r="AL1422" s="37"/>
      <c r="AM1422" s="181"/>
      <c r="AN1422" s="37"/>
      <c r="AO1422" s="37"/>
      <c r="AP1422" s="37"/>
      <c r="AQ1422" s="37"/>
      <c r="AR1422" s="37"/>
      <c r="AS1422" s="37"/>
      <c r="AT1422" s="37"/>
      <c r="AU1422" s="37"/>
      <c r="AV1422" s="37"/>
      <c r="AW1422" s="37"/>
      <c r="AX1422" s="37"/>
      <c r="AY1422" s="37"/>
      <c r="AZ1422" s="37"/>
    </row>
    <row r="1423" spans="1:52" ht="15.5" customHeight="1">
      <c r="A1423" s="360"/>
      <c r="B1423" s="340"/>
      <c r="C1423" s="181"/>
      <c r="D1423" s="30"/>
      <c r="E1423" s="30"/>
      <c r="F1423" s="30"/>
      <c r="G1423" s="37"/>
      <c r="H1423" s="37"/>
      <c r="I1423" s="37"/>
      <c r="J1423" s="37" t="s">
        <v>69</v>
      </c>
      <c r="K1423" s="325" t="s">
        <v>69</v>
      </c>
      <c r="L1423" s="181"/>
      <c r="M1423" s="181"/>
      <c r="N1423" s="37"/>
      <c r="O1423" s="31"/>
      <c r="P1423" s="37"/>
      <c r="Q1423" s="181"/>
      <c r="R1423" s="181"/>
      <c r="S1423" s="181"/>
      <c r="T1423" s="181"/>
      <c r="U1423" s="181"/>
      <c r="V1423" s="37"/>
      <c r="W1423" s="181"/>
      <c r="X1423" s="38"/>
      <c r="Y1423" s="38"/>
      <c r="Z1423" s="38"/>
      <c r="AA1423" s="38"/>
      <c r="AB1423" s="248"/>
      <c r="AC1423" s="250"/>
      <c r="AD1423" s="181"/>
      <c r="AE1423" s="37"/>
      <c r="AF1423" s="37"/>
      <c r="AG1423" s="33"/>
      <c r="AH1423" s="37"/>
      <c r="AI1423" s="37"/>
      <c r="AJ1423" s="181"/>
      <c r="AK1423" s="37"/>
      <c r="AL1423" s="37"/>
      <c r="AM1423" s="181"/>
      <c r="AN1423" s="37"/>
      <c r="AO1423" s="37"/>
      <c r="AP1423" s="37"/>
      <c r="AQ1423" s="37"/>
      <c r="AR1423" s="37"/>
      <c r="AS1423" s="37"/>
      <c r="AT1423" s="37"/>
      <c r="AU1423" s="37"/>
      <c r="AV1423" s="37"/>
      <c r="AW1423" s="37"/>
      <c r="AX1423" s="37"/>
      <c r="AY1423" s="37"/>
      <c r="AZ1423" s="37"/>
    </row>
    <row r="1424" spans="1:52" ht="15.5" customHeight="1">
      <c r="A1424" s="360"/>
      <c r="B1424" s="340"/>
      <c r="C1424" s="181"/>
      <c r="D1424" s="30"/>
      <c r="E1424" s="30"/>
      <c r="F1424" s="30"/>
      <c r="G1424" s="37"/>
      <c r="H1424" s="37"/>
      <c r="I1424" s="37"/>
      <c r="J1424" s="37" t="s">
        <v>69</v>
      </c>
      <c r="K1424" s="325" t="s">
        <v>69</v>
      </c>
      <c r="L1424" s="181"/>
      <c r="M1424" s="181"/>
      <c r="N1424" s="37"/>
      <c r="O1424" s="31"/>
      <c r="P1424" s="37"/>
      <c r="Q1424" s="181"/>
      <c r="R1424" s="181"/>
      <c r="S1424" s="181"/>
      <c r="T1424" s="181"/>
      <c r="U1424" s="181"/>
      <c r="V1424" s="37"/>
      <c r="W1424" s="181"/>
      <c r="X1424" s="38"/>
      <c r="Y1424" s="38"/>
      <c r="Z1424" s="38"/>
      <c r="AA1424" s="38"/>
      <c r="AB1424" s="248"/>
      <c r="AC1424" s="250"/>
      <c r="AD1424" s="181"/>
      <c r="AE1424" s="37"/>
      <c r="AF1424" s="37"/>
      <c r="AG1424" s="33"/>
      <c r="AH1424" s="37"/>
      <c r="AI1424" s="37"/>
      <c r="AJ1424" s="181"/>
      <c r="AK1424" s="37"/>
      <c r="AL1424" s="37"/>
      <c r="AM1424" s="181"/>
      <c r="AN1424" s="37"/>
      <c r="AO1424" s="37"/>
      <c r="AP1424" s="37"/>
      <c r="AQ1424" s="37"/>
      <c r="AR1424" s="37"/>
      <c r="AS1424" s="37"/>
      <c r="AT1424" s="37"/>
      <c r="AU1424" s="37"/>
      <c r="AV1424" s="37"/>
      <c r="AW1424" s="37"/>
      <c r="AX1424" s="37"/>
      <c r="AY1424" s="37"/>
      <c r="AZ1424" s="37"/>
    </row>
    <row r="1425" spans="1:52" ht="15.5" customHeight="1">
      <c r="A1425" s="360"/>
      <c r="B1425" s="340"/>
      <c r="C1425" s="181"/>
      <c r="D1425" s="30"/>
      <c r="E1425" s="30"/>
      <c r="F1425" s="30"/>
      <c r="G1425" s="37"/>
      <c r="H1425" s="37"/>
      <c r="I1425" s="37"/>
      <c r="J1425" s="37" t="s">
        <v>69</v>
      </c>
      <c r="K1425" s="325" t="s">
        <v>69</v>
      </c>
      <c r="L1425" s="181"/>
      <c r="M1425" s="181"/>
      <c r="N1425" s="37"/>
      <c r="O1425" s="31"/>
      <c r="P1425" s="37"/>
      <c r="Q1425" s="181"/>
      <c r="R1425" s="181"/>
      <c r="S1425" s="181"/>
      <c r="T1425" s="181"/>
      <c r="U1425" s="181"/>
      <c r="V1425" s="37"/>
      <c r="W1425" s="181"/>
      <c r="X1425" s="38"/>
      <c r="Y1425" s="38"/>
      <c r="Z1425" s="38"/>
      <c r="AA1425" s="38"/>
      <c r="AB1425" s="248"/>
      <c r="AC1425" s="250"/>
      <c r="AD1425" s="181"/>
      <c r="AE1425" s="37"/>
      <c r="AF1425" s="37"/>
      <c r="AG1425" s="33"/>
      <c r="AH1425" s="37"/>
      <c r="AI1425" s="37"/>
      <c r="AJ1425" s="181"/>
      <c r="AK1425" s="37"/>
      <c r="AL1425" s="37"/>
      <c r="AM1425" s="181"/>
      <c r="AN1425" s="37"/>
      <c r="AO1425" s="37"/>
      <c r="AP1425" s="37"/>
      <c r="AQ1425" s="37"/>
      <c r="AR1425" s="37"/>
      <c r="AS1425" s="37"/>
      <c r="AT1425" s="37"/>
      <c r="AU1425" s="37"/>
      <c r="AV1425" s="37"/>
      <c r="AW1425" s="37"/>
      <c r="AX1425" s="37"/>
      <c r="AY1425" s="37"/>
      <c r="AZ1425" s="37"/>
    </row>
    <row r="1426" spans="1:52" ht="15.5" customHeight="1">
      <c r="A1426" s="360"/>
      <c r="B1426" s="340"/>
      <c r="C1426" s="181"/>
      <c r="D1426" s="30"/>
      <c r="E1426" s="30"/>
      <c r="F1426" s="30"/>
      <c r="G1426" s="37"/>
      <c r="H1426" s="37"/>
      <c r="I1426" s="37"/>
      <c r="J1426" s="37" t="s">
        <v>69</v>
      </c>
      <c r="K1426" s="325" t="s">
        <v>69</v>
      </c>
      <c r="L1426" s="181"/>
      <c r="M1426" s="181"/>
      <c r="N1426" s="37"/>
      <c r="O1426" s="31"/>
      <c r="P1426" s="37"/>
      <c r="Q1426" s="181"/>
      <c r="R1426" s="181"/>
      <c r="S1426" s="181"/>
      <c r="T1426" s="181"/>
      <c r="U1426" s="181"/>
      <c r="V1426" s="37"/>
      <c r="W1426" s="181"/>
      <c r="X1426" s="38"/>
      <c r="Y1426" s="38"/>
      <c r="Z1426" s="38"/>
      <c r="AA1426" s="38"/>
      <c r="AB1426" s="248"/>
      <c r="AC1426" s="250"/>
      <c r="AD1426" s="181"/>
      <c r="AE1426" s="37"/>
      <c r="AF1426" s="37"/>
      <c r="AG1426" s="33"/>
      <c r="AH1426" s="37"/>
      <c r="AI1426" s="37"/>
      <c r="AJ1426" s="181"/>
      <c r="AK1426" s="37"/>
      <c r="AL1426" s="37"/>
      <c r="AM1426" s="181"/>
      <c r="AN1426" s="37"/>
      <c r="AO1426" s="37"/>
      <c r="AP1426" s="37"/>
      <c r="AQ1426" s="37"/>
      <c r="AR1426" s="37"/>
      <c r="AS1426" s="37"/>
      <c r="AT1426" s="37"/>
      <c r="AU1426" s="37"/>
      <c r="AV1426" s="37"/>
      <c r="AW1426" s="37"/>
      <c r="AX1426" s="37"/>
      <c r="AY1426" s="37"/>
      <c r="AZ1426" s="37"/>
    </row>
    <row r="1427" spans="1:52" ht="15.5" customHeight="1">
      <c r="A1427" s="360"/>
      <c r="B1427" s="340"/>
      <c r="C1427" s="181"/>
      <c r="D1427" s="30"/>
      <c r="E1427" s="30"/>
      <c r="F1427" s="30"/>
      <c r="G1427" s="37"/>
      <c r="H1427" s="37"/>
      <c r="I1427" s="37"/>
      <c r="J1427" s="37" t="s">
        <v>69</v>
      </c>
      <c r="K1427" s="325" t="s">
        <v>69</v>
      </c>
      <c r="L1427" s="181"/>
      <c r="M1427" s="181"/>
      <c r="N1427" s="37"/>
      <c r="O1427" s="31"/>
      <c r="P1427" s="37"/>
      <c r="Q1427" s="181"/>
      <c r="R1427" s="181"/>
      <c r="S1427" s="181"/>
      <c r="T1427" s="181"/>
      <c r="U1427" s="181"/>
      <c r="V1427" s="37"/>
      <c r="W1427" s="181"/>
      <c r="X1427" s="38"/>
      <c r="Y1427" s="38"/>
      <c r="Z1427" s="38"/>
      <c r="AA1427" s="38"/>
      <c r="AB1427" s="248"/>
      <c r="AC1427" s="250"/>
      <c r="AD1427" s="181"/>
      <c r="AE1427" s="37"/>
      <c r="AF1427" s="37"/>
      <c r="AG1427" s="33"/>
      <c r="AH1427" s="37"/>
      <c r="AI1427" s="37"/>
      <c r="AJ1427" s="181"/>
      <c r="AK1427" s="37"/>
      <c r="AL1427" s="37"/>
      <c r="AM1427" s="181"/>
      <c r="AN1427" s="37"/>
      <c r="AO1427" s="37"/>
      <c r="AP1427" s="37"/>
      <c r="AQ1427" s="37"/>
      <c r="AR1427" s="37"/>
      <c r="AS1427" s="37"/>
      <c r="AT1427" s="37"/>
      <c r="AU1427" s="37"/>
      <c r="AV1427" s="37"/>
      <c r="AW1427" s="37"/>
      <c r="AX1427" s="37"/>
      <c r="AY1427" s="37"/>
      <c r="AZ1427" s="37"/>
    </row>
    <row r="1428" spans="1:52" ht="15.5" customHeight="1">
      <c r="A1428" s="360"/>
      <c r="B1428" s="340"/>
      <c r="C1428" s="181"/>
      <c r="D1428" s="30"/>
      <c r="E1428" s="30"/>
      <c r="F1428" s="30"/>
      <c r="G1428" s="37"/>
      <c r="H1428" s="37"/>
      <c r="I1428" s="37"/>
      <c r="J1428" s="37" t="s">
        <v>69</v>
      </c>
      <c r="K1428" s="325" t="s">
        <v>69</v>
      </c>
      <c r="L1428" s="181"/>
      <c r="M1428" s="181"/>
      <c r="N1428" s="37"/>
      <c r="O1428" s="31"/>
      <c r="P1428" s="37"/>
      <c r="Q1428" s="181"/>
      <c r="R1428" s="181"/>
      <c r="S1428" s="181"/>
      <c r="T1428" s="181"/>
      <c r="U1428" s="181"/>
      <c r="V1428" s="37"/>
      <c r="W1428" s="181"/>
      <c r="X1428" s="38"/>
      <c r="Y1428" s="38"/>
      <c r="Z1428" s="38"/>
      <c r="AA1428" s="38"/>
      <c r="AB1428" s="248"/>
      <c r="AC1428" s="250"/>
      <c r="AD1428" s="181"/>
      <c r="AE1428" s="37"/>
      <c r="AF1428" s="37"/>
      <c r="AG1428" s="33"/>
      <c r="AH1428" s="37"/>
      <c r="AI1428" s="37"/>
      <c r="AJ1428" s="181"/>
      <c r="AK1428" s="37"/>
      <c r="AL1428" s="37"/>
      <c r="AM1428" s="181"/>
      <c r="AN1428" s="37"/>
      <c r="AO1428" s="37"/>
      <c r="AP1428" s="37"/>
      <c r="AQ1428" s="37"/>
      <c r="AR1428" s="37"/>
      <c r="AS1428" s="37"/>
      <c r="AT1428" s="37"/>
      <c r="AU1428" s="37"/>
      <c r="AV1428" s="37"/>
      <c r="AW1428" s="37"/>
      <c r="AX1428" s="37"/>
      <c r="AY1428" s="37"/>
      <c r="AZ1428" s="37"/>
    </row>
    <row r="1429" spans="1:52" ht="15.5" customHeight="1">
      <c r="A1429" s="360"/>
      <c r="B1429" s="340"/>
      <c r="C1429" s="181"/>
      <c r="D1429" s="30"/>
      <c r="E1429" s="30"/>
      <c r="F1429" s="30"/>
      <c r="G1429" s="37"/>
      <c r="H1429" s="37"/>
      <c r="I1429" s="37"/>
      <c r="J1429" s="37" t="s">
        <v>69</v>
      </c>
      <c r="K1429" s="325" t="s">
        <v>69</v>
      </c>
      <c r="L1429" s="181"/>
      <c r="M1429" s="181"/>
      <c r="N1429" s="37"/>
      <c r="O1429" s="31"/>
      <c r="P1429" s="37"/>
      <c r="Q1429" s="181"/>
      <c r="R1429" s="181"/>
      <c r="S1429" s="181"/>
      <c r="T1429" s="181"/>
      <c r="U1429" s="181"/>
      <c r="V1429" s="37"/>
      <c r="W1429" s="181"/>
      <c r="X1429" s="38"/>
      <c r="Y1429" s="38"/>
      <c r="Z1429" s="38"/>
      <c r="AA1429" s="38"/>
      <c r="AB1429" s="248"/>
      <c r="AC1429" s="250"/>
      <c r="AD1429" s="181"/>
      <c r="AE1429" s="37"/>
      <c r="AF1429" s="37"/>
      <c r="AG1429" s="33"/>
      <c r="AH1429" s="37"/>
      <c r="AI1429" s="37"/>
      <c r="AJ1429" s="181"/>
      <c r="AK1429" s="37"/>
      <c r="AL1429" s="37"/>
      <c r="AM1429" s="181"/>
      <c r="AN1429" s="37"/>
      <c r="AO1429" s="37"/>
      <c r="AP1429" s="37"/>
      <c r="AQ1429" s="37"/>
      <c r="AR1429" s="37"/>
      <c r="AS1429" s="37"/>
      <c r="AT1429" s="37"/>
      <c r="AU1429" s="37"/>
      <c r="AV1429" s="37"/>
      <c r="AW1429" s="37"/>
      <c r="AX1429" s="37"/>
      <c r="AY1429" s="37"/>
      <c r="AZ1429" s="37"/>
    </row>
    <row r="1430" spans="1:52" ht="15.5" customHeight="1">
      <c r="A1430" s="360"/>
      <c r="B1430" s="340"/>
      <c r="C1430" s="181"/>
      <c r="D1430" s="30"/>
      <c r="E1430" s="30"/>
      <c r="F1430" s="30"/>
      <c r="G1430" s="37"/>
      <c r="H1430" s="37"/>
      <c r="I1430" s="37"/>
      <c r="J1430" s="37" t="s">
        <v>69</v>
      </c>
      <c r="K1430" s="325" t="s">
        <v>69</v>
      </c>
      <c r="L1430" s="181"/>
      <c r="M1430" s="181"/>
      <c r="N1430" s="37"/>
      <c r="O1430" s="31"/>
      <c r="P1430" s="37"/>
      <c r="Q1430" s="181"/>
      <c r="R1430" s="181"/>
      <c r="S1430" s="181"/>
      <c r="T1430" s="181"/>
      <c r="U1430" s="181"/>
      <c r="V1430" s="37"/>
      <c r="W1430" s="181"/>
      <c r="X1430" s="38"/>
      <c r="Y1430" s="38"/>
      <c r="Z1430" s="38"/>
      <c r="AA1430" s="38"/>
      <c r="AB1430" s="248"/>
      <c r="AC1430" s="250"/>
      <c r="AD1430" s="181"/>
      <c r="AE1430" s="37"/>
      <c r="AF1430" s="37"/>
      <c r="AG1430" s="33"/>
      <c r="AH1430" s="37"/>
      <c r="AI1430" s="37"/>
      <c r="AJ1430" s="181"/>
      <c r="AK1430" s="37"/>
      <c r="AL1430" s="37"/>
      <c r="AM1430" s="181"/>
      <c r="AN1430" s="37"/>
      <c r="AO1430" s="37"/>
      <c r="AP1430" s="37"/>
      <c r="AQ1430" s="37"/>
      <c r="AR1430" s="37"/>
      <c r="AS1430" s="37"/>
      <c r="AT1430" s="37"/>
      <c r="AU1430" s="37"/>
      <c r="AV1430" s="37"/>
      <c r="AW1430" s="37"/>
      <c r="AX1430" s="37"/>
      <c r="AY1430" s="37"/>
      <c r="AZ1430" s="37"/>
    </row>
    <row r="1431" spans="1:52" ht="15.5" customHeight="1">
      <c r="A1431" s="360"/>
      <c r="B1431" s="340"/>
      <c r="C1431" s="181"/>
      <c r="D1431" s="30"/>
      <c r="E1431" s="30"/>
      <c r="F1431" s="30"/>
      <c r="G1431" s="37"/>
      <c r="H1431" s="37"/>
      <c r="I1431" s="37"/>
      <c r="J1431" s="37" t="s">
        <v>69</v>
      </c>
      <c r="K1431" s="325" t="s">
        <v>69</v>
      </c>
      <c r="L1431" s="181"/>
      <c r="M1431" s="181"/>
      <c r="N1431" s="37"/>
      <c r="O1431" s="31"/>
      <c r="P1431" s="37"/>
      <c r="Q1431" s="181"/>
      <c r="R1431" s="181"/>
      <c r="S1431" s="181"/>
      <c r="T1431" s="181"/>
      <c r="U1431" s="181"/>
      <c r="V1431" s="37"/>
      <c r="W1431" s="181"/>
      <c r="X1431" s="38"/>
      <c r="Y1431" s="38"/>
      <c r="Z1431" s="38"/>
      <c r="AA1431" s="38"/>
      <c r="AB1431" s="248"/>
      <c r="AC1431" s="250"/>
      <c r="AD1431" s="181"/>
      <c r="AE1431" s="37"/>
      <c r="AF1431" s="37"/>
      <c r="AG1431" s="33"/>
      <c r="AH1431" s="37"/>
      <c r="AI1431" s="37"/>
      <c r="AJ1431" s="181"/>
      <c r="AK1431" s="37"/>
      <c r="AL1431" s="37"/>
      <c r="AM1431" s="181"/>
      <c r="AN1431" s="37"/>
      <c r="AO1431" s="37"/>
      <c r="AP1431" s="37"/>
      <c r="AQ1431" s="37"/>
      <c r="AR1431" s="37"/>
      <c r="AS1431" s="37"/>
      <c r="AT1431" s="37"/>
      <c r="AU1431" s="37"/>
      <c r="AV1431" s="37"/>
      <c r="AW1431" s="37"/>
      <c r="AX1431" s="37"/>
      <c r="AY1431" s="37"/>
      <c r="AZ1431" s="37"/>
    </row>
    <row r="1432" spans="1:52" ht="15.5" customHeight="1">
      <c r="A1432" s="360"/>
      <c r="B1432" s="340"/>
      <c r="C1432" s="181"/>
      <c r="D1432" s="30"/>
      <c r="E1432" s="30"/>
      <c r="F1432" s="30"/>
      <c r="G1432" s="37"/>
      <c r="H1432" s="37"/>
      <c r="I1432" s="37"/>
      <c r="J1432" s="37" t="s">
        <v>69</v>
      </c>
      <c r="K1432" s="325" t="s">
        <v>69</v>
      </c>
      <c r="L1432" s="181"/>
      <c r="M1432" s="181"/>
      <c r="N1432" s="37"/>
      <c r="O1432" s="31"/>
      <c r="P1432" s="37"/>
      <c r="Q1432" s="181"/>
      <c r="R1432" s="181"/>
      <c r="S1432" s="181"/>
      <c r="T1432" s="181"/>
      <c r="U1432" s="181"/>
      <c r="V1432" s="37"/>
      <c r="W1432" s="181"/>
      <c r="X1432" s="38"/>
      <c r="Y1432" s="38"/>
      <c r="Z1432" s="38"/>
      <c r="AA1432" s="38"/>
      <c r="AB1432" s="248"/>
      <c r="AC1432" s="250"/>
      <c r="AD1432" s="181"/>
      <c r="AE1432" s="37"/>
      <c r="AF1432" s="37"/>
      <c r="AG1432" s="33"/>
      <c r="AH1432" s="37"/>
      <c r="AI1432" s="37"/>
      <c r="AJ1432" s="181"/>
      <c r="AK1432" s="37"/>
      <c r="AL1432" s="37"/>
      <c r="AM1432" s="181"/>
      <c r="AN1432" s="37"/>
      <c r="AO1432" s="37"/>
      <c r="AP1432" s="37"/>
      <c r="AQ1432" s="37"/>
      <c r="AR1432" s="37"/>
      <c r="AS1432" s="37"/>
      <c r="AT1432" s="37"/>
      <c r="AU1432" s="37"/>
      <c r="AV1432" s="37"/>
      <c r="AW1432" s="37"/>
      <c r="AX1432" s="37"/>
      <c r="AY1432" s="37"/>
      <c r="AZ1432" s="37"/>
    </row>
    <row r="1433" spans="1:52" ht="15.5" customHeight="1">
      <c r="A1433" s="360"/>
      <c r="B1433" s="340"/>
      <c r="C1433" s="181"/>
      <c r="D1433" s="30"/>
      <c r="E1433" s="30"/>
      <c r="F1433" s="30"/>
      <c r="G1433" s="37"/>
      <c r="H1433" s="37"/>
      <c r="I1433" s="37"/>
      <c r="J1433" s="37" t="s">
        <v>69</v>
      </c>
      <c r="K1433" s="325" t="s">
        <v>69</v>
      </c>
      <c r="L1433" s="181"/>
      <c r="M1433" s="181"/>
      <c r="N1433" s="37"/>
      <c r="O1433" s="31"/>
      <c r="P1433" s="37"/>
      <c r="Q1433" s="181"/>
      <c r="R1433" s="181"/>
      <c r="S1433" s="181"/>
      <c r="T1433" s="181"/>
      <c r="U1433" s="181"/>
      <c r="V1433" s="37"/>
      <c r="W1433" s="181"/>
      <c r="X1433" s="38"/>
      <c r="Y1433" s="38"/>
      <c r="Z1433" s="38"/>
      <c r="AA1433" s="38"/>
      <c r="AB1433" s="248"/>
      <c r="AC1433" s="250"/>
      <c r="AD1433" s="181"/>
      <c r="AE1433" s="37"/>
      <c r="AF1433" s="37"/>
      <c r="AG1433" s="33"/>
      <c r="AH1433" s="37"/>
      <c r="AI1433" s="37"/>
      <c r="AJ1433" s="181"/>
      <c r="AK1433" s="37"/>
      <c r="AL1433" s="37"/>
      <c r="AM1433" s="181"/>
      <c r="AN1433" s="37"/>
      <c r="AO1433" s="37"/>
      <c r="AP1433" s="37"/>
      <c r="AQ1433" s="37"/>
      <c r="AR1433" s="37"/>
      <c r="AS1433" s="37"/>
      <c r="AT1433" s="37"/>
      <c r="AU1433" s="37"/>
      <c r="AV1433" s="37"/>
      <c r="AW1433" s="37"/>
      <c r="AX1433" s="37"/>
      <c r="AY1433" s="37"/>
      <c r="AZ1433" s="37"/>
    </row>
    <row r="1434" spans="1:52" ht="15.5" customHeight="1">
      <c r="A1434" s="360"/>
      <c r="B1434" s="340"/>
      <c r="C1434" s="181"/>
      <c r="D1434" s="30"/>
      <c r="E1434" s="30"/>
      <c r="F1434" s="30"/>
      <c r="G1434" s="37"/>
      <c r="H1434" s="37"/>
      <c r="I1434" s="37"/>
      <c r="J1434" s="37" t="s">
        <v>69</v>
      </c>
      <c r="K1434" s="325" t="s">
        <v>69</v>
      </c>
      <c r="L1434" s="181"/>
      <c r="M1434" s="181"/>
      <c r="N1434" s="37"/>
      <c r="O1434" s="31"/>
      <c r="P1434" s="37"/>
      <c r="Q1434" s="181"/>
      <c r="R1434" s="181"/>
      <c r="S1434" s="181"/>
      <c r="T1434" s="181"/>
      <c r="U1434" s="181"/>
      <c r="V1434" s="37"/>
      <c r="W1434" s="181"/>
      <c r="X1434" s="38"/>
      <c r="Y1434" s="38"/>
      <c r="Z1434" s="38"/>
      <c r="AA1434" s="38"/>
      <c r="AB1434" s="248"/>
      <c r="AC1434" s="250"/>
      <c r="AD1434" s="181"/>
      <c r="AE1434" s="37"/>
      <c r="AF1434" s="37"/>
      <c r="AG1434" s="33"/>
      <c r="AH1434" s="37"/>
      <c r="AI1434" s="37"/>
      <c r="AJ1434" s="181"/>
      <c r="AK1434" s="37"/>
      <c r="AL1434" s="37"/>
      <c r="AM1434" s="181"/>
      <c r="AN1434" s="37"/>
      <c r="AO1434" s="37"/>
      <c r="AP1434" s="37"/>
      <c r="AQ1434" s="37"/>
      <c r="AR1434" s="37"/>
      <c r="AS1434" s="37"/>
      <c r="AT1434" s="37"/>
      <c r="AU1434" s="37"/>
      <c r="AV1434" s="37"/>
      <c r="AW1434" s="37"/>
      <c r="AX1434" s="37"/>
      <c r="AY1434" s="37"/>
      <c r="AZ1434" s="37"/>
    </row>
    <row r="1435" spans="1:52" ht="15.5" customHeight="1">
      <c r="A1435" s="360"/>
      <c r="B1435" s="340"/>
      <c r="C1435" s="181"/>
      <c r="D1435" s="30"/>
      <c r="E1435" s="30"/>
      <c r="F1435" s="30"/>
      <c r="G1435" s="37"/>
      <c r="H1435" s="37"/>
      <c r="I1435" s="37"/>
      <c r="J1435" s="37" t="s">
        <v>69</v>
      </c>
      <c r="K1435" s="325" t="s">
        <v>69</v>
      </c>
      <c r="L1435" s="181"/>
      <c r="M1435" s="181"/>
      <c r="N1435" s="37"/>
      <c r="O1435" s="31"/>
      <c r="P1435" s="37"/>
      <c r="Q1435" s="181"/>
      <c r="R1435" s="181"/>
      <c r="S1435" s="181"/>
      <c r="T1435" s="181"/>
      <c r="U1435" s="181"/>
      <c r="V1435" s="37"/>
      <c r="W1435" s="181"/>
      <c r="X1435" s="38"/>
      <c r="Y1435" s="38"/>
      <c r="Z1435" s="38"/>
      <c r="AA1435" s="38"/>
      <c r="AB1435" s="248"/>
      <c r="AC1435" s="250"/>
      <c r="AD1435" s="181"/>
      <c r="AE1435" s="37"/>
      <c r="AF1435" s="37"/>
      <c r="AG1435" s="33"/>
      <c r="AH1435" s="37"/>
      <c r="AI1435" s="37"/>
      <c r="AJ1435" s="181"/>
      <c r="AK1435" s="37"/>
      <c r="AL1435" s="37"/>
      <c r="AM1435" s="181"/>
      <c r="AN1435" s="37"/>
      <c r="AO1435" s="37"/>
      <c r="AP1435" s="37"/>
      <c r="AQ1435" s="37"/>
      <c r="AR1435" s="37"/>
      <c r="AS1435" s="37"/>
      <c r="AT1435" s="37"/>
      <c r="AU1435" s="37"/>
      <c r="AV1435" s="37"/>
      <c r="AW1435" s="37"/>
      <c r="AX1435" s="37"/>
      <c r="AY1435" s="37"/>
      <c r="AZ1435" s="37"/>
    </row>
    <row r="1436" spans="1:52" ht="15.5" customHeight="1">
      <c r="A1436" s="360"/>
      <c r="B1436" s="340"/>
      <c r="C1436" s="181"/>
      <c r="D1436" s="30"/>
      <c r="E1436" s="30"/>
      <c r="F1436" s="30"/>
      <c r="G1436" s="37"/>
      <c r="H1436" s="37"/>
      <c r="I1436" s="37"/>
      <c r="J1436" s="37" t="s">
        <v>69</v>
      </c>
      <c r="K1436" s="325" t="s">
        <v>69</v>
      </c>
      <c r="L1436" s="181"/>
      <c r="M1436" s="181"/>
      <c r="N1436" s="37"/>
      <c r="O1436" s="31"/>
      <c r="P1436" s="37"/>
      <c r="Q1436" s="181"/>
      <c r="R1436" s="181"/>
      <c r="S1436" s="181"/>
      <c r="T1436" s="181"/>
      <c r="U1436" s="181"/>
      <c r="V1436" s="37"/>
      <c r="W1436" s="181"/>
      <c r="X1436" s="38"/>
      <c r="Y1436" s="38"/>
      <c r="Z1436" s="38"/>
      <c r="AA1436" s="38"/>
      <c r="AB1436" s="248"/>
      <c r="AC1436" s="250"/>
      <c r="AD1436" s="181"/>
      <c r="AE1436" s="37"/>
      <c r="AF1436" s="37"/>
      <c r="AG1436" s="33"/>
      <c r="AH1436" s="37"/>
      <c r="AI1436" s="37"/>
      <c r="AJ1436" s="181"/>
      <c r="AK1436" s="37"/>
      <c r="AL1436" s="37"/>
      <c r="AM1436" s="181"/>
      <c r="AN1436" s="37"/>
      <c r="AO1436" s="37"/>
      <c r="AP1436" s="37"/>
      <c r="AQ1436" s="37"/>
      <c r="AR1436" s="37"/>
      <c r="AS1436" s="37"/>
      <c r="AT1436" s="37"/>
      <c r="AU1436" s="37"/>
      <c r="AV1436" s="37"/>
      <c r="AW1436" s="37"/>
      <c r="AX1436" s="37"/>
      <c r="AY1436" s="37"/>
      <c r="AZ1436" s="37"/>
    </row>
    <row r="1437" spans="1:52" ht="15.5" customHeight="1">
      <c r="A1437" s="360"/>
      <c r="B1437" s="340"/>
      <c r="C1437" s="181"/>
      <c r="D1437" s="30"/>
      <c r="E1437" s="30"/>
      <c r="F1437" s="30"/>
      <c r="G1437" s="37"/>
      <c r="H1437" s="37"/>
      <c r="I1437" s="37"/>
      <c r="J1437" s="37" t="s">
        <v>69</v>
      </c>
      <c r="K1437" s="325" t="s">
        <v>69</v>
      </c>
      <c r="L1437" s="181"/>
      <c r="M1437" s="181"/>
      <c r="N1437" s="37"/>
      <c r="O1437" s="31"/>
      <c r="P1437" s="37"/>
      <c r="Q1437" s="181"/>
      <c r="R1437" s="181"/>
      <c r="S1437" s="181"/>
      <c r="T1437" s="181"/>
      <c r="U1437" s="181"/>
      <c r="V1437" s="37"/>
      <c r="W1437" s="181"/>
      <c r="X1437" s="38"/>
      <c r="Y1437" s="38"/>
      <c r="Z1437" s="38"/>
      <c r="AA1437" s="38"/>
      <c r="AB1437" s="248"/>
      <c r="AC1437" s="250"/>
      <c r="AD1437" s="181"/>
      <c r="AE1437" s="37"/>
      <c r="AF1437" s="37"/>
      <c r="AG1437" s="33"/>
      <c r="AH1437" s="37"/>
      <c r="AI1437" s="37"/>
      <c r="AJ1437" s="181"/>
      <c r="AK1437" s="37"/>
      <c r="AL1437" s="37"/>
      <c r="AM1437" s="181"/>
      <c r="AN1437" s="37"/>
      <c r="AO1437" s="37"/>
      <c r="AP1437" s="37"/>
      <c r="AQ1437" s="37"/>
      <c r="AR1437" s="37"/>
      <c r="AS1437" s="37"/>
      <c r="AT1437" s="37"/>
      <c r="AU1437" s="37"/>
      <c r="AV1437" s="37"/>
      <c r="AW1437" s="37"/>
      <c r="AX1437" s="37"/>
      <c r="AY1437" s="37"/>
      <c r="AZ1437" s="37"/>
    </row>
    <row r="1438" spans="1:52" ht="15.5" customHeight="1">
      <c r="A1438" s="360"/>
      <c r="B1438" s="340"/>
      <c r="C1438" s="181"/>
      <c r="D1438" s="30"/>
      <c r="E1438" s="30"/>
      <c r="F1438" s="30"/>
      <c r="G1438" s="37"/>
      <c r="H1438" s="37"/>
      <c r="I1438" s="37"/>
      <c r="J1438" s="37" t="s">
        <v>69</v>
      </c>
      <c r="K1438" s="325" t="s">
        <v>69</v>
      </c>
      <c r="L1438" s="181"/>
      <c r="M1438" s="181"/>
      <c r="N1438" s="37"/>
      <c r="O1438" s="31"/>
      <c r="P1438" s="37"/>
      <c r="Q1438" s="181"/>
      <c r="R1438" s="181"/>
      <c r="S1438" s="181"/>
      <c r="T1438" s="181"/>
      <c r="U1438" s="181"/>
      <c r="V1438" s="37"/>
      <c r="W1438" s="181"/>
      <c r="X1438" s="38"/>
      <c r="Y1438" s="38"/>
      <c r="Z1438" s="38"/>
      <c r="AA1438" s="38"/>
      <c r="AB1438" s="248"/>
      <c r="AC1438" s="250"/>
      <c r="AD1438" s="181"/>
      <c r="AE1438" s="37"/>
      <c r="AF1438" s="37"/>
      <c r="AG1438" s="33"/>
      <c r="AH1438" s="37"/>
      <c r="AI1438" s="37"/>
      <c r="AJ1438" s="181"/>
      <c r="AK1438" s="37"/>
      <c r="AL1438" s="37"/>
      <c r="AM1438" s="181"/>
      <c r="AN1438" s="37"/>
      <c r="AO1438" s="37"/>
      <c r="AP1438" s="37"/>
      <c r="AQ1438" s="37"/>
      <c r="AR1438" s="37"/>
      <c r="AS1438" s="37"/>
      <c r="AT1438" s="37"/>
      <c r="AU1438" s="37"/>
      <c r="AV1438" s="37"/>
      <c r="AW1438" s="37"/>
      <c r="AX1438" s="37"/>
      <c r="AY1438" s="37"/>
      <c r="AZ1438" s="37"/>
    </row>
    <row r="1439" spans="1:52" ht="15.5" customHeight="1">
      <c r="A1439" s="360"/>
      <c r="B1439" s="340"/>
      <c r="C1439" s="181"/>
      <c r="D1439" s="30"/>
      <c r="E1439" s="30"/>
      <c r="F1439" s="30"/>
      <c r="G1439" s="37"/>
      <c r="H1439" s="37"/>
      <c r="I1439" s="37"/>
      <c r="J1439" s="37" t="s">
        <v>69</v>
      </c>
      <c r="K1439" s="325" t="s">
        <v>69</v>
      </c>
      <c r="L1439" s="181"/>
      <c r="M1439" s="181"/>
      <c r="N1439" s="37"/>
      <c r="O1439" s="31"/>
      <c r="P1439" s="37"/>
      <c r="Q1439" s="181"/>
      <c r="R1439" s="181"/>
      <c r="S1439" s="181"/>
      <c r="T1439" s="181"/>
      <c r="U1439" s="181"/>
      <c r="V1439" s="37"/>
      <c r="W1439" s="181"/>
      <c r="X1439" s="38"/>
      <c r="Y1439" s="38"/>
      <c r="Z1439" s="38"/>
      <c r="AA1439" s="38"/>
      <c r="AB1439" s="248"/>
      <c r="AC1439" s="250"/>
      <c r="AD1439" s="181"/>
      <c r="AE1439" s="37"/>
      <c r="AF1439" s="37"/>
      <c r="AG1439" s="33"/>
      <c r="AH1439" s="37"/>
      <c r="AI1439" s="37"/>
      <c r="AJ1439" s="181"/>
      <c r="AK1439" s="37"/>
      <c r="AL1439" s="37"/>
      <c r="AM1439" s="181"/>
      <c r="AN1439" s="37"/>
      <c r="AO1439" s="37"/>
      <c r="AP1439" s="37"/>
      <c r="AQ1439" s="37"/>
      <c r="AR1439" s="37"/>
      <c r="AS1439" s="37"/>
      <c r="AT1439" s="37"/>
      <c r="AU1439" s="37"/>
      <c r="AV1439" s="37"/>
      <c r="AW1439" s="37"/>
      <c r="AX1439" s="37"/>
      <c r="AY1439" s="37"/>
      <c r="AZ1439" s="37"/>
    </row>
    <row r="1440" spans="1:52" ht="15.5" customHeight="1">
      <c r="A1440" s="360"/>
      <c r="B1440" s="340"/>
      <c r="C1440" s="181"/>
      <c r="D1440" s="30"/>
      <c r="E1440" s="30"/>
      <c r="F1440" s="30"/>
      <c r="G1440" s="37"/>
      <c r="H1440" s="37"/>
      <c r="I1440" s="37"/>
      <c r="J1440" s="37" t="s">
        <v>69</v>
      </c>
      <c r="K1440" s="325" t="s">
        <v>69</v>
      </c>
      <c r="L1440" s="181"/>
      <c r="M1440" s="181"/>
      <c r="N1440" s="37"/>
      <c r="O1440" s="31"/>
      <c r="P1440" s="37"/>
      <c r="Q1440" s="181"/>
      <c r="R1440" s="181"/>
      <c r="S1440" s="181"/>
      <c r="T1440" s="181"/>
      <c r="U1440" s="181"/>
      <c r="V1440" s="37"/>
      <c r="W1440" s="181"/>
      <c r="X1440" s="38"/>
      <c r="Y1440" s="38"/>
      <c r="Z1440" s="38"/>
      <c r="AA1440" s="38"/>
      <c r="AB1440" s="248"/>
      <c r="AC1440" s="250"/>
      <c r="AD1440" s="181"/>
      <c r="AE1440" s="37"/>
      <c r="AF1440" s="37"/>
      <c r="AG1440" s="33"/>
      <c r="AH1440" s="37"/>
      <c r="AI1440" s="37"/>
      <c r="AJ1440" s="181"/>
      <c r="AK1440" s="37"/>
      <c r="AL1440" s="37"/>
      <c r="AM1440" s="181"/>
      <c r="AN1440" s="37"/>
      <c r="AO1440" s="37"/>
      <c r="AP1440" s="37"/>
      <c r="AQ1440" s="37"/>
      <c r="AR1440" s="37"/>
      <c r="AS1440" s="37"/>
      <c r="AT1440" s="37"/>
      <c r="AU1440" s="37"/>
      <c r="AV1440" s="37"/>
      <c r="AW1440" s="37"/>
      <c r="AX1440" s="37"/>
      <c r="AY1440" s="37"/>
      <c r="AZ1440" s="37"/>
    </row>
    <row r="1441" spans="1:52" ht="15.5" customHeight="1">
      <c r="A1441" s="360"/>
      <c r="B1441" s="340"/>
      <c r="C1441" s="181"/>
      <c r="D1441" s="30"/>
      <c r="E1441" s="30"/>
      <c r="F1441" s="30"/>
      <c r="G1441" s="37"/>
      <c r="H1441" s="37"/>
      <c r="I1441" s="37"/>
      <c r="J1441" s="37" t="s">
        <v>69</v>
      </c>
      <c r="K1441" s="325" t="s">
        <v>69</v>
      </c>
      <c r="L1441" s="181"/>
      <c r="M1441" s="181"/>
      <c r="N1441" s="37"/>
      <c r="O1441" s="31"/>
      <c r="P1441" s="37"/>
      <c r="Q1441" s="181"/>
      <c r="R1441" s="181"/>
      <c r="S1441" s="181"/>
      <c r="T1441" s="181"/>
      <c r="U1441" s="181"/>
      <c r="V1441" s="37"/>
      <c r="W1441" s="181"/>
      <c r="X1441" s="38"/>
      <c r="Y1441" s="38"/>
      <c r="Z1441" s="38"/>
      <c r="AA1441" s="38"/>
      <c r="AB1441" s="248"/>
      <c r="AC1441" s="250"/>
      <c r="AD1441" s="181"/>
      <c r="AE1441" s="37"/>
      <c r="AF1441" s="37"/>
      <c r="AG1441" s="33"/>
      <c r="AH1441" s="37"/>
      <c r="AI1441" s="37"/>
      <c r="AJ1441" s="181"/>
      <c r="AK1441" s="37"/>
      <c r="AL1441" s="37"/>
      <c r="AM1441" s="181"/>
      <c r="AN1441" s="37"/>
      <c r="AO1441" s="37"/>
      <c r="AP1441" s="37"/>
      <c r="AQ1441" s="37"/>
      <c r="AR1441" s="37"/>
      <c r="AS1441" s="37"/>
      <c r="AT1441" s="37"/>
      <c r="AU1441" s="37"/>
      <c r="AV1441" s="37"/>
      <c r="AW1441" s="37"/>
      <c r="AX1441" s="37"/>
      <c r="AY1441" s="37"/>
      <c r="AZ1441" s="37"/>
    </row>
    <row r="1442" spans="1:52" ht="15.5" customHeight="1">
      <c r="A1442" s="360"/>
      <c r="B1442" s="340"/>
      <c r="C1442" s="181"/>
      <c r="D1442" s="30"/>
      <c r="E1442" s="30"/>
      <c r="F1442" s="30"/>
      <c r="G1442" s="37"/>
      <c r="H1442" s="37"/>
      <c r="I1442" s="37"/>
      <c r="J1442" s="37" t="s">
        <v>69</v>
      </c>
      <c r="K1442" s="325" t="s">
        <v>69</v>
      </c>
      <c r="L1442" s="181"/>
      <c r="M1442" s="181"/>
      <c r="N1442" s="37"/>
      <c r="O1442" s="31"/>
      <c r="P1442" s="37"/>
      <c r="Q1442" s="181"/>
      <c r="R1442" s="181"/>
      <c r="S1442" s="181"/>
      <c r="T1442" s="181"/>
      <c r="U1442" s="181"/>
      <c r="V1442" s="37"/>
      <c r="W1442" s="181"/>
      <c r="X1442" s="38"/>
      <c r="Y1442" s="38"/>
      <c r="Z1442" s="38"/>
      <c r="AA1442" s="38"/>
      <c r="AB1442" s="248"/>
      <c r="AC1442" s="250"/>
      <c r="AD1442" s="181"/>
      <c r="AE1442" s="37"/>
      <c r="AF1442" s="37"/>
      <c r="AG1442" s="33"/>
      <c r="AH1442" s="37"/>
      <c r="AI1442" s="37"/>
      <c r="AJ1442" s="181"/>
      <c r="AK1442" s="37"/>
      <c r="AL1442" s="37"/>
      <c r="AM1442" s="181"/>
      <c r="AN1442" s="37"/>
      <c r="AO1442" s="37"/>
      <c r="AP1442" s="37"/>
      <c r="AQ1442" s="37"/>
      <c r="AR1442" s="37"/>
      <c r="AS1442" s="37"/>
      <c r="AT1442" s="37"/>
      <c r="AU1442" s="37"/>
      <c r="AV1442" s="37"/>
      <c r="AW1442" s="37"/>
      <c r="AX1442" s="37"/>
      <c r="AY1442" s="37"/>
      <c r="AZ1442" s="37"/>
    </row>
    <row r="1443" spans="1:52" ht="15.5" customHeight="1">
      <c r="A1443" s="360"/>
      <c r="B1443" s="340"/>
      <c r="C1443" s="181"/>
      <c r="D1443" s="30"/>
      <c r="E1443" s="30"/>
      <c r="F1443" s="30"/>
      <c r="G1443" s="37"/>
      <c r="H1443" s="37"/>
      <c r="I1443" s="37"/>
      <c r="J1443" s="37" t="s">
        <v>69</v>
      </c>
      <c r="K1443" s="325" t="s">
        <v>69</v>
      </c>
      <c r="L1443" s="181"/>
      <c r="M1443" s="181"/>
      <c r="N1443" s="37"/>
      <c r="O1443" s="31"/>
      <c r="P1443" s="37"/>
      <c r="Q1443" s="181"/>
      <c r="R1443" s="181"/>
      <c r="S1443" s="181"/>
      <c r="T1443" s="181"/>
      <c r="U1443" s="181"/>
      <c r="V1443" s="37"/>
      <c r="W1443" s="181"/>
      <c r="X1443" s="38"/>
      <c r="Y1443" s="38"/>
      <c r="Z1443" s="38"/>
      <c r="AA1443" s="38"/>
      <c r="AB1443" s="248"/>
      <c r="AC1443" s="250"/>
      <c r="AD1443" s="181"/>
      <c r="AE1443" s="37"/>
      <c r="AF1443" s="37"/>
      <c r="AG1443" s="33"/>
      <c r="AH1443" s="37"/>
      <c r="AI1443" s="37"/>
      <c r="AJ1443" s="181"/>
      <c r="AK1443" s="37"/>
      <c r="AL1443" s="37"/>
      <c r="AM1443" s="181"/>
      <c r="AN1443" s="37"/>
      <c r="AO1443" s="37"/>
      <c r="AP1443" s="37"/>
      <c r="AQ1443" s="37"/>
      <c r="AR1443" s="37"/>
      <c r="AS1443" s="37"/>
      <c r="AT1443" s="37"/>
      <c r="AU1443" s="37"/>
      <c r="AV1443" s="37"/>
      <c r="AW1443" s="37"/>
      <c r="AX1443" s="37"/>
      <c r="AY1443" s="37"/>
      <c r="AZ1443" s="37"/>
    </row>
    <row r="1444" spans="1:52" ht="15.5" customHeight="1">
      <c r="A1444" s="360"/>
      <c r="B1444" s="340"/>
      <c r="C1444" s="181"/>
      <c r="D1444" s="30"/>
      <c r="E1444" s="30"/>
      <c r="F1444" s="30"/>
      <c r="G1444" s="37"/>
      <c r="H1444" s="37"/>
      <c r="I1444" s="37"/>
      <c r="J1444" s="37" t="s">
        <v>69</v>
      </c>
      <c r="K1444" s="325" t="s">
        <v>69</v>
      </c>
      <c r="L1444" s="181"/>
      <c r="M1444" s="181"/>
      <c r="N1444" s="37"/>
      <c r="O1444" s="31"/>
      <c r="P1444" s="37"/>
      <c r="Q1444" s="181"/>
      <c r="R1444" s="181"/>
      <c r="S1444" s="181"/>
      <c r="T1444" s="181"/>
      <c r="U1444" s="181"/>
      <c r="V1444" s="37"/>
      <c r="W1444" s="181"/>
      <c r="X1444" s="38"/>
      <c r="Y1444" s="38"/>
      <c r="Z1444" s="38"/>
      <c r="AA1444" s="38"/>
      <c r="AB1444" s="248"/>
      <c r="AC1444" s="250"/>
      <c r="AD1444" s="181"/>
      <c r="AE1444" s="37"/>
      <c r="AF1444" s="37"/>
      <c r="AG1444" s="33"/>
      <c r="AH1444" s="37"/>
      <c r="AI1444" s="37"/>
      <c r="AJ1444" s="181"/>
      <c r="AK1444" s="37"/>
      <c r="AL1444" s="37"/>
      <c r="AM1444" s="181"/>
      <c r="AN1444" s="37"/>
      <c r="AO1444" s="37"/>
      <c r="AP1444" s="37"/>
      <c r="AQ1444" s="37"/>
      <c r="AR1444" s="37"/>
      <c r="AS1444" s="37"/>
      <c r="AT1444" s="37"/>
      <c r="AU1444" s="37"/>
      <c r="AV1444" s="37"/>
      <c r="AW1444" s="37"/>
      <c r="AX1444" s="37"/>
      <c r="AY1444" s="37"/>
      <c r="AZ1444" s="37"/>
    </row>
    <row r="1445" spans="1:52" ht="15.5" customHeight="1">
      <c r="A1445" s="360"/>
      <c r="B1445" s="340"/>
      <c r="C1445" s="181"/>
      <c r="D1445" s="30"/>
      <c r="E1445" s="30"/>
      <c r="F1445" s="30"/>
      <c r="G1445" s="37"/>
      <c r="H1445" s="37"/>
      <c r="I1445" s="37"/>
      <c r="J1445" s="37" t="s">
        <v>69</v>
      </c>
      <c r="K1445" s="325" t="s">
        <v>69</v>
      </c>
      <c r="L1445" s="181"/>
      <c r="M1445" s="181"/>
      <c r="N1445" s="37"/>
      <c r="O1445" s="31"/>
      <c r="P1445" s="37"/>
      <c r="Q1445" s="181"/>
      <c r="R1445" s="181"/>
      <c r="S1445" s="181"/>
      <c r="T1445" s="181"/>
      <c r="U1445" s="181"/>
      <c r="V1445" s="37"/>
      <c r="W1445" s="181"/>
      <c r="X1445" s="38"/>
      <c r="Y1445" s="38"/>
      <c r="Z1445" s="38"/>
      <c r="AA1445" s="38"/>
      <c r="AB1445" s="248"/>
      <c r="AC1445" s="250"/>
      <c r="AD1445" s="181"/>
      <c r="AE1445" s="37"/>
      <c r="AF1445" s="37"/>
      <c r="AG1445" s="33"/>
      <c r="AH1445" s="37"/>
      <c r="AI1445" s="37"/>
      <c r="AJ1445" s="181"/>
      <c r="AK1445" s="37"/>
      <c r="AL1445" s="37"/>
      <c r="AM1445" s="181"/>
      <c r="AN1445" s="37"/>
      <c r="AO1445" s="37"/>
      <c r="AP1445" s="37"/>
      <c r="AQ1445" s="37"/>
      <c r="AR1445" s="37"/>
      <c r="AS1445" s="37"/>
      <c r="AT1445" s="37"/>
      <c r="AU1445" s="37"/>
      <c r="AV1445" s="37"/>
      <c r="AW1445" s="37"/>
      <c r="AX1445" s="37"/>
      <c r="AY1445" s="37"/>
      <c r="AZ1445" s="37"/>
    </row>
    <row r="1446" spans="1:52" ht="15.5" customHeight="1">
      <c r="A1446" s="360"/>
      <c r="B1446" s="340"/>
      <c r="C1446" s="181"/>
      <c r="D1446" s="30"/>
      <c r="E1446" s="30"/>
      <c r="F1446" s="30"/>
      <c r="G1446" s="37"/>
      <c r="H1446" s="37"/>
      <c r="I1446" s="37"/>
      <c r="J1446" s="37" t="s">
        <v>69</v>
      </c>
      <c r="K1446" s="325" t="s">
        <v>69</v>
      </c>
      <c r="L1446" s="181"/>
      <c r="M1446" s="181"/>
      <c r="N1446" s="37"/>
      <c r="O1446" s="31"/>
      <c r="P1446" s="37"/>
      <c r="Q1446" s="181"/>
      <c r="R1446" s="181"/>
      <c r="S1446" s="181"/>
      <c r="T1446" s="181"/>
      <c r="U1446" s="181"/>
      <c r="V1446" s="37"/>
      <c r="W1446" s="181"/>
      <c r="X1446" s="38"/>
      <c r="Y1446" s="38"/>
      <c r="Z1446" s="38"/>
      <c r="AA1446" s="38"/>
      <c r="AB1446" s="248"/>
      <c r="AC1446" s="250"/>
      <c r="AD1446" s="181"/>
      <c r="AE1446" s="37"/>
      <c r="AF1446" s="37"/>
      <c r="AG1446" s="33"/>
      <c r="AH1446" s="37"/>
      <c r="AI1446" s="37"/>
      <c r="AJ1446" s="181"/>
      <c r="AK1446" s="37"/>
      <c r="AL1446" s="37"/>
      <c r="AM1446" s="181"/>
      <c r="AN1446" s="37"/>
      <c r="AO1446" s="37"/>
      <c r="AP1446" s="37"/>
      <c r="AQ1446" s="37"/>
      <c r="AR1446" s="37"/>
      <c r="AS1446" s="37"/>
      <c r="AT1446" s="37"/>
      <c r="AU1446" s="37"/>
      <c r="AV1446" s="37"/>
      <c r="AW1446" s="37"/>
      <c r="AX1446" s="37"/>
      <c r="AY1446" s="37"/>
      <c r="AZ1446" s="37"/>
    </row>
    <row r="1447" spans="1:52" ht="15.5" customHeight="1">
      <c r="A1447" s="360"/>
      <c r="B1447" s="340"/>
      <c r="C1447" s="181"/>
      <c r="D1447" s="30"/>
      <c r="E1447" s="30"/>
      <c r="F1447" s="30"/>
      <c r="G1447" s="37"/>
      <c r="H1447" s="37"/>
      <c r="I1447" s="37"/>
      <c r="J1447" s="37" t="s">
        <v>69</v>
      </c>
      <c r="K1447" s="325" t="s">
        <v>69</v>
      </c>
      <c r="L1447" s="181"/>
      <c r="M1447" s="181"/>
      <c r="N1447" s="37"/>
      <c r="O1447" s="31"/>
      <c r="P1447" s="37"/>
      <c r="Q1447" s="181"/>
      <c r="R1447" s="181"/>
      <c r="S1447" s="181"/>
      <c r="T1447" s="181"/>
      <c r="U1447" s="181"/>
      <c r="V1447" s="37"/>
      <c r="W1447" s="181"/>
      <c r="X1447" s="38"/>
      <c r="Y1447" s="38"/>
      <c r="Z1447" s="38"/>
      <c r="AA1447" s="38"/>
      <c r="AB1447" s="248"/>
      <c r="AC1447" s="250"/>
      <c r="AD1447" s="181"/>
      <c r="AE1447" s="37"/>
      <c r="AF1447" s="37"/>
      <c r="AG1447" s="33"/>
      <c r="AH1447" s="37"/>
      <c r="AI1447" s="37"/>
      <c r="AJ1447" s="181"/>
      <c r="AK1447" s="37"/>
      <c r="AL1447" s="37"/>
      <c r="AM1447" s="181"/>
      <c r="AN1447" s="37"/>
      <c r="AO1447" s="37"/>
      <c r="AP1447" s="37"/>
      <c r="AQ1447" s="37"/>
      <c r="AR1447" s="37"/>
      <c r="AS1447" s="37"/>
      <c r="AT1447" s="37"/>
      <c r="AU1447" s="37"/>
      <c r="AV1447" s="37"/>
      <c r="AW1447" s="37"/>
      <c r="AX1447" s="37"/>
      <c r="AY1447" s="37"/>
      <c r="AZ1447" s="37"/>
    </row>
    <row r="1448" spans="1:52" ht="15.5" customHeight="1">
      <c r="A1448" s="360"/>
      <c r="B1448" s="340"/>
      <c r="C1448" s="181"/>
      <c r="D1448" s="30"/>
      <c r="E1448" s="30"/>
      <c r="F1448" s="30"/>
      <c r="G1448" s="37"/>
      <c r="H1448" s="37"/>
      <c r="I1448" s="37"/>
      <c r="J1448" s="37" t="s">
        <v>69</v>
      </c>
      <c r="K1448" s="325" t="s">
        <v>69</v>
      </c>
      <c r="L1448" s="181"/>
      <c r="M1448" s="181"/>
      <c r="N1448" s="37"/>
      <c r="O1448" s="31"/>
      <c r="P1448" s="37"/>
      <c r="Q1448" s="181"/>
      <c r="R1448" s="181"/>
      <c r="S1448" s="181"/>
      <c r="T1448" s="181"/>
      <c r="U1448" s="181"/>
      <c r="V1448" s="37"/>
      <c r="W1448" s="181"/>
      <c r="X1448" s="38"/>
      <c r="Y1448" s="38"/>
      <c r="Z1448" s="38"/>
      <c r="AA1448" s="38"/>
      <c r="AB1448" s="248"/>
      <c r="AC1448" s="250"/>
      <c r="AD1448" s="181"/>
      <c r="AE1448" s="37"/>
      <c r="AF1448" s="37"/>
      <c r="AG1448" s="33"/>
      <c r="AH1448" s="37"/>
      <c r="AI1448" s="37"/>
      <c r="AJ1448" s="181"/>
      <c r="AK1448" s="37"/>
      <c r="AL1448" s="37"/>
      <c r="AM1448" s="181"/>
      <c r="AN1448" s="37"/>
      <c r="AO1448" s="37"/>
      <c r="AP1448" s="37"/>
      <c r="AQ1448" s="37"/>
      <c r="AR1448" s="37"/>
      <c r="AS1448" s="37"/>
      <c r="AT1448" s="37"/>
      <c r="AU1448" s="37"/>
      <c r="AV1448" s="37"/>
      <c r="AW1448" s="37"/>
      <c r="AX1448" s="37"/>
      <c r="AY1448" s="37"/>
      <c r="AZ1448" s="37"/>
    </row>
    <row r="1449" spans="1:52" ht="15.5" customHeight="1">
      <c r="A1449" s="360"/>
      <c r="B1449" s="340"/>
      <c r="C1449" s="181"/>
      <c r="D1449" s="30"/>
      <c r="E1449" s="30"/>
      <c r="F1449" s="30"/>
      <c r="G1449" s="37"/>
      <c r="H1449" s="37"/>
      <c r="I1449" s="37"/>
      <c r="J1449" s="37" t="s">
        <v>69</v>
      </c>
      <c r="K1449" s="325" t="s">
        <v>69</v>
      </c>
      <c r="L1449" s="181"/>
      <c r="M1449" s="181"/>
      <c r="N1449" s="37"/>
      <c r="O1449" s="31"/>
      <c r="P1449" s="37"/>
      <c r="Q1449" s="181"/>
      <c r="R1449" s="181"/>
      <c r="S1449" s="181"/>
      <c r="T1449" s="181"/>
      <c r="U1449" s="181"/>
      <c r="V1449" s="37"/>
      <c r="W1449" s="181"/>
      <c r="X1449" s="38"/>
      <c r="Y1449" s="38"/>
      <c r="Z1449" s="38"/>
      <c r="AA1449" s="38"/>
      <c r="AB1449" s="248"/>
      <c r="AC1449" s="250"/>
      <c r="AD1449" s="181"/>
      <c r="AE1449" s="37"/>
      <c r="AF1449" s="37"/>
      <c r="AG1449" s="33"/>
      <c r="AH1449" s="37"/>
      <c r="AI1449" s="37"/>
      <c r="AJ1449" s="181"/>
      <c r="AK1449" s="37"/>
      <c r="AL1449" s="37"/>
      <c r="AM1449" s="181"/>
      <c r="AN1449" s="37"/>
      <c r="AO1449" s="37"/>
      <c r="AP1449" s="37"/>
      <c r="AQ1449" s="37"/>
      <c r="AR1449" s="37"/>
      <c r="AS1449" s="37"/>
      <c r="AT1449" s="37"/>
      <c r="AU1449" s="37"/>
      <c r="AV1449" s="37"/>
      <c r="AW1449" s="37"/>
      <c r="AX1449" s="37"/>
      <c r="AY1449" s="37"/>
      <c r="AZ1449" s="37"/>
    </row>
    <row r="1450" spans="1:52" ht="15.5" customHeight="1">
      <c r="A1450" s="360"/>
      <c r="B1450" s="340"/>
      <c r="C1450" s="181"/>
      <c r="D1450" s="30"/>
      <c r="E1450" s="30"/>
      <c r="F1450" s="30"/>
      <c r="G1450" s="37"/>
      <c r="H1450" s="37"/>
      <c r="I1450" s="37"/>
      <c r="J1450" s="37" t="s">
        <v>69</v>
      </c>
      <c r="K1450" s="325" t="s">
        <v>69</v>
      </c>
      <c r="L1450" s="181"/>
      <c r="M1450" s="181"/>
      <c r="N1450" s="37"/>
      <c r="O1450" s="31"/>
      <c r="P1450" s="37"/>
      <c r="Q1450" s="181"/>
      <c r="R1450" s="181"/>
      <c r="S1450" s="181"/>
      <c r="T1450" s="181"/>
      <c r="U1450" s="181"/>
      <c r="V1450" s="37"/>
      <c r="W1450" s="181"/>
      <c r="X1450" s="38"/>
      <c r="Y1450" s="38"/>
      <c r="Z1450" s="38"/>
      <c r="AA1450" s="38"/>
      <c r="AB1450" s="248"/>
      <c r="AC1450" s="250"/>
      <c r="AD1450" s="181"/>
      <c r="AE1450" s="37"/>
      <c r="AF1450" s="37"/>
      <c r="AG1450" s="33"/>
      <c r="AH1450" s="37"/>
      <c r="AI1450" s="37"/>
      <c r="AJ1450" s="181"/>
      <c r="AK1450" s="37"/>
      <c r="AL1450" s="37"/>
      <c r="AM1450" s="181"/>
      <c r="AN1450" s="37"/>
      <c r="AO1450" s="37"/>
      <c r="AP1450" s="37"/>
      <c r="AQ1450" s="37"/>
      <c r="AR1450" s="37"/>
      <c r="AS1450" s="37"/>
      <c r="AT1450" s="37"/>
      <c r="AU1450" s="37"/>
      <c r="AV1450" s="37"/>
      <c r="AW1450" s="37"/>
      <c r="AX1450" s="37"/>
      <c r="AY1450" s="37"/>
      <c r="AZ1450" s="37"/>
    </row>
    <row r="1451" spans="1:52" ht="15.5" customHeight="1">
      <c r="A1451" s="360"/>
      <c r="B1451" s="340"/>
      <c r="C1451" s="181"/>
      <c r="D1451" s="30"/>
      <c r="E1451" s="30"/>
      <c r="F1451" s="30"/>
      <c r="G1451" s="37"/>
      <c r="H1451" s="37"/>
      <c r="I1451" s="37"/>
      <c r="J1451" s="37" t="s">
        <v>69</v>
      </c>
      <c r="K1451" s="325" t="s">
        <v>69</v>
      </c>
      <c r="L1451" s="181"/>
      <c r="M1451" s="181"/>
      <c r="N1451" s="37"/>
      <c r="O1451" s="31"/>
      <c r="P1451" s="37"/>
      <c r="Q1451" s="181"/>
      <c r="R1451" s="181"/>
      <c r="S1451" s="181"/>
      <c r="T1451" s="181"/>
      <c r="U1451" s="181"/>
      <c r="V1451" s="37"/>
      <c r="W1451" s="181"/>
      <c r="X1451" s="38"/>
      <c r="Y1451" s="38"/>
      <c r="Z1451" s="38"/>
      <c r="AA1451" s="38"/>
      <c r="AB1451" s="248"/>
      <c r="AC1451" s="250"/>
      <c r="AD1451" s="181"/>
      <c r="AE1451" s="37"/>
      <c r="AF1451" s="37"/>
      <c r="AG1451" s="33"/>
      <c r="AH1451" s="37"/>
      <c r="AI1451" s="37"/>
      <c r="AJ1451" s="181"/>
      <c r="AK1451" s="37"/>
      <c r="AL1451" s="37"/>
      <c r="AM1451" s="181"/>
      <c r="AN1451" s="37"/>
      <c r="AO1451" s="37"/>
      <c r="AP1451" s="37"/>
      <c r="AQ1451" s="37"/>
      <c r="AR1451" s="37"/>
      <c r="AS1451" s="37"/>
      <c r="AT1451" s="37"/>
      <c r="AU1451" s="37"/>
      <c r="AV1451" s="37"/>
      <c r="AW1451" s="37"/>
      <c r="AX1451" s="37"/>
      <c r="AY1451" s="37"/>
      <c r="AZ1451" s="37"/>
    </row>
    <row r="1452" spans="1:52" ht="15.5" customHeight="1">
      <c r="A1452" s="360"/>
      <c r="B1452" s="340"/>
      <c r="C1452" s="181"/>
      <c r="D1452" s="30"/>
      <c r="E1452" s="30"/>
      <c r="F1452" s="30"/>
      <c r="G1452" s="37"/>
      <c r="H1452" s="37"/>
      <c r="I1452" s="37"/>
      <c r="J1452" s="37" t="s">
        <v>69</v>
      </c>
      <c r="K1452" s="325" t="s">
        <v>69</v>
      </c>
      <c r="L1452" s="181"/>
      <c r="M1452" s="181"/>
      <c r="N1452" s="37"/>
      <c r="O1452" s="31"/>
      <c r="P1452" s="37"/>
      <c r="Q1452" s="181"/>
      <c r="R1452" s="181"/>
      <c r="S1452" s="181"/>
      <c r="T1452" s="181"/>
      <c r="U1452" s="181"/>
      <c r="V1452" s="37"/>
      <c r="W1452" s="181"/>
      <c r="X1452" s="38"/>
      <c r="Y1452" s="38"/>
      <c r="Z1452" s="38"/>
      <c r="AA1452" s="38"/>
      <c r="AB1452" s="248"/>
      <c r="AC1452" s="250"/>
      <c r="AD1452" s="181"/>
      <c r="AE1452" s="37"/>
      <c r="AF1452" s="37"/>
      <c r="AG1452" s="33"/>
      <c r="AH1452" s="37"/>
      <c r="AI1452" s="37"/>
      <c r="AJ1452" s="181"/>
      <c r="AK1452" s="37"/>
      <c r="AL1452" s="37"/>
      <c r="AM1452" s="181"/>
      <c r="AN1452" s="37"/>
      <c r="AO1452" s="37"/>
      <c r="AP1452" s="37"/>
      <c r="AQ1452" s="37"/>
      <c r="AR1452" s="37"/>
      <c r="AS1452" s="37"/>
      <c r="AT1452" s="37"/>
      <c r="AU1452" s="37"/>
      <c r="AV1452" s="37"/>
      <c r="AW1452" s="37"/>
      <c r="AX1452" s="37"/>
      <c r="AY1452" s="37"/>
      <c r="AZ1452" s="37"/>
    </row>
    <row r="1453" spans="1:52" ht="15.5" customHeight="1">
      <c r="A1453" s="360"/>
      <c r="B1453" s="340"/>
      <c r="C1453" s="181"/>
      <c r="D1453" s="30"/>
      <c r="E1453" s="30"/>
      <c r="F1453" s="30"/>
      <c r="G1453" s="37"/>
      <c r="H1453" s="37"/>
      <c r="I1453" s="37"/>
      <c r="J1453" s="37" t="s">
        <v>69</v>
      </c>
      <c r="K1453" s="325" t="s">
        <v>69</v>
      </c>
      <c r="L1453" s="181"/>
      <c r="M1453" s="181"/>
      <c r="N1453" s="37"/>
      <c r="O1453" s="31"/>
      <c r="P1453" s="37"/>
      <c r="Q1453" s="181"/>
      <c r="R1453" s="181"/>
      <c r="S1453" s="181"/>
      <c r="T1453" s="181"/>
      <c r="U1453" s="181"/>
      <c r="V1453" s="37"/>
      <c r="W1453" s="181"/>
      <c r="X1453" s="38"/>
      <c r="Y1453" s="38"/>
      <c r="Z1453" s="38"/>
      <c r="AA1453" s="38"/>
      <c r="AB1453" s="248"/>
      <c r="AC1453" s="250"/>
      <c r="AD1453" s="181"/>
      <c r="AE1453" s="37"/>
      <c r="AF1453" s="37"/>
      <c r="AG1453" s="33"/>
      <c r="AH1453" s="37"/>
      <c r="AI1453" s="37"/>
      <c r="AJ1453" s="181"/>
      <c r="AK1453" s="37"/>
      <c r="AL1453" s="37"/>
      <c r="AM1453" s="181"/>
      <c r="AN1453" s="37"/>
      <c r="AO1453" s="37"/>
      <c r="AP1453" s="37"/>
      <c r="AQ1453" s="37"/>
      <c r="AR1453" s="37"/>
      <c r="AS1453" s="37"/>
      <c r="AT1453" s="37"/>
      <c r="AU1453" s="37"/>
      <c r="AV1453" s="37"/>
      <c r="AW1453" s="37"/>
      <c r="AX1453" s="37"/>
      <c r="AY1453" s="37"/>
      <c r="AZ1453" s="37"/>
    </row>
    <row r="1454" spans="1:52" ht="15.5" customHeight="1">
      <c r="A1454" s="360"/>
      <c r="B1454" s="340"/>
      <c r="C1454" s="181"/>
      <c r="D1454" s="30"/>
      <c r="E1454" s="30"/>
      <c r="F1454" s="30"/>
      <c r="G1454" s="37"/>
      <c r="H1454" s="37"/>
      <c r="I1454" s="37"/>
      <c r="J1454" s="37" t="s">
        <v>69</v>
      </c>
      <c r="K1454" s="325" t="s">
        <v>69</v>
      </c>
      <c r="L1454" s="181"/>
      <c r="M1454" s="181"/>
      <c r="N1454" s="37"/>
      <c r="O1454" s="31"/>
      <c r="P1454" s="37"/>
      <c r="Q1454" s="181"/>
      <c r="R1454" s="181"/>
      <c r="S1454" s="181"/>
      <c r="T1454" s="181"/>
      <c r="U1454" s="181"/>
      <c r="V1454" s="37"/>
      <c r="W1454" s="181"/>
      <c r="X1454" s="38"/>
      <c r="Y1454" s="38"/>
      <c r="Z1454" s="38"/>
      <c r="AA1454" s="38"/>
      <c r="AB1454" s="248"/>
      <c r="AC1454" s="250"/>
      <c r="AD1454" s="181"/>
      <c r="AE1454" s="37"/>
      <c r="AF1454" s="37"/>
      <c r="AG1454" s="33"/>
      <c r="AH1454" s="37"/>
      <c r="AI1454" s="37"/>
      <c r="AJ1454" s="181"/>
      <c r="AK1454" s="37"/>
      <c r="AL1454" s="37"/>
      <c r="AM1454" s="181"/>
      <c r="AN1454" s="37"/>
      <c r="AO1454" s="37"/>
      <c r="AP1454" s="37"/>
      <c r="AQ1454" s="37"/>
      <c r="AR1454" s="37"/>
      <c r="AS1454" s="37"/>
      <c r="AT1454" s="37"/>
      <c r="AU1454" s="37"/>
      <c r="AV1454" s="37"/>
      <c r="AW1454" s="37"/>
      <c r="AX1454" s="37"/>
      <c r="AY1454" s="37"/>
      <c r="AZ1454" s="37"/>
    </row>
    <row r="1455" spans="1:52" ht="15.5" customHeight="1">
      <c r="A1455" s="360"/>
      <c r="B1455" s="340"/>
      <c r="C1455" s="181"/>
      <c r="D1455" s="30"/>
      <c r="E1455" s="30"/>
      <c r="F1455" s="30"/>
      <c r="G1455" s="37"/>
      <c r="H1455" s="37"/>
      <c r="I1455" s="37"/>
      <c r="J1455" s="37" t="s">
        <v>69</v>
      </c>
      <c r="K1455" s="325" t="s">
        <v>69</v>
      </c>
      <c r="L1455" s="181"/>
      <c r="M1455" s="181"/>
      <c r="N1455" s="37"/>
      <c r="O1455" s="31"/>
      <c r="P1455" s="37"/>
      <c r="Q1455" s="181"/>
      <c r="R1455" s="181"/>
      <c r="S1455" s="181"/>
      <c r="T1455" s="181"/>
      <c r="U1455" s="181"/>
      <c r="V1455" s="37"/>
      <c r="W1455" s="181"/>
      <c r="X1455" s="38"/>
      <c r="Y1455" s="38"/>
      <c r="Z1455" s="38"/>
      <c r="AA1455" s="38"/>
      <c r="AB1455" s="248"/>
      <c r="AC1455" s="250"/>
      <c r="AD1455" s="181"/>
      <c r="AE1455" s="37"/>
      <c r="AF1455" s="37"/>
      <c r="AG1455" s="33"/>
      <c r="AH1455" s="37"/>
      <c r="AI1455" s="37"/>
      <c r="AJ1455" s="181"/>
      <c r="AK1455" s="37"/>
      <c r="AL1455" s="37"/>
      <c r="AM1455" s="181"/>
      <c r="AN1455" s="37"/>
      <c r="AO1455" s="37"/>
      <c r="AP1455" s="37"/>
      <c r="AQ1455" s="37"/>
      <c r="AR1455" s="37"/>
      <c r="AS1455" s="37"/>
      <c r="AT1455" s="37"/>
      <c r="AU1455" s="37"/>
      <c r="AV1455" s="37"/>
      <c r="AW1455" s="37"/>
      <c r="AX1455" s="37"/>
      <c r="AY1455" s="37"/>
      <c r="AZ1455" s="37"/>
    </row>
    <row r="1456" spans="1:52" ht="15.5" customHeight="1">
      <c r="A1456" s="360"/>
      <c r="B1456" s="340"/>
      <c r="C1456" s="181"/>
      <c r="D1456" s="30"/>
      <c r="E1456" s="30"/>
      <c r="F1456" s="30"/>
      <c r="G1456" s="37"/>
      <c r="H1456" s="37"/>
      <c r="I1456" s="37"/>
      <c r="J1456" s="37" t="s">
        <v>69</v>
      </c>
      <c r="K1456" s="325" t="s">
        <v>69</v>
      </c>
      <c r="L1456" s="181"/>
      <c r="M1456" s="181"/>
      <c r="N1456" s="37"/>
      <c r="O1456" s="31"/>
      <c r="P1456" s="37"/>
      <c r="Q1456" s="181"/>
      <c r="R1456" s="181"/>
      <c r="S1456" s="181"/>
      <c r="T1456" s="181"/>
      <c r="U1456" s="181"/>
      <c r="V1456" s="37"/>
      <c r="W1456" s="181"/>
      <c r="X1456" s="38"/>
      <c r="Y1456" s="38"/>
      <c r="Z1456" s="38"/>
      <c r="AA1456" s="38"/>
      <c r="AB1456" s="248"/>
      <c r="AC1456" s="250"/>
      <c r="AD1456" s="181"/>
      <c r="AE1456" s="37"/>
      <c r="AF1456" s="37"/>
      <c r="AG1456" s="33"/>
      <c r="AH1456" s="37"/>
      <c r="AI1456" s="37"/>
      <c r="AJ1456" s="181"/>
      <c r="AK1456" s="37"/>
      <c r="AL1456" s="37"/>
      <c r="AM1456" s="181"/>
      <c r="AN1456" s="37"/>
      <c r="AO1456" s="37"/>
      <c r="AP1456" s="37"/>
      <c r="AQ1456" s="37"/>
      <c r="AR1456" s="37"/>
      <c r="AS1456" s="37"/>
      <c r="AT1456" s="37"/>
      <c r="AU1456" s="37"/>
      <c r="AV1456" s="37"/>
      <c r="AW1456" s="37"/>
      <c r="AX1456" s="37"/>
      <c r="AY1456" s="37"/>
      <c r="AZ1456" s="37"/>
    </row>
    <row r="1457" spans="1:52" ht="15.5" customHeight="1">
      <c r="A1457" s="360"/>
      <c r="B1457" s="340"/>
      <c r="C1457" s="181"/>
      <c r="D1457" s="30"/>
      <c r="E1457" s="30"/>
      <c r="F1457" s="30"/>
      <c r="G1457" s="37"/>
      <c r="H1457" s="37"/>
      <c r="I1457" s="37"/>
      <c r="J1457" s="37" t="s">
        <v>69</v>
      </c>
      <c r="K1457" s="325" t="s">
        <v>69</v>
      </c>
      <c r="L1457" s="181"/>
      <c r="M1457" s="181"/>
      <c r="N1457" s="37"/>
      <c r="O1457" s="31"/>
      <c r="P1457" s="37"/>
      <c r="Q1457" s="181"/>
      <c r="R1457" s="181"/>
      <c r="S1457" s="181"/>
      <c r="T1457" s="181"/>
      <c r="U1457" s="181"/>
      <c r="V1457" s="37"/>
      <c r="W1457" s="181"/>
      <c r="X1457" s="38"/>
      <c r="Y1457" s="38"/>
      <c r="Z1457" s="38"/>
      <c r="AA1457" s="38"/>
      <c r="AB1457" s="248"/>
      <c r="AC1457" s="250"/>
      <c r="AD1457" s="181"/>
      <c r="AE1457" s="37"/>
      <c r="AF1457" s="37"/>
      <c r="AG1457" s="33"/>
      <c r="AH1457" s="37"/>
      <c r="AI1457" s="37"/>
      <c r="AJ1457" s="181"/>
      <c r="AK1457" s="37"/>
      <c r="AL1457" s="37"/>
      <c r="AM1457" s="181"/>
      <c r="AN1457" s="37"/>
      <c r="AO1457" s="37"/>
      <c r="AP1457" s="37"/>
      <c r="AQ1457" s="37"/>
      <c r="AR1457" s="37"/>
      <c r="AS1457" s="37"/>
      <c r="AT1457" s="37"/>
      <c r="AU1457" s="37"/>
      <c r="AV1457" s="37"/>
      <c r="AW1457" s="37"/>
      <c r="AX1457" s="37"/>
      <c r="AY1457" s="37"/>
      <c r="AZ1457" s="37"/>
    </row>
    <row r="1458" spans="1:52" ht="15.5" customHeight="1">
      <c r="A1458" s="360"/>
      <c r="B1458" s="340"/>
      <c r="C1458" s="181"/>
      <c r="D1458" s="30"/>
      <c r="E1458" s="30"/>
      <c r="F1458" s="30"/>
      <c r="G1458" s="37"/>
      <c r="H1458" s="37"/>
      <c r="I1458" s="37"/>
      <c r="J1458" s="37" t="s">
        <v>69</v>
      </c>
      <c r="K1458" s="325" t="s">
        <v>69</v>
      </c>
      <c r="L1458" s="181"/>
      <c r="M1458" s="181"/>
      <c r="N1458" s="37"/>
      <c r="O1458" s="31"/>
      <c r="P1458" s="37"/>
      <c r="Q1458" s="181"/>
      <c r="R1458" s="181"/>
      <c r="S1458" s="181"/>
      <c r="T1458" s="181"/>
      <c r="U1458" s="181"/>
      <c r="V1458" s="37"/>
      <c r="W1458" s="181"/>
      <c r="X1458" s="38"/>
      <c r="Y1458" s="38"/>
      <c r="Z1458" s="38"/>
      <c r="AA1458" s="38"/>
      <c r="AB1458" s="248"/>
      <c r="AC1458" s="250"/>
      <c r="AD1458" s="181"/>
      <c r="AE1458" s="37"/>
      <c r="AF1458" s="37"/>
      <c r="AG1458" s="33"/>
      <c r="AH1458" s="37"/>
      <c r="AI1458" s="37"/>
      <c r="AJ1458" s="181"/>
      <c r="AK1458" s="37"/>
      <c r="AL1458" s="37"/>
      <c r="AM1458" s="181"/>
      <c r="AN1458" s="37"/>
      <c r="AO1458" s="37"/>
      <c r="AP1458" s="37"/>
      <c r="AQ1458" s="37"/>
      <c r="AR1458" s="37"/>
      <c r="AS1458" s="37"/>
      <c r="AT1458" s="37"/>
      <c r="AU1458" s="37"/>
      <c r="AV1458" s="37"/>
      <c r="AW1458" s="37"/>
      <c r="AX1458" s="37"/>
      <c r="AY1458" s="37"/>
      <c r="AZ1458" s="37"/>
    </row>
    <row r="1459" spans="1:52" ht="15.5" customHeight="1">
      <c r="A1459" s="360"/>
      <c r="B1459" s="340"/>
      <c r="C1459" s="181"/>
      <c r="D1459" s="30"/>
      <c r="E1459" s="30"/>
      <c r="F1459" s="30"/>
      <c r="G1459" s="37"/>
      <c r="H1459" s="37"/>
      <c r="I1459" s="37"/>
      <c r="J1459" s="37" t="s">
        <v>69</v>
      </c>
      <c r="K1459" s="325" t="s">
        <v>69</v>
      </c>
      <c r="L1459" s="181"/>
      <c r="M1459" s="181"/>
      <c r="N1459" s="37"/>
      <c r="O1459" s="31"/>
      <c r="P1459" s="37"/>
      <c r="Q1459" s="181"/>
      <c r="R1459" s="181"/>
      <c r="S1459" s="181"/>
      <c r="T1459" s="181"/>
      <c r="U1459" s="181"/>
      <c r="V1459" s="37"/>
      <c r="W1459" s="181"/>
      <c r="X1459" s="38"/>
      <c r="Y1459" s="38"/>
      <c r="Z1459" s="38"/>
      <c r="AA1459" s="38"/>
      <c r="AB1459" s="248"/>
      <c r="AC1459" s="250"/>
      <c r="AD1459" s="181"/>
      <c r="AE1459" s="37"/>
      <c r="AF1459" s="37"/>
      <c r="AG1459" s="33"/>
      <c r="AH1459" s="37"/>
      <c r="AI1459" s="37"/>
      <c r="AJ1459" s="181"/>
      <c r="AK1459" s="37"/>
      <c r="AL1459" s="37"/>
      <c r="AM1459" s="181"/>
      <c r="AN1459" s="37"/>
      <c r="AO1459" s="37"/>
      <c r="AP1459" s="37"/>
      <c r="AQ1459" s="37"/>
      <c r="AR1459" s="37"/>
      <c r="AS1459" s="37"/>
      <c r="AT1459" s="37"/>
      <c r="AU1459" s="37"/>
      <c r="AV1459" s="37"/>
      <c r="AW1459" s="37"/>
      <c r="AX1459" s="37"/>
      <c r="AY1459" s="37"/>
      <c r="AZ1459" s="37"/>
    </row>
    <row r="1460" spans="1:52" ht="15.5" customHeight="1">
      <c r="A1460" s="360"/>
      <c r="B1460" s="340"/>
      <c r="C1460" s="181"/>
      <c r="D1460" s="30"/>
      <c r="E1460" s="30"/>
      <c r="F1460" s="30"/>
      <c r="G1460" s="37"/>
      <c r="H1460" s="37"/>
      <c r="I1460" s="37"/>
      <c r="J1460" s="37" t="s">
        <v>69</v>
      </c>
      <c r="K1460" s="325" t="s">
        <v>69</v>
      </c>
      <c r="L1460" s="181"/>
      <c r="M1460" s="181"/>
      <c r="N1460" s="37"/>
      <c r="O1460" s="31"/>
      <c r="P1460" s="37"/>
      <c r="Q1460" s="181"/>
      <c r="R1460" s="181"/>
      <c r="S1460" s="181"/>
      <c r="T1460" s="181"/>
      <c r="U1460" s="181"/>
      <c r="V1460" s="37"/>
      <c r="W1460" s="181"/>
      <c r="X1460" s="38"/>
      <c r="Y1460" s="38"/>
      <c r="Z1460" s="38"/>
      <c r="AA1460" s="38"/>
      <c r="AB1460" s="248"/>
      <c r="AC1460" s="250"/>
      <c r="AD1460" s="181"/>
      <c r="AE1460" s="37"/>
      <c r="AF1460" s="37"/>
      <c r="AG1460" s="33"/>
      <c r="AH1460" s="37"/>
      <c r="AI1460" s="37"/>
      <c r="AJ1460" s="181"/>
      <c r="AK1460" s="37"/>
      <c r="AL1460" s="37"/>
      <c r="AM1460" s="181"/>
      <c r="AN1460" s="37"/>
      <c r="AO1460" s="37"/>
      <c r="AP1460" s="37"/>
      <c r="AQ1460" s="37"/>
      <c r="AR1460" s="37"/>
      <c r="AS1460" s="37"/>
      <c r="AT1460" s="37"/>
      <c r="AU1460" s="37"/>
      <c r="AV1460" s="37"/>
      <c r="AW1460" s="37"/>
      <c r="AX1460" s="37"/>
      <c r="AY1460" s="37"/>
      <c r="AZ1460" s="37"/>
    </row>
    <row r="1461" spans="1:52" ht="15.5" customHeight="1">
      <c r="A1461" s="360"/>
      <c r="B1461" s="340"/>
      <c r="C1461" s="181"/>
      <c r="D1461" s="30"/>
      <c r="E1461" s="30"/>
      <c r="F1461" s="30"/>
      <c r="G1461" s="37"/>
      <c r="H1461" s="37"/>
      <c r="I1461" s="37"/>
      <c r="J1461" s="37" t="s">
        <v>69</v>
      </c>
      <c r="K1461" s="325" t="s">
        <v>69</v>
      </c>
      <c r="L1461" s="181"/>
      <c r="M1461" s="181"/>
      <c r="N1461" s="37"/>
      <c r="O1461" s="31"/>
      <c r="P1461" s="37"/>
      <c r="Q1461" s="181"/>
      <c r="R1461" s="181"/>
      <c r="S1461" s="181"/>
      <c r="T1461" s="181"/>
      <c r="U1461" s="181"/>
      <c r="V1461" s="37"/>
      <c r="W1461" s="181"/>
      <c r="X1461" s="38"/>
      <c r="Y1461" s="38"/>
      <c r="Z1461" s="38"/>
      <c r="AA1461" s="38"/>
      <c r="AB1461" s="248"/>
      <c r="AC1461" s="250"/>
      <c r="AD1461" s="181"/>
      <c r="AE1461" s="37"/>
      <c r="AF1461" s="37"/>
      <c r="AG1461" s="33"/>
      <c r="AH1461" s="37"/>
      <c r="AI1461" s="37"/>
      <c r="AJ1461" s="181"/>
      <c r="AK1461" s="37"/>
      <c r="AL1461" s="37"/>
      <c r="AM1461" s="181"/>
      <c r="AN1461" s="37"/>
      <c r="AO1461" s="37"/>
      <c r="AP1461" s="37"/>
      <c r="AQ1461" s="37"/>
      <c r="AR1461" s="37"/>
      <c r="AS1461" s="37"/>
      <c r="AT1461" s="37"/>
      <c r="AU1461" s="37"/>
      <c r="AV1461" s="37"/>
      <c r="AW1461" s="37"/>
      <c r="AX1461" s="37"/>
      <c r="AY1461" s="37"/>
      <c r="AZ1461" s="37"/>
    </row>
    <row r="1462" spans="1:52" ht="15.5" customHeight="1">
      <c r="A1462" s="360"/>
      <c r="B1462" s="340"/>
      <c r="C1462" s="181"/>
      <c r="D1462" s="30"/>
      <c r="E1462" s="30"/>
      <c r="F1462" s="30"/>
      <c r="G1462" s="37"/>
      <c r="H1462" s="37"/>
      <c r="I1462" s="37"/>
      <c r="J1462" s="37" t="s">
        <v>69</v>
      </c>
      <c r="K1462" s="325" t="s">
        <v>69</v>
      </c>
      <c r="L1462" s="181"/>
      <c r="M1462" s="181"/>
      <c r="N1462" s="37"/>
      <c r="O1462" s="31"/>
      <c r="P1462" s="37"/>
      <c r="Q1462" s="181"/>
      <c r="R1462" s="181"/>
      <c r="S1462" s="181"/>
      <c r="T1462" s="181"/>
      <c r="U1462" s="181"/>
      <c r="V1462" s="37"/>
      <c r="W1462" s="181"/>
      <c r="X1462" s="38"/>
      <c r="Y1462" s="38"/>
      <c r="Z1462" s="38"/>
      <c r="AA1462" s="38"/>
      <c r="AB1462" s="248"/>
      <c r="AC1462" s="250"/>
      <c r="AD1462" s="181"/>
      <c r="AE1462" s="37"/>
      <c r="AF1462" s="37"/>
      <c r="AG1462" s="33"/>
      <c r="AH1462" s="37"/>
      <c r="AI1462" s="37"/>
      <c r="AJ1462" s="181"/>
      <c r="AK1462" s="37"/>
      <c r="AL1462" s="37"/>
      <c r="AM1462" s="181"/>
      <c r="AN1462" s="37"/>
      <c r="AO1462" s="37"/>
      <c r="AP1462" s="37"/>
      <c r="AQ1462" s="37"/>
      <c r="AR1462" s="37"/>
      <c r="AS1462" s="37"/>
      <c r="AT1462" s="37"/>
      <c r="AU1462" s="37"/>
      <c r="AV1462" s="37"/>
      <c r="AW1462" s="37"/>
      <c r="AX1462" s="37"/>
      <c r="AY1462" s="37"/>
      <c r="AZ1462" s="37"/>
    </row>
    <row r="1463" spans="1:52" ht="15.5" customHeight="1">
      <c r="A1463" s="360"/>
      <c r="B1463" s="340"/>
      <c r="C1463" s="181"/>
      <c r="D1463" s="30"/>
      <c r="E1463" s="30"/>
      <c r="F1463" s="30"/>
      <c r="G1463" s="37"/>
      <c r="H1463" s="37"/>
      <c r="I1463" s="37"/>
      <c r="J1463" s="37" t="s">
        <v>69</v>
      </c>
      <c r="K1463" s="325" t="s">
        <v>69</v>
      </c>
      <c r="L1463" s="181"/>
      <c r="M1463" s="181"/>
      <c r="N1463" s="37"/>
      <c r="O1463" s="31"/>
      <c r="P1463" s="37"/>
      <c r="Q1463" s="181"/>
      <c r="R1463" s="181"/>
      <c r="S1463" s="181"/>
      <c r="T1463" s="181"/>
      <c r="U1463" s="181"/>
      <c r="V1463" s="37"/>
      <c r="W1463" s="181"/>
      <c r="X1463" s="38"/>
      <c r="Y1463" s="38"/>
      <c r="Z1463" s="38"/>
      <c r="AA1463" s="38"/>
      <c r="AB1463" s="248"/>
      <c r="AC1463" s="250"/>
      <c r="AD1463" s="181"/>
      <c r="AE1463" s="37"/>
      <c r="AF1463" s="37"/>
      <c r="AG1463" s="33"/>
      <c r="AH1463" s="37"/>
      <c r="AI1463" s="37"/>
      <c r="AJ1463" s="181"/>
      <c r="AK1463" s="37"/>
      <c r="AL1463" s="37"/>
      <c r="AM1463" s="181"/>
      <c r="AN1463" s="37"/>
      <c r="AO1463" s="37"/>
      <c r="AP1463" s="37"/>
      <c r="AQ1463" s="37"/>
      <c r="AR1463" s="37"/>
      <c r="AS1463" s="37"/>
      <c r="AT1463" s="37"/>
      <c r="AU1463" s="37"/>
      <c r="AV1463" s="37"/>
      <c r="AW1463" s="37"/>
      <c r="AX1463" s="37"/>
      <c r="AY1463" s="37"/>
      <c r="AZ1463" s="37"/>
    </row>
    <row r="1464" spans="1:52" ht="15.5" customHeight="1">
      <c r="A1464" s="360"/>
      <c r="B1464" s="340"/>
      <c r="C1464" s="181"/>
      <c r="D1464" s="30"/>
      <c r="E1464" s="30"/>
      <c r="F1464" s="30"/>
      <c r="G1464" s="37"/>
      <c r="H1464" s="37"/>
      <c r="I1464" s="37"/>
      <c r="J1464" s="37" t="s">
        <v>69</v>
      </c>
      <c r="K1464" s="325" t="s">
        <v>69</v>
      </c>
      <c r="L1464" s="181"/>
      <c r="M1464" s="181"/>
      <c r="N1464" s="37"/>
      <c r="O1464" s="31"/>
      <c r="P1464" s="37"/>
      <c r="Q1464" s="181"/>
      <c r="R1464" s="181"/>
      <c r="S1464" s="181"/>
      <c r="T1464" s="181"/>
      <c r="U1464" s="181"/>
      <c r="V1464" s="37"/>
      <c r="W1464" s="181"/>
      <c r="X1464" s="38"/>
      <c r="Y1464" s="38"/>
      <c r="Z1464" s="38"/>
      <c r="AA1464" s="38"/>
      <c r="AB1464" s="248"/>
      <c r="AC1464" s="250"/>
      <c r="AD1464" s="181"/>
      <c r="AE1464" s="37"/>
      <c r="AF1464" s="37"/>
      <c r="AG1464" s="33"/>
      <c r="AH1464" s="37"/>
      <c r="AI1464" s="37"/>
      <c r="AJ1464" s="181"/>
      <c r="AK1464" s="37"/>
      <c r="AL1464" s="37"/>
      <c r="AM1464" s="181"/>
      <c r="AN1464" s="37"/>
      <c r="AO1464" s="37"/>
      <c r="AP1464" s="37"/>
      <c r="AQ1464" s="37"/>
      <c r="AR1464" s="37"/>
      <c r="AS1464" s="37"/>
      <c r="AT1464" s="37"/>
      <c r="AU1464" s="37"/>
      <c r="AV1464" s="37"/>
      <c r="AW1464" s="37"/>
      <c r="AX1464" s="37"/>
      <c r="AY1464" s="37"/>
      <c r="AZ1464" s="37"/>
    </row>
    <row r="1465" spans="1:52" ht="15.5" customHeight="1">
      <c r="A1465" s="360"/>
      <c r="B1465" s="340"/>
      <c r="C1465" s="181"/>
      <c r="D1465" s="30"/>
      <c r="E1465" s="30"/>
      <c r="F1465" s="30"/>
      <c r="G1465" s="37"/>
      <c r="H1465" s="37"/>
      <c r="I1465" s="37"/>
      <c r="J1465" s="37" t="s">
        <v>69</v>
      </c>
      <c r="K1465" s="325" t="s">
        <v>69</v>
      </c>
      <c r="L1465" s="181"/>
      <c r="M1465" s="181"/>
      <c r="N1465" s="37"/>
      <c r="O1465" s="31"/>
      <c r="P1465" s="37"/>
      <c r="Q1465" s="181"/>
      <c r="R1465" s="181"/>
      <c r="S1465" s="181"/>
      <c r="T1465" s="181"/>
      <c r="U1465" s="181"/>
      <c r="V1465" s="37"/>
      <c r="W1465" s="181"/>
      <c r="X1465" s="38"/>
      <c r="Y1465" s="38"/>
      <c r="Z1465" s="38"/>
      <c r="AA1465" s="38"/>
      <c r="AB1465" s="248"/>
      <c r="AC1465" s="250"/>
      <c r="AD1465" s="181"/>
      <c r="AE1465" s="37"/>
      <c r="AF1465" s="37"/>
      <c r="AG1465" s="33"/>
      <c r="AH1465" s="37"/>
      <c r="AI1465" s="37"/>
      <c r="AJ1465" s="181"/>
      <c r="AK1465" s="37"/>
      <c r="AL1465" s="37"/>
      <c r="AM1465" s="181"/>
      <c r="AN1465" s="37"/>
      <c r="AO1465" s="37"/>
      <c r="AP1465" s="37"/>
      <c r="AQ1465" s="37"/>
      <c r="AR1465" s="37"/>
      <c r="AS1465" s="37"/>
      <c r="AT1465" s="37"/>
      <c r="AU1465" s="37"/>
      <c r="AV1465" s="37"/>
      <c r="AW1465" s="37"/>
      <c r="AX1465" s="37"/>
      <c r="AY1465" s="37"/>
      <c r="AZ1465" s="37"/>
    </row>
    <row r="1466" spans="1:52" ht="15.5" customHeight="1">
      <c r="A1466" s="360"/>
      <c r="B1466" s="340"/>
      <c r="C1466" s="181"/>
      <c r="D1466" s="30"/>
      <c r="E1466" s="30"/>
      <c r="F1466" s="30"/>
      <c r="G1466" s="37"/>
      <c r="H1466" s="37"/>
      <c r="I1466" s="37"/>
      <c r="J1466" s="37" t="s">
        <v>69</v>
      </c>
      <c r="K1466" s="325" t="s">
        <v>69</v>
      </c>
      <c r="L1466" s="181"/>
      <c r="M1466" s="181"/>
      <c r="N1466" s="37"/>
      <c r="O1466" s="31"/>
      <c r="P1466" s="37"/>
      <c r="Q1466" s="181"/>
      <c r="R1466" s="181"/>
      <c r="S1466" s="181"/>
      <c r="T1466" s="181"/>
      <c r="U1466" s="181"/>
      <c r="V1466" s="37"/>
      <c r="W1466" s="181"/>
      <c r="X1466" s="38"/>
      <c r="Y1466" s="38"/>
      <c r="Z1466" s="38"/>
      <c r="AA1466" s="38"/>
      <c r="AB1466" s="248"/>
      <c r="AC1466" s="250"/>
      <c r="AD1466" s="181"/>
      <c r="AE1466" s="37"/>
      <c r="AF1466" s="37"/>
      <c r="AG1466" s="33"/>
      <c r="AH1466" s="37"/>
      <c r="AI1466" s="37"/>
      <c r="AJ1466" s="181"/>
      <c r="AK1466" s="37"/>
      <c r="AL1466" s="37"/>
      <c r="AM1466" s="181"/>
      <c r="AN1466" s="37"/>
      <c r="AO1466" s="37"/>
      <c r="AP1466" s="37"/>
      <c r="AQ1466" s="37"/>
      <c r="AR1466" s="37"/>
      <c r="AS1466" s="37"/>
      <c r="AT1466" s="37"/>
      <c r="AU1466" s="37"/>
      <c r="AV1466" s="37"/>
      <c r="AW1466" s="37"/>
      <c r="AX1466" s="37"/>
      <c r="AY1466" s="37"/>
      <c r="AZ1466" s="37"/>
    </row>
    <row r="1467" spans="1:52" ht="15.5" customHeight="1">
      <c r="A1467" s="360"/>
      <c r="B1467" s="340"/>
      <c r="C1467" s="181"/>
      <c r="D1467" s="30"/>
      <c r="E1467" s="30"/>
      <c r="F1467" s="30"/>
      <c r="G1467" s="37"/>
      <c r="H1467" s="37"/>
      <c r="I1467" s="37"/>
      <c r="J1467" s="37" t="s">
        <v>69</v>
      </c>
      <c r="K1467" s="325" t="s">
        <v>69</v>
      </c>
      <c r="L1467" s="181"/>
      <c r="M1467" s="181"/>
      <c r="N1467" s="37"/>
      <c r="O1467" s="31"/>
      <c r="P1467" s="37"/>
      <c r="Q1467" s="181"/>
      <c r="R1467" s="181"/>
      <c r="S1467" s="181"/>
      <c r="T1467" s="181"/>
      <c r="U1467" s="181"/>
      <c r="V1467" s="37"/>
      <c r="W1467" s="181"/>
      <c r="X1467" s="38"/>
      <c r="Y1467" s="38"/>
      <c r="Z1467" s="38"/>
      <c r="AA1467" s="38"/>
      <c r="AB1467" s="248"/>
      <c r="AC1467" s="250"/>
      <c r="AD1467" s="181"/>
      <c r="AE1467" s="37"/>
      <c r="AF1467" s="37"/>
      <c r="AG1467" s="33"/>
      <c r="AH1467" s="37"/>
      <c r="AI1467" s="37"/>
      <c r="AJ1467" s="181"/>
      <c r="AK1467" s="37"/>
      <c r="AL1467" s="37"/>
      <c r="AM1467" s="181"/>
      <c r="AN1467" s="37"/>
      <c r="AO1467" s="37"/>
      <c r="AP1467" s="37"/>
      <c r="AQ1467" s="37"/>
      <c r="AR1467" s="37"/>
      <c r="AS1467" s="37"/>
      <c r="AT1467" s="37"/>
      <c r="AU1467" s="37"/>
      <c r="AV1467" s="37"/>
      <c r="AW1467" s="37"/>
      <c r="AX1467" s="37"/>
      <c r="AY1467" s="37"/>
      <c r="AZ1467" s="37"/>
    </row>
    <row r="1468" spans="1:52" ht="15.5" customHeight="1">
      <c r="A1468" s="360"/>
      <c r="B1468" s="340"/>
      <c r="C1468" s="181"/>
      <c r="D1468" s="30"/>
      <c r="E1468" s="30"/>
      <c r="F1468" s="30"/>
      <c r="G1468" s="37"/>
      <c r="H1468" s="37"/>
      <c r="I1468" s="37"/>
      <c r="J1468" s="37" t="s">
        <v>69</v>
      </c>
      <c r="K1468" s="325" t="s">
        <v>69</v>
      </c>
      <c r="L1468" s="181"/>
      <c r="M1468" s="181"/>
      <c r="N1468" s="37"/>
      <c r="O1468" s="31"/>
      <c r="P1468" s="37"/>
      <c r="Q1468" s="181"/>
      <c r="R1468" s="181"/>
      <c r="S1468" s="181"/>
      <c r="T1468" s="181"/>
      <c r="U1468" s="181"/>
      <c r="V1468" s="37"/>
      <c r="W1468" s="181"/>
      <c r="X1468" s="38"/>
      <c r="Y1468" s="38"/>
      <c r="Z1468" s="38"/>
      <c r="AA1468" s="38"/>
      <c r="AB1468" s="248"/>
      <c r="AC1468" s="250"/>
      <c r="AD1468" s="181"/>
      <c r="AE1468" s="37"/>
      <c r="AF1468" s="37"/>
      <c r="AG1468" s="33"/>
      <c r="AH1468" s="37"/>
      <c r="AI1468" s="37"/>
      <c r="AJ1468" s="181"/>
      <c r="AK1468" s="37"/>
      <c r="AL1468" s="37"/>
      <c r="AM1468" s="181"/>
      <c r="AN1468" s="37"/>
      <c r="AO1468" s="37"/>
      <c r="AP1468" s="37"/>
      <c r="AQ1468" s="37"/>
      <c r="AR1468" s="37"/>
      <c r="AS1468" s="37"/>
      <c r="AT1468" s="37"/>
      <c r="AU1468" s="37"/>
      <c r="AV1468" s="37"/>
      <c r="AW1468" s="37"/>
      <c r="AX1468" s="37"/>
      <c r="AY1468" s="37"/>
      <c r="AZ1468" s="37"/>
    </row>
    <row r="1469" spans="1:52" ht="15.5" customHeight="1">
      <c r="A1469" s="360"/>
      <c r="B1469" s="340"/>
      <c r="C1469" s="181"/>
      <c r="D1469" s="30"/>
      <c r="E1469" s="30"/>
      <c r="F1469" s="30"/>
      <c r="G1469" s="37"/>
      <c r="H1469" s="37"/>
      <c r="I1469" s="37"/>
      <c r="J1469" s="37" t="s">
        <v>69</v>
      </c>
      <c r="K1469" s="325" t="s">
        <v>69</v>
      </c>
      <c r="L1469" s="181"/>
      <c r="M1469" s="181"/>
      <c r="N1469" s="37"/>
      <c r="O1469" s="31"/>
      <c r="P1469" s="37"/>
      <c r="Q1469" s="181"/>
      <c r="R1469" s="181"/>
      <c r="S1469" s="181"/>
      <c r="T1469" s="181"/>
      <c r="U1469" s="181"/>
      <c r="V1469" s="37"/>
      <c r="W1469" s="181"/>
      <c r="X1469" s="38"/>
      <c r="Y1469" s="38"/>
      <c r="Z1469" s="38"/>
      <c r="AA1469" s="38"/>
      <c r="AB1469" s="248"/>
      <c r="AC1469" s="250"/>
      <c r="AD1469" s="181"/>
      <c r="AE1469" s="37"/>
      <c r="AF1469" s="37"/>
      <c r="AG1469" s="33"/>
      <c r="AH1469" s="37"/>
      <c r="AI1469" s="37"/>
      <c r="AJ1469" s="181"/>
      <c r="AK1469" s="37"/>
      <c r="AL1469" s="37"/>
      <c r="AM1469" s="181"/>
      <c r="AN1469" s="37"/>
      <c r="AO1469" s="37"/>
      <c r="AP1469" s="37"/>
      <c r="AQ1469" s="37"/>
      <c r="AR1469" s="37"/>
      <c r="AS1469" s="37"/>
      <c r="AT1469" s="37"/>
      <c r="AU1469" s="37"/>
      <c r="AV1469" s="37"/>
      <c r="AW1469" s="37"/>
      <c r="AX1469" s="37"/>
      <c r="AY1469" s="37"/>
      <c r="AZ1469" s="37"/>
    </row>
    <row r="1470" spans="1:52" ht="15.5" customHeight="1">
      <c r="A1470" s="360"/>
      <c r="B1470" s="340"/>
      <c r="C1470" s="181"/>
      <c r="D1470" s="30"/>
      <c r="E1470" s="30"/>
      <c r="F1470" s="30"/>
      <c r="G1470" s="37"/>
      <c r="H1470" s="37"/>
      <c r="I1470" s="37"/>
      <c r="J1470" s="37" t="s">
        <v>69</v>
      </c>
      <c r="K1470" s="325" t="s">
        <v>69</v>
      </c>
      <c r="L1470" s="181"/>
      <c r="M1470" s="181"/>
      <c r="N1470" s="37"/>
      <c r="O1470" s="31"/>
      <c r="P1470" s="37"/>
      <c r="Q1470" s="181"/>
      <c r="R1470" s="181"/>
      <c r="S1470" s="181"/>
      <c r="T1470" s="181"/>
      <c r="U1470" s="181"/>
      <c r="V1470" s="37"/>
      <c r="W1470" s="181"/>
      <c r="X1470" s="38"/>
      <c r="Y1470" s="38"/>
      <c r="Z1470" s="38"/>
      <c r="AA1470" s="38"/>
      <c r="AB1470" s="248"/>
      <c r="AC1470" s="250"/>
      <c r="AD1470" s="181"/>
      <c r="AE1470" s="37"/>
      <c r="AF1470" s="37"/>
      <c r="AG1470" s="33"/>
      <c r="AH1470" s="37"/>
      <c r="AI1470" s="37"/>
      <c r="AJ1470" s="181"/>
      <c r="AK1470" s="37"/>
      <c r="AL1470" s="37"/>
      <c r="AM1470" s="181"/>
      <c r="AN1470" s="37"/>
      <c r="AO1470" s="37"/>
      <c r="AP1470" s="37"/>
      <c r="AQ1470" s="37"/>
      <c r="AR1470" s="37"/>
      <c r="AS1470" s="37"/>
      <c r="AT1470" s="37"/>
      <c r="AU1470" s="37"/>
      <c r="AV1470" s="37"/>
      <c r="AW1470" s="37"/>
      <c r="AX1470" s="37"/>
      <c r="AY1470" s="37"/>
      <c r="AZ1470" s="37"/>
    </row>
    <row r="1471" spans="1:52" ht="15.5" customHeight="1">
      <c r="A1471" s="360"/>
      <c r="B1471" s="340"/>
      <c r="C1471" s="181"/>
      <c r="D1471" s="30"/>
      <c r="E1471" s="30"/>
      <c r="F1471" s="30"/>
      <c r="G1471" s="37"/>
      <c r="H1471" s="37"/>
      <c r="I1471" s="37"/>
      <c r="J1471" s="37" t="s">
        <v>69</v>
      </c>
      <c r="K1471" s="325" t="s">
        <v>69</v>
      </c>
      <c r="L1471" s="181"/>
      <c r="M1471" s="181"/>
      <c r="N1471" s="37"/>
      <c r="O1471" s="31"/>
      <c r="P1471" s="37"/>
      <c r="Q1471" s="181"/>
      <c r="R1471" s="181"/>
      <c r="S1471" s="181"/>
      <c r="T1471" s="181"/>
      <c r="U1471" s="181"/>
      <c r="V1471" s="37"/>
      <c r="W1471" s="181"/>
      <c r="X1471" s="38"/>
      <c r="Y1471" s="38"/>
      <c r="Z1471" s="38"/>
      <c r="AA1471" s="38"/>
      <c r="AB1471" s="248"/>
      <c r="AC1471" s="250"/>
      <c r="AD1471" s="181"/>
      <c r="AE1471" s="37"/>
      <c r="AF1471" s="37"/>
      <c r="AG1471" s="33"/>
      <c r="AH1471" s="37"/>
      <c r="AI1471" s="37"/>
      <c r="AJ1471" s="181"/>
      <c r="AK1471" s="37"/>
      <c r="AL1471" s="37"/>
      <c r="AM1471" s="181"/>
      <c r="AN1471" s="37"/>
      <c r="AO1471" s="37"/>
      <c r="AP1471" s="37"/>
      <c r="AQ1471" s="37"/>
      <c r="AR1471" s="37"/>
      <c r="AS1471" s="37"/>
      <c r="AT1471" s="37"/>
      <c r="AU1471" s="37"/>
      <c r="AV1471" s="37"/>
      <c r="AW1471" s="37"/>
      <c r="AX1471" s="37"/>
      <c r="AY1471" s="37"/>
      <c r="AZ1471" s="37"/>
    </row>
    <row r="1472" spans="1:52" ht="15.5" customHeight="1">
      <c r="A1472" s="360"/>
      <c r="B1472" s="340"/>
      <c r="C1472" s="181"/>
      <c r="D1472" s="30"/>
      <c r="E1472" s="30"/>
      <c r="F1472" s="30"/>
      <c r="G1472" s="37"/>
      <c r="H1472" s="37"/>
      <c r="I1472" s="37"/>
      <c r="J1472" s="37" t="s">
        <v>69</v>
      </c>
      <c r="K1472" s="325" t="s">
        <v>69</v>
      </c>
      <c r="L1472" s="181"/>
      <c r="M1472" s="181"/>
      <c r="N1472" s="37"/>
      <c r="O1472" s="31"/>
      <c r="P1472" s="37"/>
      <c r="Q1472" s="181"/>
      <c r="R1472" s="181"/>
      <c r="S1472" s="181"/>
      <c r="T1472" s="181"/>
      <c r="U1472" s="181"/>
      <c r="V1472" s="37"/>
      <c r="W1472" s="181"/>
      <c r="X1472" s="38"/>
      <c r="Y1472" s="38"/>
      <c r="Z1472" s="38"/>
      <c r="AA1472" s="38"/>
      <c r="AB1472" s="248"/>
      <c r="AC1472" s="250"/>
      <c r="AD1472" s="181"/>
      <c r="AE1472" s="37"/>
      <c r="AF1472" s="37"/>
      <c r="AG1472" s="33"/>
      <c r="AH1472" s="37"/>
      <c r="AI1472" s="37"/>
      <c r="AJ1472" s="181"/>
      <c r="AK1472" s="37"/>
      <c r="AL1472" s="37"/>
      <c r="AM1472" s="181"/>
      <c r="AN1472" s="37"/>
      <c r="AO1472" s="37"/>
      <c r="AP1472" s="37"/>
      <c r="AQ1472" s="37"/>
      <c r="AR1472" s="37"/>
      <c r="AS1472" s="37"/>
      <c r="AT1472" s="37"/>
      <c r="AU1472" s="37"/>
      <c r="AV1472" s="37"/>
      <c r="AW1472" s="37"/>
      <c r="AX1472" s="37"/>
      <c r="AY1472" s="37"/>
      <c r="AZ1472" s="37"/>
    </row>
    <row r="1473" spans="1:52" ht="15.5" customHeight="1">
      <c r="A1473" s="360"/>
      <c r="B1473" s="340"/>
      <c r="C1473" s="181"/>
      <c r="D1473" s="30"/>
      <c r="E1473" s="30"/>
      <c r="F1473" s="30"/>
      <c r="G1473" s="37"/>
      <c r="H1473" s="37"/>
      <c r="I1473" s="37"/>
      <c r="J1473" s="37" t="s">
        <v>69</v>
      </c>
      <c r="K1473" s="325" t="s">
        <v>69</v>
      </c>
      <c r="L1473" s="181"/>
      <c r="M1473" s="181"/>
      <c r="N1473" s="37"/>
      <c r="O1473" s="31"/>
      <c r="P1473" s="37"/>
      <c r="Q1473" s="181"/>
      <c r="R1473" s="181"/>
      <c r="S1473" s="181"/>
      <c r="T1473" s="181"/>
      <c r="U1473" s="181"/>
      <c r="V1473" s="37"/>
      <c r="W1473" s="181"/>
      <c r="X1473" s="38"/>
      <c r="Y1473" s="38"/>
      <c r="Z1473" s="38"/>
      <c r="AA1473" s="38"/>
      <c r="AB1473" s="248"/>
      <c r="AC1473" s="250"/>
      <c r="AD1473" s="181"/>
      <c r="AE1473" s="37"/>
      <c r="AF1473" s="37"/>
      <c r="AG1473" s="33"/>
      <c r="AH1473" s="37"/>
      <c r="AI1473" s="37"/>
      <c r="AJ1473" s="181"/>
      <c r="AK1473" s="37"/>
      <c r="AL1473" s="37"/>
      <c r="AM1473" s="181"/>
      <c r="AN1473" s="37"/>
      <c r="AO1473" s="37"/>
      <c r="AP1473" s="37"/>
      <c r="AQ1473" s="37"/>
      <c r="AR1473" s="37"/>
      <c r="AS1473" s="37"/>
      <c r="AT1473" s="37"/>
      <c r="AU1473" s="37"/>
      <c r="AV1473" s="37"/>
      <c r="AW1473" s="37"/>
      <c r="AX1473" s="37"/>
      <c r="AY1473" s="37"/>
      <c r="AZ1473" s="37"/>
    </row>
    <row r="1474" spans="1:52" ht="15.5" customHeight="1">
      <c r="A1474" s="360"/>
      <c r="B1474" s="340"/>
      <c r="C1474" s="181"/>
      <c r="D1474" s="30"/>
      <c r="E1474" s="30"/>
      <c r="F1474" s="30"/>
      <c r="G1474" s="37"/>
      <c r="H1474" s="37"/>
      <c r="I1474" s="37"/>
      <c r="J1474" s="37" t="s">
        <v>69</v>
      </c>
      <c r="K1474" s="325" t="s">
        <v>69</v>
      </c>
      <c r="L1474" s="181"/>
      <c r="M1474" s="181"/>
      <c r="N1474" s="37"/>
      <c r="O1474" s="31"/>
      <c r="P1474" s="37"/>
      <c r="Q1474" s="181"/>
      <c r="R1474" s="181"/>
      <c r="S1474" s="181"/>
      <c r="T1474" s="181"/>
      <c r="U1474" s="181"/>
      <c r="V1474" s="37"/>
      <c r="W1474" s="181"/>
      <c r="X1474" s="38"/>
      <c r="Y1474" s="38"/>
      <c r="Z1474" s="38"/>
      <c r="AA1474" s="38"/>
      <c r="AB1474" s="248"/>
      <c r="AC1474" s="250"/>
      <c r="AD1474" s="181"/>
      <c r="AE1474" s="37"/>
      <c r="AF1474" s="37"/>
      <c r="AG1474" s="33"/>
      <c r="AH1474" s="37"/>
      <c r="AI1474" s="37"/>
      <c r="AJ1474" s="181"/>
      <c r="AK1474" s="37"/>
      <c r="AL1474" s="37"/>
      <c r="AM1474" s="181"/>
      <c r="AN1474" s="37"/>
      <c r="AO1474" s="37"/>
      <c r="AP1474" s="37"/>
      <c r="AQ1474" s="37"/>
      <c r="AR1474" s="37"/>
      <c r="AS1474" s="37"/>
      <c r="AT1474" s="37"/>
      <c r="AU1474" s="37"/>
      <c r="AV1474" s="37"/>
      <c r="AW1474" s="37"/>
      <c r="AX1474" s="37"/>
      <c r="AY1474" s="37"/>
      <c r="AZ1474" s="37"/>
    </row>
    <row r="1475" spans="1:52" ht="15.5" customHeight="1">
      <c r="A1475" s="360"/>
      <c r="B1475" s="340"/>
      <c r="C1475" s="181"/>
      <c r="D1475" s="30"/>
      <c r="E1475" s="30"/>
      <c r="F1475" s="30"/>
      <c r="G1475" s="37"/>
      <c r="H1475" s="37"/>
      <c r="I1475" s="37"/>
      <c r="J1475" s="37" t="s">
        <v>69</v>
      </c>
      <c r="K1475" s="325" t="s">
        <v>69</v>
      </c>
      <c r="L1475" s="181"/>
      <c r="M1475" s="181"/>
      <c r="N1475" s="37"/>
      <c r="O1475" s="31"/>
      <c r="P1475" s="37"/>
      <c r="Q1475" s="181"/>
      <c r="R1475" s="181"/>
      <c r="S1475" s="181"/>
      <c r="T1475" s="181"/>
      <c r="U1475" s="181"/>
      <c r="V1475" s="37"/>
      <c r="W1475" s="181"/>
      <c r="X1475" s="38"/>
      <c r="Y1475" s="38"/>
      <c r="Z1475" s="38"/>
      <c r="AA1475" s="38"/>
      <c r="AB1475" s="248"/>
      <c r="AC1475" s="250"/>
      <c r="AD1475" s="181"/>
      <c r="AE1475" s="37"/>
      <c r="AF1475" s="37"/>
      <c r="AG1475" s="33"/>
      <c r="AH1475" s="37"/>
      <c r="AI1475" s="37"/>
      <c r="AJ1475" s="181"/>
      <c r="AK1475" s="37"/>
      <c r="AL1475" s="37"/>
      <c r="AM1475" s="181"/>
      <c r="AN1475" s="37"/>
      <c r="AO1475" s="37"/>
      <c r="AP1475" s="37"/>
      <c r="AQ1475" s="37"/>
      <c r="AR1475" s="37"/>
      <c r="AS1475" s="37"/>
      <c r="AT1475" s="37"/>
      <c r="AU1475" s="37"/>
      <c r="AV1475" s="37"/>
      <c r="AW1475" s="37"/>
      <c r="AX1475" s="37"/>
      <c r="AY1475" s="37"/>
      <c r="AZ1475" s="37"/>
    </row>
    <row r="1476" spans="1:52" ht="15.5" customHeight="1">
      <c r="A1476" s="360"/>
      <c r="B1476" s="340"/>
      <c r="C1476" s="181"/>
      <c r="D1476" s="30"/>
      <c r="E1476" s="30"/>
      <c r="F1476" s="30"/>
      <c r="G1476" s="37"/>
      <c r="H1476" s="37"/>
      <c r="I1476" s="37"/>
      <c r="J1476" s="37" t="s">
        <v>69</v>
      </c>
      <c r="K1476" s="325" t="s">
        <v>69</v>
      </c>
      <c r="L1476" s="181"/>
      <c r="M1476" s="181"/>
      <c r="N1476" s="37"/>
      <c r="O1476" s="31"/>
      <c r="P1476" s="37"/>
      <c r="Q1476" s="181"/>
      <c r="R1476" s="181"/>
      <c r="S1476" s="181"/>
      <c r="T1476" s="181"/>
      <c r="U1476" s="181"/>
      <c r="V1476" s="37"/>
      <c r="W1476" s="181"/>
      <c r="X1476" s="38"/>
      <c r="Y1476" s="38"/>
      <c r="Z1476" s="38"/>
      <c r="AA1476" s="38"/>
      <c r="AB1476" s="248"/>
      <c r="AC1476" s="250"/>
      <c r="AD1476" s="181"/>
      <c r="AE1476" s="37"/>
      <c r="AF1476" s="37"/>
      <c r="AG1476" s="33"/>
      <c r="AH1476" s="37"/>
      <c r="AI1476" s="37"/>
      <c r="AJ1476" s="181"/>
      <c r="AK1476" s="37"/>
      <c r="AL1476" s="37"/>
      <c r="AM1476" s="181"/>
      <c r="AN1476" s="37"/>
      <c r="AO1476" s="37"/>
      <c r="AP1476" s="37"/>
      <c r="AQ1476" s="37"/>
      <c r="AR1476" s="37"/>
      <c r="AS1476" s="37"/>
      <c r="AT1476" s="37"/>
      <c r="AU1476" s="37"/>
      <c r="AV1476" s="37"/>
      <c r="AW1476" s="37"/>
      <c r="AX1476" s="37"/>
      <c r="AY1476" s="37"/>
      <c r="AZ1476" s="37"/>
    </row>
    <row r="1477" spans="1:52" ht="15.5" customHeight="1">
      <c r="A1477" s="360"/>
      <c r="B1477" s="340"/>
      <c r="C1477" s="181"/>
      <c r="D1477" s="30"/>
      <c r="E1477" s="30"/>
      <c r="F1477" s="30"/>
      <c r="G1477" s="37"/>
      <c r="H1477" s="37"/>
      <c r="I1477" s="37"/>
      <c r="J1477" s="37" t="s">
        <v>69</v>
      </c>
      <c r="K1477" s="325" t="s">
        <v>69</v>
      </c>
      <c r="L1477" s="181"/>
      <c r="M1477" s="181"/>
      <c r="N1477" s="37"/>
      <c r="O1477" s="31"/>
      <c r="P1477" s="37"/>
      <c r="Q1477" s="181"/>
      <c r="R1477" s="181"/>
      <c r="S1477" s="181"/>
      <c r="T1477" s="181"/>
      <c r="U1477" s="181"/>
      <c r="V1477" s="37"/>
      <c r="W1477" s="181"/>
      <c r="X1477" s="38"/>
      <c r="Y1477" s="38"/>
      <c r="Z1477" s="38"/>
      <c r="AA1477" s="38"/>
      <c r="AB1477" s="248"/>
      <c r="AC1477" s="250"/>
      <c r="AD1477" s="181"/>
      <c r="AE1477" s="37"/>
      <c r="AF1477" s="37"/>
      <c r="AG1477" s="33"/>
      <c r="AH1477" s="37"/>
      <c r="AI1477" s="37"/>
      <c r="AJ1477" s="181"/>
      <c r="AK1477" s="37"/>
      <c r="AL1477" s="37"/>
      <c r="AM1477" s="181"/>
      <c r="AN1477" s="37"/>
      <c r="AO1477" s="37"/>
      <c r="AP1477" s="37"/>
      <c r="AQ1477" s="37"/>
      <c r="AR1477" s="37"/>
      <c r="AS1477" s="37"/>
      <c r="AT1477" s="37"/>
      <c r="AU1477" s="37"/>
      <c r="AV1477" s="37"/>
      <c r="AW1477" s="37"/>
      <c r="AX1477" s="37"/>
      <c r="AY1477" s="37"/>
      <c r="AZ1477" s="37"/>
    </row>
    <row r="1478" spans="1:52" ht="15.5" customHeight="1">
      <c r="A1478" s="360"/>
      <c r="B1478" s="340"/>
      <c r="C1478" s="181"/>
      <c r="D1478" s="30"/>
      <c r="E1478" s="30"/>
      <c r="F1478" s="30"/>
      <c r="G1478" s="37"/>
      <c r="H1478" s="37"/>
      <c r="I1478" s="37"/>
      <c r="J1478" s="37" t="s">
        <v>69</v>
      </c>
      <c r="K1478" s="325" t="s">
        <v>69</v>
      </c>
      <c r="L1478" s="181"/>
      <c r="M1478" s="181"/>
      <c r="N1478" s="37"/>
      <c r="O1478" s="31"/>
      <c r="P1478" s="37"/>
      <c r="Q1478" s="181"/>
      <c r="R1478" s="181"/>
      <c r="S1478" s="181"/>
      <c r="T1478" s="181"/>
      <c r="U1478" s="181"/>
      <c r="V1478" s="37"/>
      <c r="W1478" s="181"/>
      <c r="X1478" s="38"/>
      <c r="Y1478" s="38"/>
      <c r="Z1478" s="38"/>
      <c r="AA1478" s="38"/>
      <c r="AB1478" s="248"/>
      <c r="AC1478" s="250"/>
      <c r="AD1478" s="181"/>
      <c r="AE1478" s="37"/>
      <c r="AF1478" s="37"/>
      <c r="AG1478" s="33"/>
      <c r="AH1478" s="37"/>
      <c r="AI1478" s="37"/>
      <c r="AJ1478" s="181"/>
      <c r="AK1478" s="37"/>
      <c r="AL1478" s="37"/>
      <c r="AM1478" s="181"/>
      <c r="AN1478" s="37"/>
      <c r="AO1478" s="37"/>
      <c r="AP1478" s="37"/>
      <c r="AQ1478" s="37"/>
      <c r="AR1478" s="37"/>
      <c r="AS1478" s="37"/>
      <c r="AT1478" s="37"/>
      <c r="AU1478" s="37"/>
      <c r="AV1478" s="37"/>
      <c r="AW1478" s="37"/>
      <c r="AX1478" s="37"/>
      <c r="AY1478" s="37"/>
      <c r="AZ1478" s="37"/>
    </row>
    <row r="1479" spans="1:52" ht="15.5" customHeight="1">
      <c r="A1479" s="360"/>
      <c r="B1479" s="340"/>
      <c r="C1479" s="181"/>
      <c r="D1479" s="30"/>
      <c r="E1479" s="30"/>
      <c r="F1479" s="30"/>
      <c r="G1479" s="37"/>
      <c r="H1479" s="37"/>
      <c r="I1479" s="37"/>
      <c r="J1479" s="37" t="s">
        <v>69</v>
      </c>
      <c r="K1479" s="325" t="s">
        <v>69</v>
      </c>
      <c r="L1479" s="181"/>
      <c r="M1479" s="181"/>
      <c r="N1479" s="37"/>
      <c r="O1479" s="31"/>
      <c r="P1479" s="37"/>
      <c r="Q1479" s="181"/>
      <c r="R1479" s="181"/>
      <c r="S1479" s="181"/>
      <c r="T1479" s="181"/>
      <c r="U1479" s="181"/>
      <c r="V1479" s="37"/>
      <c r="W1479" s="181"/>
      <c r="X1479" s="38"/>
      <c r="Y1479" s="38"/>
      <c r="Z1479" s="38"/>
      <c r="AA1479" s="38"/>
      <c r="AB1479" s="248"/>
      <c r="AC1479" s="250"/>
      <c r="AD1479" s="181"/>
      <c r="AE1479" s="37"/>
      <c r="AF1479" s="37"/>
      <c r="AG1479" s="33"/>
      <c r="AH1479" s="37"/>
      <c r="AI1479" s="37"/>
      <c r="AJ1479" s="181"/>
      <c r="AK1479" s="37"/>
      <c r="AL1479" s="37"/>
      <c r="AM1479" s="181"/>
      <c r="AN1479" s="37"/>
      <c r="AO1479" s="37"/>
      <c r="AP1479" s="37"/>
      <c r="AQ1479" s="37"/>
      <c r="AR1479" s="37"/>
      <c r="AS1479" s="37"/>
      <c r="AT1479" s="37"/>
      <c r="AU1479" s="37"/>
      <c r="AV1479" s="37"/>
      <c r="AW1479" s="37"/>
      <c r="AX1479" s="37"/>
      <c r="AY1479" s="37"/>
      <c r="AZ1479" s="37"/>
    </row>
    <row r="1480" spans="1:52" ht="15.5" customHeight="1">
      <c r="A1480" s="360"/>
      <c r="B1480" s="340"/>
      <c r="C1480" s="181"/>
      <c r="D1480" s="30"/>
      <c r="E1480" s="30"/>
      <c r="F1480" s="30"/>
      <c r="G1480" s="37"/>
      <c r="H1480" s="37"/>
      <c r="I1480" s="37"/>
      <c r="J1480" s="37" t="s">
        <v>69</v>
      </c>
      <c r="K1480" s="325" t="s">
        <v>69</v>
      </c>
      <c r="L1480" s="181"/>
      <c r="M1480" s="181"/>
      <c r="N1480" s="37"/>
      <c r="O1480" s="31"/>
      <c r="P1480" s="37"/>
      <c r="Q1480" s="181"/>
      <c r="R1480" s="181"/>
      <c r="S1480" s="181"/>
      <c r="T1480" s="181"/>
      <c r="U1480" s="181"/>
      <c r="V1480" s="37"/>
      <c r="W1480" s="181"/>
      <c r="X1480" s="38"/>
      <c r="Y1480" s="38"/>
      <c r="Z1480" s="38"/>
      <c r="AA1480" s="38"/>
      <c r="AB1480" s="248"/>
      <c r="AC1480" s="250"/>
      <c r="AD1480" s="181"/>
      <c r="AE1480" s="37"/>
      <c r="AF1480" s="37"/>
      <c r="AG1480" s="33"/>
      <c r="AH1480" s="37"/>
      <c r="AI1480" s="37"/>
      <c r="AJ1480" s="181"/>
      <c r="AK1480" s="37"/>
      <c r="AL1480" s="37"/>
      <c r="AM1480" s="181"/>
      <c r="AN1480" s="37"/>
      <c r="AO1480" s="37"/>
      <c r="AP1480" s="37"/>
      <c r="AQ1480" s="37"/>
      <c r="AR1480" s="37"/>
      <c r="AS1480" s="37"/>
      <c r="AT1480" s="37"/>
      <c r="AU1480" s="37"/>
      <c r="AV1480" s="37"/>
      <c r="AW1480" s="37"/>
      <c r="AX1480" s="37"/>
      <c r="AY1480" s="37"/>
      <c r="AZ1480" s="37"/>
    </row>
    <row r="1481" spans="1:52" ht="15.5" customHeight="1">
      <c r="A1481" s="360"/>
      <c r="B1481" s="340"/>
      <c r="C1481" s="181"/>
      <c r="D1481" s="30"/>
      <c r="E1481" s="30"/>
      <c r="F1481" s="30"/>
      <c r="G1481" s="37"/>
      <c r="H1481" s="37"/>
      <c r="I1481" s="37"/>
      <c r="J1481" s="37" t="s">
        <v>69</v>
      </c>
      <c r="K1481" s="325" t="s">
        <v>69</v>
      </c>
      <c r="L1481" s="181"/>
      <c r="M1481" s="181"/>
      <c r="N1481" s="37"/>
      <c r="O1481" s="31"/>
      <c r="P1481" s="37"/>
      <c r="Q1481" s="181"/>
      <c r="R1481" s="181"/>
      <c r="S1481" s="181"/>
      <c r="T1481" s="181"/>
      <c r="U1481" s="181"/>
      <c r="V1481" s="37"/>
      <c r="W1481" s="181"/>
      <c r="X1481" s="38"/>
      <c r="Y1481" s="38"/>
      <c r="Z1481" s="38"/>
      <c r="AA1481" s="38"/>
      <c r="AB1481" s="248"/>
      <c r="AC1481" s="250"/>
      <c r="AD1481" s="181"/>
      <c r="AE1481" s="37"/>
      <c r="AF1481" s="37"/>
      <c r="AG1481" s="33"/>
      <c r="AH1481" s="37"/>
      <c r="AI1481" s="37"/>
      <c r="AJ1481" s="181"/>
      <c r="AK1481" s="37"/>
      <c r="AL1481" s="37"/>
      <c r="AM1481" s="181"/>
      <c r="AN1481" s="37"/>
      <c r="AO1481" s="37"/>
      <c r="AP1481" s="37"/>
      <c r="AQ1481" s="37"/>
      <c r="AR1481" s="37"/>
      <c r="AS1481" s="37"/>
      <c r="AT1481" s="37"/>
      <c r="AU1481" s="37"/>
      <c r="AV1481" s="37"/>
      <c r="AW1481" s="37"/>
      <c r="AX1481" s="37"/>
      <c r="AY1481" s="37"/>
      <c r="AZ1481" s="37"/>
    </row>
    <row r="1482" spans="1:52" ht="15.5" customHeight="1">
      <c r="A1482" s="360"/>
      <c r="B1482" s="340"/>
      <c r="C1482" s="181"/>
      <c r="D1482" s="30"/>
      <c r="E1482" s="30"/>
      <c r="F1482" s="30"/>
      <c r="G1482" s="37"/>
      <c r="H1482" s="37"/>
      <c r="I1482" s="37"/>
      <c r="J1482" s="37" t="s">
        <v>69</v>
      </c>
      <c r="K1482" s="325" t="s">
        <v>69</v>
      </c>
      <c r="L1482" s="181"/>
      <c r="M1482" s="181"/>
      <c r="N1482" s="37"/>
      <c r="O1482" s="31"/>
      <c r="P1482" s="37"/>
      <c r="Q1482" s="181"/>
      <c r="R1482" s="181"/>
      <c r="S1482" s="181"/>
      <c r="T1482" s="181"/>
      <c r="U1482" s="181"/>
      <c r="V1482" s="37"/>
      <c r="W1482" s="181"/>
      <c r="X1482" s="38"/>
      <c r="Y1482" s="38"/>
      <c r="Z1482" s="38"/>
      <c r="AA1482" s="38"/>
      <c r="AB1482" s="248"/>
      <c r="AC1482" s="250"/>
      <c r="AD1482" s="181"/>
      <c r="AE1482" s="37"/>
      <c r="AF1482" s="37"/>
      <c r="AG1482" s="33"/>
      <c r="AH1482" s="37"/>
      <c r="AI1482" s="37"/>
      <c r="AJ1482" s="181"/>
      <c r="AK1482" s="37"/>
      <c r="AL1482" s="37"/>
      <c r="AM1482" s="181"/>
      <c r="AN1482" s="37"/>
      <c r="AO1482" s="37"/>
      <c r="AP1482" s="37"/>
      <c r="AQ1482" s="37"/>
      <c r="AR1482" s="37"/>
      <c r="AS1482" s="37"/>
      <c r="AT1482" s="37"/>
      <c r="AU1482" s="37"/>
      <c r="AV1482" s="37"/>
      <c r="AW1482" s="37"/>
      <c r="AX1482" s="37"/>
      <c r="AY1482" s="37"/>
      <c r="AZ1482" s="37"/>
    </row>
    <row r="1483" spans="1:52" ht="15.5" customHeight="1">
      <c r="A1483" s="360"/>
      <c r="B1483" s="340"/>
      <c r="C1483" s="181"/>
      <c r="D1483" s="30"/>
      <c r="E1483" s="30"/>
      <c r="F1483" s="30"/>
      <c r="G1483" s="37"/>
      <c r="H1483" s="37"/>
      <c r="I1483" s="37"/>
      <c r="J1483" s="37" t="s">
        <v>69</v>
      </c>
      <c r="K1483" s="325" t="s">
        <v>69</v>
      </c>
      <c r="L1483" s="181"/>
      <c r="M1483" s="181"/>
      <c r="N1483" s="37"/>
      <c r="O1483" s="31"/>
      <c r="P1483" s="37"/>
      <c r="Q1483" s="181"/>
      <c r="R1483" s="181"/>
      <c r="S1483" s="181"/>
      <c r="T1483" s="181"/>
      <c r="U1483" s="181"/>
      <c r="V1483" s="37"/>
      <c r="W1483" s="181"/>
      <c r="X1483" s="38"/>
      <c r="Y1483" s="38"/>
      <c r="Z1483" s="38"/>
      <c r="AA1483" s="38"/>
      <c r="AB1483" s="248"/>
      <c r="AC1483" s="250"/>
      <c r="AD1483" s="181"/>
      <c r="AE1483" s="37"/>
      <c r="AF1483" s="37"/>
      <c r="AG1483" s="33"/>
      <c r="AH1483" s="37"/>
      <c r="AI1483" s="37"/>
      <c r="AJ1483" s="181"/>
      <c r="AK1483" s="37"/>
      <c r="AL1483" s="37"/>
      <c r="AM1483" s="181"/>
      <c r="AN1483" s="37"/>
      <c r="AO1483" s="37"/>
      <c r="AP1483" s="37"/>
      <c r="AQ1483" s="37"/>
      <c r="AR1483" s="37"/>
      <c r="AS1483" s="37"/>
      <c r="AT1483" s="37"/>
      <c r="AU1483" s="37"/>
      <c r="AV1483" s="37"/>
      <c r="AW1483" s="37"/>
      <c r="AX1483" s="37"/>
      <c r="AY1483" s="37"/>
      <c r="AZ1483" s="37"/>
    </row>
    <row r="1484" spans="1:52" ht="15.5" customHeight="1">
      <c r="A1484" s="360"/>
      <c r="B1484" s="340"/>
      <c r="C1484" s="181"/>
      <c r="D1484" s="30"/>
      <c r="E1484" s="30"/>
      <c r="F1484" s="30"/>
      <c r="G1484" s="37"/>
      <c r="H1484" s="37"/>
      <c r="I1484" s="37"/>
      <c r="J1484" s="37" t="s">
        <v>69</v>
      </c>
      <c r="K1484" s="325" t="s">
        <v>69</v>
      </c>
      <c r="L1484" s="181"/>
      <c r="M1484" s="181"/>
      <c r="N1484" s="37"/>
      <c r="O1484" s="31"/>
      <c r="P1484" s="37"/>
      <c r="Q1484" s="181"/>
      <c r="R1484" s="181"/>
      <c r="S1484" s="181"/>
      <c r="T1484" s="181"/>
      <c r="U1484" s="181"/>
      <c r="V1484" s="37"/>
      <c r="W1484" s="181"/>
      <c r="X1484" s="38"/>
      <c r="Y1484" s="38"/>
      <c r="Z1484" s="38"/>
      <c r="AA1484" s="38"/>
      <c r="AB1484" s="248"/>
      <c r="AC1484" s="250"/>
      <c r="AD1484" s="181"/>
      <c r="AE1484" s="37"/>
      <c r="AF1484" s="37"/>
      <c r="AG1484" s="33"/>
      <c r="AH1484" s="37"/>
      <c r="AI1484" s="37"/>
      <c r="AJ1484" s="181"/>
      <c r="AK1484" s="37"/>
      <c r="AL1484" s="37"/>
      <c r="AM1484" s="181"/>
      <c r="AN1484" s="37"/>
      <c r="AO1484" s="37"/>
      <c r="AP1484" s="37"/>
      <c r="AQ1484" s="37"/>
      <c r="AR1484" s="37"/>
      <c r="AS1484" s="37"/>
      <c r="AT1484" s="37"/>
      <c r="AU1484" s="37"/>
      <c r="AV1484" s="37"/>
      <c r="AW1484" s="37"/>
      <c r="AX1484" s="37"/>
      <c r="AY1484" s="37"/>
      <c r="AZ1484" s="37"/>
    </row>
    <row r="1485" spans="1:52" ht="15.5" customHeight="1">
      <c r="A1485" s="360"/>
      <c r="B1485" s="340"/>
      <c r="C1485" s="181"/>
      <c r="D1485" s="30"/>
      <c r="E1485" s="30"/>
      <c r="F1485" s="30"/>
      <c r="G1485" s="37"/>
      <c r="H1485" s="37"/>
      <c r="I1485" s="37"/>
      <c r="J1485" s="37" t="s">
        <v>69</v>
      </c>
      <c r="K1485" s="325" t="s">
        <v>69</v>
      </c>
      <c r="L1485" s="181"/>
      <c r="M1485" s="181"/>
      <c r="N1485" s="37"/>
      <c r="O1485" s="31"/>
      <c r="P1485" s="37"/>
      <c r="Q1485" s="181"/>
      <c r="R1485" s="181"/>
      <c r="S1485" s="181"/>
      <c r="T1485" s="181"/>
      <c r="U1485" s="181"/>
      <c r="V1485" s="37"/>
      <c r="W1485" s="181"/>
      <c r="X1485" s="38"/>
      <c r="Y1485" s="38"/>
      <c r="Z1485" s="38"/>
      <c r="AA1485" s="38"/>
      <c r="AB1485" s="248"/>
      <c r="AC1485" s="250"/>
      <c r="AD1485" s="181"/>
      <c r="AE1485" s="37"/>
      <c r="AF1485" s="37"/>
      <c r="AG1485" s="33"/>
      <c r="AH1485" s="37"/>
      <c r="AI1485" s="37"/>
      <c r="AJ1485" s="181"/>
      <c r="AK1485" s="37"/>
      <c r="AL1485" s="37"/>
      <c r="AM1485" s="181"/>
      <c r="AN1485" s="37"/>
      <c r="AO1485" s="37"/>
      <c r="AP1485" s="37"/>
      <c r="AQ1485" s="37"/>
      <c r="AR1485" s="37"/>
      <c r="AS1485" s="37"/>
      <c r="AT1485" s="37"/>
      <c r="AU1485" s="37"/>
      <c r="AV1485" s="37"/>
      <c r="AW1485" s="37"/>
      <c r="AX1485" s="37"/>
      <c r="AY1485" s="37"/>
      <c r="AZ1485" s="37"/>
    </row>
    <row r="1486" spans="1:52" ht="15.5" customHeight="1">
      <c r="A1486" s="360"/>
      <c r="B1486" s="340"/>
      <c r="C1486" s="181"/>
      <c r="D1486" s="30"/>
      <c r="E1486" s="30"/>
      <c r="F1486" s="30"/>
      <c r="G1486" s="37"/>
      <c r="H1486" s="37"/>
      <c r="I1486" s="37"/>
      <c r="J1486" s="37" t="s">
        <v>69</v>
      </c>
      <c r="K1486" s="325" t="s">
        <v>69</v>
      </c>
      <c r="L1486" s="181"/>
      <c r="M1486" s="181"/>
      <c r="N1486" s="37"/>
      <c r="O1486" s="31"/>
      <c r="P1486" s="37"/>
      <c r="Q1486" s="181"/>
      <c r="R1486" s="181"/>
      <c r="S1486" s="181"/>
      <c r="T1486" s="181"/>
      <c r="U1486" s="181"/>
      <c r="V1486" s="37"/>
      <c r="W1486" s="181"/>
      <c r="X1486" s="38"/>
      <c r="Y1486" s="38"/>
      <c r="Z1486" s="38"/>
      <c r="AA1486" s="38"/>
      <c r="AB1486" s="248"/>
      <c r="AC1486" s="250"/>
      <c r="AD1486" s="181"/>
      <c r="AE1486" s="37"/>
      <c r="AF1486" s="37"/>
      <c r="AG1486" s="33"/>
      <c r="AH1486" s="37"/>
      <c r="AI1486" s="37"/>
      <c r="AJ1486" s="181"/>
      <c r="AK1486" s="37"/>
      <c r="AL1486" s="37"/>
      <c r="AM1486" s="181"/>
      <c r="AN1486" s="37"/>
      <c r="AO1486" s="37"/>
      <c r="AP1486" s="37"/>
      <c r="AQ1486" s="37"/>
      <c r="AR1486" s="37"/>
      <c r="AS1486" s="37"/>
      <c r="AT1486" s="37"/>
      <c r="AU1486" s="37"/>
      <c r="AV1486" s="37"/>
      <c r="AW1486" s="37"/>
      <c r="AX1486" s="37"/>
      <c r="AY1486" s="37"/>
      <c r="AZ1486" s="37"/>
    </row>
    <row r="1487" spans="1:52" ht="15.5" customHeight="1">
      <c r="A1487" s="360"/>
      <c r="B1487" s="340"/>
      <c r="C1487" s="181"/>
      <c r="D1487" s="30"/>
      <c r="E1487" s="30"/>
      <c r="F1487" s="30"/>
      <c r="G1487" s="37"/>
      <c r="H1487" s="37"/>
      <c r="I1487" s="37"/>
      <c r="J1487" s="37" t="s">
        <v>69</v>
      </c>
      <c r="K1487" s="325" t="s">
        <v>69</v>
      </c>
      <c r="L1487" s="181"/>
      <c r="M1487" s="181"/>
      <c r="N1487" s="37"/>
      <c r="O1487" s="31"/>
      <c r="P1487" s="37"/>
      <c r="Q1487" s="181"/>
      <c r="R1487" s="181"/>
      <c r="S1487" s="181"/>
      <c r="T1487" s="181"/>
      <c r="U1487" s="181"/>
      <c r="V1487" s="37"/>
      <c r="W1487" s="181"/>
      <c r="X1487" s="38"/>
      <c r="Y1487" s="38"/>
      <c r="Z1487" s="38"/>
      <c r="AA1487" s="38"/>
      <c r="AB1487" s="248"/>
      <c r="AC1487" s="250"/>
      <c r="AD1487" s="181"/>
      <c r="AE1487" s="37"/>
      <c r="AF1487" s="37"/>
      <c r="AG1487" s="33"/>
      <c r="AH1487" s="37"/>
      <c r="AI1487" s="37"/>
      <c r="AJ1487" s="181"/>
      <c r="AK1487" s="37"/>
      <c r="AL1487" s="37"/>
      <c r="AM1487" s="181"/>
      <c r="AN1487" s="37"/>
      <c r="AO1487" s="37"/>
      <c r="AP1487" s="37"/>
      <c r="AQ1487" s="37"/>
      <c r="AR1487" s="37"/>
      <c r="AS1487" s="37"/>
      <c r="AT1487" s="37"/>
      <c r="AU1487" s="37"/>
      <c r="AV1487" s="37"/>
      <c r="AW1487" s="37"/>
      <c r="AX1487" s="37"/>
      <c r="AY1487" s="37"/>
      <c r="AZ1487" s="37"/>
    </row>
    <row r="1488" spans="1:52" ht="15.5" customHeight="1">
      <c r="A1488" s="360"/>
      <c r="B1488" s="340"/>
      <c r="C1488" s="181"/>
      <c r="D1488" s="30"/>
      <c r="E1488" s="30"/>
      <c r="F1488" s="30"/>
      <c r="G1488" s="37"/>
      <c r="H1488" s="37"/>
      <c r="I1488" s="37"/>
      <c r="J1488" s="37" t="s">
        <v>69</v>
      </c>
      <c r="K1488" s="325" t="s">
        <v>69</v>
      </c>
      <c r="L1488" s="181"/>
      <c r="M1488" s="181"/>
      <c r="N1488" s="37"/>
      <c r="O1488" s="31"/>
      <c r="P1488" s="37"/>
      <c r="Q1488" s="181"/>
      <c r="R1488" s="181"/>
      <c r="S1488" s="181"/>
      <c r="T1488" s="181"/>
      <c r="U1488" s="181"/>
      <c r="V1488" s="37"/>
      <c r="W1488" s="181"/>
      <c r="X1488" s="38"/>
      <c r="Y1488" s="38"/>
      <c r="Z1488" s="38"/>
      <c r="AA1488" s="38"/>
      <c r="AB1488" s="248"/>
      <c r="AC1488" s="250"/>
      <c r="AD1488" s="181"/>
      <c r="AE1488" s="37"/>
      <c r="AF1488" s="37"/>
      <c r="AG1488" s="33"/>
      <c r="AH1488" s="37"/>
      <c r="AI1488" s="37"/>
      <c r="AJ1488" s="181"/>
      <c r="AK1488" s="37"/>
      <c r="AL1488" s="37"/>
      <c r="AM1488" s="181"/>
      <c r="AN1488" s="37"/>
      <c r="AO1488" s="37"/>
      <c r="AP1488" s="37"/>
      <c r="AQ1488" s="37"/>
      <c r="AR1488" s="37"/>
      <c r="AS1488" s="37"/>
      <c r="AT1488" s="37"/>
      <c r="AU1488" s="37"/>
      <c r="AV1488" s="37"/>
      <c r="AW1488" s="37"/>
      <c r="AX1488" s="37"/>
      <c r="AY1488" s="37"/>
      <c r="AZ1488" s="37"/>
    </row>
    <row r="1489" spans="1:52" ht="15.5" customHeight="1">
      <c r="A1489" s="360"/>
      <c r="B1489" s="340"/>
      <c r="C1489" s="181"/>
      <c r="D1489" s="30"/>
      <c r="E1489" s="30"/>
      <c r="F1489" s="30"/>
      <c r="G1489" s="37"/>
      <c r="H1489" s="37"/>
      <c r="I1489" s="37"/>
      <c r="J1489" s="37" t="s">
        <v>69</v>
      </c>
      <c r="K1489" s="325" t="s">
        <v>69</v>
      </c>
      <c r="L1489" s="181"/>
      <c r="M1489" s="181"/>
      <c r="N1489" s="37"/>
      <c r="O1489" s="31"/>
      <c r="P1489" s="37"/>
      <c r="Q1489" s="181"/>
      <c r="R1489" s="181"/>
      <c r="S1489" s="181"/>
      <c r="T1489" s="181"/>
      <c r="U1489" s="181"/>
      <c r="V1489" s="37"/>
      <c r="W1489" s="181"/>
      <c r="X1489" s="38"/>
      <c r="Y1489" s="38"/>
      <c r="Z1489" s="38"/>
      <c r="AA1489" s="38"/>
      <c r="AB1489" s="248"/>
      <c r="AC1489" s="250"/>
      <c r="AD1489" s="181"/>
      <c r="AE1489" s="37"/>
      <c r="AF1489" s="37"/>
      <c r="AG1489" s="33"/>
      <c r="AH1489" s="37"/>
      <c r="AI1489" s="37"/>
      <c r="AJ1489" s="181"/>
      <c r="AK1489" s="37"/>
      <c r="AL1489" s="37"/>
      <c r="AM1489" s="181"/>
      <c r="AN1489" s="37"/>
      <c r="AO1489" s="37"/>
      <c r="AP1489" s="37"/>
      <c r="AQ1489" s="37"/>
      <c r="AR1489" s="37"/>
      <c r="AS1489" s="37"/>
      <c r="AT1489" s="37"/>
      <c r="AU1489" s="37"/>
      <c r="AV1489" s="37"/>
      <c r="AW1489" s="37"/>
      <c r="AX1489" s="37"/>
      <c r="AY1489" s="37"/>
      <c r="AZ1489" s="37"/>
    </row>
    <row r="1490" spans="1:52" ht="15.5" customHeight="1">
      <c r="A1490" s="360"/>
      <c r="B1490" s="340"/>
      <c r="C1490" s="181"/>
      <c r="D1490" s="30"/>
      <c r="E1490" s="30"/>
      <c r="F1490" s="30"/>
      <c r="G1490" s="37"/>
      <c r="H1490" s="37"/>
      <c r="I1490" s="37"/>
      <c r="J1490" s="37" t="s">
        <v>69</v>
      </c>
      <c r="K1490" s="325" t="s">
        <v>69</v>
      </c>
      <c r="L1490" s="181"/>
      <c r="M1490" s="181"/>
      <c r="N1490" s="37"/>
      <c r="O1490" s="31"/>
      <c r="P1490" s="37"/>
      <c r="Q1490" s="181"/>
      <c r="R1490" s="181"/>
      <c r="S1490" s="181"/>
      <c r="T1490" s="181"/>
      <c r="U1490" s="181"/>
      <c r="V1490" s="37"/>
      <c r="W1490" s="181"/>
      <c r="X1490" s="38"/>
      <c r="Y1490" s="38"/>
      <c r="Z1490" s="38"/>
      <c r="AA1490" s="38"/>
      <c r="AB1490" s="248"/>
      <c r="AC1490" s="250"/>
      <c r="AD1490" s="181"/>
      <c r="AE1490" s="37"/>
      <c r="AF1490" s="37"/>
      <c r="AG1490" s="33"/>
      <c r="AH1490" s="37"/>
      <c r="AI1490" s="37"/>
      <c r="AJ1490" s="181"/>
      <c r="AK1490" s="37"/>
      <c r="AL1490" s="37"/>
      <c r="AM1490" s="181"/>
      <c r="AN1490" s="37"/>
      <c r="AO1490" s="37"/>
      <c r="AP1490" s="37"/>
      <c r="AQ1490" s="37"/>
      <c r="AR1490" s="37"/>
      <c r="AS1490" s="37"/>
      <c r="AT1490" s="37"/>
      <c r="AU1490" s="37"/>
      <c r="AV1490" s="37"/>
      <c r="AW1490" s="37"/>
      <c r="AX1490" s="37"/>
      <c r="AY1490" s="37"/>
      <c r="AZ1490" s="37"/>
    </row>
    <row r="1491" spans="1:52" ht="15.5" customHeight="1">
      <c r="A1491" s="360"/>
      <c r="B1491" s="340"/>
      <c r="C1491" s="181"/>
      <c r="D1491" s="30"/>
      <c r="E1491" s="30"/>
      <c r="F1491" s="30"/>
      <c r="G1491" s="37"/>
      <c r="H1491" s="37"/>
      <c r="I1491" s="37"/>
      <c r="J1491" s="37" t="s">
        <v>69</v>
      </c>
      <c r="K1491" s="325" t="s">
        <v>69</v>
      </c>
      <c r="L1491" s="181"/>
      <c r="M1491" s="181"/>
      <c r="N1491" s="37"/>
      <c r="O1491" s="31"/>
      <c r="P1491" s="37"/>
      <c r="Q1491" s="181"/>
      <c r="R1491" s="181"/>
      <c r="S1491" s="181"/>
      <c r="T1491" s="181"/>
      <c r="U1491" s="181"/>
      <c r="V1491" s="37"/>
      <c r="W1491" s="181"/>
      <c r="X1491" s="38"/>
      <c r="Y1491" s="38"/>
      <c r="Z1491" s="38"/>
      <c r="AA1491" s="38"/>
      <c r="AB1491" s="248"/>
      <c r="AC1491" s="250"/>
      <c r="AD1491" s="181"/>
      <c r="AE1491" s="37"/>
      <c r="AF1491" s="37"/>
      <c r="AG1491" s="33"/>
      <c r="AH1491" s="37"/>
      <c r="AI1491" s="37"/>
      <c r="AJ1491" s="181"/>
      <c r="AK1491" s="37"/>
      <c r="AL1491" s="37"/>
      <c r="AM1491" s="181"/>
      <c r="AN1491" s="37"/>
      <c r="AO1491" s="37"/>
      <c r="AP1491" s="37"/>
      <c r="AQ1491" s="37"/>
      <c r="AR1491" s="37"/>
      <c r="AS1491" s="37"/>
      <c r="AT1491" s="37"/>
      <c r="AU1491" s="37"/>
      <c r="AV1491" s="37"/>
      <c r="AW1491" s="37"/>
      <c r="AX1491" s="37"/>
      <c r="AY1491" s="37"/>
      <c r="AZ1491" s="37"/>
    </row>
    <row r="1492" spans="1:52" ht="15.5" customHeight="1">
      <c r="A1492" s="360"/>
      <c r="B1492" s="340"/>
      <c r="C1492" s="181"/>
      <c r="D1492" s="30"/>
      <c r="E1492" s="30"/>
      <c r="F1492" s="30"/>
      <c r="G1492" s="37"/>
      <c r="H1492" s="37"/>
      <c r="I1492" s="37"/>
      <c r="J1492" s="37" t="s">
        <v>69</v>
      </c>
      <c r="K1492" s="325" t="s">
        <v>69</v>
      </c>
      <c r="L1492" s="181"/>
      <c r="M1492" s="181"/>
      <c r="N1492" s="37"/>
      <c r="O1492" s="31"/>
      <c r="P1492" s="37"/>
      <c r="Q1492" s="181"/>
      <c r="R1492" s="181"/>
      <c r="S1492" s="181"/>
      <c r="T1492" s="181"/>
      <c r="U1492" s="181"/>
      <c r="V1492" s="37"/>
      <c r="W1492" s="181"/>
      <c r="X1492" s="38"/>
      <c r="Y1492" s="38"/>
      <c r="Z1492" s="38"/>
      <c r="AA1492" s="38"/>
      <c r="AB1492" s="248"/>
      <c r="AC1492" s="250"/>
      <c r="AD1492" s="181"/>
      <c r="AE1492" s="37"/>
      <c r="AF1492" s="37"/>
      <c r="AG1492" s="33"/>
      <c r="AH1492" s="37"/>
      <c r="AI1492" s="37"/>
      <c r="AJ1492" s="181"/>
      <c r="AK1492" s="37"/>
      <c r="AL1492" s="37"/>
      <c r="AM1492" s="181"/>
      <c r="AN1492" s="37"/>
      <c r="AO1492" s="37"/>
      <c r="AP1492" s="37"/>
      <c r="AQ1492" s="37"/>
      <c r="AR1492" s="37"/>
      <c r="AS1492" s="37"/>
      <c r="AT1492" s="37"/>
      <c r="AU1492" s="37"/>
      <c r="AV1492" s="37"/>
      <c r="AW1492" s="37"/>
      <c r="AX1492" s="37"/>
      <c r="AY1492" s="37"/>
      <c r="AZ1492" s="37"/>
    </row>
    <row r="1493" spans="1:52" ht="15.5" customHeight="1">
      <c r="A1493" s="360"/>
      <c r="B1493" s="340"/>
      <c r="C1493" s="181"/>
      <c r="D1493" s="30"/>
      <c r="E1493" s="30"/>
      <c r="F1493" s="30"/>
      <c r="G1493" s="37"/>
      <c r="H1493" s="37"/>
      <c r="I1493" s="37"/>
      <c r="J1493" s="37" t="s">
        <v>69</v>
      </c>
      <c r="K1493" s="325" t="s">
        <v>69</v>
      </c>
      <c r="L1493" s="181"/>
      <c r="M1493" s="181"/>
      <c r="N1493" s="37"/>
      <c r="O1493" s="31"/>
      <c r="P1493" s="37"/>
      <c r="Q1493" s="181"/>
      <c r="R1493" s="181"/>
      <c r="S1493" s="181"/>
      <c r="T1493" s="181"/>
      <c r="U1493" s="181"/>
      <c r="V1493" s="37"/>
      <c r="W1493" s="181"/>
      <c r="X1493" s="38"/>
      <c r="Y1493" s="38"/>
      <c r="Z1493" s="38"/>
      <c r="AA1493" s="38"/>
      <c r="AB1493" s="248"/>
      <c r="AC1493" s="250"/>
      <c r="AD1493" s="181"/>
      <c r="AE1493" s="37"/>
      <c r="AF1493" s="37"/>
      <c r="AG1493" s="33"/>
      <c r="AH1493" s="37"/>
      <c r="AI1493" s="37"/>
      <c r="AJ1493" s="181"/>
      <c r="AK1493" s="37"/>
      <c r="AL1493" s="37"/>
      <c r="AM1493" s="181"/>
      <c r="AN1493" s="37"/>
      <c r="AO1493" s="37"/>
      <c r="AP1493" s="37"/>
      <c r="AQ1493" s="37"/>
      <c r="AR1493" s="37"/>
      <c r="AS1493" s="37"/>
      <c r="AT1493" s="37"/>
      <c r="AU1493" s="37"/>
      <c r="AV1493" s="37"/>
      <c r="AW1493" s="37"/>
      <c r="AX1493" s="37"/>
      <c r="AY1493" s="37"/>
      <c r="AZ1493" s="37"/>
    </row>
    <row r="1494" spans="1:52" ht="15.5" customHeight="1">
      <c r="A1494" s="360"/>
      <c r="B1494" s="340"/>
      <c r="C1494" s="181"/>
      <c r="D1494" s="30"/>
      <c r="E1494" s="30"/>
      <c r="F1494" s="30"/>
      <c r="G1494" s="37"/>
      <c r="H1494" s="37"/>
      <c r="I1494" s="37"/>
      <c r="J1494" s="37" t="s">
        <v>69</v>
      </c>
      <c r="K1494" s="325" t="s">
        <v>69</v>
      </c>
      <c r="L1494" s="181"/>
      <c r="M1494" s="181"/>
      <c r="N1494" s="37"/>
      <c r="O1494" s="31"/>
      <c r="P1494" s="37"/>
      <c r="Q1494" s="181"/>
      <c r="R1494" s="181"/>
      <c r="S1494" s="181"/>
      <c r="T1494" s="181"/>
      <c r="U1494" s="181"/>
      <c r="V1494" s="37"/>
      <c r="W1494" s="181"/>
      <c r="X1494" s="38"/>
      <c r="Y1494" s="38"/>
      <c r="Z1494" s="38"/>
      <c r="AA1494" s="38"/>
      <c r="AB1494" s="248"/>
      <c r="AC1494" s="250"/>
      <c r="AD1494" s="181"/>
      <c r="AE1494" s="37"/>
      <c r="AF1494" s="37"/>
      <c r="AG1494" s="33"/>
      <c r="AH1494" s="37"/>
      <c r="AI1494" s="37"/>
      <c r="AJ1494" s="181"/>
      <c r="AK1494" s="37"/>
      <c r="AL1494" s="37"/>
      <c r="AM1494" s="181"/>
      <c r="AN1494" s="37"/>
      <c r="AO1494" s="37"/>
      <c r="AP1494" s="37"/>
      <c r="AQ1494" s="37"/>
      <c r="AR1494" s="37"/>
      <c r="AS1494" s="37"/>
      <c r="AT1494" s="37"/>
      <c r="AU1494" s="37"/>
      <c r="AV1494" s="37"/>
      <c r="AW1494" s="37"/>
      <c r="AX1494" s="37"/>
      <c r="AY1494" s="37"/>
      <c r="AZ1494" s="37"/>
    </row>
    <row r="1495" spans="1:52" ht="15.5" customHeight="1">
      <c r="A1495" s="360"/>
      <c r="B1495" s="340"/>
      <c r="C1495" s="181"/>
      <c r="D1495" s="30"/>
      <c r="E1495" s="30"/>
      <c r="F1495" s="30"/>
      <c r="G1495" s="37"/>
      <c r="H1495" s="37"/>
      <c r="I1495" s="37"/>
      <c r="J1495" s="37" t="s">
        <v>69</v>
      </c>
      <c r="K1495" s="325" t="s">
        <v>69</v>
      </c>
      <c r="L1495" s="181"/>
      <c r="M1495" s="181"/>
      <c r="N1495" s="37"/>
      <c r="O1495" s="31"/>
      <c r="P1495" s="37"/>
      <c r="Q1495" s="181"/>
      <c r="R1495" s="181"/>
      <c r="S1495" s="181"/>
      <c r="T1495" s="181"/>
      <c r="U1495" s="181"/>
      <c r="V1495" s="37"/>
      <c r="W1495" s="181"/>
      <c r="X1495" s="38"/>
      <c r="Y1495" s="38"/>
      <c r="Z1495" s="38"/>
      <c r="AA1495" s="38"/>
      <c r="AB1495" s="248"/>
      <c r="AC1495" s="250"/>
      <c r="AD1495" s="181"/>
      <c r="AE1495" s="37"/>
      <c r="AF1495" s="37"/>
      <c r="AG1495" s="33"/>
      <c r="AH1495" s="37"/>
      <c r="AI1495" s="37"/>
      <c r="AJ1495" s="181"/>
      <c r="AK1495" s="37"/>
      <c r="AL1495" s="37"/>
      <c r="AM1495" s="181"/>
      <c r="AN1495" s="37"/>
      <c r="AO1495" s="37"/>
      <c r="AP1495" s="37"/>
      <c r="AQ1495" s="37"/>
      <c r="AR1495" s="37"/>
      <c r="AS1495" s="37"/>
      <c r="AT1495" s="37"/>
      <c r="AU1495" s="37"/>
      <c r="AV1495" s="37"/>
      <c r="AW1495" s="37"/>
      <c r="AX1495" s="37"/>
      <c r="AY1495" s="37"/>
      <c r="AZ1495" s="37"/>
    </row>
    <row r="1496" spans="1:52" ht="15.5" customHeight="1">
      <c r="A1496" s="360"/>
      <c r="B1496" s="340"/>
      <c r="C1496" s="181"/>
      <c r="D1496" s="30"/>
      <c r="E1496" s="30"/>
      <c r="F1496" s="30"/>
      <c r="G1496" s="37"/>
      <c r="H1496" s="37"/>
      <c r="I1496" s="37"/>
      <c r="J1496" s="37" t="s">
        <v>69</v>
      </c>
      <c r="K1496" s="325" t="s">
        <v>69</v>
      </c>
      <c r="L1496" s="181"/>
      <c r="M1496" s="181"/>
      <c r="N1496" s="37"/>
      <c r="O1496" s="31"/>
      <c r="P1496" s="37"/>
      <c r="Q1496" s="181"/>
      <c r="R1496" s="181"/>
      <c r="S1496" s="181"/>
      <c r="T1496" s="181"/>
      <c r="U1496" s="181"/>
      <c r="V1496" s="37"/>
      <c r="W1496" s="181"/>
      <c r="X1496" s="38"/>
      <c r="Y1496" s="38"/>
      <c r="Z1496" s="38"/>
      <c r="AA1496" s="38"/>
      <c r="AB1496" s="248"/>
      <c r="AC1496" s="250"/>
      <c r="AD1496" s="181"/>
      <c r="AE1496" s="37"/>
      <c r="AF1496" s="37"/>
      <c r="AG1496" s="33"/>
      <c r="AH1496" s="37"/>
      <c r="AI1496" s="37"/>
      <c r="AJ1496" s="181"/>
      <c r="AK1496" s="37"/>
      <c r="AL1496" s="37"/>
      <c r="AM1496" s="181"/>
      <c r="AN1496" s="37"/>
      <c r="AO1496" s="37"/>
      <c r="AP1496" s="37"/>
      <c r="AQ1496" s="37"/>
      <c r="AR1496" s="37"/>
      <c r="AS1496" s="37"/>
      <c r="AT1496" s="37"/>
      <c r="AU1496" s="37"/>
      <c r="AV1496" s="37"/>
      <c r="AW1496" s="37"/>
      <c r="AX1496" s="37"/>
      <c r="AY1496" s="37"/>
      <c r="AZ1496" s="37"/>
    </row>
    <row r="1497" spans="1:52" ht="15.5" customHeight="1">
      <c r="A1497" s="360"/>
      <c r="B1497" s="340"/>
      <c r="C1497" s="181"/>
      <c r="D1497" s="30"/>
      <c r="E1497" s="30"/>
      <c r="F1497" s="30"/>
      <c r="G1497" s="37"/>
      <c r="H1497" s="37"/>
      <c r="I1497" s="37"/>
      <c r="J1497" s="37" t="s">
        <v>69</v>
      </c>
      <c r="K1497" s="325" t="s">
        <v>69</v>
      </c>
      <c r="L1497" s="181"/>
      <c r="M1497" s="181"/>
      <c r="N1497" s="37"/>
      <c r="O1497" s="31"/>
      <c r="P1497" s="37"/>
      <c r="Q1497" s="181"/>
      <c r="R1497" s="181"/>
      <c r="S1497" s="181"/>
      <c r="T1497" s="181"/>
      <c r="U1497" s="181"/>
      <c r="V1497" s="37"/>
      <c r="W1497" s="181"/>
      <c r="X1497" s="38"/>
      <c r="Y1497" s="38"/>
      <c r="Z1497" s="38"/>
      <c r="AA1497" s="38"/>
      <c r="AB1497" s="248"/>
      <c r="AC1497" s="250"/>
      <c r="AD1497" s="181"/>
      <c r="AE1497" s="37"/>
      <c r="AF1497" s="37"/>
      <c r="AG1497" s="33"/>
      <c r="AH1497" s="37"/>
      <c r="AI1497" s="37"/>
      <c r="AJ1497" s="181"/>
      <c r="AK1497" s="37"/>
      <c r="AL1497" s="37"/>
      <c r="AM1497" s="181"/>
      <c r="AN1497" s="37"/>
      <c r="AO1497" s="37"/>
      <c r="AP1497" s="37"/>
      <c r="AQ1497" s="37"/>
      <c r="AR1497" s="37"/>
      <c r="AS1497" s="37"/>
      <c r="AT1497" s="37"/>
      <c r="AU1497" s="37"/>
      <c r="AV1497" s="37"/>
      <c r="AW1497" s="37"/>
      <c r="AX1497" s="37"/>
      <c r="AY1497" s="37"/>
      <c r="AZ1497" s="37"/>
    </row>
    <row r="1498" spans="1:52" ht="15.5" customHeight="1">
      <c r="A1498" s="360"/>
      <c r="B1498" s="340"/>
      <c r="C1498" s="181"/>
      <c r="D1498" s="30"/>
      <c r="E1498" s="30"/>
      <c r="F1498" s="30"/>
      <c r="G1498" s="37"/>
      <c r="H1498" s="37"/>
      <c r="I1498" s="37"/>
      <c r="J1498" s="37" t="s">
        <v>69</v>
      </c>
      <c r="K1498" s="325" t="s">
        <v>69</v>
      </c>
      <c r="L1498" s="181"/>
      <c r="M1498" s="181"/>
      <c r="N1498" s="37"/>
      <c r="O1498" s="31"/>
      <c r="P1498" s="37"/>
      <c r="Q1498" s="181"/>
      <c r="R1498" s="181"/>
      <c r="S1498" s="181"/>
      <c r="T1498" s="181"/>
      <c r="U1498" s="181"/>
      <c r="V1498" s="37"/>
      <c r="W1498" s="181"/>
      <c r="X1498" s="38"/>
      <c r="Y1498" s="38"/>
      <c r="Z1498" s="38"/>
      <c r="AA1498" s="38"/>
      <c r="AB1498" s="248"/>
      <c r="AC1498" s="250"/>
      <c r="AD1498" s="181"/>
      <c r="AE1498" s="37"/>
      <c r="AF1498" s="37"/>
      <c r="AG1498" s="33"/>
      <c r="AH1498" s="37"/>
      <c r="AI1498" s="37"/>
      <c r="AJ1498" s="181"/>
      <c r="AK1498" s="37"/>
      <c r="AL1498" s="37"/>
      <c r="AM1498" s="181"/>
      <c r="AN1498" s="37"/>
      <c r="AO1498" s="37"/>
      <c r="AP1498" s="37"/>
      <c r="AQ1498" s="37"/>
      <c r="AR1498" s="37"/>
      <c r="AS1498" s="37"/>
      <c r="AT1498" s="37"/>
      <c r="AU1498" s="37"/>
      <c r="AV1498" s="37"/>
      <c r="AW1498" s="37"/>
      <c r="AX1498" s="37"/>
      <c r="AY1498" s="37"/>
      <c r="AZ1498" s="37"/>
    </row>
    <row r="1499" spans="1:52" ht="15.5" customHeight="1">
      <c r="A1499" s="360"/>
      <c r="B1499" s="340"/>
      <c r="C1499" s="181"/>
      <c r="D1499" s="30"/>
      <c r="E1499" s="30"/>
      <c r="F1499" s="30"/>
      <c r="G1499" s="37"/>
      <c r="H1499" s="37"/>
      <c r="I1499" s="37"/>
      <c r="J1499" s="37" t="s">
        <v>69</v>
      </c>
      <c r="K1499" s="325" t="s">
        <v>69</v>
      </c>
      <c r="L1499" s="181"/>
      <c r="M1499" s="181"/>
      <c r="N1499" s="37"/>
      <c r="O1499" s="31"/>
      <c r="P1499" s="37"/>
      <c r="Q1499" s="181"/>
      <c r="R1499" s="181"/>
      <c r="S1499" s="181"/>
      <c r="T1499" s="181"/>
      <c r="U1499" s="181"/>
      <c r="V1499" s="37"/>
      <c r="W1499" s="181"/>
      <c r="X1499" s="38"/>
      <c r="Y1499" s="38"/>
      <c r="Z1499" s="38"/>
      <c r="AA1499" s="38"/>
      <c r="AB1499" s="248"/>
      <c r="AC1499" s="250"/>
      <c r="AD1499" s="181"/>
      <c r="AE1499" s="37"/>
      <c r="AF1499" s="37"/>
      <c r="AG1499" s="33"/>
      <c r="AH1499" s="37"/>
      <c r="AI1499" s="37"/>
      <c r="AJ1499" s="181"/>
      <c r="AK1499" s="37"/>
      <c r="AL1499" s="37"/>
      <c r="AM1499" s="181"/>
      <c r="AN1499" s="37"/>
      <c r="AO1499" s="37"/>
      <c r="AP1499" s="37"/>
      <c r="AQ1499" s="37"/>
      <c r="AR1499" s="37"/>
      <c r="AS1499" s="37"/>
      <c r="AT1499" s="37"/>
      <c r="AU1499" s="37"/>
      <c r="AV1499" s="37"/>
      <c r="AW1499" s="37"/>
      <c r="AX1499" s="37"/>
      <c r="AY1499" s="37"/>
      <c r="AZ1499" s="37"/>
    </row>
    <row r="1500" spans="1:52" ht="15.5" customHeight="1">
      <c r="A1500" s="360"/>
      <c r="B1500" s="340"/>
      <c r="C1500" s="181"/>
      <c r="D1500" s="30"/>
      <c r="E1500" s="30"/>
      <c r="F1500" s="30"/>
      <c r="G1500" s="37"/>
      <c r="H1500" s="37"/>
      <c r="I1500" s="37"/>
      <c r="J1500" s="37" t="s">
        <v>69</v>
      </c>
      <c r="K1500" s="325" t="s">
        <v>69</v>
      </c>
      <c r="L1500" s="181"/>
      <c r="M1500" s="181"/>
      <c r="N1500" s="37"/>
      <c r="O1500" s="31"/>
      <c r="P1500" s="37"/>
      <c r="Q1500" s="181"/>
      <c r="R1500" s="181"/>
      <c r="S1500" s="181"/>
      <c r="T1500" s="181"/>
      <c r="U1500" s="181"/>
      <c r="V1500" s="37"/>
      <c r="W1500" s="181"/>
      <c r="X1500" s="38"/>
      <c r="Y1500" s="38"/>
      <c r="Z1500" s="38"/>
      <c r="AA1500" s="38"/>
      <c r="AB1500" s="248"/>
      <c r="AC1500" s="250"/>
      <c r="AD1500" s="181"/>
      <c r="AE1500" s="37"/>
      <c r="AF1500" s="37"/>
      <c r="AG1500" s="33"/>
      <c r="AH1500" s="37"/>
      <c r="AI1500" s="37"/>
      <c r="AJ1500" s="181"/>
      <c r="AK1500" s="37"/>
      <c r="AL1500" s="37"/>
      <c r="AM1500" s="181"/>
      <c r="AN1500" s="37"/>
      <c r="AO1500" s="37"/>
      <c r="AP1500" s="37"/>
      <c r="AQ1500" s="37"/>
      <c r="AR1500" s="37"/>
      <c r="AS1500" s="37"/>
      <c r="AT1500" s="37"/>
      <c r="AU1500" s="37"/>
      <c r="AV1500" s="37"/>
      <c r="AW1500" s="37"/>
      <c r="AX1500" s="37"/>
      <c r="AY1500" s="37"/>
      <c r="AZ1500" s="37"/>
    </row>
    <row r="1501" spans="1:52" ht="15.5" customHeight="1">
      <c r="A1501" s="360"/>
      <c r="B1501" s="340"/>
      <c r="C1501" s="181"/>
      <c r="D1501" s="30"/>
      <c r="E1501" s="30"/>
      <c r="F1501" s="30"/>
      <c r="G1501" s="37"/>
      <c r="H1501" s="37"/>
      <c r="I1501" s="37"/>
      <c r="J1501" s="37" t="s">
        <v>69</v>
      </c>
      <c r="K1501" s="325" t="s">
        <v>69</v>
      </c>
      <c r="L1501" s="181"/>
      <c r="M1501" s="181"/>
      <c r="N1501" s="37"/>
      <c r="O1501" s="31"/>
      <c r="P1501" s="37"/>
      <c r="Q1501" s="181"/>
      <c r="R1501" s="181"/>
      <c r="S1501" s="181"/>
      <c r="T1501" s="181"/>
      <c r="U1501" s="181"/>
      <c r="V1501" s="37"/>
      <c r="W1501" s="181"/>
      <c r="X1501" s="38"/>
      <c r="Y1501" s="38"/>
      <c r="Z1501" s="38"/>
      <c r="AA1501" s="38"/>
      <c r="AB1501" s="248"/>
      <c r="AC1501" s="250"/>
      <c r="AD1501" s="181"/>
      <c r="AE1501" s="37"/>
      <c r="AF1501" s="37"/>
      <c r="AG1501" s="33"/>
      <c r="AH1501" s="37"/>
      <c r="AI1501" s="37"/>
      <c r="AJ1501" s="181"/>
      <c r="AK1501" s="37"/>
      <c r="AL1501" s="37"/>
      <c r="AM1501" s="181"/>
      <c r="AN1501" s="37"/>
      <c r="AO1501" s="37"/>
      <c r="AP1501" s="37"/>
      <c r="AQ1501" s="37"/>
      <c r="AR1501" s="37"/>
      <c r="AS1501" s="37"/>
      <c r="AT1501" s="37"/>
      <c r="AU1501" s="37"/>
      <c r="AV1501" s="37"/>
      <c r="AW1501" s="37"/>
      <c r="AX1501" s="37"/>
      <c r="AY1501" s="37"/>
      <c r="AZ1501" s="37"/>
    </row>
    <row r="1502" spans="1:52" ht="15.5" customHeight="1">
      <c r="A1502" s="360"/>
      <c r="B1502" s="340"/>
      <c r="C1502" s="181"/>
      <c r="D1502" s="30"/>
      <c r="E1502" s="30"/>
      <c r="F1502" s="30"/>
      <c r="G1502" s="37"/>
      <c r="H1502" s="37"/>
      <c r="I1502" s="37"/>
      <c r="J1502" s="37" t="s">
        <v>69</v>
      </c>
      <c r="K1502" s="325" t="s">
        <v>69</v>
      </c>
      <c r="L1502" s="181"/>
      <c r="M1502" s="181"/>
      <c r="N1502" s="37"/>
      <c r="O1502" s="31"/>
      <c r="P1502" s="37"/>
      <c r="Q1502" s="181"/>
      <c r="R1502" s="181"/>
      <c r="S1502" s="181"/>
      <c r="T1502" s="181"/>
      <c r="U1502" s="181"/>
      <c r="V1502" s="37"/>
      <c r="W1502" s="181"/>
      <c r="X1502" s="38"/>
      <c r="Y1502" s="38"/>
      <c r="Z1502" s="38"/>
      <c r="AA1502" s="38"/>
      <c r="AB1502" s="248"/>
      <c r="AC1502" s="250"/>
      <c r="AD1502" s="181"/>
      <c r="AE1502" s="37"/>
      <c r="AF1502" s="37"/>
      <c r="AG1502" s="33"/>
      <c r="AH1502" s="37"/>
      <c r="AI1502" s="37"/>
      <c r="AJ1502" s="181"/>
      <c r="AK1502" s="37"/>
      <c r="AL1502" s="37"/>
      <c r="AM1502" s="181"/>
      <c r="AN1502" s="37"/>
      <c r="AO1502" s="37"/>
      <c r="AP1502" s="37"/>
      <c r="AQ1502" s="37"/>
      <c r="AR1502" s="37"/>
      <c r="AS1502" s="37"/>
      <c r="AT1502" s="37"/>
      <c r="AU1502" s="37"/>
      <c r="AV1502" s="37"/>
      <c r="AW1502" s="37"/>
      <c r="AX1502" s="37"/>
      <c r="AY1502" s="37"/>
      <c r="AZ1502" s="37"/>
    </row>
    <row r="1503" spans="1:52" ht="15.5" customHeight="1">
      <c r="A1503" s="360"/>
      <c r="B1503" s="340"/>
      <c r="C1503" s="181"/>
      <c r="D1503" s="30"/>
      <c r="E1503" s="30"/>
      <c r="F1503" s="30"/>
      <c r="G1503" s="37"/>
      <c r="H1503" s="37"/>
      <c r="I1503" s="37"/>
      <c r="J1503" s="37" t="s">
        <v>69</v>
      </c>
      <c r="K1503" s="325" t="s">
        <v>69</v>
      </c>
      <c r="L1503" s="181"/>
      <c r="M1503" s="181"/>
      <c r="N1503" s="37"/>
      <c r="O1503" s="31"/>
      <c r="P1503" s="37"/>
      <c r="Q1503" s="181"/>
      <c r="R1503" s="181"/>
      <c r="S1503" s="181"/>
      <c r="T1503" s="181"/>
      <c r="U1503" s="181"/>
      <c r="V1503" s="37"/>
      <c r="W1503" s="181"/>
      <c r="X1503" s="38"/>
      <c r="Y1503" s="38"/>
      <c r="Z1503" s="38"/>
      <c r="AA1503" s="38"/>
      <c r="AB1503" s="248"/>
      <c r="AC1503" s="250"/>
      <c r="AD1503" s="181"/>
      <c r="AE1503" s="37"/>
      <c r="AF1503" s="37"/>
      <c r="AG1503" s="33"/>
      <c r="AH1503" s="37"/>
      <c r="AI1503" s="37"/>
      <c r="AJ1503" s="181"/>
      <c r="AK1503" s="37"/>
      <c r="AL1503" s="37"/>
      <c r="AM1503" s="181"/>
      <c r="AN1503" s="37"/>
      <c r="AO1503" s="37"/>
      <c r="AP1503" s="37"/>
      <c r="AQ1503" s="37"/>
      <c r="AR1503" s="37"/>
      <c r="AS1503" s="37"/>
      <c r="AT1503" s="37"/>
      <c r="AU1503" s="37"/>
      <c r="AV1503" s="37"/>
      <c r="AW1503" s="37"/>
      <c r="AX1503" s="37"/>
      <c r="AY1503" s="37"/>
      <c r="AZ1503" s="37"/>
    </row>
    <row r="1504" spans="1:52" ht="15.5" customHeight="1">
      <c r="A1504" s="360"/>
      <c r="B1504" s="340"/>
      <c r="C1504" s="181"/>
      <c r="D1504" s="30"/>
      <c r="E1504" s="30"/>
      <c r="F1504" s="30"/>
      <c r="G1504" s="37"/>
      <c r="H1504" s="37"/>
      <c r="I1504" s="37"/>
      <c r="J1504" s="37" t="s">
        <v>69</v>
      </c>
      <c r="K1504" s="325" t="s">
        <v>69</v>
      </c>
      <c r="L1504" s="181"/>
      <c r="M1504" s="181"/>
      <c r="N1504" s="37"/>
      <c r="O1504" s="31"/>
      <c r="P1504" s="37"/>
      <c r="Q1504" s="181"/>
      <c r="R1504" s="181"/>
      <c r="S1504" s="181"/>
      <c r="T1504" s="181"/>
      <c r="U1504" s="181"/>
      <c r="V1504" s="37"/>
      <c r="W1504" s="181"/>
      <c r="X1504" s="38"/>
      <c r="Y1504" s="38"/>
      <c r="Z1504" s="38"/>
      <c r="AA1504" s="38"/>
      <c r="AB1504" s="248"/>
      <c r="AC1504" s="250"/>
      <c r="AD1504" s="181"/>
      <c r="AE1504" s="37"/>
      <c r="AF1504" s="37"/>
      <c r="AG1504" s="33"/>
      <c r="AH1504" s="37"/>
      <c r="AI1504" s="37"/>
      <c r="AJ1504" s="181"/>
      <c r="AK1504" s="37"/>
      <c r="AL1504" s="37"/>
      <c r="AM1504" s="181"/>
      <c r="AN1504" s="37"/>
      <c r="AO1504" s="37"/>
      <c r="AP1504" s="37"/>
      <c r="AQ1504" s="37"/>
      <c r="AR1504" s="37"/>
      <c r="AS1504" s="37"/>
      <c r="AT1504" s="37"/>
      <c r="AU1504" s="37"/>
      <c r="AV1504" s="37"/>
      <c r="AW1504" s="37"/>
      <c r="AX1504" s="37"/>
      <c r="AY1504" s="37"/>
      <c r="AZ1504" s="37"/>
    </row>
    <row r="1505" spans="1:52" ht="15.5" customHeight="1">
      <c r="A1505" s="360"/>
      <c r="B1505" s="340"/>
      <c r="C1505" s="181"/>
      <c r="D1505" s="30"/>
      <c r="E1505" s="30"/>
      <c r="F1505" s="30"/>
      <c r="G1505" s="37"/>
      <c r="H1505" s="37"/>
      <c r="I1505" s="37"/>
      <c r="J1505" s="37" t="s">
        <v>69</v>
      </c>
      <c r="K1505" s="325" t="s">
        <v>69</v>
      </c>
      <c r="L1505" s="181"/>
      <c r="M1505" s="181"/>
      <c r="N1505" s="37"/>
      <c r="O1505" s="31"/>
      <c r="P1505" s="37"/>
      <c r="Q1505" s="181"/>
      <c r="R1505" s="181"/>
      <c r="S1505" s="181"/>
      <c r="T1505" s="181"/>
      <c r="U1505" s="181"/>
      <c r="V1505" s="37"/>
      <c r="W1505" s="181"/>
      <c r="X1505" s="38"/>
      <c r="Y1505" s="38"/>
      <c r="Z1505" s="38"/>
      <c r="AA1505" s="38"/>
      <c r="AB1505" s="248"/>
      <c r="AC1505" s="250"/>
      <c r="AD1505" s="181"/>
      <c r="AE1505" s="37"/>
      <c r="AF1505" s="37"/>
      <c r="AG1505" s="33"/>
      <c r="AH1505" s="37"/>
      <c r="AI1505" s="37"/>
      <c r="AJ1505" s="181"/>
      <c r="AK1505" s="37"/>
      <c r="AL1505" s="37"/>
      <c r="AM1505" s="181"/>
      <c r="AN1505" s="37"/>
      <c r="AO1505" s="37"/>
      <c r="AP1505" s="37"/>
      <c r="AQ1505" s="37"/>
      <c r="AR1505" s="37"/>
      <c r="AS1505" s="37"/>
      <c r="AT1505" s="37"/>
      <c r="AU1505" s="37"/>
      <c r="AV1505" s="37"/>
      <c r="AW1505" s="37"/>
      <c r="AX1505" s="37"/>
      <c r="AY1505" s="37"/>
      <c r="AZ1505" s="37"/>
    </row>
    <row r="1506" spans="1:52" ht="15.5" customHeight="1">
      <c r="A1506" s="360"/>
      <c r="B1506" s="340"/>
      <c r="C1506" s="181"/>
      <c r="D1506" s="30"/>
      <c r="E1506" s="30"/>
      <c r="F1506" s="30"/>
      <c r="G1506" s="37"/>
      <c r="H1506" s="37"/>
      <c r="I1506" s="37"/>
      <c r="J1506" s="37" t="s">
        <v>69</v>
      </c>
      <c r="K1506" s="325" t="s">
        <v>69</v>
      </c>
      <c r="L1506" s="181"/>
      <c r="M1506" s="181"/>
      <c r="N1506" s="37"/>
      <c r="O1506" s="31"/>
      <c r="P1506" s="37"/>
      <c r="Q1506" s="181"/>
      <c r="R1506" s="181"/>
      <c r="S1506" s="181"/>
      <c r="T1506" s="181"/>
      <c r="U1506" s="181"/>
      <c r="V1506" s="37"/>
      <c r="W1506" s="181"/>
      <c r="X1506" s="38"/>
      <c r="Y1506" s="38"/>
      <c r="Z1506" s="38"/>
      <c r="AA1506" s="38"/>
      <c r="AB1506" s="248"/>
      <c r="AC1506" s="250"/>
      <c r="AD1506" s="181"/>
      <c r="AE1506" s="37"/>
      <c r="AF1506" s="37"/>
      <c r="AG1506" s="33"/>
      <c r="AH1506" s="37"/>
      <c r="AI1506" s="37"/>
      <c r="AJ1506" s="181"/>
      <c r="AK1506" s="37"/>
      <c r="AL1506" s="37"/>
      <c r="AM1506" s="181"/>
      <c r="AN1506" s="37"/>
      <c r="AO1506" s="37"/>
      <c r="AP1506" s="37"/>
      <c r="AQ1506" s="37"/>
      <c r="AR1506" s="37"/>
      <c r="AS1506" s="37"/>
      <c r="AT1506" s="37"/>
      <c r="AU1506" s="37"/>
      <c r="AV1506" s="37"/>
      <c r="AW1506" s="37"/>
      <c r="AX1506" s="37"/>
      <c r="AY1506" s="37"/>
      <c r="AZ1506" s="37"/>
    </row>
    <row r="1507" spans="1:52" ht="15.5" customHeight="1">
      <c r="A1507" s="360"/>
      <c r="B1507" s="340"/>
      <c r="C1507" s="181"/>
      <c r="D1507" s="30"/>
      <c r="E1507" s="30"/>
      <c r="F1507" s="30"/>
      <c r="G1507" s="37"/>
      <c r="H1507" s="37"/>
      <c r="I1507" s="37"/>
      <c r="J1507" s="37" t="s">
        <v>69</v>
      </c>
      <c r="K1507" s="325" t="s">
        <v>69</v>
      </c>
      <c r="L1507" s="181"/>
      <c r="M1507" s="181"/>
      <c r="N1507" s="37"/>
      <c r="O1507" s="31"/>
      <c r="P1507" s="37"/>
      <c r="Q1507" s="181"/>
      <c r="R1507" s="181"/>
      <c r="S1507" s="181"/>
      <c r="T1507" s="181"/>
      <c r="U1507" s="181"/>
      <c r="V1507" s="37"/>
      <c r="W1507" s="181"/>
      <c r="X1507" s="38"/>
      <c r="Y1507" s="38"/>
      <c r="Z1507" s="38"/>
      <c r="AA1507" s="38"/>
      <c r="AB1507" s="248"/>
      <c r="AC1507" s="250"/>
      <c r="AD1507" s="181"/>
      <c r="AE1507" s="37"/>
      <c r="AF1507" s="37"/>
      <c r="AG1507" s="33"/>
      <c r="AH1507" s="37"/>
      <c r="AI1507" s="37"/>
      <c r="AJ1507" s="181"/>
      <c r="AK1507" s="37"/>
      <c r="AL1507" s="37"/>
      <c r="AM1507" s="181"/>
      <c r="AN1507" s="37"/>
      <c r="AO1507" s="37"/>
      <c r="AP1507" s="37"/>
      <c r="AQ1507" s="37"/>
      <c r="AR1507" s="37"/>
      <c r="AS1507" s="37"/>
      <c r="AT1507" s="37"/>
      <c r="AU1507" s="37"/>
      <c r="AV1507" s="37"/>
      <c r="AW1507" s="37"/>
      <c r="AX1507" s="37"/>
      <c r="AY1507" s="37"/>
      <c r="AZ1507" s="37"/>
    </row>
    <row r="1508" spans="1:52" ht="15.5" customHeight="1">
      <c r="A1508" s="360"/>
      <c r="B1508" s="340"/>
      <c r="C1508" s="181"/>
      <c r="D1508" s="30"/>
      <c r="E1508" s="30"/>
      <c r="F1508" s="30"/>
      <c r="G1508" s="37"/>
      <c r="H1508" s="37"/>
      <c r="I1508" s="37"/>
      <c r="J1508" s="37" t="s">
        <v>69</v>
      </c>
      <c r="K1508" s="325" t="s">
        <v>69</v>
      </c>
      <c r="L1508" s="181"/>
      <c r="M1508" s="181"/>
      <c r="N1508" s="37"/>
      <c r="O1508" s="31"/>
      <c r="P1508" s="37"/>
      <c r="Q1508" s="181"/>
      <c r="R1508" s="181"/>
      <c r="S1508" s="181"/>
      <c r="T1508" s="181"/>
      <c r="U1508" s="181"/>
      <c r="V1508" s="37"/>
      <c r="W1508" s="181"/>
      <c r="X1508" s="38"/>
      <c r="Y1508" s="38"/>
      <c r="Z1508" s="38"/>
      <c r="AA1508" s="38"/>
      <c r="AB1508" s="248"/>
      <c r="AC1508" s="250"/>
      <c r="AD1508" s="181"/>
      <c r="AE1508" s="37"/>
      <c r="AF1508" s="37"/>
      <c r="AG1508" s="33"/>
      <c r="AH1508" s="37"/>
      <c r="AI1508" s="37"/>
      <c r="AJ1508" s="181"/>
      <c r="AK1508" s="37"/>
      <c r="AL1508" s="37"/>
      <c r="AM1508" s="181"/>
      <c r="AN1508" s="37"/>
      <c r="AO1508" s="37"/>
      <c r="AP1508" s="37"/>
      <c r="AQ1508" s="37"/>
      <c r="AR1508" s="37"/>
      <c r="AS1508" s="37"/>
      <c r="AT1508" s="37"/>
      <c r="AU1508" s="37"/>
      <c r="AV1508" s="37"/>
      <c r="AW1508" s="37"/>
      <c r="AX1508" s="37"/>
      <c r="AY1508" s="37"/>
      <c r="AZ1508" s="37"/>
    </row>
    <row r="1509" spans="1:52" ht="15.5" customHeight="1">
      <c r="A1509" s="360"/>
      <c r="B1509" s="340"/>
      <c r="C1509" s="181"/>
      <c r="D1509" s="30"/>
      <c r="E1509" s="30"/>
      <c r="F1509" s="30"/>
      <c r="G1509" s="37"/>
      <c r="H1509" s="37"/>
      <c r="I1509" s="37"/>
      <c r="J1509" s="37" t="s">
        <v>69</v>
      </c>
      <c r="K1509" s="325" t="s">
        <v>69</v>
      </c>
      <c r="L1509" s="181"/>
      <c r="M1509" s="181"/>
      <c r="N1509" s="37"/>
      <c r="O1509" s="31"/>
      <c r="P1509" s="37"/>
      <c r="Q1509" s="181"/>
      <c r="R1509" s="181"/>
      <c r="S1509" s="181"/>
      <c r="T1509" s="181"/>
      <c r="U1509" s="181"/>
      <c r="V1509" s="37"/>
      <c r="W1509" s="181"/>
      <c r="X1509" s="38"/>
      <c r="Y1509" s="38"/>
      <c r="Z1509" s="38"/>
      <c r="AA1509" s="38"/>
      <c r="AB1509" s="248"/>
      <c r="AC1509" s="250"/>
      <c r="AD1509" s="181"/>
      <c r="AE1509" s="37"/>
      <c r="AF1509" s="37"/>
      <c r="AG1509" s="33"/>
      <c r="AH1509" s="37"/>
      <c r="AI1509" s="37"/>
      <c r="AJ1509" s="181"/>
      <c r="AK1509" s="37"/>
      <c r="AL1509" s="37"/>
      <c r="AM1509" s="181"/>
      <c r="AN1509" s="37"/>
      <c r="AO1509" s="37"/>
      <c r="AP1509" s="37"/>
      <c r="AQ1509" s="37"/>
      <c r="AR1509" s="37"/>
      <c r="AS1509" s="37"/>
      <c r="AT1509" s="37"/>
      <c r="AU1509" s="37"/>
      <c r="AV1509" s="37"/>
      <c r="AW1509" s="37"/>
      <c r="AX1509" s="37"/>
      <c r="AY1509" s="37"/>
      <c r="AZ1509" s="37"/>
    </row>
    <row r="1510" spans="1:52" ht="15.5" customHeight="1">
      <c r="A1510" s="360"/>
      <c r="B1510" s="340"/>
      <c r="C1510" s="181"/>
      <c r="D1510" s="30"/>
      <c r="E1510" s="30"/>
      <c r="F1510" s="30"/>
      <c r="G1510" s="37"/>
      <c r="H1510" s="37"/>
      <c r="I1510" s="37"/>
      <c r="J1510" s="37" t="s">
        <v>69</v>
      </c>
      <c r="K1510" s="325" t="s">
        <v>69</v>
      </c>
      <c r="L1510" s="181"/>
      <c r="M1510" s="181"/>
      <c r="N1510" s="37"/>
      <c r="O1510" s="31"/>
      <c r="P1510" s="37"/>
      <c r="Q1510" s="181"/>
      <c r="R1510" s="181"/>
      <c r="S1510" s="181"/>
      <c r="T1510" s="181"/>
      <c r="U1510" s="181"/>
      <c r="V1510" s="37"/>
      <c r="W1510" s="181"/>
      <c r="X1510" s="38"/>
      <c r="Y1510" s="38"/>
      <c r="Z1510" s="38"/>
      <c r="AA1510" s="38"/>
      <c r="AB1510" s="248"/>
      <c r="AC1510" s="250"/>
      <c r="AD1510" s="181"/>
      <c r="AE1510" s="37"/>
      <c r="AF1510" s="37"/>
      <c r="AG1510" s="33"/>
      <c r="AH1510" s="37"/>
      <c r="AI1510" s="37"/>
      <c r="AJ1510" s="181"/>
      <c r="AK1510" s="37"/>
      <c r="AL1510" s="37"/>
      <c r="AM1510" s="181"/>
      <c r="AN1510" s="37"/>
      <c r="AO1510" s="37"/>
      <c r="AP1510" s="37"/>
      <c r="AQ1510" s="37"/>
      <c r="AR1510" s="37"/>
      <c r="AS1510" s="37"/>
      <c r="AT1510" s="37"/>
      <c r="AU1510" s="37"/>
      <c r="AV1510" s="37"/>
      <c r="AW1510" s="37"/>
      <c r="AX1510" s="37"/>
      <c r="AY1510" s="37"/>
      <c r="AZ1510" s="37"/>
    </row>
    <row r="1511" spans="1:52" ht="15.5" customHeight="1">
      <c r="A1511" s="360"/>
      <c r="B1511" s="340"/>
      <c r="C1511" s="181"/>
      <c r="D1511" s="30"/>
      <c r="E1511" s="30"/>
      <c r="F1511" s="30"/>
      <c r="G1511" s="37"/>
      <c r="H1511" s="37"/>
      <c r="I1511" s="37"/>
      <c r="J1511" s="37" t="s">
        <v>69</v>
      </c>
      <c r="K1511" s="325" t="s">
        <v>69</v>
      </c>
      <c r="L1511" s="181"/>
      <c r="M1511" s="181"/>
      <c r="N1511" s="37"/>
      <c r="O1511" s="31"/>
      <c r="P1511" s="37"/>
      <c r="Q1511" s="181"/>
      <c r="R1511" s="181"/>
      <c r="S1511" s="181"/>
      <c r="T1511" s="181"/>
      <c r="U1511" s="181"/>
      <c r="V1511" s="37"/>
      <c r="W1511" s="181"/>
      <c r="X1511" s="38"/>
      <c r="Y1511" s="38"/>
      <c r="Z1511" s="38"/>
      <c r="AA1511" s="38"/>
      <c r="AB1511" s="248"/>
      <c r="AC1511" s="250"/>
      <c r="AD1511" s="181"/>
      <c r="AE1511" s="37"/>
      <c r="AF1511" s="37"/>
      <c r="AG1511" s="33"/>
      <c r="AH1511" s="37"/>
      <c r="AI1511" s="37"/>
      <c r="AJ1511" s="181"/>
      <c r="AK1511" s="37"/>
      <c r="AL1511" s="37"/>
      <c r="AM1511" s="181"/>
      <c r="AN1511" s="37"/>
      <c r="AO1511" s="37"/>
      <c r="AP1511" s="37"/>
      <c r="AQ1511" s="37"/>
      <c r="AR1511" s="37"/>
      <c r="AS1511" s="37"/>
      <c r="AT1511" s="37"/>
      <c r="AU1511" s="37"/>
      <c r="AV1511" s="37"/>
      <c r="AW1511" s="37"/>
      <c r="AX1511" s="37"/>
      <c r="AY1511" s="37"/>
      <c r="AZ1511" s="37"/>
    </row>
    <row r="1512" spans="1:52" ht="15.5" customHeight="1">
      <c r="A1512" s="360"/>
      <c r="B1512" s="340"/>
      <c r="C1512" s="181"/>
      <c r="D1512" s="30"/>
      <c r="E1512" s="30"/>
      <c r="F1512" s="30"/>
      <c r="G1512" s="37"/>
      <c r="H1512" s="37"/>
      <c r="I1512" s="37"/>
      <c r="J1512" s="37" t="s">
        <v>69</v>
      </c>
      <c r="K1512" s="325" t="s">
        <v>69</v>
      </c>
      <c r="L1512" s="181"/>
      <c r="M1512" s="181"/>
      <c r="N1512" s="37"/>
      <c r="O1512" s="31"/>
      <c r="P1512" s="37"/>
      <c r="Q1512" s="181"/>
      <c r="R1512" s="181"/>
      <c r="S1512" s="181"/>
      <c r="T1512" s="181"/>
      <c r="U1512" s="181"/>
      <c r="V1512" s="37"/>
      <c r="W1512" s="181"/>
      <c r="X1512" s="38"/>
      <c r="Y1512" s="38"/>
      <c r="Z1512" s="38"/>
      <c r="AA1512" s="38"/>
      <c r="AB1512" s="248"/>
      <c r="AC1512" s="250"/>
      <c r="AD1512" s="181"/>
      <c r="AE1512" s="37"/>
      <c r="AF1512" s="37"/>
      <c r="AG1512" s="33"/>
      <c r="AH1512" s="37"/>
      <c r="AI1512" s="37"/>
      <c r="AJ1512" s="181"/>
      <c r="AK1512" s="37"/>
      <c r="AL1512" s="37"/>
      <c r="AM1512" s="181"/>
      <c r="AN1512" s="37"/>
      <c r="AO1512" s="37"/>
      <c r="AP1512" s="37"/>
      <c r="AQ1512" s="37"/>
      <c r="AR1512" s="37"/>
      <c r="AS1512" s="37"/>
      <c r="AT1512" s="37"/>
      <c r="AU1512" s="37"/>
      <c r="AV1512" s="37"/>
      <c r="AW1512" s="37"/>
      <c r="AX1512" s="37"/>
      <c r="AY1512" s="37"/>
      <c r="AZ1512" s="37"/>
    </row>
    <row r="1513" spans="1:52" ht="15.5" customHeight="1">
      <c r="A1513" s="360"/>
      <c r="B1513" s="340"/>
      <c r="C1513" s="181"/>
      <c r="D1513" s="30"/>
      <c r="E1513" s="30"/>
      <c r="F1513" s="30"/>
      <c r="G1513" s="37"/>
      <c r="H1513" s="37"/>
      <c r="I1513" s="37"/>
      <c r="J1513" s="37" t="s">
        <v>69</v>
      </c>
      <c r="K1513" s="325" t="s">
        <v>69</v>
      </c>
      <c r="L1513" s="181"/>
      <c r="M1513" s="181"/>
      <c r="N1513" s="37"/>
      <c r="O1513" s="31"/>
      <c r="P1513" s="37"/>
      <c r="Q1513" s="181"/>
      <c r="R1513" s="181"/>
      <c r="S1513" s="181"/>
      <c r="T1513" s="181"/>
      <c r="U1513" s="181"/>
      <c r="V1513" s="37"/>
      <c r="W1513" s="181"/>
      <c r="X1513" s="38"/>
      <c r="Y1513" s="38"/>
      <c r="Z1513" s="38"/>
      <c r="AA1513" s="38"/>
      <c r="AB1513" s="248"/>
      <c r="AC1513" s="250"/>
      <c r="AD1513" s="181"/>
      <c r="AE1513" s="37"/>
      <c r="AF1513" s="37"/>
      <c r="AG1513" s="33"/>
      <c r="AH1513" s="37"/>
      <c r="AI1513" s="37"/>
      <c r="AJ1513" s="181"/>
      <c r="AK1513" s="37"/>
      <c r="AL1513" s="37"/>
      <c r="AM1513" s="181"/>
      <c r="AN1513" s="37"/>
      <c r="AO1513" s="37"/>
      <c r="AP1513" s="37"/>
      <c r="AQ1513" s="37"/>
      <c r="AR1513" s="37"/>
      <c r="AS1513" s="37"/>
      <c r="AT1513" s="37"/>
      <c r="AU1513" s="37"/>
      <c r="AV1513" s="37"/>
      <c r="AW1513" s="37"/>
      <c r="AX1513" s="37"/>
      <c r="AY1513" s="37"/>
      <c r="AZ1513" s="37"/>
    </row>
    <row r="1514" spans="1:52" ht="15.5" customHeight="1">
      <c r="A1514" s="360"/>
      <c r="B1514" s="340"/>
      <c r="C1514" s="181"/>
      <c r="D1514" s="30"/>
      <c r="E1514" s="30"/>
      <c r="F1514" s="30"/>
      <c r="G1514" s="37"/>
      <c r="H1514" s="37"/>
      <c r="I1514" s="37"/>
      <c r="J1514" s="37" t="s">
        <v>69</v>
      </c>
      <c r="K1514" s="325" t="s">
        <v>69</v>
      </c>
      <c r="L1514" s="181"/>
      <c r="M1514" s="181"/>
      <c r="N1514" s="37"/>
      <c r="O1514" s="31"/>
      <c r="P1514" s="37"/>
      <c r="Q1514" s="181"/>
      <c r="R1514" s="181"/>
      <c r="S1514" s="181"/>
      <c r="T1514" s="181"/>
      <c r="U1514" s="181"/>
      <c r="V1514" s="37"/>
      <c r="W1514" s="181"/>
      <c r="X1514" s="38"/>
      <c r="Y1514" s="38"/>
      <c r="Z1514" s="38"/>
      <c r="AA1514" s="38"/>
      <c r="AB1514" s="248"/>
      <c r="AC1514" s="250"/>
      <c r="AD1514" s="181"/>
      <c r="AE1514" s="37"/>
      <c r="AF1514" s="37"/>
      <c r="AG1514" s="33"/>
      <c r="AH1514" s="37"/>
      <c r="AI1514" s="37"/>
      <c r="AJ1514" s="181"/>
      <c r="AK1514" s="37"/>
      <c r="AL1514" s="37"/>
      <c r="AM1514" s="181"/>
      <c r="AN1514" s="37"/>
      <c r="AO1514" s="37"/>
      <c r="AP1514" s="37"/>
      <c r="AQ1514" s="37"/>
      <c r="AR1514" s="37"/>
      <c r="AS1514" s="37"/>
      <c r="AT1514" s="37"/>
      <c r="AU1514" s="37"/>
      <c r="AV1514" s="37"/>
      <c r="AW1514" s="37"/>
      <c r="AX1514" s="37"/>
      <c r="AY1514" s="37"/>
      <c r="AZ1514" s="37"/>
    </row>
    <row r="1515" spans="1:52" ht="15.5" customHeight="1">
      <c r="A1515" s="360"/>
      <c r="B1515" s="340"/>
      <c r="C1515" s="181"/>
      <c r="D1515" s="30"/>
      <c r="E1515" s="30"/>
      <c r="F1515" s="30"/>
      <c r="G1515" s="37"/>
      <c r="H1515" s="37"/>
      <c r="I1515" s="37"/>
      <c r="J1515" s="37" t="s">
        <v>69</v>
      </c>
      <c r="K1515" s="325" t="s">
        <v>69</v>
      </c>
      <c r="L1515" s="181"/>
      <c r="M1515" s="181"/>
      <c r="N1515" s="37"/>
      <c r="O1515" s="31"/>
      <c r="P1515" s="37"/>
      <c r="Q1515" s="181"/>
      <c r="R1515" s="181"/>
      <c r="S1515" s="181"/>
      <c r="T1515" s="181"/>
      <c r="U1515" s="181"/>
      <c r="V1515" s="37"/>
      <c r="W1515" s="181"/>
      <c r="X1515" s="38"/>
      <c r="Y1515" s="38"/>
      <c r="Z1515" s="38"/>
      <c r="AA1515" s="38"/>
      <c r="AB1515" s="248"/>
      <c r="AC1515" s="250"/>
      <c r="AD1515" s="181"/>
      <c r="AE1515" s="37"/>
      <c r="AF1515" s="37"/>
      <c r="AG1515" s="33"/>
      <c r="AH1515" s="37"/>
      <c r="AI1515" s="37"/>
      <c r="AJ1515" s="181"/>
      <c r="AK1515" s="37"/>
      <c r="AL1515" s="37"/>
      <c r="AM1515" s="181"/>
      <c r="AN1515" s="37"/>
      <c r="AO1515" s="37"/>
      <c r="AP1515" s="37"/>
      <c r="AQ1515" s="37"/>
      <c r="AR1515" s="37"/>
      <c r="AS1515" s="37"/>
      <c r="AT1515" s="37"/>
      <c r="AU1515" s="37"/>
      <c r="AV1515" s="37"/>
      <c r="AW1515" s="37"/>
      <c r="AX1515" s="37"/>
      <c r="AY1515" s="37"/>
      <c r="AZ1515" s="37"/>
    </row>
    <row r="1516" spans="1:52" ht="15.5" customHeight="1">
      <c r="A1516" s="360"/>
      <c r="B1516" s="340"/>
      <c r="C1516" s="181"/>
      <c r="D1516" s="30"/>
      <c r="E1516" s="30"/>
      <c r="F1516" s="30"/>
      <c r="G1516" s="37"/>
      <c r="H1516" s="37"/>
      <c r="I1516" s="37"/>
      <c r="J1516" s="37" t="s">
        <v>69</v>
      </c>
      <c r="K1516" s="325" t="s">
        <v>69</v>
      </c>
      <c r="L1516" s="181"/>
      <c r="M1516" s="181"/>
      <c r="N1516" s="37"/>
      <c r="O1516" s="31"/>
      <c r="P1516" s="37"/>
      <c r="Q1516" s="181"/>
      <c r="R1516" s="181"/>
      <c r="S1516" s="181"/>
      <c r="T1516" s="181"/>
      <c r="U1516" s="181"/>
      <c r="V1516" s="37"/>
      <c r="W1516" s="181"/>
      <c r="X1516" s="38"/>
      <c r="Y1516" s="38"/>
      <c r="Z1516" s="38"/>
      <c r="AA1516" s="38"/>
      <c r="AB1516" s="248"/>
      <c r="AC1516" s="250"/>
      <c r="AD1516" s="181"/>
      <c r="AE1516" s="37"/>
      <c r="AF1516" s="37"/>
      <c r="AG1516" s="33"/>
      <c r="AH1516" s="37"/>
      <c r="AI1516" s="37"/>
      <c r="AJ1516" s="181"/>
      <c r="AK1516" s="37"/>
      <c r="AL1516" s="37"/>
      <c r="AM1516" s="181"/>
      <c r="AN1516" s="37"/>
      <c r="AO1516" s="37"/>
      <c r="AP1516" s="37"/>
      <c r="AQ1516" s="37"/>
      <c r="AR1516" s="37"/>
      <c r="AS1516" s="37"/>
      <c r="AT1516" s="37"/>
      <c r="AU1516" s="37"/>
      <c r="AV1516" s="37"/>
      <c r="AW1516" s="37"/>
      <c r="AX1516" s="37"/>
      <c r="AY1516" s="37"/>
      <c r="AZ1516" s="37"/>
    </row>
    <row r="1517" spans="1:52" ht="15.5" customHeight="1">
      <c r="A1517" s="360"/>
      <c r="B1517" s="340"/>
      <c r="C1517" s="181"/>
      <c r="D1517" s="30"/>
      <c r="E1517" s="30"/>
      <c r="F1517" s="30"/>
      <c r="G1517" s="37"/>
      <c r="H1517" s="37"/>
      <c r="I1517" s="37"/>
      <c r="J1517" s="37" t="s">
        <v>69</v>
      </c>
      <c r="K1517" s="325" t="s">
        <v>69</v>
      </c>
      <c r="L1517" s="181"/>
      <c r="M1517" s="181"/>
      <c r="N1517" s="37"/>
      <c r="O1517" s="31"/>
      <c r="P1517" s="37"/>
      <c r="Q1517" s="181"/>
      <c r="R1517" s="181"/>
      <c r="S1517" s="181"/>
      <c r="T1517" s="181"/>
      <c r="U1517" s="181"/>
      <c r="V1517" s="37"/>
      <c r="W1517" s="181"/>
      <c r="X1517" s="38"/>
      <c r="Y1517" s="38"/>
      <c r="Z1517" s="38"/>
      <c r="AA1517" s="38"/>
      <c r="AB1517" s="248"/>
      <c r="AC1517" s="250"/>
      <c r="AD1517" s="181"/>
      <c r="AE1517" s="37"/>
      <c r="AF1517" s="37"/>
      <c r="AG1517" s="33"/>
      <c r="AH1517" s="37"/>
      <c r="AI1517" s="37"/>
      <c r="AJ1517" s="181"/>
      <c r="AK1517" s="37"/>
      <c r="AL1517" s="37"/>
      <c r="AM1517" s="181"/>
      <c r="AN1517" s="37"/>
      <c r="AO1517" s="37"/>
      <c r="AP1517" s="37"/>
      <c r="AQ1517" s="37"/>
      <c r="AR1517" s="37"/>
      <c r="AS1517" s="37"/>
      <c r="AT1517" s="37"/>
      <c r="AU1517" s="37"/>
      <c r="AV1517" s="37"/>
      <c r="AW1517" s="37"/>
      <c r="AX1517" s="37"/>
      <c r="AY1517" s="37"/>
      <c r="AZ1517" s="37"/>
    </row>
    <row r="1518" spans="1:52" ht="15.5" customHeight="1">
      <c r="A1518" s="360"/>
      <c r="B1518" s="340"/>
      <c r="C1518" s="181"/>
      <c r="D1518" s="30"/>
      <c r="E1518" s="30"/>
      <c r="F1518" s="30"/>
      <c r="G1518" s="37"/>
      <c r="H1518" s="37"/>
      <c r="I1518" s="37"/>
      <c r="J1518" s="37" t="s">
        <v>69</v>
      </c>
      <c r="K1518" s="325" t="s">
        <v>69</v>
      </c>
      <c r="L1518" s="181"/>
      <c r="M1518" s="181"/>
      <c r="N1518" s="37"/>
      <c r="O1518" s="31"/>
      <c r="P1518" s="37"/>
      <c r="Q1518" s="181"/>
      <c r="R1518" s="181"/>
      <c r="S1518" s="181"/>
      <c r="T1518" s="181"/>
      <c r="U1518" s="181"/>
      <c r="V1518" s="37"/>
      <c r="W1518" s="181"/>
      <c r="X1518" s="38"/>
      <c r="Y1518" s="38"/>
      <c r="Z1518" s="38"/>
      <c r="AA1518" s="38"/>
      <c r="AB1518" s="248"/>
      <c r="AC1518" s="250"/>
      <c r="AD1518" s="181"/>
      <c r="AE1518" s="37"/>
      <c r="AF1518" s="37"/>
      <c r="AG1518" s="33"/>
      <c r="AH1518" s="37"/>
      <c r="AI1518" s="37"/>
      <c r="AJ1518" s="181"/>
      <c r="AK1518" s="37"/>
      <c r="AL1518" s="37"/>
      <c r="AM1518" s="181"/>
      <c r="AN1518" s="37"/>
      <c r="AO1518" s="37"/>
      <c r="AP1518" s="37"/>
      <c r="AQ1518" s="37"/>
      <c r="AR1518" s="37"/>
      <c r="AS1518" s="37"/>
      <c r="AT1518" s="37"/>
      <c r="AU1518" s="37"/>
      <c r="AV1518" s="37"/>
      <c r="AW1518" s="37"/>
      <c r="AX1518" s="37"/>
      <c r="AY1518" s="37"/>
      <c r="AZ1518" s="37"/>
    </row>
    <row r="1519" spans="1:52" ht="15.5" customHeight="1">
      <c r="A1519" s="360"/>
      <c r="B1519" s="340"/>
      <c r="C1519" s="181"/>
      <c r="D1519" s="30"/>
      <c r="E1519" s="30"/>
      <c r="F1519" s="30"/>
      <c r="G1519" s="37"/>
      <c r="H1519" s="37"/>
      <c r="I1519" s="37"/>
      <c r="J1519" s="37" t="s">
        <v>69</v>
      </c>
      <c r="K1519" s="325" t="s">
        <v>69</v>
      </c>
      <c r="L1519" s="181"/>
      <c r="M1519" s="181"/>
      <c r="N1519" s="37"/>
      <c r="O1519" s="31"/>
      <c r="P1519" s="37"/>
      <c r="Q1519" s="181"/>
      <c r="R1519" s="181"/>
      <c r="S1519" s="181"/>
      <c r="T1519" s="181"/>
      <c r="U1519" s="181"/>
      <c r="V1519" s="37"/>
      <c r="W1519" s="181"/>
      <c r="X1519" s="38"/>
      <c r="Y1519" s="38"/>
      <c r="Z1519" s="38"/>
      <c r="AA1519" s="38"/>
      <c r="AB1519" s="248"/>
      <c r="AC1519" s="250"/>
      <c r="AD1519" s="181"/>
      <c r="AE1519" s="37"/>
      <c r="AF1519" s="37"/>
      <c r="AG1519" s="33"/>
      <c r="AH1519" s="37"/>
      <c r="AI1519" s="37"/>
      <c r="AJ1519" s="181"/>
      <c r="AK1519" s="37"/>
      <c r="AL1519" s="37"/>
      <c r="AM1519" s="181"/>
      <c r="AN1519" s="37"/>
      <c r="AO1519" s="37"/>
      <c r="AP1519" s="37"/>
      <c r="AQ1519" s="37"/>
      <c r="AR1519" s="37"/>
      <c r="AS1519" s="37"/>
      <c r="AT1519" s="37"/>
      <c r="AU1519" s="37"/>
      <c r="AV1519" s="37"/>
      <c r="AW1519" s="37"/>
      <c r="AX1519" s="37"/>
      <c r="AY1519" s="37"/>
      <c r="AZ1519" s="37"/>
    </row>
    <row r="1520" spans="1:52" ht="15.5" customHeight="1">
      <c r="A1520" s="360"/>
      <c r="B1520" s="340"/>
      <c r="C1520" s="181"/>
      <c r="D1520" s="30"/>
      <c r="E1520" s="30"/>
      <c r="F1520" s="30"/>
      <c r="G1520" s="37"/>
      <c r="H1520" s="37"/>
      <c r="I1520" s="37"/>
      <c r="J1520" s="37" t="s">
        <v>69</v>
      </c>
      <c r="K1520" s="325" t="s">
        <v>69</v>
      </c>
      <c r="L1520" s="181"/>
      <c r="M1520" s="181"/>
      <c r="N1520" s="37"/>
      <c r="O1520" s="31"/>
      <c r="P1520" s="37"/>
      <c r="Q1520" s="181"/>
      <c r="R1520" s="181"/>
      <c r="S1520" s="181"/>
      <c r="T1520" s="181"/>
      <c r="U1520" s="181"/>
      <c r="V1520" s="37"/>
      <c r="W1520" s="181"/>
      <c r="X1520" s="38"/>
      <c r="Y1520" s="38"/>
      <c r="Z1520" s="38"/>
      <c r="AA1520" s="38"/>
      <c r="AB1520" s="248"/>
      <c r="AC1520" s="250"/>
      <c r="AD1520" s="181"/>
      <c r="AE1520" s="37"/>
      <c r="AF1520" s="37"/>
      <c r="AG1520" s="33"/>
      <c r="AH1520" s="37"/>
      <c r="AI1520" s="37"/>
      <c r="AJ1520" s="181"/>
      <c r="AK1520" s="37"/>
      <c r="AL1520" s="37"/>
      <c r="AM1520" s="181"/>
      <c r="AN1520" s="37"/>
      <c r="AO1520" s="37"/>
      <c r="AP1520" s="37"/>
      <c r="AQ1520" s="37"/>
      <c r="AR1520" s="37"/>
      <c r="AS1520" s="37"/>
      <c r="AT1520" s="37"/>
      <c r="AU1520" s="37"/>
      <c r="AV1520" s="37"/>
      <c r="AW1520" s="37"/>
      <c r="AX1520" s="37"/>
      <c r="AY1520" s="37"/>
      <c r="AZ1520" s="37"/>
    </row>
    <row r="1521" spans="1:52" ht="15.5" customHeight="1">
      <c r="A1521" s="360"/>
      <c r="B1521" s="340"/>
      <c r="C1521" s="181"/>
      <c r="D1521" s="30"/>
      <c r="E1521" s="30"/>
      <c r="F1521" s="30"/>
      <c r="G1521" s="37"/>
      <c r="H1521" s="37"/>
      <c r="I1521" s="37"/>
      <c r="J1521" s="37" t="s">
        <v>69</v>
      </c>
      <c r="K1521" s="325" t="s">
        <v>69</v>
      </c>
      <c r="L1521" s="181"/>
      <c r="M1521" s="181"/>
      <c r="N1521" s="37"/>
      <c r="O1521" s="31"/>
      <c r="P1521" s="37"/>
      <c r="Q1521" s="181"/>
      <c r="R1521" s="181"/>
      <c r="S1521" s="181"/>
      <c r="T1521" s="181"/>
      <c r="U1521" s="181"/>
      <c r="V1521" s="37"/>
      <c r="W1521" s="181"/>
      <c r="X1521" s="38"/>
      <c r="Y1521" s="38"/>
      <c r="Z1521" s="38"/>
      <c r="AA1521" s="38"/>
      <c r="AB1521" s="248"/>
      <c r="AC1521" s="250"/>
      <c r="AD1521" s="181"/>
      <c r="AE1521" s="37"/>
      <c r="AF1521" s="37"/>
      <c r="AG1521" s="33"/>
      <c r="AH1521" s="37"/>
      <c r="AI1521" s="37"/>
      <c r="AJ1521" s="181"/>
      <c r="AK1521" s="37"/>
      <c r="AL1521" s="37"/>
      <c r="AM1521" s="181"/>
      <c r="AN1521" s="37"/>
      <c r="AO1521" s="37"/>
      <c r="AP1521" s="37"/>
      <c r="AQ1521" s="37"/>
      <c r="AR1521" s="37"/>
      <c r="AS1521" s="37"/>
      <c r="AT1521" s="37"/>
      <c r="AU1521" s="37"/>
      <c r="AV1521" s="37"/>
      <c r="AW1521" s="37"/>
      <c r="AX1521" s="37"/>
      <c r="AY1521" s="37"/>
      <c r="AZ1521" s="37"/>
    </row>
    <row r="1522" spans="1:52" ht="15.5" customHeight="1">
      <c r="A1522" s="360"/>
      <c r="B1522" s="340"/>
      <c r="C1522" s="181"/>
      <c r="D1522" s="30"/>
      <c r="E1522" s="30"/>
      <c r="F1522" s="30"/>
      <c r="G1522" s="37"/>
      <c r="H1522" s="37"/>
      <c r="I1522" s="37"/>
      <c r="J1522" s="37" t="s">
        <v>69</v>
      </c>
      <c r="K1522" s="325" t="s">
        <v>69</v>
      </c>
      <c r="L1522" s="181"/>
      <c r="M1522" s="181"/>
      <c r="N1522" s="37"/>
      <c r="O1522" s="31"/>
      <c r="P1522" s="37"/>
      <c r="Q1522" s="181"/>
      <c r="R1522" s="181"/>
      <c r="S1522" s="181"/>
      <c r="T1522" s="181"/>
      <c r="U1522" s="181"/>
      <c r="V1522" s="37"/>
      <c r="W1522" s="181"/>
      <c r="X1522" s="38"/>
      <c r="Y1522" s="38"/>
      <c r="Z1522" s="38"/>
      <c r="AA1522" s="38"/>
      <c r="AB1522" s="248"/>
      <c r="AC1522" s="250"/>
      <c r="AD1522" s="181"/>
      <c r="AE1522" s="37"/>
      <c r="AF1522" s="37"/>
      <c r="AG1522" s="33"/>
      <c r="AH1522" s="37"/>
      <c r="AI1522" s="37"/>
      <c r="AJ1522" s="181"/>
      <c r="AK1522" s="37"/>
      <c r="AL1522" s="37"/>
      <c r="AM1522" s="181"/>
      <c r="AN1522" s="37"/>
      <c r="AO1522" s="37"/>
      <c r="AP1522" s="37"/>
      <c r="AQ1522" s="37"/>
      <c r="AR1522" s="37"/>
      <c r="AS1522" s="37"/>
      <c r="AT1522" s="37"/>
      <c r="AU1522" s="37"/>
      <c r="AV1522" s="37"/>
      <c r="AW1522" s="37"/>
      <c r="AX1522" s="37"/>
      <c r="AY1522" s="37"/>
      <c r="AZ1522" s="37"/>
    </row>
    <row r="1523" spans="1:52" ht="15.5" customHeight="1">
      <c r="A1523" s="360"/>
      <c r="B1523" s="340"/>
      <c r="C1523" s="181"/>
      <c r="D1523" s="30"/>
      <c r="E1523" s="30"/>
      <c r="F1523" s="30"/>
      <c r="G1523" s="37"/>
      <c r="H1523" s="37"/>
      <c r="I1523" s="37"/>
      <c r="J1523" s="37" t="s">
        <v>69</v>
      </c>
      <c r="K1523" s="325" t="s">
        <v>69</v>
      </c>
      <c r="L1523" s="181"/>
      <c r="M1523" s="181"/>
      <c r="N1523" s="37"/>
      <c r="O1523" s="31"/>
      <c r="P1523" s="37"/>
      <c r="Q1523" s="181"/>
      <c r="R1523" s="181"/>
      <c r="S1523" s="181"/>
      <c r="T1523" s="181"/>
      <c r="U1523" s="181"/>
      <c r="V1523" s="37"/>
      <c r="W1523" s="181"/>
      <c r="X1523" s="38"/>
      <c r="Y1523" s="38"/>
      <c r="Z1523" s="38"/>
      <c r="AA1523" s="38"/>
      <c r="AB1523" s="248"/>
      <c r="AC1523" s="250"/>
      <c r="AD1523" s="181"/>
      <c r="AE1523" s="37"/>
      <c r="AF1523" s="37"/>
      <c r="AG1523" s="33"/>
      <c r="AH1523" s="37"/>
      <c r="AI1523" s="37"/>
      <c r="AJ1523" s="181"/>
      <c r="AK1523" s="37"/>
      <c r="AL1523" s="37"/>
      <c r="AM1523" s="181"/>
      <c r="AN1523" s="37"/>
      <c r="AO1523" s="37"/>
      <c r="AP1523" s="37"/>
      <c r="AQ1523" s="37"/>
      <c r="AR1523" s="37"/>
      <c r="AS1523" s="37"/>
      <c r="AT1523" s="37"/>
      <c r="AU1523" s="37"/>
      <c r="AV1523" s="37"/>
      <c r="AW1523" s="37"/>
      <c r="AX1523" s="37"/>
      <c r="AY1523" s="37"/>
      <c r="AZ1523" s="37"/>
    </row>
    <row r="1524" spans="1:52" ht="15.5" customHeight="1">
      <c r="A1524" s="360"/>
      <c r="B1524" s="340"/>
      <c r="C1524" s="181"/>
      <c r="D1524" s="30"/>
      <c r="E1524" s="30"/>
      <c r="F1524" s="30"/>
      <c r="G1524" s="37"/>
      <c r="H1524" s="37"/>
      <c r="I1524" s="37"/>
      <c r="J1524" s="37" t="s">
        <v>69</v>
      </c>
      <c r="K1524" s="325" t="s">
        <v>69</v>
      </c>
      <c r="L1524" s="181"/>
      <c r="M1524" s="181"/>
      <c r="N1524" s="37"/>
      <c r="O1524" s="31"/>
      <c r="P1524" s="37"/>
      <c r="Q1524" s="181"/>
      <c r="R1524" s="181"/>
      <c r="S1524" s="181"/>
      <c r="T1524" s="181"/>
      <c r="U1524" s="181"/>
      <c r="V1524" s="37"/>
      <c r="W1524" s="181"/>
      <c r="X1524" s="38"/>
      <c r="Y1524" s="38"/>
      <c r="Z1524" s="38"/>
      <c r="AA1524" s="38"/>
      <c r="AB1524" s="248"/>
      <c r="AC1524" s="250"/>
      <c r="AD1524" s="181"/>
      <c r="AE1524" s="37"/>
      <c r="AF1524" s="37"/>
      <c r="AG1524" s="33"/>
      <c r="AH1524" s="37"/>
      <c r="AI1524" s="37"/>
      <c r="AJ1524" s="181"/>
      <c r="AK1524" s="37"/>
      <c r="AL1524" s="37"/>
      <c r="AM1524" s="181"/>
      <c r="AN1524" s="37"/>
      <c r="AO1524" s="37"/>
      <c r="AP1524" s="37"/>
      <c r="AQ1524" s="37"/>
      <c r="AR1524" s="37"/>
      <c r="AS1524" s="37"/>
      <c r="AT1524" s="37"/>
      <c r="AU1524" s="37"/>
      <c r="AV1524" s="37"/>
      <c r="AW1524" s="37"/>
      <c r="AX1524" s="37"/>
      <c r="AY1524" s="37"/>
      <c r="AZ1524" s="37"/>
    </row>
    <row r="1525" spans="1:52" ht="15.5" customHeight="1">
      <c r="A1525" s="360"/>
      <c r="B1525" s="340"/>
      <c r="C1525" s="181"/>
      <c r="D1525" s="30"/>
      <c r="E1525" s="30"/>
      <c r="F1525" s="30"/>
      <c r="G1525" s="37"/>
      <c r="H1525" s="37"/>
      <c r="I1525" s="37"/>
      <c r="J1525" s="37" t="s">
        <v>69</v>
      </c>
      <c r="K1525" s="325" t="s">
        <v>69</v>
      </c>
      <c r="L1525" s="181"/>
      <c r="M1525" s="181"/>
      <c r="N1525" s="37"/>
      <c r="O1525" s="31"/>
      <c r="P1525" s="37"/>
      <c r="Q1525" s="181"/>
      <c r="R1525" s="181"/>
      <c r="S1525" s="181"/>
      <c r="T1525" s="181"/>
      <c r="U1525" s="181"/>
      <c r="V1525" s="37"/>
      <c r="W1525" s="181"/>
      <c r="X1525" s="38"/>
      <c r="Y1525" s="38"/>
      <c r="Z1525" s="38"/>
      <c r="AA1525" s="38"/>
      <c r="AB1525" s="248"/>
      <c r="AC1525" s="250"/>
      <c r="AD1525" s="181"/>
      <c r="AE1525" s="37"/>
      <c r="AF1525" s="37"/>
      <c r="AG1525" s="33"/>
      <c r="AH1525" s="37"/>
      <c r="AI1525" s="37"/>
      <c r="AJ1525" s="181"/>
      <c r="AK1525" s="37"/>
      <c r="AL1525" s="37"/>
      <c r="AM1525" s="181"/>
      <c r="AN1525" s="37"/>
      <c r="AO1525" s="37"/>
      <c r="AP1525" s="37"/>
      <c r="AQ1525" s="37"/>
      <c r="AR1525" s="37"/>
      <c r="AS1525" s="37"/>
      <c r="AT1525" s="37"/>
      <c r="AU1525" s="37"/>
      <c r="AV1525" s="37"/>
      <c r="AW1525" s="37"/>
      <c r="AX1525" s="37"/>
      <c r="AY1525" s="37"/>
      <c r="AZ1525" s="37"/>
    </row>
    <row r="1526" spans="1:52" ht="15.5" customHeight="1">
      <c r="A1526" s="360"/>
      <c r="B1526" s="340"/>
      <c r="C1526" s="181"/>
      <c r="D1526" s="30"/>
      <c r="E1526" s="30"/>
      <c r="F1526" s="30"/>
      <c r="G1526" s="37"/>
      <c r="H1526" s="37"/>
      <c r="I1526" s="37"/>
      <c r="J1526" s="37" t="s">
        <v>69</v>
      </c>
      <c r="K1526" s="325" t="s">
        <v>69</v>
      </c>
      <c r="L1526" s="181"/>
      <c r="M1526" s="181"/>
      <c r="N1526" s="37"/>
      <c r="O1526" s="31"/>
      <c r="P1526" s="37"/>
      <c r="Q1526" s="181"/>
      <c r="R1526" s="181"/>
      <c r="S1526" s="181"/>
      <c r="T1526" s="181"/>
      <c r="U1526" s="181"/>
      <c r="V1526" s="37"/>
      <c r="W1526" s="181"/>
      <c r="X1526" s="38"/>
      <c r="Y1526" s="38"/>
      <c r="Z1526" s="38"/>
      <c r="AA1526" s="38"/>
      <c r="AB1526" s="248"/>
      <c r="AC1526" s="250"/>
      <c r="AD1526" s="181"/>
      <c r="AE1526" s="37"/>
      <c r="AF1526" s="37"/>
      <c r="AG1526" s="33"/>
      <c r="AH1526" s="37"/>
      <c r="AI1526" s="37"/>
      <c r="AJ1526" s="181"/>
      <c r="AK1526" s="37"/>
      <c r="AL1526" s="37"/>
      <c r="AM1526" s="181"/>
      <c r="AN1526" s="37"/>
      <c r="AO1526" s="37"/>
      <c r="AP1526" s="37"/>
      <c r="AQ1526" s="37"/>
      <c r="AR1526" s="37"/>
      <c r="AS1526" s="37"/>
      <c r="AT1526" s="37"/>
      <c r="AU1526" s="37"/>
      <c r="AV1526" s="37"/>
      <c r="AW1526" s="37"/>
      <c r="AX1526" s="37"/>
      <c r="AY1526" s="37"/>
      <c r="AZ1526" s="37"/>
    </row>
    <row r="1527" spans="1:52" ht="15.5" customHeight="1">
      <c r="A1527" s="360"/>
      <c r="B1527" s="340"/>
      <c r="C1527" s="181"/>
      <c r="D1527" s="30"/>
      <c r="E1527" s="30"/>
      <c r="F1527" s="30"/>
      <c r="G1527" s="37"/>
      <c r="H1527" s="37"/>
      <c r="I1527" s="37"/>
      <c r="J1527" s="37" t="s">
        <v>69</v>
      </c>
      <c r="K1527" s="325" t="s">
        <v>69</v>
      </c>
      <c r="L1527" s="181"/>
      <c r="M1527" s="181"/>
      <c r="N1527" s="37"/>
      <c r="O1527" s="31"/>
      <c r="P1527" s="37"/>
      <c r="Q1527" s="181"/>
      <c r="R1527" s="181"/>
      <c r="S1527" s="181"/>
      <c r="T1527" s="181"/>
      <c r="U1527" s="181"/>
      <c r="V1527" s="37"/>
      <c r="W1527" s="181"/>
      <c r="X1527" s="38"/>
      <c r="Y1527" s="38"/>
      <c r="Z1527" s="38"/>
      <c r="AA1527" s="38"/>
      <c r="AB1527" s="248"/>
      <c r="AC1527" s="250"/>
      <c r="AD1527" s="181"/>
      <c r="AE1527" s="37"/>
      <c r="AF1527" s="37"/>
      <c r="AG1527" s="33"/>
      <c r="AH1527" s="37"/>
      <c r="AI1527" s="37"/>
      <c r="AJ1527" s="181"/>
      <c r="AK1527" s="37"/>
      <c r="AL1527" s="37"/>
      <c r="AM1527" s="181"/>
      <c r="AN1527" s="37"/>
      <c r="AO1527" s="37"/>
      <c r="AP1527" s="37"/>
      <c r="AQ1527" s="37"/>
      <c r="AR1527" s="37"/>
      <c r="AS1527" s="37"/>
      <c r="AT1527" s="37"/>
      <c r="AU1527" s="37"/>
      <c r="AV1527" s="37"/>
      <c r="AW1527" s="37"/>
      <c r="AX1527" s="37"/>
      <c r="AY1527" s="37"/>
      <c r="AZ1527" s="37"/>
    </row>
    <row r="1528" spans="1:52" ht="15.5" customHeight="1">
      <c r="A1528" s="360"/>
      <c r="B1528" s="340"/>
      <c r="C1528" s="181"/>
      <c r="D1528" s="30"/>
      <c r="E1528" s="30"/>
      <c r="F1528" s="30"/>
      <c r="G1528" s="37"/>
      <c r="H1528" s="37"/>
      <c r="I1528" s="37"/>
      <c r="J1528" s="37" t="s">
        <v>69</v>
      </c>
      <c r="K1528" s="325" t="s">
        <v>69</v>
      </c>
      <c r="L1528" s="181"/>
      <c r="M1528" s="181"/>
      <c r="N1528" s="37"/>
      <c r="O1528" s="31"/>
      <c r="P1528" s="37"/>
      <c r="Q1528" s="181"/>
      <c r="R1528" s="181"/>
      <c r="S1528" s="181"/>
      <c r="T1528" s="181"/>
      <c r="U1528" s="181"/>
      <c r="V1528" s="37"/>
      <c r="W1528" s="181"/>
      <c r="X1528" s="38"/>
      <c r="Y1528" s="38"/>
      <c r="Z1528" s="38"/>
      <c r="AA1528" s="38"/>
      <c r="AB1528" s="248"/>
      <c r="AC1528" s="250"/>
      <c r="AD1528" s="181"/>
      <c r="AE1528" s="37"/>
      <c r="AF1528" s="37"/>
      <c r="AG1528" s="33"/>
      <c r="AH1528" s="37"/>
      <c r="AI1528" s="37"/>
      <c r="AJ1528" s="181"/>
      <c r="AK1528" s="37"/>
      <c r="AL1528" s="37"/>
      <c r="AM1528" s="181"/>
      <c r="AN1528" s="37"/>
      <c r="AO1528" s="37"/>
      <c r="AP1528" s="37"/>
      <c r="AQ1528" s="37"/>
      <c r="AR1528" s="37"/>
      <c r="AS1528" s="37"/>
      <c r="AT1528" s="37"/>
      <c r="AU1528" s="37"/>
      <c r="AV1528" s="37"/>
      <c r="AW1528" s="37"/>
      <c r="AX1528" s="37"/>
      <c r="AY1528" s="37"/>
      <c r="AZ1528" s="37"/>
    </row>
    <row r="1529" spans="1:52" ht="15.5" customHeight="1">
      <c r="A1529" s="360"/>
      <c r="B1529" s="340"/>
      <c r="C1529" s="181"/>
      <c r="D1529" s="30"/>
      <c r="E1529" s="30"/>
      <c r="F1529" s="30"/>
      <c r="G1529" s="37"/>
      <c r="H1529" s="37"/>
      <c r="I1529" s="37"/>
      <c r="J1529" s="37" t="s">
        <v>69</v>
      </c>
      <c r="K1529" s="325" t="s">
        <v>69</v>
      </c>
      <c r="L1529" s="181"/>
      <c r="M1529" s="181"/>
      <c r="N1529" s="37"/>
      <c r="O1529" s="31"/>
      <c r="P1529" s="37"/>
      <c r="Q1529" s="181"/>
      <c r="R1529" s="181"/>
      <c r="S1529" s="181"/>
      <c r="T1529" s="181"/>
      <c r="U1529" s="181"/>
      <c r="V1529" s="37"/>
      <c r="W1529" s="181"/>
      <c r="X1529" s="38"/>
      <c r="Y1529" s="38"/>
      <c r="Z1529" s="38"/>
      <c r="AA1529" s="38"/>
      <c r="AB1529" s="248"/>
      <c r="AC1529" s="250"/>
      <c r="AD1529" s="181"/>
      <c r="AE1529" s="37"/>
      <c r="AF1529" s="37"/>
      <c r="AG1529" s="33"/>
      <c r="AH1529" s="37"/>
      <c r="AI1529" s="37"/>
      <c r="AJ1529" s="181"/>
      <c r="AK1529" s="37"/>
      <c r="AL1529" s="37"/>
      <c r="AM1529" s="181"/>
      <c r="AN1529" s="37"/>
      <c r="AO1529" s="37"/>
      <c r="AP1529" s="37"/>
      <c r="AQ1529" s="37"/>
      <c r="AR1529" s="37"/>
      <c r="AS1529" s="37"/>
      <c r="AT1529" s="37"/>
      <c r="AU1529" s="37"/>
      <c r="AV1529" s="37"/>
      <c r="AW1529" s="37"/>
      <c r="AX1529" s="37"/>
      <c r="AY1529" s="37"/>
      <c r="AZ1529" s="37"/>
    </row>
    <row r="1530" spans="1:52" ht="15.5" customHeight="1">
      <c r="A1530" s="360"/>
      <c r="B1530" s="340"/>
      <c r="C1530" s="181"/>
      <c r="D1530" s="30"/>
      <c r="E1530" s="30"/>
      <c r="F1530" s="30"/>
      <c r="G1530" s="37"/>
      <c r="H1530" s="37"/>
      <c r="I1530" s="37"/>
      <c r="J1530" s="37" t="s">
        <v>69</v>
      </c>
      <c r="K1530" s="325" t="s">
        <v>69</v>
      </c>
      <c r="L1530" s="181"/>
      <c r="M1530" s="181"/>
      <c r="N1530" s="37"/>
      <c r="O1530" s="31"/>
      <c r="P1530" s="37"/>
      <c r="Q1530" s="181"/>
      <c r="R1530" s="181"/>
      <c r="S1530" s="181"/>
      <c r="T1530" s="181"/>
      <c r="U1530" s="181"/>
      <c r="V1530" s="37"/>
      <c r="W1530" s="181"/>
      <c r="X1530" s="38"/>
      <c r="Y1530" s="38"/>
      <c r="Z1530" s="38"/>
      <c r="AA1530" s="38"/>
      <c r="AB1530" s="248"/>
      <c r="AC1530" s="250"/>
      <c r="AD1530" s="181"/>
      <c r="AE1530" s="37"/>
      <c r="AF1530" s="37"/>
      <c r="AG1530" s="33"/>
      <c r="AH1530" s="37"/>
      <c r="AI1530" s="37"/>
      <c r="AJ1530" s="181"/>
      <c r="AK1530" s="37"/>
      <c r="AL1530" s="37"/>
      <c r="AM1530" s="181"/>
      <c r="AN1530" s="37"/>
      <c r="AO1530" s="37"/>
      <c r="AP1530" s="37"/>
      <c r="AQ1530" s="37"/>
      <c r="AR1530" s="37"/>
      <c r="AS1530" s="37"/>
      <c r="AT1530" s="37"/>
      <c r="AU1530" s="37"/>
      <c r="AV1530" s="37"/>
      <c r="AW1530" s="37"/>
      <c r="AX1530" s="37"/>
      <c r="AY1530" s="37"/>
      <c r="AZ1530" s="37"/>
    </row>
    <row r="1531" spans="1:52" ht="15.5" customHeight="1">
      <c r="A1531" s="360"/>
      <c r="B1531" s="340"/>
      <c r="C1531" s="181"/>
      <c r="D1531" s="30"/>
      <c r="E1531" s="30"/>
      <c r="F1531" s="30"/>
      <c r="G1531" s="37"/>
      <c r="H1531" s="37"/>
      <c r="I1531" s="37"/>
      <c r="J1531" s="37" t="s">
        <v>69</v>
      </c>
      <c r="K1531" s="325" t="s">
        <v>69</v>
      </c>
      <c r="L1531" s="181"/>
      <c r="M1531" s="181"/>
      <c r="N1531" s="37"/>
      <c r="O1531" s="31"/>
      <c r="P1531" s="37"/>
      <c r="Q1531" s="181"/>
      <c r="R1531" s="181"/>
      <c r="S1531" s="181"/>
      <c r="T1531" s="181"/>
      <c r="U1531" s="181"/>
      <c r="V1531" s="37"/>
      <c r="W1531" s="181"/>
      <c r="X1531" s="38"/>
      <c r="Y1531" s="38"/>
      <c r="Z1531" s="38"/>
      <c r="AA1531" s="38"/>
      <c r="AB1531" s="248"/>
      <c r="AC1531" s="250"/>
      <c r="AD1531" s="181"/>
      <c r="AE1531" s="37"/>
      <c r="AF1531" s="37"/>
      <c r="AG1531" s="33"/>
      <c r="AH1531" s="37"/>
      <c r="AI1531" s="37"/>
      <c r="AJ1531" s="181"/>
      <c r="AK1531" s="37"/>
      <c r="AL1531" s="37"/>
      <c r="AM1531" s="181"/>
      <c r="AN1531" s="37"/>
      <c r="AO1531" s="37"/>
      <c r="AP1531" s="37"/>
      <c r="AQ1531" s="37"/>
      <c r="AR1531" s="37"/>
      <c r="AS1531" s="37"/>
      <c r="AT1531" s="37"/>
      <c r="AU1531" s="37"/>
      <c r="AV1531" s="37"/>
      <c r="AW1531" s="37"/>
      <c r="AX1531" s="37"/>
      <c r="AY1531" s="37"/>
      <c r="AZ1531" s="37"/>
    </row>
    <row r="1532" spans="1:52" ht="15.5" customHeight="1">
      <c r="A1532" s="360"/>
      <c r="B1532" s="340"/>
      <c r="C1532" s="181"/>
      <c r="D1532" s="30"/>
      <c r="E1532" s="30"/>
      <c r="F1532" s="30"/>
      <c r="G1532" s="37"/>
      <c r="H1532" s="37"/>
      <c r="I1532" s="37"/>
      <c r="J1532" s="37" t="s">
        <v>69</v>
      </c>
      <c r="K1532" s="325" t="s">
        <v>69</v>
      </c>
      <c r="L1532" s="181"/>
      <c r="M1532" s="181"/>
      <c r="N1532" s="37"/>
      <c r="O1532" s="31"/>
      <c r="P1532" s="37"/>
      <c r="Q1532" s="181"/>
      <c r="R1532" s="181"/>
      <c r="S1532" s="181"/>
      <c r="T1532" s="181"/>
      <c r="U1532" s="181"/>
      <c r="V1532" s="37"/>
      <c r="W1532" s="181"/>
      <c r="X1532" s="38"/>
      <c r="Y1532" s="38"/>
      <c r="Z1532" s="38"/>
      <c r="AA1532" s="38"/>
      <c r="AB1532" s="248"/>
      <c r="AC1532" s="250"/>
      <c r="AD1532" s="181"/>
      <c r="AE1532" s="37"/>
      <c r="AF1532" s="37"/>
      <c r="AG1532" s="33"/>
      <c r="AH1532" s="37"/>
      <c r="AI1532" s="37"/>
      <c r="AJ1532" s="181"/>
      <c r="AK1532" s="37"/>
      <c r="AL1532" s="37"/>
      <c r="AM1532" s="181"/>
      <c r="AN1532" s="37"/>
      <c r="AO1532" s="37"/>
      <c r="AP1532" s="37"/>
      <c r="AQ1532" s="37"/>
      <c r="AR1532" s="37"/>
      <c r="AS1532" s="37"/>
      <c r="AT1532" s="37"/>
      <c r="AU1532" s="37"/>
      <c r="AV1532" s="37"/>
      <c r="AW1532" s="37"/>
      <c r="AX1532" s="37"/>
      <c r="AY1532" s="37"/>
      <c r="AZ1532" s="37"/>
    </row>
    <row r="1533" spans="1:52" ht="15.5" customHeight="1">
      <c r="A1533" s="360"/>
      <c r="B1533" s="340"/>
      <c r="C1533" s="181"/>
      <c r="D1533" s="30"/>
      <c r="E1533" s="30"/>
      <c r="F1533" s="30"/>
      <c r="G1533" s="37"/>
      <c r="H1533" s="37"/>
      <c r="I1533" s="37"/>
      <c r="J1533" s="37" t="s">
        <v>69</v>
      </c>
      <c r="K1533" s="325" t="s">
        <v>69</v>
      </c>
      <c r="L1533" s="181"/>
      <c r="M1533" s="181"/>
      <c r="N1533" s="37"/>
      <c r="O1533" s="31"/>
      <c r="P1533" s="37"/>
      <c r="Q1533" s="181"/>
      <c r="R1533" s="181"/>
      <c r="S1533" s="181"/>
      <c r="T1533" s="181"/>
      <c r="U1533" s="181"/>
      <c r="V1533" s="37"/>
      <c r="W1533" s="181"/>
      <c r="X1533" s="38"/>
      <c r="Y1533" s="38"/>
      <c r="Z1533" s="38"/>
      <c r="AA1533" s="38"/>
      <c r="AB1533" s="248"/>
      <c r="AC1533" s="250"/>
      <c r="AD1533" s="181"/>
      <c r="AE1533" s="37"/>
      <c r="AF1533" s="37"/>
      <c r="AG1533" s="33"/>
      <c r="AH1533" s="37"/>
      <c r="AI1533" s="37"/>
      <c r="AJ1533" s="181"/>
      <c r="AK1533" s="37"/>
      <c r="AL1533" s="37"/>
      <c r="AM1533" s="181"/>
      <c r="AN1533" s="37"/>
      <c r="AO1533" s="37"/>
      <c r="AP1533" s="37"/>
      <c r="AQ1533" s="37"/>
      <c r="AR1533" s="37"/>
      <c r="AS1533" s="37"/>
      <c r="AT1533" s="37"/>
      <c r="AU1533" s="37"/>
      <c r="AV1533" s="37"/>
      <c r="AW1533" s="37"/>
      <c r="AX1533" s="37"/>
      <c r="AY1533" s="37"/>
      <c r="AZ1533" s="37"/>
    </row>
    <row r="1534" spans="1:52" ht="15.5" customHeight="1">
      <c r="A1534" s="360"/>
      <c r="B1534" s="340"/>
      <c r="C1534" s="181"/>
      <c r="D1534" s="30"/>
      <c r="E1534" s="30"/>
      <c r="F1534" s="30"/>
      <c r="G1534" s="37"/>
      <c r="H1534" s="37"/>
      <c r="I1534" s="37"/>
      <c r="J1534" s="37" t="s">
        <v>69</v>
      </c>
      <c r="K1534" s="325" t="s">
        <v>69</v>
      </c>
      <c r="L1534" s="181"/>
      <c r="M1534" s="181"/>
      <c r="N1534" s="37"/>
      <c r="O1534" s="31"/>
      <c r="P1534" s="37"/>
      <c r="Q1534" s="181"/>
      <c r="R1534" s="181"/>
      <c r="S1534" s="181"/>
      <c r="T1534" s="181"/>
      <c r="U1534" s="181"/>
      <c r="V1534" s="37"/>
      <c r="W1534" s="181"/>
      <c r="X1534" s="38"/>
      <c r="Y1534" s="38"/>
      <c r="Z1534" s="38"/>
      <c r="AA1534" s="38"/>
      <c r="AB1534" s="248"/>
      <c r="AC1534" s="250"/>
      <c r="AD1534" s="181"/>
      <c r="AE1534" s="37"/>
      <c r="AF1534" s="37"/>
      <c r="AG1534" s="33"/>
      <c r="AH1534" s="37"/>
      <c r="AI1534" s="37"/>
      <c r="AJ1534" s="181"/>
      <c r="AK1534" s="37"/>
      <c r="AL1534" s="37"/>
      <c r="AM1534" s="181"/>
      <c r="AN1534" s="37"/>
      <c r="AO1534" s="37"/>
      <c r="AP1534" s="37"/>
      <c r="AQ1534" s="37"/>
      <c r="AR1534" s="37"/>
      <c r="AS1534" s="37"/>
      <c r="AT1534" s="37"/>
      <c r="AU1534" s="37"/>
      <c r="AV1534" s="37"/>
      <c r="AW1534" s="37"/>
      <c r="AX1534" s="37"/>
      <c r="AY1534" s="37"/>
      <c r="AZ1534" s="37"/>
    </row>
    <row r="1535" spans="1:52" ht="15.5" customHeight="1">
      <c r="A1535" s="360"/>
      <c r="B1535" s="340"/>
      <c r="C1535" s="181"/>
      <c r="D1535" s="30"/>
      <c r="E1535" s="30"/>
      <c r="F1535" s="30"/>
      <c r="G1535" s="37"/>
      <c r="H1535" s="37"/>
      <c r="I1535" s="37"/>
      <c r="J1535" s="37" t="s">
        <v>69</v>
      </c>
      <c r="K1535" s="325" t="s">
        <v>69</v>
      </c>
      <c r="L1535" s="181"/>
      <c r="M1535" s="181"/>
      <c r="N1535" s="37"/>
      <c r="O1535" s="31"/>
      <c r="P1535" s="37"/>
      <c r="Q1535" s="181"/>
      <c r="R1535" s="181"/>
      <c r="S1535" s="181"/>
      <c r="T1535" s="181"/>
      <c r="U1535" s="181"/>
      <c r="V1535" s="37"/>
      <c r="W1535" s="181"/>
      <c r="X1535" s="38"/>
      <c r="Y1535" s="38"/>
      <c r="Z1535" s="38"/>
      <c r="AA1535" s="38"/>
      <c r="AB1535" s="248"/>
      <c r="AC1535" s="250"/>
      <c r="AD1535" s="181"/>
      <c r="AE1535" s="37"/>
      <c r="AF1535" s="37"/>
      <c r="AG1535" s="33"/>
      <c r="AH1535" s="37"/>
      <c r="AI1535" s="37"/>
      <c r="AJ1535" s="181"/>
      <c r="AK1535" s="37"/>
      <c r="AL1535" s="37"/>
      <c r="AM1535" s="181"/>
      <c r="AN1535" s="37"/>
      <c r="AO1535" s="37"/>
      <c r="AP1535" s="37"/>
      <c r="AQ1535" s="37"/>
      <c r="AR1535" s="37"/>
      <c r="AS1535" s="37"/>
      <c r="AT1535" s="37"/>
      <c r="AU1535" s="37"/>
      <c r="AV1535" s="37"/>
      <c r="AW1535" s="37"/>
      <c r="AX1535" s="37"/>
      <c r="AY1535" s="37"/>
      <c r="AZ1535" s="37"/>
    </row>
    <row r="1536" spans="1:52" ht="15.5" customHeight="1">
      <c r="A1536" s="360"/>
      <c r="B1536" s="340"/>
      <c r="C1536" s="181"/>
      <c r="D1536" s="30"/>
      <c r="E1536" s="30"/>
      <c r="F1536" s="30"/>
      <c r="G1536" s="37"/>
      <c r="H1536" s="37"/>
      <c r="I1536" s="37"/>
      <c r="J1536" s="37" t="s">
        <v>69</v>
      </c>
      <c r="K1536" s="325" t="s">
        <v>69</v>
      </c>
      <c r="L1536" s="181"/>
      <c r="M1536" s="181"/>
      <c r="N1536" s="37"/>
      <c r="O1536" s="31"/>
      <c r="P1536" s="37"/>
      <c r="Q1536" s="181"/>
      <c r="R1536" s="181"/>
      <c r="S1536" s="181"/>
      <c r="T1536" s="181"/>
      <c r="U1536" s="181"/>
      <c r="V1536" s="37"/>
      <c r="W1536" s="181"/>
      <c r="X1536" s="38"/>
      <c r="Y1536" s="38"/>
      <c r="Z1536" s="38"/>
      <c r="AA1536" s="38"/>
      <c r="AB1536" s="248"/>
      <c r="AC1536" s="250"/>
      <c r="AD1536" s="181"/>
      <c r="AE1536" s="37"/>
      <c r="AF1536" s="37"/>
      <c r="AG1536" s="33"/>
      <c r="AH1536" s="37"/>
      <c r="AI1536" s="37"/>
      <c r="AJ1536" s="181"/>
      <c r="AK1536" s="37"/>
      <c r="AL1536" s="37"/>
      <c r="AM1536" s="181"/>
      <c r="AN1536" s="37"/>
      <c r="AO1536" s="37"/>
      <c r="AP1536" s="37"/>
      <c r="AQ1536" s="37"/>
      <c r="AR1536" s="37"/>
      <c r="AS1536" s="37"/>
      <c r="AT1536" s="37"/>
      <c r="AU1536" s="37"/>
      <c r="AV1536" s="37"/>
      <c r="AW1536" s="37"/>
      <c r="AX1536" s="37"/>
      <c r="AY1536" s="37"/>
      <c r="AZ1536" s="37"/>
    </row>
    <row r="1537" spans="1:52" ht="15.5" customHeight="1">
      <c r="A1537" s="360"/>
      <c r="B1537" s="340"/>
      <c r="C1537" s="181"/>
      <c r="D1537" s="30"/>
      <c r="E1537" s="30"/>
      <c r="F1537" s="30"/>
      <c r="G1537" s="37"/>
      <c r="H1537" s="37"/>
      <c r="I1537" s="37"/>
      <c r="J1537" s="37" t="s">
        <v>69</v>
      </c>
      <c r="K1537" s="325" t="s">
        <v>69</v>
      </c>
      <c r="L1537" s="181"/>
      <c r="M1537" s="181"/>
      <c r="N1537" s="37"/>
      <c r="O1537" s="31"/>
      <c r="P1537" s="37"/>
      <c r="Q1537" s="181"/>
      <c r="R1537" s="181"/>
      <c r="S1537" s="181"/>
      <c r="T1537" s="181"/>
      <c r="U1537" s="181"/>
      <c r="V1537" s="37"/>
      <c r="W1537" s="181"/>
      <c r="X1537" s="38"/>
      <c r="Y1537" s="38"/>
      <c r="Z1537" s="38"/>
      <c r="AA1537" s="38"/>
      <c r="AB1537" s="248"/>
      <c r="AC1537" s="250"/>
      <c r="AD1537" s="181"/>
      <c r="AE1537" s="37"/>
      <c r="AF1537" s="37"/>
      <c r="AG1537" s="33"/>
      <c r="AH1537" s="37"/>
      <c r="AI1537" s="37"/>
      <c r="AJ1537" s="181"/>
      <c r="AK1537" s="37"/>
      <c r="AL1537" s="37"/>
      <c r="AM1537" s="181"/>
      <c r="AN1537" s="37"/>
      <c r="AO1537" s="37"/>
      <c r="AP1537" s="37"/>
      <c r="AQ1537" s="37"/>
      <c r="AR1537" s="37"/>
      <c r="AS1537" s="37"/>
      <c r="AT1537" s="37"/>
      <c r="AU1537" s="37"/>
      <c r="AV1537" s="37"/>
      <c r="AW1537" s="37"/>
      <c r="AX1537" s="37"/>
      <c r="AY1537" s="37"/>
      <c r="AZ1537" s="37"/>
    </row>
    <row r="1538" spans="1:52" ht="15.5" customHeight="1">
      <c r="A1538" s="360"/>
      <c r="B1538" s="340"/>
      <c r="C1538" s="181"/>
      <c r="D1538" s="30"/>
      <c r="E1538" s="30"/>
      <c r="F1538" s="30"/>
      <c r="G1538" s="37"/>
      <c r="H1538" s="37"/>
      <c r="I1538" s="37"/>
      <c r="J1538" s="37" t="s">
        <v>69</v>
      </c>
      <c r="K1538" s="325" t="s">
        <v>69</v>
      </c>
      <c r="L1538" s="181"/>
      <c r="M1538" s="181"/>
      <c r="N1538" s="37"/>
      <c r="O1538" s="31"/>
      <c r="P1538" s="37"/>
      <c r="Q1538" s="181"/>
      <c r="R1538" s="181"/>
      <c r="S1538" s="181"/>
      <c r="T1538" s="181"/>
      <c r="U1538" s="181"/>
      <c r="V1538" s="37"/>
      <c r="W1538" s="181"/>
      <c r="X1538" s="38"/>
      <c r="Y1538" s="38"/>
      <c r="Z1538" s="38"/>
      <c r="AA1538" s="38"/>
      <c r="AB1538" s="248"/>
      <c r="AC1538" s="250"/>
      <c r="AD1538" s="181"/>
      <c r="AE1538" s="37"/>
      <c r="AF1538" s="37"/>
      <c r="AG1538" s="33"/>
      <c r="AH1538" s="37"/>
      <c r="AI1538" s="37"/>
      <c r="AJ1538" s="181"/>
      <c r="AK1538" s="37"/>
      <c r="AL1538" s="37"/>
      <c r="AM1538" s="181"/>
      <c r="AN1538" s="37"/>
      <c r="AO1538" s="37"/>
      <c r="AP1538" s="37"/>
      <c r="AQ1538" s="37"/>
      <c r="AR1538" s="37"/>
      <c r="AS1538" s="37"/>
      <c r="AT1538" s="37"/>
      <c r="AU1538" s="37"/>
      <c r="AV1538" s="37"/>
      <c r="AW1538" s="37"/>
      <c r="AX1538" s="37"/>
      <c r="AY1538" s="37"/>
      <c r="AZ1538" s="37"/>
    </row>
    <row r="1539" spans="1:52" ht="15.5" customHeight="1">
      <c r="A1539" s="360"/>
      <c r="B1539" s="340"/>
      <c r="C1539" s="181"/>
      <c r="D1539" s="30"/>
      <c r="E1539" s="30"/>
      <c r="F1539" s="30"/>
      <c r="G1539" s="37"/>
      <c r="H1539" s="37"/>
      <c r="I1539" s="37"/>
      <c r="J1539" s="37" t="s">
        <v>69</v>
      </c>
      <c r="K1539" s="325" t="s">
        <v>69</v>
      </c>
      <c r="L1539" s="181"/>
      <c r="M1539" s="181"/>
      <c r="N1539" s="37"/>
      <c r="O1539" s="31"/>
      <c r="P1539" s="37"/>
      <c r="Q1539" s="181"/>
      <c r="R1539" s="181"/>
      <c r="S1539" s="181"/>
      <c r="T1539" s="181"/>
      <c r="U1539" s="181"/>
      <c r="V1539" s="37"/>
      <c r="W1539" s="181"/>
      <c r="X1539" s="38"/>
      <c r="Y1539" s="38"/>
      <c r="Z1539" s="38"/>
      <c r="AA1539" s="38"/>
      <c r="AB1539" s="248"/>
      <c r="AC1539" s="250"/>
      <c r="AD1539" s="181"/>
      <c r="AE1539" s="37"/>
      <c r="AF1539" s="37"/>
      <c r="AG1539" s="33"/>
      <c r="AH1539" s="37"/>
      <c r="AI1539" s="37"/>
      <c r="AJ1539" s="181"/>
      <c r="AK1539" s="37"/>
      <c r="AL1539" s="37"/>
      <c r="AM1539" s="181"/>
      <c r="AN1539" s="37"/>
      <c r="AO1539" s="37"/>
      <c r="AP1539" s="37"/>
      <c r="AQ1539" s="37"/>
      <c r="AR1539" s="37"/>
      <c r="AS1539" s="37"/>
      <c r="AT1539" s="37"/>
      <c r="AU1539" s="37"/>
      <c r="AV1539" s="37"/>
      <c r="AW1539" s="37"/>
      <c r="AX1539" s="37"/>
      <c r="AY1539" s="37"/>
      <c r="AZ1539" s="37"/>
    </row>
    <row r="1540" spans="1:52" ht="15.5" customHeight="1">
      <c r="A1540" s="360"/>
      <c r="B1540" s="340"/>
      <c r="C1540" s="181"/>
      <c r="D1540" s="30"/>
      <c r="E1540" s="30"/>
      <c r="F1540" s="30"/>
      <c r="G1540" s="37"/>
      <c r="H1540" s="37"/>
      <c r="I1540" s="37"/>
      <c r="J1540" s="37" t="s">
        <v>69</v>
      </c>
      <c r="K1540" s="325" t="s">
        <v>69</v>
      </c>
      <c r="L1540" s="181"/>
      <c r="M1540" s="181"/>
      <c r="N1540" s="37"/>
      <c r="O1540" s="31"/>
      <c r="P1540" s="37"/>
      <c r="Q1540" s="181"/>
      <c r="R1540" s="181"/>
      <c r="S1540" s="181"/>
      <c r="T1540" s="181"/>
      <c r="U1540" s="181"/>
      <c r="V1540" s="37"/>
      <c r="W1540" s="181"/>
      <c r="X1540" s="38"/>
      <c r="Y1540" s="38"/>
      <c r="Z1540" s="38"/>
      <c r="AA1540" s="38"/>
      <c r="AB1540" s="248"/>
      <c r="AC1540" s="250"/>
      <c r="AD1540" s="181"/>
      <c r="AE1540" s="37"/>
      <c r="AF1540" s="37"/>
      <c r="AG1540" s="33"/>
      <c r="AH1540" s="37"/>
      <c r="AI1540" s="37"/>
      <c r="AJ1540" s="181"/>
      <c r="AK1540" s="37"/>
      <c r="AL1540" s="37"/>
      <c r="AM1540" s="181"/>
      <c r="AN1540" s="37"/>
      <c r="AO1540" s="37"/>
      <c r="AP1540" s="37"/>
      <c r="AQ1540" s="37"/>
      <c r="AR1540" s="37"/>
      <c r="AS1540" s="37"/>
      <c r="AT1540" s="37"/>
      <c r="AU1540" s="37"/>
      <c r="AV1540" s="37"/>
      <c r="AW1540" s="37"/>
      <c r="AX1540" s="37"/>
      <c r="AY1540" s="37"/>
      <c r="AZ1540" s="37"/>
    </row>
    <row r="1541" spans="1:52" ht="15.5" customHeight="1">
      <c r="A1541" s="360"/>
      <c r="B1541" s="340"/>
      <c r="C1541" s="181"/>
      <c r="D1541" s="30"/>
      <c r="E1541" s="30"/>
      <c r="F1541" s="30"/>
      <c r="G1541" s="37"/>
      <c r="H1541" s="37"/>
      <c r="I1541" s="37"/>
      <c r="J1541" s="37" t="s">
        <v>69</v>
      </c>
      <c r="K1541" s="325" t="s">
        <v>69</v>
      </c>
      <c r="L1541" s="181"/>
      <c r="M1541" s="181"/>
      <c r="N1541" s="37"/>
      <c r="O1541" s="31"/>
      <c r="P1541" s="37"/>
      <c r="Q1541" s="181"/>
      <c r="R1541" s="181"/>
      <c r="S1541" s="181"/>
      <c r="T1541" s="181"/>
      <c r="U1541" s="181"/>
      <c r="V1541" s="37"/>
      <c r="W1541" s="181"/>
      <c r="X1541" s="38"/>
      <c r="Y1541" s="38"/>
      <c r="Z1541" s="38"/>
      <c r="AA1541" s="38"/>
      <c r="AB1541" s="248"/>
      <c r="AC1541" s="250"/>
      <c r="AD1541" s="181"/>
      <c r="AE1541" s="37"/>
      <c r="AF1541" s="37"/>
      <c r="AG1541" s="33"/>
      <c r="AH1541" s="37"/>
      <c r="AI1541" s="37"/>
      <c r="AJ1541" s="181"/>
      <c r="AK1541" s="37"/>
      <c r="AL1541" s="37"/>
      <c r="AM1541" s="181"/>
      <c r="AN1541" s="37"/>
      <c r="AO1541" s="37"/>
      <c r="AP1541" s="37"/>
      <c r="AQ1541" s="37"/>
      <c r="AR1541" s="37"/>
      <c r="AS1541" s="37"/>
      <c r="AT1541" s="37"/>
      <c r="AU1541" s="37"/>
      <c r="AV1541" s="37"/>
      <c r="AW1541" s="37"/>
      <c r="AX1541" s="37"/>
      <c r="AY1541" s="37"/>
      <c r="AZ1541" s="37"/>
    </row>
    <row r="1542" spans="1:52" ht="15.5" customHeight="1">
      <c r="A1542" s="360"/>
      <c r="B1542" s="340"/>
      <c r="C1542" s="181"/>
      <c r="D1542" s="30"/>
      <c r="E1542" s="30"/>
      <c r="F1542" s="30"/>
      <c r="G1542" s="37"/>
      <c r="H1542" s="37"/>
      <c r="I1542" s="37"/>
      <c r="J1542" s="37" t="s">
        <v>69</v>
      </c>
      <c r="K1542" s="325" t="s">
        <v>69</v>
      </c>
      <c r="L1542" s="181"/>
      <c r="M1542" s="181"/>
      <c r="N1542" s="37"/>
      <c r="O1542" s="31"/>
      <c r="P1542" s="37"/>
      <c r="Q1542" s="181"/>
      <c r="R1542" s="181"/>
      <c r="S1542" s="181"/>
      <c r="T1542" s="181"/>
      <c r="U1542" s="181"/>
      <c r="V1542" s="37"/>
      <c r="W1542" s="181"/>
      <c r="X1542" s="38"/>
      <c r="Y1542" s="38"/>
      <c r="Z1542" s="38"/>
      <c r="AA1542" s="38"/>
      <c r="AB1542" s="248"/>
      <c r="AC1542" s="250"/>
      <c r="AD1542" s="181"/>
      <c r="AE1542" s="37"/>
      <c r="AF1542" s="37"/>
      <c r="AG1542" s="33"/>
      <c r="AH1542" s="37"/>
      <c r="AI1542" s="37"/>
      <c r="AJ1542" s="181"/>
      <c r="AK1542" s="37"/>
      <c r="AL1542" s="37"/>
      <c r="AM1542" s="181"/>
      <c r="AN1542" s="37"/>
      <c r="AO1542" s="37"/>
      <c r="AP1542" s="37"/>
      <c r="AQ1542" s="37"/>
      <c r="AR1542" s="37"/>
      <c r="AS1542" s="37"/>
      <c r="AT1542" s="37"/>
      <c r="AU1542" s="37"/>
      <c r="AV1542" s="37"/>
      <c r="AW1542" s="37"/>
      <c r="AX1542" s="37"/>
      <c r="AY1542" s="37"/>
      <c r="AZ1542" s="37"/>
    </row>
    <row r="1543" spans="1:52" ht="15.5" customHeight="1">
      <c r="A1543" s="360"/>
      <c r="B1543" s="340"/>
      <c r="C1543" s="181"/>
      <c r="D1543" s="30"/>
      <c r="E1543" s="30"/>
      <c r="F1543" s="30"/>
      <c r="G1543" s="37"/>
      <c r="H1543" s="37"/>
      <c r="I1543" s="37"/>
      <c r="J1543" s="37" t="s">
        <v>69</v>
      </c>
      <c r="K1543" s="325" t="s">
        <v>69</v>
      </c>
      <c r="L1543" s="181"/>
      <c r="M1543" s="181"/>
      <c r="N1543" s="37"/>
      <c r="O1543" s="31"/>
      <c r="P1543" s="37"/>
      <c r="Q1543" s="181"/>
      <c r="R1543" s="181"/>
      <c r="S1543" s="181"/>
      <c r="T1543" s="181"/>
      <c r="U1543" s="181"/>
      <c r="V1543" s="37"/>
      <c r="W1543" s="181"/>
      <c r="X1543" s="38"/>
      <c r="Y1543" s="38"/>
      <c r="Z1543" s="38"/>
      <c r="AA1543" s="38"/>
      <c r="AB1543" s="248"/>
      <c r="AC1543" s="250"/>
      <c r="AD1543" s="181"/>
      <c r="AE1543" s="37"/>
      <c r="AF1543" s="37"/>
      <c r="AG1543" s="33"/>
      <c r="AH1543" s="37"/>
      <c r="AI1543" s="37"/>
      <c r="AJ1543" s="181"/>
      <c r="AK1543" s="37"/>
      <c r="AL1543" s="37"/>
      <c r="AM1543" s="181"/>
      <c r="AN1543" s="37"/>
      <c r="AO1543" s="37"/>
      <c r="AP1543" s="37"/>
      <c r="AQ1543" s="37"/>
      <c r="AR1543" s="37"/>
      <c r="AS1543" s="37"/>
      <c r="AT1543" s="37"/>
      <c r="AU1543" s="37"/>
      <c r="AV1543" s="37"/>
      <c r="AW1543" s="37"/>
      <c r="AX1543" s="37"/>
      <c r="AY1543" s="37"/>
      <c r="AZ1543" s="37"/>
    </row>
    <row r="1544" spans="1:52" ht="15.5" customHeight="1">
      <c r="A1544" s="360"/>
      <c r="B1544" s="340"/>
      <c r="C1544" s="181"/>
      <c r="D1544" s="30"/>
      <c r="E1544" s="30"/>
      <c r="F1544" s="30"/>
      <c r="G1544" s="37"/>
      <c r="H1544" s="37"/>
      <c r="I1544" s="37"/>
      <c r="J1544" s="37" t="s">
        <v>69</v>
      </c>
      <c r="K1544" s="325" t="s">
        <v>69</v>
      </c>
      <c r="L1544" s="181"/>
      <c r="M1544" s="181"/>
      <c r="N1544" s="37"/>
      <c r="O1544" s="31"/>
      <c r="P1544" s="37"/>
      <c r="Q1544" s="181"/>
      <c r="R1544" s="181"/>
      <c r="S1544" s="181"/>
      <c r="T1544" s="181"/>
      <c r="U1544" s="181"/>
      <c r="V1544" s="37"/>
      <c r="W1544" s="181"/>
      <c r="X1544" s="38"/>
      <c r="Y1544" s="38"/>
      <c r="Z1544" s="38"/>
      <c r="AA1544" s="38"/>
      <c r="AB1544" s="248"/>
      <c r="AC1544" s="250"/>
      <c r="AD1544" s="181"/>
      <c r="AE1544" s="37"/>
      <c r="AF1544" s="37"/>
      <c r="AG1544" s="33"/>
      <c r="AH1544" s="37"/>
      <c r="AI1544" s="37"/>
      <c r="AJ1544" s="181"/>
      <c r="AK1544" s="37"/>
      <c r="AL1544" s="37"/>
      <c r="AM1544" s="181"/>
      <c r="AN1544" s="37"/>
      <c r="AO1544" s="37"/>
      <c r="AP1544" s="37"/>
      <c r="AQ1544" s="37"/>
      <c r="AR1544" s="37"/>
      <c r="AS1544" s="37"/>
      <c r="AT1544" s="37"/>
      <c r="AU1544" s="37"/>
      <c r="AV1544" s="37"/>
      <c r="AW1544" s="37"/>
      <c r="AX1544" s="37"/>
      <c r="AY1544" s="37"/>
      <c r="AZ1544" s="37"/>
    </row>
    <row r="1545" spans="1:52" ht="15.5" customHeight="1">
      <c r="A1545" s="360"/>
      <c r="B1545" s="340"/>
      <c r="C1545" s="181"/>
      <c r="D1545" s="30"/>
      <c r="E1545" s="30"/>
      <c r="F1545" s="30"/>
      <c r="G1545" s="37"/>
      <c r="H1545" s="37"/>
      <c r="I1545" s="37"/>
      <c r="J1545" s="37" t="s">
        <v>69</v>
      </c>
      <c r="K1545" s="325" t="s">
        <v>69</v>
      </c>
      <c r="L1545" s="181"/>
      <c r="M1545" s="181"/>
      <c r="N1545" s="37"/>
      <c r="O1545" s="31"/>
      <c r="P1545" s="37"/>
      <c r="Q1545" s="181"/>
      <c r="R1545" s="181"/>
      <c r="S1545" s="181"/>
      <c r="T1545" s="181"/>
      <c r="U1545" s="181"/>
      <c r="V1545" s="37"/>
      <c r="W1545" s="181"/>
      <c r="X1545" s="38"/>
      <c r="Y1545" s="38"/>
      <c r="Z1545" s="38"/>
      <c r="AA1545" s="38"/>
      <c r="AB1545" s="248"/>
      <c r="AC1545" s="250"/>
      <c r="AD1545" s="181"/>
      <c r="AE1545" s="37"/>
      <c r="AF1545" s="37"/>
      <c r="AG1545" s="33"/>
      <c r="AH1545" s="37"/>
      <c r="AI1545" s="37"/>
      <c r="AJ1545" s="181"/>
      <c r="AK1545" s="37"/>
      <c r="AL1545" s="37"/>
      <c r="AM1545" s="181"/>
      <c r="AN1545" s="37"/>
      <c r="AO1545" s="37"/>
      <c r="AP1545" s="37"/>
      <c r="AQ1545" s="37"/>
      <c r="AR1545" s="37"/>
      <c r="AS1545" s="37"/>
      <c r="AT1545" s="37"/>
      <c r="AU1545" s="37"/>
      <c r="AV1545" s="37"/>
      <c r="AW1545" s="37"/>
      <c r="AX1545" s="37"/>
      <c r="AY1545" s="37"/>
      <c r="AZ1545" s="37"/>
    </row>
    <row r="1546" spans="1:52" ht="15.5" customHeight="1">
      <c r="A1546" s="360"/>
      <c r="B1546" s="340"/>
      <c r="C1546" s="181"/>
      <c r="D1546" s="30"/>
      <c r="E1546" s="30"/>
      <c r="F1546" s="30"/>
      <c r="G1546" s="37"/>
      <c r="H1546" s="37"/>
      <c r="I1546" s="37"/>
      <c r="J1546" s="37" t="s">
        <v>69</v>
      </c>
      <c r="K1546" s="325" t="s">
        <v>69</v>
      </c>
      <c r="L1546" s="181"/>
      <c r="M1546" s="181"/>
      <c r="N1546" s="37"/>
      <c r="O1546" s="31"/>
      <c r="P1546" s="37"/>
      <c r="Q1546" s="181"/>
      <c r="R1546" s="181"/>
      <c r="S1546" s="181"/>
      <c r="T1546" s="181"/>
      <c r="U1546" s="181"/>
      <c r="V1546" s="37"/>
      <c r="W1546" s="181"/>
      <c r="X1546" s="38"/>
      <c r="Y1546" s="38"/>
      <c r="Z1546" s="38"/>
      <c r="AA1546" s="38"/>
      <c r="AB1546" s="248"/>
      <c r="AC1546" s="250"/>
      <c r="AD1546" s="181"/>
      <c r="AE1546" s="37"/>
      <c r="AF1546" s="37"/>
      <c r="AG1546" s="33"/>
      <c r="AH1546" s="37"/>
      <c r="AI1546" s="37"/>
      <c r="AJ1546" s="181"/>
      <c r="AK1546" s="37"/>
      <c r="AL1546" s="37"/>
      <c r="AM1546" s="181"/>
      <c r="AN1546" s="37"/>
      <c r="AO1546" s="37"/>
      <c r="AP1546" s="37"/>
      <c r="AQ1546" s="37"/>
      <c r="AR1546" s="37"/>
      <c r="AS1546" s="37"/>
      <c r="AT1546" s="37"/>
      <c r="AU1546" s="37"/>
      <c r="AV1546" s="37"/>
      <c r="AW1546" s="37"/>
      <c r="AX1546" s="37"/>
      <c r="AY1546" s="37"/>
      <c r="AZ1546" s="37"/>
    </row>
    <row r="1547" spans="1:52" ht="15.5" customHeight="1">
      <c r="A1547" s="360"/>
      <c r="B1547" s="340"/>
      <c r="C1547" s="181"/>
      <c r="D1547" s="30"/>
      <c r="E1547" s="30"/>
      <c r="F1547" s="30"/>
      <c r="G1547" s="37"/>
      <c r="H1547" s="37"/>
      <c r="I1547" s="37"/>
      <c r="J1547" s="37" t="s">
        <v>69</v>
      </c>
      <c r="K1547" s="325" t="s">
        <v>69</v>
      </c>
      <c r="L1547" s="181"/>
      <c r="M1547" s="181"/>
      <c r="N1547" s="37"/>
      <c r="O1547" s="31"/>
      <c r="P1547" s="37"/>
      <c r="Q1547" s="181"/>
      <c r="R1547" s="181"/>
      <c r="S1547" s="181"/>
      <c r="T1547" s="181"/>
      <c r="U1547" s="181"/>
      <c r="V1547" s="37"/>
      <c r="W1547" s="181"/>
      <c r="X1547" s="38"/>
      <c r="Y1547" s="38"/>
      <c r="Z1547" s="38"/>
      <c r="AA1547" s="38"/>
      <c r="AB1547" s="248"/>
      <c r="AC1547" s="250"/>
      <c r="AD1547" s="181"/>
      <c r="AE1547" s="37"/>
      <c r="AF1547" s="37"/>
      <c r="AG1547" s="33"/>
      <c r="AH1547" s="37"/>
      <c r="AI1547" s="37"/>
      <c r="AJ1547" s="181"/>
      <c r="AK1547" s="37"/>
      <c r="AL1547" s="37"/>
      <c r="AM1547" s="181"/>
      <c r="AN1547" s="37"/>
      <c r="AO1547" s="37"/>
      <c r="AP1547" s="37"/>
      <c r="AQ1547" s="37"/>
      <c r="AR1547" s="37"/>
      <c r="AS1547" s="37"/>
      <c r="AT1547" s="37"/>
      <c r="AU1547" s="37"/>
      <c r="AV1547" s="37"/>
      <c r="AW1547" s="37"/>
      <c r="AX1547" s="37"/>
      <c r="AY1547" s="37"/>
      <c r="AZ1547" s="37"/>
    </row>
    <row r="1548" spans="1:52" ht="15.5" customHeight="1">
      <c r="A1548" s="360"/>
      <c r="B1548" s="340"/>
      <c r="C1548" s="181"/>
      <c r="D1548" s="30"/>
      <c r="E1548" s="30"/>
      <c r="F1548" s="30"/>
      <c r="G1548" s="37"/>
      <c r="H1548" s="37"/>
      <c r="I1548" s="37"/>
      <c r="J1548" s="37" t="s">
        <v>69</v>
      </c>
      <c r="K1548" s="325" t="s">
        <v>69</v>
      </c>
      <c r="L1548" s="181"/>
      <c r="M1548" s="181"/>
      <c r="N1548" s="37"/>
      <c r="O1548" s="31"/>
      <c r="P1548" s="37"/>
      <c r="Q1548" s="181"/>
      <c r="R1548" s="181"/>
      <c r="S1548" s="181"/>
      <c r="T1548" s="181"/>
      <c r="U1548" s="181"/>
      <c r="V1548" s="37"/>
      <c r="W1548" s="181"/>
      <c r="X1548" s="38"/>
      <c r="Y1548" s="38"/>
      <c r="Z1548" s="38"/>
      <c r="AA1548" s="38"/>
      <c r="AB1548" s="248"/>
      <c r="AC1548" s="250"/>
      <c r="AD1548" s="181"/>
      <c r="AE1548" s="37"/>
      <c r="AF1548" s="37"/>
      <c r="AG1548" s="33"/>
      <c r="AH1548" s="37"/>
      <c r="AI1548" s="37"/>
      <c r="AJ1548" s="181"/>
      <c r="AK1548" s="37"/>
      <c r="AL1548" s="37"/>
      <c r="AM1548" s="181"/>
      <c r="AN1548" s="37"/>
      <c r="AO1548" s="37"/>
      <c r="AP1548" s="37"/>
      <c r="AQ1548" s="37"/>
      <c r="AR1548" s="37"/>
      <c r="AS1548" s="37"/>
      <c r="AT1548" s="37"/>
      <c r="AU1548" s="37"/>
      <c r="AV1548" s="37"/>
      <c r="AW1548" s="37"/>
      <c r="AX1548" s="37"/>
      <c r="AY1548" s="37"/>
      <c r="AZ1548" s="37"/>
    </row>
    <row r="1549" spans="1:52" ht="15.5" customHeight="1">
      <c r="A1549" s="360"/>
      <c r="B1549" s="340"/>
      <c r="C1549" s="181"/>
      <c r="D1549" s="30"/>
      <c r="E1549" s="30"/>
      <c r="F1549" s="30"/>
      <c r="G1549" s="37"/>
      <c r="H1549" s="37"/>
      <c r="I1549" s="37"/>
      <c r="J1549" s="37" t="s">
        <v>69</v>
      </c>
      <c r="K1549" s="325" t="s">
        <v>69</v>
      </c>
      <c r="L1549" s="181"/>
      <c r="M1549" s="181"/>
      <c r="N1549" s="37"/>
      <c r="O1549" s="31"/>
      <c r="P1549" s="37"/>
      <c r="Q1549" s="181"/>
      <c r="R1549" s="181"/>
      <c r="S1549" s="181"/>
      <c r="T1549" s="181"/>
      <c r="U1549" s="181"/>
      <c r="V1549" s="37"/>
      <c r="W1549" s="181"/>
      <c r="X1549" s="38"/>
      <c r="Y1549" s="38"/>
      <c r="Z1549" s="38"/>
      <c r="AA1549" s="38"/>
      <c r="AB1549" s="248"/>
      <c r="AC1549" s="250"/>
      <c r="AD1549" s="181"/>
      <c r="AE1549" s="37"/>
      <c r="AF1549" s="37"/>
      <c r="AG1549" s="33"/>
      <c r="AH1549" s="37"/>
      <c r="AI1549" s="37"/>
      <c r="AJ1549" s="181"/>
      <c r="AK1549" s="37"/>
      <c r="AL1549" s="37"/>
      <c r="AM1549" s="181"/>
      <c r="AN1549" s="37"/>
      <c r="AO1549" s="37"/>
      <c r="AP1549" s="37"/>
      <c r="AQ1549" s="37"/>
      <c r="AR1549" s="37"/>
      <c r="AS1549" s="37"/>
      <c r="AT1549" s="37"/>
      <c r="AU1549" s="37"/>
      <c r="AV1549" s="37"/>
      <c r="AW1549" s="37"/>
      <c r="AX1549" s="37"/>
      <c r="AY1549" s="37"/>
      <c r="AZ1549" s="37"/>
    </row>
    <row r="1550" spans="1:52" ht="15.5" customHeight="1">
      <c r="A1550" s="360"/>
      <c r="B1550" s="340"/>
      <c r="C1550" s="181"/>
      <c r="D1550" s="30"/>
      <c r="E1550" s="30"/>
      <c r="F1550" s="30"/>
      <c r="G1550" s="37"/>
      <c r="H1550" s="37"/>
      <c r="I1550" s="37"/>
      <c r="J1550" s="37" t="s">
        <v>69</v>
      </c>
      <c r="K1550" s="325" t="s">
        <v>69</v>
      </c>
      <c r="L1550" s="181"/>
      <c r="M1550" s="181"/>
      <c r="N1550" s="37"/>
      <c r="O1550" s="31"/>
      <c r="P1550" s="37"/>
      <c r="Q1550" s="181"/>
      <c r="R1550" s="181"/>
      <c r="S1550" s="181"/>
      <c r="T1550" s="181"/>
      <c r="U1550" s="181"/>
      <c r="V1550" s="37"/>
      <c r="W1550" s="181"/>
      <c r="X1550" s="38"/>
      <c r="Y1550" s="38"/>
      <c r="Z1550" s="38"/>
      <c r="AA1550" s="38"/>
      <c r="AB1550" s="248"/>
      <c r="AC1550" s="250"/>
      <c r="AD1550" s="181"/>
      <c r="AE1550" s="37"/>
      <c r="AF1550" s="37"/>
      <c r="AG1550" s="33"/>
      <c r="AH1550" s="37"/>
      <c r="AI1550" s="37"/>
      <c r="AJ1550" s="181"/>
      <c r="AK1550" s="37"/>
      <c r="AL1550" s="37"/>
      <c r="AM1550" s="181"/>
      <c r="AN1550" s="37"/>
      <c r="AO1550" s="37"/>
      <c r="AP1550" s="37"/>
      <c r="AQ1550" s="37"/>
      <c r="AR1550" s="37"/>
      <c r="AS1550" s="37"/>
      <c r="AT1550" s="37"/>
      <c r="AU1550" s="37"/>
      <c r="AV1550" s="37"/>
      <c r="AW1550" s="37"/>
      <c r="AX1550" s="37"/>
      <c r="AY1550" s="37"/>
      <c r="AZ1550" s="37"/>
    </row>
    <row r="1551" spans="1:52" ht="15.5" customHeight="1">
      <c r="A1551" s="360"/>
      <c r="B1551" s="340"/>
      <c r="C1551" s="181"/>
      <c r="D1551" s="30"/>
      <c r="E1551" s="30"/>
      <c r="F1551" s="30"/>
      <c r="G1551" s="37"/>
      <c r="H1551" s="37"/>
      <c r="I1551" s="37"/>
      <c r="J1551" s="37" t="s">
        <v>69</v>
      </c>
      <c r="K1551" s="325" t="s">
        <v>69</v>
      </c>
      <c r="L1551" s="181"/>
      <c r="M1551" s="181"/>
      <c r="N1551" s="37"/>
      <c r="O1551" s="31"/>
      <c r="P1551" s="37"/>
      <c r="Q1551" s="181"/>
      <c r="R1551" s="181"/>
      <c r="S1551" s="181"/>
      <c r="T1551" s="181"/>
      <c r="U1551" s="181"/>
      <c r="V1551" s="37"/>
      <c r="W1551" s="181"/>
      <c r="X1551" s="38"/>
      <c r="Y1551" s="38"/>
      <c r="Z1551" s="38"/>
      <c r="AA1551" s="38"/>
      <c r="AB1551" s="248"/>
      <c r="AC1551" s="250"/>
      <c r="AD1551" s="181"/>
      <c r="AE1551" s="37"/>
      <c r="AF1551" s="37"/>
      <c r="AG1551" s="33"/>
      <c r="AH1551" s="37"/>
      <c r="AI1551" s="37"/>
      <c r="AJ1551" s="181"/>
      <c r="AK1551" s="37"/>
      <c r="AL1551" s="37"/>
      <c r="AM1551" s="181"/>
      <c r="AN1551" s="37"/>
      <c r="AO1551" s="37"/>
      <c r="AP1551" s="37"/>
      <c r="AQ1551" s="37"/>
      <c r="AR1551" s="37"/>
      <c r="AS1551" s="37"/>
      <c r="AT1551" s="37"/>
      <c r="AU1551" s="37"/>
      <c r="AV1551" s="37"/>
      <c r="AW1551" s="37"/>
      <c r="AX1551" s="37"/>
      <c r="AY1551" s="37"/>
      <c r="AZ1551" s="37"/>
    </row>
    <row r="1552" spans="1:52" ht="15.5" customHeight="1">
      <c r="A1552" s="360"/>
      <c r="B1552" s="340"/>
      <c r="C1552" s="181"/>
      <c r="D1552" s="30"/>
      <c r="E1552" s="30"/>
      <c r="F1552" s="30"/>
      <c r="G1552" s="37"/>
      <c r="H1552" s="37"/>
      <c r="I1552" s="37"/>
      <c r="J1552" s="37" t="s">
        <v>69</v>
      </c>
      <c r="K1552" s="325" t="s">
        <v>69</v>
      </c>
      <c r="L1552" s="181"/>
      <c r="M1552" s="181"/>
      <c r="N1552" s="37"/>
      <c r="O1552" s="31"/>
      <c r="P1552" s="37"/>
      <c r="Q1552" s="181"/>
      <c r="R1552" s="181"/>
      <c r="S1552" s="181"/>
      <c r="T1552" s="181"/>
      <c r="U1552" s="181"/>
      <c r="V1552" s="37"/>
      <c r="W1552" s="181"/>
      <c r="X1552" s="38"/>
      <c r="Y1552" s="38"/>
      <c r="Z1552" s="38"/>
      <c r="AA1552" s="38"/>
      <c r="AB1552" s="248"/>
      <c r="AC1552" s="250"/>
      <c r="AD1552" s="181"/>
      <c r="AE1552" s="37"/>
      <c r="AF1552" s="37"/>
      <c r="AG1552" s="33"/>
      <c r="AH1552" s="37"/>
      <c r="AI1552" s="37"/>
      <c r="AJ1552" s="181"/>
      <c r="AK1552" s="37"/>
      <c r="AL1552" s="37"/>
      <c r="AM1552" s="181"/>
      <c r="AN1552" s="37"/>
      <c r="AO1552" s="37"/>
      <c r="AP1552" s="37"/>
      <c r="AQ1552" s="37"/>
      <c r="AR1552" s="37"/>
      <c r="AS1552" s="37"/>
      <c r="AT1552" s="37"/>
      <c r="AU1552" s="37"/>
      <c r="AV1552" s="37"/>
      <c r="AW1552" s="37"/>
      <c r="AX1552" s="37"/>
      <c r="AY1552" s="37"/>
      <c r="AZ1552" s="37"/>
    </row>
    <row r="1553" spans="1:52" ht="15.5" customHeight="1">
      <c r="A1553" s="360"/>
      <c r="B1553" s="340"/>
      <c r="C1553" s="181"/>
      <c r="D1553" s="30"/>
      <c r="E1553" s="30"/>
      <c r="F1553" s="30"/>
      <c r="G1553" s="37"/>
      <c r="H1553" s="37"/>
      <c r="I1553" s="37"/>
      <c r="J1553" s="37" t="s">
        <v>69</v>
      </c>
      <c r="K1553" s="325" t="s">
        <v>69</v>
      </c>
      <c r="L1553" s="181"/>
      <c r="M1553" s="181"/>
      <c r="N1553" s="37"/>
      <c r="O1553" s="31"/>
      <c r="P1553" s="37"/>
      <c r="Q1553" s="181"/>
      <c r="R1553" s="181"/>
      <c r="S1553" s="181"/>
      <c r="T1553" s="181"/>
      <c r="U1553" s="181"/>
      <c r="V1553" s="37"/>
      <c r="W1553" s="181"/>
      <c r="X1553" s="38"/>
      <c r="Y1553" s="38"/>
      <c r="Z1553" s="38"/>
      <c r="AA1553" s="38"/>
      <c r="AB1553" s="248"/>
      <c r="AC1553" s="250"/>
      <c r="AD1553" s="181"/>
      <c r="AE1553" s="37"/>
      <c r="AF1553" s="37"/>
      <c r="AG1553" s="33"/>
      <c r="AH1553" s="37"/>
      <c r="AI1553" s="37"/>
      <c r="AJ1553" s="181"/>
      <c r="AK1553" s="37"/>
      <c r="AL1553" s="37"/>
      <c r="AM1553" s="181"/>
      <c r="AN1553" s="37"/>
      <c r="AO1553" s="37"/>
      <c r="AP1553" s="37"/>
      <c r="AQ1553" s="37"/>
      <c r="AR1553" s="37"/>
      <c r="AS1553" s="37"/>
      <c r="AT1553" s="37"/>
      <c r="AU1553" s="37"/>
      <c r="AV1553" s="37"/>
      <c r="AW1553" s="37"/>
      <c r="AX1553" s="37"/>
      <c r="AY1553" s="37"/>
      <c r="AZ1553" s="37"/>
    </row>
    <row r="1554" spans="1:52" ht="15.5" customHeight="1">
      <c r="A1554" s="360"/>
      <c r="B1554" s="340"/>
      <c r="C1554" s="181"/>
      <c r="D1554" s="30"/>
      <c r="E1554" s="30"/>
      <c r="F1554" s="30"/>
      <c r="G1554" s="37"/>
      <c r="H1554" s="37"/>
      <c r="I1554" s="37"/>
      <c r="J1554" s="37" t="s">
        <v>69</v>
      </c>
      <c r="K1554" s="325" t="s">
        <v>69</v>
      </c>
      <c r="L1554" s="181"/>
      <c r="M1554" s="181"/>
      <c r="N1554" s="37"/>
      <c r="O1554" s="31"/>
      <c r="P1554" s="37"/>
      <c r="Q1554" s="181"/>
      <c r="R1554" s="181"/>
      <c r="S1554" s="181"/>
      <c r="T1554" s="181"/>
      <c r="U1554" s="181"/>
      <c r="V1554" s="37"/>
      <c r="W1554" s="181"/>
      <c r="X1554" s="38"/>
      <c r="Y1554" s="38"/>
      <c r="Z1554" s="38"/>
      <c r="AA1554" s="38"/>
      <c r="AB1554" s="248"/>
      <c r="AC1554" s="250"/>
      <c r="AD1554" s="181"/>
      <c r="AE1554" s="37"/>
      <c r="AF1554" s="37"/>
      <c r="AG1554" s="33"/>
      <c r="AH1554" s="37"/>
      <c r="AI1554" s="37"/>
      <c r="AJ1554" s="181"/>
      <c r="AK1554" s="37"/>
      <c r="AL1554" s="37"/>
      <c r="AM1554" s="181"/>
      <c r="AN1554" s="37"/>
      <c r="AO1554" s="37"/>
      <c r="AP1554" s="37"/>
      <c r="AQ1554" s="37"/>
      <c r="AR1554" s="37"/>
      <c r="AS1554" s="37"/>
      <c r="AT1554" s="37"/>
      <c r="AU1554" s="37"/>
      <c r="AV1554" s="37"/>
      <c r="AW1554" s="37"/>
      <c r="AX1554" s="37"/>
      <c r="AY1554" s="37"/>
      <c r="AZ1554" s="37"/>
    </row>
    <row r="1555" spans="1:52" ht="15.5" customHeight="1">
      <c r="A1555" s="360"/>
      <c r="B1555" s="340"/>
      <c r="C1555" s="181"/>
      <c r="D1555" s="30"/>
      <c r="E1555" s="30"/>
      <c r="F1555" s="30"/>
      <c r="G1555" s="37"/>
      <c r="H1555" s="37"/>
      <c r="I1555" s="37"/>
      <c r="J1555" s="37" t="s">
        <v>69</v>
      </c>
      <c r="K1555" s="325" t="s">
        <v>69</v>
      </c>
      <c r="L1555" s="181"/>
      <c r="M1555" s="181"/>
      <c r="N1555" s="37"/>
      <c r="O1555" s="31"/>
      <c r="P1555" s="37"/>
      <c r="Q1555" s="181"/>
      <c r="R1555" s="181"/>
      <c r="S1555" s="181"/>
      <c r="T1555" s="181"/>
      <c r="U1555" s="181"/>
      <c r="V1555" s="37"/>
      <c r="W1555" s="181"/>
      <c r="X1555" s="38"/>
      <c r="Y1555" s="38"/>
      <c r="Z1555" s="38"/>
      <c r="AA1555" s="38"/>
      <c r="AB1555" s="248"/>
      <c r="AC1555" s="250"/>
      <c r="AD1555" s="181"/>
      <c r="AE1555" s="37"/>
      <c r="AF1555" s="37"/>
      <c r="AG1555" s="33"/>
      <c r="AH1555" s="37"/>
      <c r="AI1555" s="37"/>
      <c r="AJ1555" s="181"/>
      <c r="AK1555" s="37"/>
      <c r="AL1555" s="37"/>
      <c r="AM1555" s="181"/>
      <c r="AN1555" s="37"/>
      <c r="AO1555" s="37"/>
      <c r="AP1555" s="37"/>
      <c r="AQ1555" s="37"/>
      <c r="AR1555" s="37"/>
      <c r="AS1555" s="37"/>
      <c r="AT1555" s="37"/>
      <c r="AU1555" s="37"/>
      <c r="AV1555" s="37"/>
      <c r="AW1555" s="37"/>
      <c r="AX1555" s="37"/>
      <c r="AY1555" s="37"/>
      <c r="AZ1555" s="37"/>
    </row>
    <row r="1556" spans="1:52" ht="15.5" customHeight="1">
      <c r="A1556" s="360"/>
      <c r="B1556" s="340"/>
      <c r="C1556" s="181"/>
      <c r="D1556" s="30"/>
      <c r="E1556" s="30"/>
      <c r="F1556" s="30"/>
      <c r="G1556" s="37"/>
      <c r="H1556" s="37"/>
      <c r="I1556" s="37"/>
      <c r="J1556" s="37" t="s">
        <v>69</v>
      </c>
      <c r="K1556" s="325" t="s">
        <v>69</v>
      </c>
      <c r="L1556" s="181"/>
      <c r="M1556" s="181"/>
      <c r="N1556" s="37"/>
      <c r="O1556" s="31"/>
      <c r="P1556" s="37"/>
      <c r="Q1556" s="181"/>
      <c r="R1556" s="181"/>
      <c r="S1556" s="181"/>
      <c r="T1556" s="181"/>
      <c r="U1556" s="181"/>
      <c r="V1556" s="37"/>
      <c r="W1556" s="181"/>
      <c r="X1556" s="38"/>
      <c r="Y1556" s="38"/>
      <c r="Z1556" s="38"/>
      <c r="AA1556" s="38"/>
      <c r="AB1556" s="248"/>
      <c r="AC1556" s="250"/>
      <c r="AD1556" s="181"/>
      <c r="AE1556" s="37"/>
      <c r="AF1556" s="37"/>
      <c r="AG1556" s="33"/>
      <c r="AH1556" s="37"/>
      <c r="AI1556" s="37"/>
      <c r="AJ1556" s="181"/>
      <c r="AK1556" s="37"/>
      <c r="AL1556" s="37"/>
      <c r="AM1556" s="181"/>
      <c r="AN1556" s="37"/>
      <c r="AO1556" s="37"/>
      <c r="AP1556" s="37"/>
      <c r="AQ1556" s="37"/>
      <c r="AR1556" s="37"/>
      <c r="AS1556" s="37"/>
      <c r="AT1556" s="37"/>
      <c r="AU1556" s="37"/>
      <c r="AV1556" s="37"/>
      <c r="AW1556" s="37"/>
      <c r="AX1556" s="37"/>
      <c r="AY1556" s="37"/>
      <c r="AZ1556" s="37"/>
    </row>
    <row r="1557" spans="1:52" ht="15.5" customHeight="1">
      <c r="A1557" s="360"/>
      <c r="B1557" s="340"/>
      <c r="C1557" s="181"/>
      <c r="D1557" s="30"/>
      <c r="E1557" s="30"/>
      <c r="F1557" s="30"/>
      <c r="G1557" s="37"/>
      <c r="H1557" s="37"/>
      <c r="I1557" s="37"/>
      <c r="J1557" s="37" t="s">
        <v>69</v>
      </c>
      <c r="K1557" s="325" t="s">
        <v>69</v>
      </c>
      <c r="L1557" s="181"/>
      <c r="M1557" s="181"/>
      <c r="N1557" s="37"/>
      <c r="O1557" s="31"/>
      <c r="P1557" s="37"/>
      <c r="Q1557" s="181"/>
      <c r="R1557" s="181"/>
      <c r="S1557" s="181"/>
      <c r="T1557" s="181"/>
      <c r="U1557" s="181"/>
      <c r="V1557" s="37"/>
      <c r="W1557" s="181"/>
      <c r="X1557" s="38"/>
      <c r="Y1557" s="38"/>
      <c r="Z1557" s="38"/>
      <c r="AA1557" s="38"/>
      <c r="AB1557" s="248"/>
      <c r="AC1557" s="250"/>
      <c r="AD1557" s="181"/>
      <c r="AE1557" s="37"/>
      <c r="AF1557" s="37"/>
      <c r="AG1557" s="33"/>
      <c r="AH1557" s="37"/>
      <c r="AI1557" s="37"/>
      <c r="AJ1557" s="181"/>
      <c r="AK1557" s="37"/>
      <c r="AL1557" s="37"/>
      <c r="AM1557" s="181"/>
      <c r="AN1557" s="37"/>
      <c r="AO1557" s="37"/>
      <c r="AP1557" s="37"/>
      <c r="AQ1557" s="37"/>
      <c r="AR1557" s="37"/>
      <c r="AS1557" s="37"/>
      <c r="AT1557" s="37"/>
      <c r="AU1557" s="37"/>
      <c r="AV1557" s="37"/>
      <c r="AW1557" s="37"/>
      <c r="AX1557" s="37"/>
      <c r="AY1557" s="37"/>
      <c r="AZ1557" s="37"/>
    </row>
    <row r="1558" spans="1:52" ht="15.5" customHeight="1">
      <c r="A1558" s="360"/>
      <c r="B1558" s="340"/>
      <c r="C1558" s="181"/>
      <c r="D1558" s="30"/>
      <c r="E1558" s="30"/>
      <c r="F1558" s="30"/>
      <c r="G1558" s="37"/>
      <c r="H1558" s="37"/>
      <c r="I1558" s="37"/>
      <c r="J1558" s="37" t="s">
        <v>69</v>
      </c>
      <c r="K1558" s="325" t="s">
        <v>69</v>
      </c>
      <c r="L1558" s="181"/>
      <c r="M1558" s="181"/>
      <c r="N1558" s="37"/>
      <c r="O1558" s="31"/>
      <c r="P1558" s="37"/>
      <c r="Q1558" s="181"/>
      <c r="R1558" s="181"/>
      <c r="S1558" s="181"/>
      <c r="T1558" s="181"/>
      <c r="U1558" s="181"/>
      <c r="V1558" s="37"/>
      <c r="W1558" s="181"/>
      <c r="X1558" s="38"/>
      <c r="Y1558" s="38"/>
      <c r="Z1558" s="38"/>
      <c r="AA1558" s="38"/>
      <c r="AB1558" s="248"/>
      <c r="AC1558" s="250"/>
      <c r="AD1558" s="181"/>
      <c r="AE1558" s="37"/>
      <c r="AF1558" s="37"/>
      <c r="AG1558" s="33"/>
      <c r="AH1558" s="37"/>
      <c r="AI1558" s="37"/>
      <c r="AJ1558" s="181"/>
      <c r="AK1558" s="37"/>
      <c r="AL1558" s="37"/>
      <c r="AM1558" s="181"/>
      <c r="AN1558" s="37"/>
      <c r="AO1558" s="37"/>
      <c r="AP1558" s="37"/>
      <c r="AQ1558" s="37"/>
      <c r="AR1558" s="37"/>
      <c r="AS1558" s="37"/>
      <c r="AT1558" s="37"/>
      <c r="AU1558" s="37"/>
      <c r="AV1558" s="37"/>
      <c r="AW1558" s="37"/>
      <c r="AX1558" s="37"/>
      <c r="AY1558" s="37"/>
      <c r="AZ1558" s="37"/>
    </row>
    <row r="1559" spans="1:52" ht="15.5" customHeight="1">
      <c r="A1559" s="360"/>
      <c r="B1559" s="340"/>
      <c r="C1559" s="181"/>
      <c r="D1559" s="30"/>
      <c r="E1559" s="30"/>
      <c r="F1559" s="30"/>
      <c r="G1559" s="37"/>
      <c r="H1559" s="37"/>
      <c r="I1559" s="37"/>
      <c r="J1559" s="37" t="s">
        <v>69</v>
      </c>
      <c r="K1559" s="325" t="s">
        <v>69</v>
      </c>
      <c r="L1559" s="181"/>
      <c r="M1559" s="181"/>
      <c r="N1559" s="37"/>
      <c r="O1559" s="31"/>
      <c r="P1559" s="37"/>
      <c r="Q1559" s="181"/>
      <c r="R1559" s="181"/>
      <c r="S1559" s="181"/>
      <c r="T1559" s="181"/>
      <c r="U1559" s="181"/>
      <c r="V1559" s="37"/>
      <c r="W1559" s="181"/>
      <c r="X1559" s="38"/>
      <c r="Y1559" s="38"/>
      <c r="Z1559" s="38"/>
      <c r="AA1559" s="38"/>
      <c r="AB1559" s="248"/>
      <c r="AC1559" s="250"/>
      <c r="AD1559" s="181"/>
      <c r="AE1559" s="37"/>
      <c r="AF1559" s="37"/>
      <c r="AG1559" s="33"/>
      <c r="AH1559" s="37"/>
      <c r="AI1559" s="37"/>
      <c r="AJ1559" s="181"/>
      <c r="AK1559" s="37"/>
      <c r="AL1559" s="37"/>
      <c r="AM1559" s="181"/>
      <c r="AN1559" s="37"/>
      <c r="AO1559" s="37"/>
      <c r="AP1559" s="37"/>
      <c r="AQ1559" s="37"/>
      <c r="AR1559" s="37"/>
      <c r="AS1559" s="37"/>
      <c r="AT1559" s="37"/>
      <c r="AU1559" s="37"/>
      <c r="AV1559" s="37"/>
      <c r="AW1559" s="37"/>
      <c r="AX1559" s="37"/>
      <c r="AY1559" s="37"/>
      <c r="AZ1559" s="37"/>
    </row>
    <row r="1560" spans="1:52" ht="15.5" customHeight="1">
      <c r="A1560" s="360"/>
      <c r="B1560" s="340"/>
      <c r="C1560" s="181"/>
      <c r="D1560" s="30"/>
      <c r="E1560" s="30"/>
      <c r="F1560" s="30"/>
      <c r="G1560" s="37"/>
      <c r="H1560" s="37"/>
      <c r="I1560" s="37"/>
      <c r="J1560" s="37" t="s">
        <v>69</v>
      </c>
      <c r="K1560" s="325" t="s">
        <v>69</v>
      </c>
      <c r="L1560" s="181"/>
      <c r="M1560" s="181"/>
      <c r="N1560" s="37"/>
      <c r="O1560" s="31"/>
      <c r="P1560" s="37"/>
      <c r="Q1560" s="181"/>
      <c r="R1560" s="181"/>
      <c r="S1560" s="181"/>
      <c r="T1560" s="181"/>
      <c r="U1560" s="181"/>
      <c r="V1560" s="37"/>
      <c r="W1560" s="181"/>
      <c r="X1560" s="38"/>
      <c r="Y1560" s="38"/>
      <c r="Z1560" s="38"/>
      <c r="AA1560" s="38"/>
      <c r="AB1560" s="248"/>
      <c r="AC1560" s="250"/>
      <c r="AD1560" s="181"/>
      <c r="AE1560" s="37"/>
      <c r="AF1560" s="37"/>
      <c r="AG1560" s="33"/>
      <c r="AH1560" s="37"/>
      <c r="AI1560" s="37"/>
      <c r="AJ1560" s="181"/>
      <c r="AK1560" s="37"/>
      <c r="AL1560" s="37"/>
      <c r="AM1560" s="181"/>
      <c r="AN1560" s="37"/>
      <c r="AO1560" s="37"/>
      <c r="AP1560" s="37"/>
      <c r="AQ1560" s="37"/>
      <c r="AR1560" s="37"/>
      <c r="AS1560" s="37"/>
      <c r="AT1560" s="37"/>
      <c r="AU1560" s="37"/>
      <c r="AV1560" s="37"/>
      <c r="AW1560" s="37"/>
      <c r="AX1560" s="37"/>
      <c r="AY1560" s="37"/>
      <c r="AZ1560" s="37"/>
    </row>
    <row r="1561" spans="1:52" ht="15.5" customHeight="1">
      <c r="A1561" s="360"/>
      <c r="B1561" s="340"/>
      <c r="C1561" s="181"/>
      <c r="D1561" s="30"/>
      <c r="E1561" s="30"/>
      <c r="F1561" s="30"/>
      <c r="G1561" s="37"/>
      <c r="H1561" s="37"/>
      <c r="I1561" s="37"/>
      <c r="J1561" s="37" t="s">
        <v>69</v>
      </c>
      <c r="K1561" s="325" t="s">
        <v>69</v>
      </c>
      <c r="L1561" s="181"/>
      <c r="M1561" s="181"/>
      <c r="N1561" s="37"/>
      <c r="O1561" s="31"/>
      <c r="P1561" s="37"/>
      <c r="Q1561" s="181"/>
      <c r="R1561" s="181"/>
      <c r="S1561" s="181"/>
      <c r="T1561" s="181"/>
      <c r="U1561" s="181"/>
      <c r="V1561" s="37"/>
      <c r="W1561" s="181"/>
      <c r="X1561" s="38"/>
      <c r="Y1561" s="38"/>
      <c r="Z1561" s="38"/>
      <c r="AA1561" s="38"/>
      <c r="AB1561" s="248"/>
      <c r="AC1561" s="250"/>
      <c r="AD1561" s="181"/>
      <c r="AE1561" s="37"/>
      <c r="AF1561" s="37"/>
      <c r="AG1561" s="33"/>
      <c r="AH1561" s="37"/>
      <c r="AI1561" s="37"/>
      <c r="AJ1561" s="181"/>
      <c r="AK1561" s="37"/>
      <c r="AL1561" s="37"/>
      <c r="AM1561" s="181"/>
      <c r="AN1561" s="37"/>
      <c r="AO1561" s="37"/>
      <c r="AP1561" s="37"/>
      <c r="AQ1561" s="37"/>
      <c r="AR1561" s="37"/>
      <c r="AS1561" s="37"/>
      <c r="AT1561" s="37"/>
      <c r="AU1561" s="37"/>
      <c r="AV1561" s="37"/>
      <c r="AW1561" s="37"/>
      <c r="AX1561" s="37"/>
      <c r="AY1561" s="37"/>
      <c r="AZ1561" s="37"/>
    </row>
    <row r="1562" spans="1:52" ht="15.5" customHeight="1">
      <c r="A1562" s="360"/>
      <c r="B1562" s="340"/>
      <c r="C1562" s="181"/>
      <c r="D1562" s="30"/>
      <c r="E1562" s="30"/>
      <c r="F1562" s="30"/>
      <c r="G1562" s="37"/>
      <c r="H1562" s="37"/>
      <c r="I1562" s="37"/>
      <c r="J1562" s="37" t="s">
        <v>69</v>
      </c>
      <c r="K1562" s="325" t="s">
        <v>69</v>
      </c>
      <c r="L1562" s="181"/>
      <c r="M1562" s="181"/>
      <c r="N1562" s="37"/>
      <c r="O1562" s="31"/>
      <c r="P1562" s="37"/>
      <c r="Q1562" s="181"/>
      <c r="R1562" s="181"/>
      <c r="S1562" s="181"/>
      <c r="T1562" s="181"/>
      <c r="U1562" s="181"/>
      <c r="V1562" s="37"/>
      <c r="W1562" s="181"/>
      <c r="X1562" s="38"/>
      <c r="Y1562" s="38"/>
      <c r="Z1562" s="38"/>
      <c r="AA1562" s="38"/>
      <c r="AB1562" s="248"/>
      <c r="AC1562" s="250"/>
      <c r="AD1562" s="181"/>
      <c r="AE1562" s="37"/>
      <c r="AF1562" s="37"/>
      <c r="AG1562" s="33"/>
      <c r="AH1562" s="37"/>
      <c r="AI1562" s="37"/>
      <c r="AJ1562" s="181"/>
      <c r="AK1562" s="37"/>
      <c r="AL1562" s="37"/>
      <c r="AM1562" s="181"/>
      <c r="AN1562" s="37"/>
      <c r="AO1562" s="37"/>
      <c r="AP1562" s="37"/>
      <c r="AQ1562" s="37"/>
      <c r="AR1562" s="37"/>
      <c r="AS1562" s="37"/>
      <c r="AT1562" s="37"/>
      <c r="AU1562" s="37"/>
      <c r="AV1562" s="37"/>
      <c r="AW1562" s="37"/>
      <c r="AX1562" s="37"/>
      <c r="AY1562" s="37"/>
      <c r="AZ1562" s="37"/>
    </row>
    <row r="1563" spans="1:52" ht="15.5" customHeight="1">
      <c r="A1563" s="360"/>
      <c r="B1563" s="340"/>
      <c r="C1563" s="181"/>
      <c r="D1563" s="30"/>
      <c r="E1563" s="30"/>
      <c r="F1563" s="30"/>
      <c r="G1563" s="37"/>
      <c r="H1563" s="37"/>
      <c r="I1563" s="37"/>
      <c r="J1563" s="37" t="s">
        <v>69</v>
      </c>
      <c r="K1563" s="325" t="s">
        <v>69</v>
      </c>
      <c r="L1563" s="181"/>
      <c r="M1563" s="181"/>
      <c r="N1563" s="37"/>
      <c r="O1563" s="31"/>
      <c r="P1563" s="37"/>
      <c r="Q1563" s="181"/>
      <c r="R1563" s="181"/>
      <c r="S1563" s="181"/>
      <c r="T1563" s="181"/>
      <c r="U1563" s="181"/>
      <c r="V1563" s="37"/>
      <c r="W1563" s="181"/>
      <c r="X1563" s="38"/>
      <c r="Y1563" s="38"/>
      <c r="Z1563" s="38"/>
      <c r="AA1563" s="38"/>
      <c r="AB1563" s="248"/>
      <c r="AC1563" s="250"/>
      <c r="AD1563" s="181"/>
      <c r="AE1563" s="37"/>
      <c r="AF1563" s="37"/>
      <c r="AG1563" s="33"/>
      <c r="AH1563" s="37"/>
      <c r="AI1563" s="37"/>
      <c r="AJ1563" s="181"/>
      <c r="AK1563" s="37"/>
      <c r="AL1563" s="37"/>
      <c r="AM1563" s="181"/>
      <c r="AN1563" s="37"/>
      <c r="AO1563" s="37"/>
      <c r="AP1563" s="37"/>
      <c r="AQ1563" s="37"/>
      <c r="AR1563" s="37"/>
      <c r="AS1563" s="37"/>
      <c r="AT1563" s="37"/>
      <c r="AU1563" s="37"/>
      <c r="AV1563" s="37"/>
      <c r="AW1563" s="37"/>
      <c r="AX1563" s="37"/>
      <c r="AY1563" s="37"/>
      <c r="AZ1563" s="37"/>
    </row>
    <row r="1564" spans="1:52" ht="15.5" customHeight="1">
      <c r="A1564" s="360"/>
      <c r="B1564" s="340"/>
      <c r="C1564" s="181"/>
      <c r="D1564" s="30"/>
      <c r="E1564" s="30"/>
      <c r="F1564" s="30"/>
      <c r="G1564" s="37"/>
      <c r="H1564" s="37"/>
      <c r="I1564" s="37"/>
      <c r="J1564" s="37" t="s">
        <v>69</v>
      </c>
      <c r="K1564" s="325" t="s">
        <v>69</v>
      </c>
      <c r="L1564" s="181"/>
      <c r="M1564" s="181"/>
      <c r="N1564" s="37"/>
      <c r="O1564" s="31"/>
      <c r="P1564" s="37"/>
      <c r="Q1564" s="181"/>
      <c r="R1564" s="181"/>
      <c r="S1564" s="181"/>
      <c r="T1564" s="181"/>
      <c r="U1564" s="181"/>
      <c r="V1564" s="37"/>
      <c r="W1564" s="181"/>
      <c r="X1564" s="38"/>
      <c r="Y1564" s="38"/>
      <c r="Z1564" s="38"/>
      <c r="AA1564" s="38"/>
      <c r="AB1564" s="248"/>
      <c r="AC1564" s="250"/>
      <c r="AD1564" s="181"/>
      <c r="AE1564" s="37"/>
      <c r="AF1564" s="37"/>
      <c r="AG1564" s="33"/>
      <c r="AH1564" s="37"/>
      <c r="AI1564" s="37"/>
      <c r="AJ1564" s="181"/>
      <c r="AK1564" s="37"/>
      <c r="AL1564" s="37"/>
      <c r="AM1564" s="181"/>
      <c r="AN1564" s="37"/>
      <c r="AO1564" s="37"/>
      <c r="AP1564" s="37"/>
      <c r="AQ1564" s="37"/>
      <c r="AR1564" s="37"/>
      <c r="AS1564" s="37"/>
      <c r="AT1564" s="37"/>
      <c r="AU1564" s="37"/>
      <c r="AV1564" s="37"/>
      <c r="AW1564" s="37"/>
      <c r="AX1564" s="37"/>
      <c r="AY1564" s="37"/>
      <c r="AZ1564" s="37"/>
    </row>
    <row r="1565" spans="1:52" ht="15.5" customHeight="1">
      <c r="A1565" s="360"/>
      <c r="B1565" s="340"/>
      <c r="C1565" s="181"/>
      <c r="D1565" s="30"/>
      <c r="E1565" s="30"/>
      <c r="F1565" s="30"/>
      <c r="G1565" s="37"/>
      <c r="H1565" s="37"/>
      <c r="I1565" s="37"/>
      <c r="J1565" s="37" t="s">
        <v>69</v>
      </c>
      <c r="K1565" s="325" t="s">
        <v>69</v>
      </c>
      <c r="L1565" s="181"/>
      <c r="M1565" s="181"/>
      <c r="N1565" s="37"/>
      <c r="O1565" s="31"/>
      <c r="P1565" s="37"/>
      <c r="Q1565" s="181"/>
      <c r="R1565" s="181"/>
      <c r="S1565" s="181"/>
      <c r="T1565" s="181"/>
      <c r="U1565" s="181"/>
      <c r="V1565" s="37"/>
      <c r="W1565" s="181"/>
      <c r="X1565" s="38"/>
      <c r="Y1565" s="38"/>
      <c r="Z1565" s="38"/>
      <c r="AA1565" s="38"/>
      <c r="AB1565" s="248"/>
      <c r="AC1565" s="250"/>
      <c r="AD1565" s="181"/>
      <c r="AE1565" s="37"/>
      <c r="AF1565" s="37"/>
      <c r="AG1565" s="33"/>
      <c r="AH1565" s="37"/>
      <c r="AI1565" s="37"/>
      <c r="AJ1565" s="181"/>
      <c r="AK1565" s="37"/>
      <c r="AL1565" s="37"/>
      <c r="AM1565" s="181"/>
      <c r="AN1565" s="37"/>
      <c r="AO1565" s="37"/>
      <c r="AP1565" s="37"/>
      <c r="AQ1565" s="37"/>
      <c r="AR1565" s="37"/>
      <c r="AS1565" s="37"/>
      <c r="AT1565" s="37"/>
      <c r="AU1565" s="37"/>
      <c r="AV1565" s="37"/>
      <c r="AW1565" s="37"/>
      <c r="AX1565" s="37"/>
      <c r="AY1565" s="37"/>
      <c r="AZ1565" s="37"/>
    </row>
    <row r="1566" spans="1:52" ht="15.5" customHeight="1">
      <c r="A1566" s="360"/>
      <c r="B1566" s="340"/>
      <c r="C1566" s="181"/>
      <c r="D1566" s="30"/>
      <c r="E1566" s="30"/>
      <c r="F1566" s="30"/>
      <c r="G1566" s="37"/>
      <c r="H1566" s="37"/>
      <c r="I1566" s="37"/>
      <c r="J1566" s="37" t="s">
        <v>69</v>
      </c>
      <c r="K1566" s="325" t="s">
        <v>69</v>
      </c>
      <c r="L1566" s="181"/>
      <c r="M1566" s="181"/>
      <c r="N1566" s="37"/>
      <c r="O1566" s="31"/>
      <c r="P1566" s="37"/>
      <c r="Q1566" s="181"/>
      <c r="R1566" s="181"/>
      <c r="S1566" s="181"/>
      <c r="T1566" s="181"/>
      <c r="U1566" s="181"/>
      <c r="V1566" s="37"/>
      <c r="W1566" s="181"/>
      <c r="X1566" s="38"/>
      <c r="Y1566" s="38"/>
      <c r="Z1566" s="38"/>
      <c r="AA1566" s="38"/>
      <c r="AB1566" s="248"/>
      <c r="AC1566" s="250"/>
      <c r="AD1566" s="181"/>
      <c r="AE1566" s="37"/>
      <c r="AF1566" s="37"/>
      <c r="AG1566" s="33"/>
      <c r="AH1566" s="37"/>
      <c r="AI1566" s="37"/>
      <c r="AJ1566" s="181"/>
      <c r="AK1566" s="37"/>
      <c r="AL1566" s="37"/>
      <c r="AM1566" s="181"/>
      <c r="AN1566" s="37"/>
      <c r="AO1566" s="37"/>
      <c r="AP1566" s="37"/>
      <c r="AQ1566" s="37"/>
      <c r="AR1566" s="37"/>
      <c r="AS1566" s="37"/>
      <c r="AT1566" s="37"/>
      <c r="AU1566" s="37"/>
      <c r="AV1566" s="37"/>
      <c r="AW1566" s="37"/>
      <c r="AX1566" s="37"/>
      <c r="AY1566" s="37"/>
      <c r="AZ1566" s="37"/>
    </row>
    <row r="1567" spans="1:52" ht="15.5" customHeight="1">
      <c r="A1567" s="360"/>
      <c r="B1567" s="340"/>
      <c r="C1567" s="181"/>
      <c r="D1567" s="30"/>
      <c r="E1567" s="30"/>
      <c r="F1567" s="30"/>
      <c r="G1567" s="37"/>
      <c r="H1567" s="37"/>
      <c r="I1567" s="37"/>
      <c r="J1567" s="37" t="s">
        <v>69</v>
      </c>
      <c r="K1567" s="325" t="s">
        <v>69</v>
      </c>
      <c r="L1567" s="181"/>
      <c r="M1567" s="181"/>
      <c r="N1567" s="37"/>
      <c r="O1567" s="31"/>
      <c r="P1567" s="37"/>
      <c r="Q1567" s="181"/>
      <c r="R1567" s="181"/>
      <c r="S1567" s="181"/>
      <c r="T1567" s="181"/>
      <c r="U1567" s="181"/>
      <c r="V1567" s="37"/>
      <c r="W1567" s="181"/>
      <c r="X1567" s="38"/>
      <c r="Y1567" s="38"/>
      <c r="Z1567" s="38"/>
      <c r="AA1567" s="38"/>
      <c r="AB1567" s="248"/>
      <c r="AC1567" s="250"/>
      <c r="AD1567" s="181"/>
      <c r="AE1567" s="37"/>
      <c r="AF1567" s="37"/>
      <c r="AG1567" s="33"/>
      <c r="AH1567" s="37"/>
      <c r="AI1567" s="37"/>
      <c r="AJ1567" s="181"/>
      <c r="AK1567" s="37"/>
      <c r="AL1567" s="37"/>
      <c r="AM1567" s="181"/>
      <c r="AN1567" s="37"/>
      <c r="AO1567" s="37"/>
      <c r="AP1567" s="37"/>
      <c r="AQ1567" s="37"/>
      <c r="AR1567" s="37"/>
      <c r="AS1567" s="37"/>
      <c r="AT1567" s="37"/>
      <c r="AU1567" s="37"/>
      <c r="AV1567" s="37"/>
      <c r="AW1567" s="37"/>
      <c r="AX1567" s="37"/>
      <c r="AY1567" s="37"/>
      <c r="AZ1567" s="37"/>
    </row>
    <row r="1568" spans="1:52" ht="15.5" customHeight="1">
      <c r="A1568" s="360"/>
      <c r="B1568" s="340"/>
      <c r="C1568" s="181"/>
      <c r="D1568" s="30"/>
      <c r="E1568" s="30"/>
      <c r="F1568" s="30"/>
      <c r="G1568" s="37"/>
      <c r="H1568" s="37"/>
      <c r="I1568" s="37"/>
      <c r="J1568" s="37" t="s">
        <v>69</v>
      </c>
      <c r="K1568" s="325" t="s">
        <v>69</v>
      </c>
      <c r="L1568" s="181"/>
      <c r="M1568" s="181"/>
      <c r="N1568" s="37"/>
      <c r="O1568" s="31"/>
      <c r="P1568" s="37"/>
      <c r="Q1568" s="181"/>
      <c r="R1568" s="181"/>
      <c r="S1568" s="181"/>
      <c r="T1568" s="181"/>
      <c r="U1568" s="181"/>
      <c r="V1568" s="37"/>
      <c r="W1568" s="181"/>
      <c r="X1568" s="38"/>
      <c r="Y1568" s="38"/>
      <c r="Z1568" s="38"/>
      <c r="AA1568" s="38"/>
      <c r="AB1568" s="248"/>
      <c r="AC1568" s="250"/>
      <c r="AD1568" s="181"/>
      <c r="AE1568" s="37"/>
      <c r="AF1568" s="37"/>
      <c r="AG1568" s="33"/>
      <c r="AH1568" s="37"/>
      <c r="AI1568" s="37"/>
      <c r="AJ1568" s="181"/>
      <c r="AK1568" s="37"/>
      <c r="AL1568" s="37"/>
      <c r="AM1568" s="181"/>
      <c r="AN1568" s="37"/>
      <c r="AO1568" s="37"/>
      <c r="AP1568" s="37"/>
      <c r="AQ1568" s="37"/>
      <c r="AR1568" s="37"/>
      <c r="AS1568" s="37"/>
      <c r="AT1568" s="37"/>
      <c r="AU1568" s="37"/>
      <c r="AV1568" s="37"/>
      <c r="AW1568" s="37"/>
      <c r="AX1568" s="37"/>
      <c r="AY1568" s="37"/>
      <c r="AZ1568" s="37"/>
    </row>
    <row r="1569" spans="1:52" ht="15.5" customHeight="1">
      <c r="A1569" s="360"/>
      <c r="B1569" s="340"/>
      <c r="C1569" s="181"/>
      <c r="D1569" s="30"/>
      <c r="E1569" s="30"/>
      <c r="F1569" s="30"/>
      <c r="G1569" s="37"/>
      <c r="H1569" s="37"/>
      <c r="I1569" s="37"/>
      <c r="J1569" s="37" t="s">
        <v>69</v>
      </c>
      <c r="K1569" s="325" t="s">
        <v>69</v>
      </c>
      <c r="L1569" s="181"/>
      <c r="M1569" s="181"/>
      <c r="N1569" s="37"/>
      <c r="O1569" s="31"/>
      <c r="P1569" s="37"/>
      <c r="Q1569" s="181"/>
      <c r="R1569" s="181"/>
      <c r="S1569" s="181"/>
      <c r="T1569" s="181"/>
      <c r="U1569" s="181"/>
      <c r="V1569" s="37"/>
      <c r="W1569" s="181"/>
      <c r="X1569" s="38"/>
      <c r="Y1569" s="38"/>
      <c r="Z1569" s="38"/>
      <c r="AA1569" s="38"/>
      <c r="AB1569" s="248"/>
      <c r="AC1569" s="250"/>
      <c r="AD1569" s="181"/>
      <c r="AE1569" s="37"/>
      <c r="AF1569" s="37"/>
      <c r="AG1569" s="33"/>
      <c r="AH1569" s="37"/>
      <c r="AI1569" s="37"/>
      <c r="AJ1569" s="181"/>
      <c r="AK1569" s="37"/>
      <c r="AL1569" s="37"/>
      <c r="AM1569" s="181"/>
      <c r="AN1569" s="37"/>
      <c r="AO1569" s="37"/>
      <c r="AP1569" s="37"/>
      <c r="AQ1569" s="37"/>
      <c r="AR1569" s="37"/>
      <c r="AS1569" s="37"/>
      <c r="AT1569" s="37"/>
      <c r="AU1569" s="37"/>
      <c r="AV1569" s="37"/>
      <c r="AW1569" s="37"/>
      <c r="AX1569" s="37"/>
      <c r="AY1569" s="37"/>
      <c r="AZ1569" s="37"/>
    </row>
    <row r="1570" spans="1:52" ht="15.5" customHeight="1">
      <c r="A1570" s="360"/>
      <c r="B1570" s="340"/>
      <c r="C1570" s="181"/>
      <c r="D1570" s="30"/>
      <c r="E1570" s="30"/>
      <c r="F1570" s="30"/>
      <c r="G1570" s="37"/>
      <c r="H1570" s="37"/>
      <c r="I1570" s="37"/>
      <c r="J1570" s="37" t="s">
        <v>69</v>
      </c>
      <c r="K1570" s="325" t="s">
        <v>69</v>
      </c>
      <c r="L1570" s="181"/>
      <c r="M1570" s="181"/>
      <c r="N1570" s="37"/>
      <c r="O1570" s="31"/>
      <c r="P1570" s="37"/>
      <c r="Q1570" s="181"/>
      <c r="R1570" s="181"/>
      <c r="S1570" s="181"/>
      <c r="T1570" s="181"/>
      <c r="U1570" s="181"/>
      <c r="V1570" s="37"/>
      <c r="W1570" s="181"/>
      <c r="X1570" s="38"/>
      <c r="Y1570" s="38"/>
      <c r="Z1570" s="38"/>
      <c r="AA1570" s="38"/>
      <c r="AB1570" s="248"/>
      <c r="AC1570" s="250"/>
      <c r="AD1570" s="181"/>
      <c r="AE1570" s="37"/>
      <c r="AF1570" s="37"/>
      <c r="AG1570" s="33"/>
      <c r="AH1570" s="37"/>
      <c r="AI1570" s="37"/>
      <c r="AJ1570" s="181"/>
      <c r="AK1570" s="37"/>
      <c r="AL1570" s="37"/>
      <c r="AM1570" s="181"/>
      <c r="AN1570" s="37"/>
      <c r="AO1570" s="37"/>
      <c r="AP1570" s="37"/>
      <c r="AQ1570" s="37"/>
      <c r="AR1570" s="37"/>
      <c r="AS1570" s="37"/>
      <c r="AT1570" s="37"/>
      <c r="AU1570" s="37"/>
      <c r="AV1570" s="37"/>
      <c r="AW1570" s="37"/>
      <c r="AX1570" s="37"/>
      <c r="AY1570" s="37"/>
      <c r="AZ1570" s="37"/>
    </row>
    <row r="1571" spans="1:52" ht="15.5" customHeight="1">
      <c r="A1571" s="360"/>
      <c r="B1571" s="340"/>
      <c r="C1571" s="181"/>
      <c r="D1571" s="30"/>
      <c r="E1571" s="30"/>
      <c r="F1571" s="30"/>
      <c r="G1571" s="37"/>
      <c r="H1571" s="37"/>
      <c r="I1571" s="37"/>
      <c r="J1571" s="37" t="s">
        <v>69</v>
      </c>
      <c r="K1571" s="325" t="s">
        <v>69</v>
      </c>
      <c r="L1571" s="181"/>
      <c r="M1571" s="181"/>
      <c r="N1571" s="37"/>
      <c r="O1571" s="31"/>
      <c r="P1571" s="37"/>
      <c r="Q1571" s="181"/>
      <c r="R1571" s="181"/>
      <c r="S1571" s="181"/>
      <c r="T1571" s="181"/>
      <c r="U1571" s="181"/>
      <c r="V1571" s="37"/>
      <c r="W1571" s="181"/>
      <c r="X1571" s="38"/>
      <c r="Y1571" s="38"/>
      <c r="Z1571" s="38"/>
      <c r="AA1571" s="38"/>
      <c r="AB1571" s="248"/>
      <c r="AC1571" s="250"/>
      <c r="AD1571" s="181"/>
      <c r="AE1571" s="37"/>
      <c r="AF1571" s="37"/>
      <c r="AG1571" s="33"/>
      <c r="AH1571" s="37"/>
      <c r="AI1571" s="37"/>
      <c r="AJ1571" s="181"/>
      <c r="AK1571" s="37"/>
      <c r="AL1571" s="37"/>
      <c r="AM1571" s="181"/>
      <c r="AN1571" s="37"/>
      <c r="AO1571" s="37"/>
      <c r="AP1571" s="37"/>
      <c r="AQ1571" s="37"/>
      <c r="AR1571" s="37"/>
      <c r="AS1571" s="37"/>
      <c r="AT1571" s="37"/>
      <c r="AU1571" s="37"/>
      <c r="AV1571" s="37"/>
      <c r="AW1571" s="37"/>
      <c r="AX1571" s="37"/>
      <c r="AY1571" s="37"/>
      <c r="AZ1571" s="37"/>
    </row>
    <row r="1572" spans="1:52" ht="15.5" customHeight="1">
      <c r="A1572" s="360"/>
      <c r="B1572" s="340"/>
      <c r="C1572" s="181"/>
      <c r="D1572" s="30"/>
      <c r="E1572" s="30"/>
      <c r="F1572" s="30"/>
      <c r="G1572" s="37"/>
      <c r="H1572" s="37"/>
      <c r="I1572" s="37"/>
      <c r="J1572" s="37" t="s">
        <v>69</v>
      </c>
      <c r="K1572" s="325" t="s">
        <v>69</v>
      </c>
      <c r="L1572" s="181"/>
      <c r="M1572" s="181"/>
      <c r="N1572" s="37"/>
      <c r="O1572" s="31"/>
      <c r="P1572" s="37"/>
      <c r="Q1572" s="181"/>
      <c r="R1572" s="181"/>
      <c r="S1572" s="181"/>
      <c r="T1572" s="181"/>
      <c r="U1572" s="181"/>
      <c r="V1572" s="37"/>
      <c r="W1572" s="181"/>
      <c r="X1572" s="38"/>
      <c r="Y1572" s="38"/>
      <c r="Z1572" s="38"/>
      <c r="AA1572" s="38"/>
      <c r="AB1572" s="248"/>
      <c r="AC1572" s="250"/>
      <c r="AD1572" s="181"/>
      <c r="AE1572" s="37"/>
      <c r="AF1572" s="37"/>
      <c r="AG1572" s="33"/>
      <c r="AH1572" s="37"/>
      <c r="AI1572" s="37"/>
      <c r="AJ1572" s="181"/>
      <c r="AK1572" s="37"/>
      <c r="AL1572" s="37"/>
      <c r="AM1572" s="181"/>
      <c r="AN1572" s="37"/>
      <c r="AO1572" s="37"/>
      <c r="AP1572" s="37"/>
      <c r="AQ1572" s="37"/>
      <c r="AR1572" s="37"/>
      <c r="AS1572" s="37"/>
      <c r="AT1572" s="37"/>
      <c r="AU1572" s="37"/>
      <c r="AV1572" s="37"/>
      <c r="AW1572" s="37"/>
      <c r="AX1572" s="37"/>
      <c r="AY1572" s="37"/>
      <c r="AZ1572" s="37"/>
    </row>
    <row r="1573" spans="1:52" ht="15.5" customHeight="1">
      <c r="A1573" s="360"/>
      <c r="B1573" s="340"/>
      <c r="C1573" s="181"/>
      <c r="D1573" s="30"/>
      <c r="E1573" s="30"/>
      <c r="F1573" s="30"/>
      <c r="G1573" s="37"/>
      <c r="H1573" s="37"/>
      <c r="I1573" s="37"/>
      <c r="J1573" s="37" t="s">
        <v>69</v>
      </c>
      <c r="K1573" s="325" t="s">
        <v>69</v>
      </c>
      <c r="L1573" s="181"/>
      <c r="M1573" s="181"/>
      <c r="N1573" s="37"/>
      <c r="O1573" s="31"/>
      <c r="P1573" s="37"/>
      <c r="Q1573" s="181"/>
      <c r="R1573" s="181"/>
      <c r="S1573" s="181"/>
      <c r="T1573" s="181"/>
      <c r="U1573" s="181"/>
      <c r="V1573" s="37"/>
      <c r="W1573" s="181"/>
      <c r="X1573" s="38"/>
      <c r="Y1573" s="38"/>
      <c r="Z1573" s="38"/>
      <c r="AA1573" s="38"/>
      <c r="AB1573" s="248"/>
      <c r="AC1573" s="250"/>
      <c r="AD1573" s="181"/>
      <c r="AE1573" s="37"/>
      <c r="AF1573" s="37"/>
      <c r="AG1573" s="33"/>
      <c r="AH1573" s="37"/>
      <c r="AI1573" s="37"/>
      <c r="AJ1573" s="181"/>
      <c r="AK1573" s="37"/>
      <c r="AL1573" s="37"/>
      <c r="AM1573" s="181"/>
      <c r="AN1573" s="37"/>
      <c r="AO1573" s="37"/>
      <c r="AP1573" s="37"/>
      <c r="AQ1573" s="37"/>
      <c r="AR1573" s="37"/>
      <c r="AS1573" s="37"/>
      <c r="AT1573" s="37"/>
      <c r="AU1573" s="37"/>
      <c r="AV1573" s="37"/>
      <c r="AW1573" s="37"/>
      <c r="AX1573" s="37"/>
      <c r="AY1573" s="37"/>
      <c r="AZ1573" s="37"/>
    </row>
    <row r="1574" spans="1:52" ht="15.5" customHeight="1">
      <c r="A1574" s="360"/>
      <c r="B1574" s="340"/>
      <c r="C1574" s="181"/>
      <c r="D1574" s="30"/>
      <c r="E1574" s="30"/>
      <c r="F1574" s="30"/>
      <c r="G1574" s="37"/>
      <c r="H1574" s="37"/>
      <c r="I1574" s="37"/>
      <c r="J1574" s="37" t="s">
        <v>69</v>
      </c>
      <c r="K1574" s="325" t="s">
        <v>69</v>
      </c>
      <c r="L1574" s="181"/>
      <c r="M1574" s="181"/>
      <c r="N1574" s="37"/>
      <c r="O1574" s="31"/>
      <c r="P1574" s="37"/>
      <c r="Q1574" s="181"/>
      <c r="R1574" s="181"/>
      <c r="S1574" s="181"/>
      <c r="T1574" s="181"/>
      <c r="U1574" s="181"/>
      <c r="V1574" s="37"/>
      <c r="W1574" s="181"/>
      <c r="X1574" s="38"/>
      <c r="Y1574" s="38"/>
      <c r="Z1574" s="38"/>
      <c r="AA1574" s="38"/>
      <c r="AB1574" s="248"/>
      <c r="AC1574" s="250"/>
      <c r="AD1574" s="181"/>
      <c r="AE1574" s="37"/>
      <c r="AF1574" s="37"/>
      <c r="AG1574" s="33"/>
      <c r="AH1574" s="37"/>
      <c r="AI1574" s="37"/>
      <c r="AJ1574" s="181"/>
      <c r="AK1574" s="37"/>
      <c r="AL1574" s="37"/>
      <c r="AM1574" s="181"/>
      <c r="AN1574" s="37"/>
      <c r="AO1574" s="37"/>
      <c r="AP1574" s="37"/>
      <c r="AQ1574" s="37"/>
      <c r="AR1574" s="37"/>
      <c r="AS1574" s="37"/>
      <c r="AT1574" s="37"/>
      <c r="AU1574" s="37"/>
      <c r="AV1574" s="37"/>
      <c r="AW1574" s="37"/>
      <c r="AX1574" s="37"/>
      <c r="AY1574" s="37"/>
      <c r="AZ1574" s="37"/>
    </row>
    <row r="1575" spans="1:52" ht="15.5" customHeight="1">
      <c r="A1575" s="360"/>
      <c r="B1575" s="340"/>
      <c r="C1575" s="181"/>
      <c r="D1575" s="30"/>
      <c r="E1575" s="30"/>
      <c r="F1575" s="30"/>
      <c r="G1575" s="37"/>
      <c r="H1575" s="37"/>
      <c r="I1575" s="37"/>
      <c r="J1575" s="37" t="s">
        <v>69</v>
      </c>
      <c r="K1575" s="325" t="s">
        <v>69</v>
      </c>
      <c r="L1575" s="181"/>
      <c r="M1575" s="181"/>
      <c r="N1575" s="37"/>
      <c r="O1575" s="31"/>
      <c r="P1575" s="37"/>
      <c r="Q1575" s="181"/>
      <c r="R1575" s="181"/>
      <c r="S1575" s="181"/>
      <c r="T1575" s="181"/>
      <c r="U1575" s="181"/>
      <c r="V1575" s="37"/>
      <c r="W1575" s="181"/>
      <c r="X1575" s="38"/>
      <c r="Y1575" s="38"/>
      <c r="Z1575" s="38"/>
      <c r="AA1575" s="38"/>
      <c r="AB1575" s="248"/>
      <c r="AC1575" s="250"/>
      <c r="AD1575" s="181"/>
      <c r="AE1575" s="37"/>
      <c r="AF1575" s="37"/>
      <c r="AG1575" s="33"/>
      <c r="AH1575" s="37"/>
      <c r="AI1575" s="37"/>
      <c r="AJ1575" s="181"/>
      <c r="AK1575" s="37"/>
      <c r="AL1575" s="37"/>
      <c r="AM1575" s="181"/>
      <c r="AN1575" s="37"/>
      <c r="AO1575" s="37"/>
      <c r="AP1575" s="37"/>
      <c r="AQ1575" s="37"/>
      <c r="AR1575" s="37"/>
      <c r="AS1575" s="37"/>
      <c r="AT1575" s="37"/>
      <c r="AU1575" s="37"/>
      <c r="AV1575" s="37"/>
      <c r="AW1575" s="37"/>
      <c r="AX1575" s="37"/>
      <c r="AY1575" s="37"/>
      <c r="AZ1575" s="37"/>
    </row>
    <row r="1576" spans="1:52" ht="15.5" customHeight="1">
      <c r="A1576" s="360"/>
      <c r="B1576" s="340"/>
      <c r="C1576" s="181"/>
      <c r="D1576" s="30"/>
      <c r="E1576" s="30"/>
      <c r="F1576" s="30"/>
      <c r="G1576" s="37"/>
      <c r="H1576" s="37"/>
      <c r="I1576" s="37"/>
      <c r="J1576" s="37" t="s">
        <v>69</v>
      </c>
      <c r="K1576" s="325" t="s">
        <v>69</v>
      </c>
      <c r="L1576" s="181"/>
      <c r="M1576" s="181"/>
      <c r="N1576" s="37"/>
      <c r="O1576" s="31"/>
      <c r="P1576" s="37"/>
      <c r="Q1576" s="181"/>
      <c r="R1576" s="181"/>
      <c r="S1576" s="181"/>
      <c r="T1576" s="181"/>
      <c r="U1576" s="181"/>
      <c r="V1576" s="37"/>
      <c r="W1576" s="181"/>
      <c r="X1576" s="38"/>
      <c r="Y1576" s="38"/>
      <c r="Z1576" s="38"/>
      <c r="AA1576" s="38"/>
      <c r="AB1576" s="248"/>
      <c r="AC1576" s="250"/>
      <c r="AD1576" s="181"/>
      <c r="AE1576" s="37"/>
      <c r="AF1576" s="37"/>
      <c r="AG1576" s="33"/>
      <c r="AH1576" s="37"/>
      <c r="AI1576" s="37"/>
      <c r="AJ1576" s="181"/>
      <c r="AK1576" s="37"/>
      <c r="AL1576" s="37"/>
      <c r="AM1576" s="181"/>
      <c r="AN1576" s="37"/>
      <c r="AO1576" s="37"/>
      <c r="AP1576" s="37"/>
      <c r="AQ1576" s="37"/>
      <c r="AR1576" s="37"/>
      <c r="AS1576" s="37"/>
      <c r="AT1576" s="37"/>
      <c r="AU1576" s="37"/>
      <c r="AV1576" s="37"/>
      <c r="AW1576" s="37"/>
      <c r="AX1576" s="37"/>
      <c r="AY1576" s="37"/>
      <c r="AZ1576" s="37"/>
    </row>
    <row r="1577" spans="1:52" ht="15.5" customHeight="1">
      <c r="A1577" s="360"/>
      <c r="B1577" s="340"/>
      <c r="C1577" s="181"/>
      <c r="D1577" s="30"/>
      <c r="E1577" s="30"/>
      <c r="F1577" s="30"/>
      <c r="G1577" s="37"/>
      <c r="H1577" s="37"/>
      <c r="I1577" s="37"/>
      <c r="J1577" s="37" t="s">
        <v>69</v>
      </c>
      <c r="K1577" s="325" t="s">
        <v>69</v>
      </c>
      <c r="L1577" s="181"/>
      <c r="M1577" s="181"/>
      <c r="N1577" s="37"/>
      <c r="O1577" s="31"/>
      <c r="P1577" s="37"/>
      <c r="Q1577" s="181"/>
      <c r="R1577" s="181"/>
      <c r="S1577" s="181"/>
      <c r="T1577" s="181"/>
      <c r="U1577" s="181"/>
      <c r="V1577" s="37"/>
      <c r="W1577" s="181"/>
      <c r="X1577" s="38"/>
      <c r="Y1577" s="38"/>
      <c r="Z1577" s="38"/>
      <c r="AA1577" s="38"/>
      <c r="AB1577" s="248"/>
      <c r="AC1577" s="250"/>
      <c r="AD1577" s="181"/>
      <c r="AE1577" s="37"/>
      <c r="AF1577" s="37"/>
      <c r="AG1577" s="33"/>
      <c r="AH1577" s="37"/>
      <c r="AI1577" s="37"/>
      <c r="AJ1577" s="181"/>
      <c r="AK1577" s="37"/>
      <c r="AL1577" s="37"/>
      <c r="AM1577" s="181"/>
      <c r="AN1577" s="37"/>
      <c r="AO1577" s="37"/>
      <c r="AP1577" s="37"/>
      <c r="AQ1577" s="37"/>
      <c r="AR1577" s="37"/>
      <c r="AS1577" s="37"/>
      <c r="AT1577" s="37"/>
      <c r="AU1577" s="37"/>
      <c r="AV1577" s="37"/>
      <c r="AW1577" s="37"/>
      <c r="AX1577" s="37"/>
      <c r="AY1577" s="37"/>
      <c r="AZ1577" s="37"/>
    </row>
    <row r="1578" spans="1:52" ht="15.5" customHeight="1">
      <c r="A1578" s="360"/>
      <c r="B1578" s="340"/>
      <c r="C1578" s="181"/>
      <c r="D1578" s="30"/>
      <c r="E1578" s="30"/>
      <c r="F1578" s="30"/>
      <c r="G1578" s="37"/>
      <c r="H1578" s="37"/>
      <c r="I1578" s="37"/>
      <c r="J1578" s="37" t="s">
        <v>69</v>
      </c>
      <c r="K1578" s="325" t="s">
        <v>69</v>
      </c>
      <c r="L1578" s="181"/>
      <c r="M1578" s="181"/>
      <c r="N1578" s="37"/>
      <c r="O1578" s="31"/>
      <c r="P1578" s="37"/>
      <c r="Q1578" s="181"/>
      <c r="R1578" s="181"/>
      <c r="S1578" s="181"/>
      <c r="T1578" s="181"/>
      <c r="U1578" s="181"/>
      <c r="V1578" s="37"/>
      <c r="W1578" s="181"/>
      <c r="X1578" s="38"/>
      <c r="Y1578" s="38"/>
      <c r="Z1578" s="38"/>
      <c r="AA1578" s="38"/>
      <c r="AB1578" s="248"/>
      <c r="AC1578" s="250"/>
      <c r="AD1578" s="181"/>
      <c r="AE1578" s="37"/>
      <c r="AF1578" s="37"/>
      <c r="AG1578" s="33"/>
      <c r="AH1578" s="37"/>
      <c r="AI1578" s="37"/>
      <c r="AJ1578" s="181"/>
      <c r="AK1578" s="37"/>
      <c r="AL1578" s="37"/>
      <c r="AM1578" s="181"/>
      <c r="AN1578" s="37"/>
      <c r="AO1578" s="37"/>
      <c r="AP1578" s="37"/>
      <c r="AQ1578" s="37"/>
      <c r="AR1578" s="37"/>
      <c r="AS1578" s="37"/>
      <c r="AT1578" s="37"/>
      <c r="AU1578" s="37"/>
      <c r="AV1578" s="37"/>
      <c r="AW1578" s="37"/>
      <c r="AX1578" s="37"/>
      <c r="AY1578" s="37"/>
      <c r="AZ1578" s="37"/>
    </row>
    <row r="1579" spans="1:52" ht="15.5" customHeight="1">
      <c r="A1579" s="360"/>
      <c r="B1579" s="340"/>
      <c r="C1579" s="181"/>
      <c r="D1579" s="30"/>
      <c r="E1579" s="30"/>
      <c r="F1579" s="30"/>
      <c r="G1579" s="37"/>
      <c r="H1579" s="37"/>
      <c r="I1579" s="37"/>
      <c r="J1579" s="37" t="s">
        <v>69</v>
      </c>
      <c r="K1579" s="325" t="s">
        <v>69</v>
      </c>
      <c r="L1579" s="181"/>
      <c r="M1579" s="181"/>
      <c r="N1579" s="37"/>
      <c r="O1579" s="31"/>
      <c r="P1579" s="37"/>
      <c r="Q1579" s="181"/>
      <c r="R1579" s="181"/>
      <c r="S1579" s="181"/>
      <c r="T1579" s="181"/>
      <c r="U1579" s="181"/>
      <c r="V1579" s="37"/>
      <c r="W1579" s="181"/>
      <c r="X1579" s="38"/>
      <c r="Y1579" s="38"/>
      <c r="Z1579" s="38"/>
      <c r="AA1579" s="38"/>
      <c r="AB1579" s="248"/>
      <c r="AC1579" s="250"/>
      <c r="AD1579" s="181"/>
      <c r="AE1579" s="37"/>
      <c r="AF1579" s="37"/>
      <c r="AG1579" s="33"/>
      <c r="AH1579" s="37"/>
      <c r="AI1579" s="37"/>
      <c r="AJ1579" s="181"/>
      <c r="AK1579" s="37"/>
      <c r="AL1579" s="37"/>
      <c r="AM1579" s="181"/>
      <c r="AN1579" s="37"/>
      <c r="AO1579" s="37"/>
      <c r="AP1579" s="37"/>
      <c r="AQ1579" s="37"/>
      <c r="AR1579" s="37"/>
      <c r="AS1579" s="37"/>
      <c r="AT1579" s="37"/>
      <c r="AU1579" s="37"/>
      <c r="AV1579" s="37"/>
      <c r="AW1579" s="37"/>
      <c r="AX1579" s="37"/>
      <c r="AY1579" s="37"/>
      <c r="AZ1579" s="37"/>
    </row>
    <row r="1580" spans="1:52" ht="15.5" customHeight="1">
      <c r="A1580" s="360"/>
      <c r="B1580" s="340"/>
      <c r="C1580" s="181"/>
      <c r="D1580" s="30"/>
      <c r="E1580" s="30"/>
      <c r="F1580" s="30"/>
      <c r="G1580" s="37"/>
      <c r="H1580" s="37"/>
      <c r="I1580" s="37"/>
      <c r="J1580" s="37" t="s">
        <v>69</v>
      </c>
      <c r="K1580" s="325" t="s">
        <v>69</v>
      </c>
      <c r="L1580" s="181"/>
      <c r="M1580" s="181"/>
      <c r="N1580" s="37"/>
      <c r="O1580" s="31"/>
      <c r="P1580" s="37"/>
      <c r="Q1580" s="181"/>
      <c r="R1580" s="181"/>
      <c r="S1580" s="181"/>
      <c r="T1580" s="181"/>
      <c r="U1580" s="181"/>
      <c r="V1580" s="37"/>
      <c r="W1580" s="181"/>
      <c r="X1580" s="38"/>
      <c r="Y1580" s="38"/>
      <c r="Z1580" s="38"/>
      <c r="AA1580" s="38"/>
      <c r="AB1580" s="248"/>
      <c r="AC1580" s="250"/>
      <c r="AD1580" s="181"/>
      <c r="AE1580" s="37"/>
      <c r="AF1580" s="37"/>
      <c r="AG1580" s="33"/>
      <c r="AH1580" s="37"/>
      <c r="AI1580" s="37"/>
      <c r="AJ1580" s="181"/>
      <c r="AK1580" s="37"/>
      <c r="AL1580" s="37"/>
      <c r="AM1580" s="181"/>
      <c r="AN1580" s="37"/>
      <c r="AO1580" s="37"/>
      <c r="AP1580" s="37"/>
      <c r="AQ1580" s="37"/>
      <c r="AR1580" s="37"/>
      <c r="AS1580" s="37"/>
      <c r="AT1580" s="37"/>
      <c r="AU1580" s="37"/>
      <c r="AV1580" s="37"/>
      <c r="AW1580" s="37"/>
      <c r="AX1580" s="37"/>
      <c r="AY1580" s="37"/>
      <c r="AZ1580" s="37"/>
    </row>
    <row r="1581" spans="1:52" ht="15.5" customHeight="1">
      <c r="A1581" s="360"/>
      <c r="B1581" s="340"/>
      <c r="C1581" s="181"/>
      <c r="D1581" s="30"/>
      <c r="E1581" s="30"/>
      <c r="F1581" s="30"/>
      <c r="G1581" s="37"/>
      <c r="H1581" s="37"/>
      <c r="I1581" s="37"/>
      <c r="J1581" s="37" t="s">
        <v>69</v>
      </c>
      <c r="K1581" s="325" t="s">
        <v>69</v>
      </c>
      <c r="L1581" s="181"/>
      <c r="M1581" s="181"/>
      <c r="N1581" s="37"/>
      <c r="O1581" s="31"/>
      <c r="P1581" s="37"/>
      <c r="Q1581" s="181"/>
      <c r="R1581" s="181"/>
      <c r="S1581" s="181"/>
      <c r="T1581" s="181"/>
      <c r="U1581" s="181"/>
      <c r="V1581" s="37"/>
      <c r="W1581" s="181"/>
      <c r="X1581" s="38"/>
      <c r="Y1581" s="38"/>
      <c r="Z1581" s="38"/>
      <c r="AA1581" s="38"/>
      <c r="AB1581" s="248"/>
      <c r="AC1581" s="250"/>
      <c r="AD1581" s="181"/>
      <c r="AE1581" s="37"/>
      <c r="AF1581" s="37"/>
      <c r="AG1581" s="33"/>
      <c r="AH1581" s="37"/>
      <c r="AI1581" s="37"/>
      <c r="AJ1581" s="181"/>
      <c r="AK1581" s="37"/>
      <c r="AL1581" s="37"/>
      <c r="AM1581" s="181"/>
      <c r="AN1581" s="37"/>
      <c r="AO1581" s="37"/>
      <c r="AP1581" s="37"/>
      <c r="AQ1581" s="37"/>
      <c r="AR1581" s="37"/>
      <c r="AS1581" s="37"/>
      <c r="AT1581" s="37"/>
      <c r="AU1581" s="37"/>
      <c r="AV1581" s="37"/>
      <c r="AW1581" s="37"/>
      <c r="AX1581" s="37"/>
      <c r="AY1581" s="37"/>
      <c r="AZ1581" s="37"/>
    </row>
    <row r="1582" spans="1:52" ht="15.5" customHeight="1">
      <c r="A1582" s="360"/>
      <c r="B1582" s="340"/>
      <c r="C1582" s="181"/>
      <c r="D1582" s="30"/>
      <c r="E1582" s="30"/>
      <c r="F1582" s="30"/>
      <c r="G1582" s="37"/>
      <c r="H1582" s="37"/>
      <c r="I1582" s="37"/>
      <c r="J1582" s="37" t="s">
        <v>69</v>
      </c>
      <c r="K1582" s="325" t="s">
        <v>69</v>
      </c>
      <c r="L1582" s="181"/>
      <c r="M1582" s="181"/>
      <c r="N1582" s="37"/>
      <c r="O1582" s="31"/>
      <c r="P1582" s="37"/>
      <c r="Q1582" s="181"/>
      <c r="R1582" s="181"/>
      <c r="S1582" s="181"/>
      <c r="T1582" s="181"/>
      <c r="U1582" s="181"/>
      <c r="V1582" s="37"/>
      <c r="W1582" s="181"/>
      <c r="X1582" s="38"/>
      <c r="Y1582" s="38"/>
      <c r="Z1582" s="38"/>
      <c r="AA1582" s="38"/>
      <c r="AB1582" s="248"/>
      <c r="AC1582" s="250"/>
      <c r="AD1582" s="181"/>
      <c r="AE1582" s="37"/>
      <c r="AF1582" s="37"/>
      <c r="AG1582" s="33"/>
      <c r="AH1582" s="37"/>
      <c r="AI1582" s="37"/>
      <c r="AJ1582" s="181"/>
      <c r="AK1582" s="37"/>
      <c r="AL1582" s="37"/>
      <c r="AM1582" s="181"/>
      <c r="AN1582" s="37"/>
      <c r="AO1582" s="37"/>
      <c r="AP1582" s="37"/>
      <c r="AQ1582" s="37"/>
      <c r="AR1582" s="37"/>
      <c r="AS1582" s="37"/>
      <c r="AT1582" s="37"/>
      <c r="AU1582" s="37"/>
      <c r="AV1582" s="37"/>
      <c r="AW1582" s="37"/>
      <c r="AX1582" s="37"/>
      <c r="AY1582" s="37"/>
      <c r="AZ1582" s="37"/>
    </row>
    <row r="1583" spans="1:52" ht="15.5" customHeight="1">
      <c r="A1583" s="360"/>
      <c r="B1583" s="340"/>
      <c r="C1583" s="181"/>
      <c r="D1583" s="30"/>
      <c r="E1583" s="30"/>
      <c r="F1583" s="30"/>
      <c r="G1583" s="37"/>
      <c r="H1583" s="37"/>
      <c r="I1583" s="37"/>
      <c r="J1583" s="37" t="s">
        <v>69</v>
      </c>
      <c r="K1583" s="325" t="s">
        <v>69</v>
      </c>
      <c r="L1583" s="181"/>
      <c r="M1583" s="181"/>
      <c r="N1583" s="37"/>
      <c r="O1583" s="31"/>
      <c r="P1583" s="37"/>
      <c r="Q1583" s="181"/>
      <c r="R1583" s="181"/>
      <c r="S1583" s="181"/>
      <c r="T1583" s="181"/>
      <c r="U1583" s="181"/>
      <c r="V1583" s="37"/>
      <c r="W1583" s="181"/>
      <c r="X1583" s="38"/>
      <c r="Y1583" s="38"/>
      <c r="Z1583" s="38"/>
      <c r="AA1583" s="38"/>
      <c r="AB1583" s="248"/>
      <c r="AC1583" s="250"/>
      <c r="AD1583" s="181"/>
      <c r="AE1583" s="37"/>
      <c r="AF1583" s="37"/>
      <c r="AG1583" s="33"/>
      <c r="AH1583" s="37"/>
      <c r="AI1583" s="37"/>
      <c r="AJ1583" s="181"/>
      <c r="AK1583" s="37"/>
      <c r="AL1583" s="37"/>
      <c r="AM1583" s="181"/>
      <c r="AN1583" s="37"/>
      <c r="AO1583" s="37"/>
      <c r="AP1583" s="37"/>
      <c r="AQ1583" s="37"/>
      <c r="AR1583" s="37"/>
      <c r="AS1583" s="37"/>
      <c r="AT1583" s="37"/>
      <c r="AU1583" s="37"/>
      <c r="AV1583" s="37"/>
      <c r="AW1583" s="37"/>
      <c r="AX1583" s="37"/>
      <c r="AY1583" s="37"/>
      <c r="AZ1583" s="37"/>
    </row>
    <row r="1584" spans="1:52" ht="15.5" customHeight="1">
      <c r="A1584" s="360"/>
      <c r="B1584" s="340"/>
      <c r="C1584" s="181"/>
      <c r="D1584" s="30"/>
      <c r="E1584" s="30"/>
      <c r="F1584" s="30"/>
      <c r="G1584" s="37"/>
      <c r="H1584" s="37"/>
      <c r="I1584" s="37"/>
      <c r="J1584" s="37" t="s">
        <v>69</v>
      </c>
      <c r="K1584" s="325" t="s">
        <v>69</v>
      </c>
      <c r="L1584" s="181"/>
      <c r="M1584" s="181"/>
      <c r="N1584" s="37"/>
      <c r="O1584" s="31"/>
      <c r="P1584" s="37"/>
      <c r="Q1584" s="181"/>
      <c r="R1584" s="181"/>
      <c r="S1584" s="181"/>
      <c r="T1584" s="181"/>
      <c r="U1584" s="181"/>
      <c r="V1584" s="37"/>
      <c r="W1584" s="181"/>
      <c r="X1584" s="38"/>
      <c r="Y1584" s="38"/>
      <c r="Z1584" s="38"/>
      <c r="AA1584" s="38"/>
      <c r="AB1584" s="248"/>
      <c r="AC1584" s="250"/>
      <c r="AD1584" s="181"/>
      <c r="AE1584" s="37"/>
      <c r="AF1584" s="37"/>
      <c r="AG1584" s="33"/>
      <c r="AH1584" s="37"/>
      <c r="AI1584" s="37"/>
      <c r="AJ1584" s="181"/>
      <c r="AK1584" s="37"/>
      <c r="AL1584" s="37"/>
      <c r="AM1584" s="181"/>
      <c r="AN1584" s="37"/>
      <c r="AO1584" s="37"/>
      <c r="AP1584" s="37"/>
      <c r="AQ1584" s="37"/>
      <c r="AR1584" s="37"/>
      <c r="AS1584" s="37"/>
      <c r="AT1584" s="37"/>
      <c r="AU1584" s="37"/>
      <c r="AV1584" s="37"/>
      <c r="AW1584" s="37"/>
      <c r="AX1584" s="37"/>
      <c r="AY1584" s="37"/>
      <c r="AZ1584" s="37"/>
    </row>
    <row r="1585" spans="1:52" ht="15.5" customHeight="1">
      <c r="A1585" s="360"/>
      <c r="B1585" s="340"/>
      <c r="C1585" s="181"/>
      <c r="D1585" s="30"/>
      <c r="E1585" s="30"/>
      <c r="F1585" s="30"/>
      <c r="G1585" s="37"/>
      <c r="H1585" s="37"/>
      <c r="I1585" s="37"/>
      <c r="J1585" s="37" t="s">
        <v>69</v>
      </c>
      <c r="K1585" s="325" t="s">
        <v>69</v>
      </c>
      <c r="L1585" s="181"/>
      <c r="M1585" s="181"/>
      <c r="N1585" s="37"/>
      <c r="O1585" s="31"/>
      <c r="P1585" s="37"/>
      <c r="Q1585" s="181"/>
      <c r="R1585" s="181"/>
      <c r="S1585" s="181"/>
      <c r="T1585" s="181"/>
      <c r="U1585" s="181"/>
      <c r="V1585" s="37"/>
      <c r="W1585" s="181"/>
      <c r="X1585" s="38"/>
      <c r="Y1585" s="38"/>
      <c r="Z1585" s="38"/>
      <c r="AA1585" s="38"/>
      <c r="AB1585" s="248"/>
      <c r="AC1585" s="250"/>
      <c r="AD1585" s="181"/>
      <c r="AE1585" s="37"/>
      <c r="AF1585" s="37"/>
      <c r="AG1585" s="33"/>
      <c r="AH1585" s="37"/>
      <c r="AI1585" s="37"/>
      <c r="AJ1585" s="181"/>
      <c r="AK1585" s="37"/>
      <c r="AL1585" s="37"/>
      <c r="AM1585" s="181"/>
      <c r="AN1585" s="37"/>
      <c r="AO1585" s="37"/>
      <c r="AP1585" s="37"/>
      <c r="AQ1585" s="37"/>
      <c r="AR1585" s="37"/>
      <c r="AS1585" s="37"/>
      <c r="AT1585" s="37"/>
      <c r="AU1585" s="37"/>
      <c r="AV1585" s="37"/>
      <c r="AW1585" s="37"/>
      <c r="AX1585" s="37"/>
      <c r="AY1585" s="37"/>
      <c r="AZ1585" s="37"/>
    </row>
    <row r="1586" spans="1:52" ht="15.5" customHeight="1">
      <c r="A1586" s="360"/>
      <c r="B1586" s="340"/>
      <c r="C1586" s="181"/>
      <c r="D1586" s="30"/>
      <c r="E1586" s="30"/>
      <c r="F1586" s="30"/>
      <c r="G1586" s="37"/>
      <c r="H1586" s="37"/>
      <c r="I1586" s="37"/>
      <c r="J1586" s="37" t="s">
        <v>69</v>
      </c>
      <c r="K1586" s="325" t="s">
        <v>69</v>
      </c>
      <c r="L1586" s="181"/>
      <c r="M1586" s="181"/>
      <c r="N1586" s="37"/>
      <c r="O1586" s="31"/>
      <c r="P1586" s="37"/>
      <c r="Q1586" s="181"/>
      <c r="R1586" s="181"/>
      <c r="S1586" s="181"/>
      <c r="T1586" s="181"/>
      <c r="U1586" s="181"/>
      <c r="V1586" s="37"/>
      <c r="W1586" s="181"/>
      <c r="X1586" s="38"/>
      <c r="Y1586" s="38"/>
      <c r="Z1586" s="38"/>
      <c r="AA1586" s="38"/>
      <c r="AB1586" s="248"/>
      <c r="AC1586" s="250"/>
      <c r="AD1586" s="181"/>
      <c r="AE1586" s="37"/>
      <c r="AF1586" s="37"/>
      <c r="AG1586" s="33"/>
      <c r="AH1586" s="37"/>
      <c r="AI1586" s="37"/>
      <c r="AJ1586" s="181"/>
      <c r="AK1586" s="37"/>
      <c r="AL1586" s="37"/>
      <c r="AM1586" s="181"/>
      <c r="AN1586" s="37"/>
      <c r="AO1586" s="37"/>
      <c r="AP1586" s="37"/>
      <c r="AQ1586" s="37"/>
      <c r="AR1586" s="37"/>
      <c r="AS1586" s="37"/>
      <c r="AT1586" s="37"/>
      <c r="AU1586" s="37"/>
      <c r="AV1586" s="37"/>
      <c r="AW1586" s="37"/>
      <c r="AX1586" s="37"/>
      <c r="AY1586" s="37"/>
      <c r="AZ1586" s="37"/>
    </row>
    <row r="1587" spans="1:52" ht="15.5" customHeight="1">
      <c r="A1587" s="360"/>
      <c r="B1587" s="340"/>
      <c r="C1587" s="181"/>
      <c r="D1587" s="30"/>
      <c r="E1587" s="30"/>
      <c r="F1587" s="30"/>
      <c r="G1587" s="37"/>
      <c r="H1587" s="37"/>
      <c r="I1587" s="37"/>
      <c r="J1587" s="37" t="s">
        <v>69</v>
      </c>
      <c r="K1587" s="325" t="s">
        <v>69</v>
      </c>
      <c r="L1587" s="181"/>
      <c r="M1587" s="181"/>
      <c r="N1587" s="37"/>
      <c r="O1587" s="31"/>
      <c r="P1587" s="37"/>
      <c r="Q1587" s="181"/>
      <c r="R1587" s="181"/>
      <c r="S1587" s="181"/>
      <c r="T1587" s="181"/>
      <c r="U1587" s="181"/>
      <c r="V1587" s="37"/>
      <c r="W1587" s="181"/>
      <c r="X1587" s="38"/>
      <c r="Y1587" s="38"/>
      <c r="Z1587" s="38"/>
      <c r="AA1587" s="38"/>
      <c r="AB1587" s="248"/>
      <c r="AC1587" s="250"/>
      <c r="AD1587" s="181"/>
      <c r="AE1587" s="37"/>
      <c r="AF1587" s="37"/>
      <c r="AG1587" s="33"/>
      <c r="AH1587" s="37"/>
      <c r="AI1587" s="37"/>
      <c r="AJ1587" s="181"/>
      <c r="AK1587" s="37"/>
      <c r="AL1587" s="37"/>
      <c r="AM1587" s="181"/>
      <c r="AN1587" s="37"/>
      <c r="AO1587" s="37"/>
      <c r="AP1587" s="37"/>
      <c r="AQ1587" s="37"/>
      <c r="AR1587" s="37"/>
      <c r="AS1587" s="37"/>
      <c r="AT1587" s="37"/>
      <c r="AU1587" s="37"/>
      <c r="AV1587" s="37"/>
      <c r="AW1587" s="37"/>
      <c r="AX1587" s="37"/>
      <c r="AY1587" s="37"/>
      <c r="AZ1587" s="37"/>
    </row>
    <row r="1588" spans="1:52" ht="15.5" customHeight="1">
      <c r="A1588" s="360"/>
      <c r="B1588" s="340"/>
      <c r="C1588" s="181"/>
      <c r="D1588" s="30"/>
      <c r="E1588" s="30"/>
      <c r="F1588" s="30"/>
      <c r="G1588" s="37"/>
      <c r="H1588" s="37"/>
      <c r="I1588" s="37"/>
      <c r="J1588" s="37" t="s">
        <v>69</v>
      </c>
      <c r="K1588" s="325" t="s">
        <v>69</v>
      </c>
      <c r="L1588" s="181"/>
      <c r="M1588" s="181"/>
      <c r="N1588" s="37"/>
      <c r="O1588" s="31"/>
      <c r="P1588" s="37"/>
      <c r="Q1588" s="181"/>
      <c r="R1588" s="181"/>
      <c r="S1588" s="181"/>
      <c r="T1588" s="181"/>
      <c r="U1588" s="181"/>
      <c r="V1588" s="37"/>
      <c r="W1588" s="181"/>
      <c r="X1588" s="38"/>
      <c r="Y1588" s="38"/>
      <c r="Z1588" s="38"/>
      <c r="AA1588" s="38"/>
      <c r="AB1588" s="248"/>
      <c r="AC1588" s="250"/>
      <c r="AD1588" s="181"/>
      <c r="AE1588" s="37"/>
      <c r="AF1588" s="37"/>
      <c r="AG1588" s="33"/>
      <c r="AH1588" s="37"/>
      <c r="AI1588" s="37"/>
      <c r="AJ1588" s="181"/>
      <c r="AK1588" s="37"/>
      <c r="AL1588" s="37"/>
      <c r="AM1588" s="181"/>
      <c r="AN1588" s="37"/>
      <c r="AO1588" s="37"/>
      <c r="AP1588" s="37"/>
      <c r="AQ1588" s="37"/>
      <c r="AR1588" s="37"/>
      <c r="AS1588" s="37"/>
      <c r="AT1588" s="37"/>
      <c r="AU1588" s="37"/>
      <c r="AV1588" s="37"/>
      <c r="AW1588" s="37"/>
      <c r="AX1588" s="37"/>
      <c r="AY1588" s="37"/>
      <c r="AZ1588" s="37"/>
    </row>
    <row r="1589" spans="1:52" ht="15.5" customHeight="1">
      <c r="A1589" s="360"/>
      <c r="B1589" s="340"/>
      <c r="C1589" s="181"/>
      <c r="D1589" s="30"/>
      <c r="E1589" s="30"/>
      <c r="F1589" s="30"/>
      <c r="G1589" s="37"/>
      <c r="H1589" s="37"/>
      <c r="I1589" s="37"/>
      <c r="J1589" s="37" t="s">
        <v>69</v>
      </c>
      <c r="K1589" s="325" t="s">
        <v>69</v>
      </c>
      <c r="L1589" s="181"/>
      <c r="M1589" s="181"/>
      <c r="N1589" s="37"/>
      <c r="O1589" s="31"/>
      <c r="P1589" s="37"/>
      <c r="Q1589" s="181"/>
      <c r="R1589" s="181"/>
      <c r="S1589" s="181"/>
      <c r="T1589" s="181"/>
      <c r="U1589" s="181"/>
      <c r="V1589" s="37"/>
      <c r="W1589" s="181"/>
      <c r="X1589" s="38"/>
      <c r="Y1589" s="38"/>
      <c r="Z1589" s="38"/>
      <c r="AA1589" s="38"/>
      <c r="AB1589" s="248"/>
      <c r="AC1589" s="250"/>
      <c r="AD1589" s="181"/>
      <c r="AE1589" s="37"/>
      <c r="AF1589" s="37"/>
      <c r="AG1589" s="33"/>
      <c r="AH1589" s="37"/>
      <c r="AI1589" s="37"/>
      <c r="AJ1589" s="181"/>
      <c r="AK1589" s="37"/>
      <c r="AL1589" s="37"/>
      <c r="AM1589" s="181"/>
      <c r="AN1589" s="37"/>
      <c r="AO1589" s="37"/>
      <c r="AP1589" s="37"/>
      <c r="AQ1589" s="37"/>
      <c r="AR1589" s="37"/>
      <c r="AS1589" s="37"/>
      <c r="AT1589" s="37"/>
      <c r="AU1589" s="37"/>
      <c r="AV1589" s="37"/>
      <c r="AW1589" s="37"/>
      <c r="AX1589" s="37"/>
      <c r="AY1589" s="37"/>
      <c r="AZ1589" s="37"/>
    </row>
    <row r="1590" spans="1:52" ht="15.5" customHeight="1">
      <c r="A1590" s="360"/>
      <c r="B1590" s="340"/>
      <c r="C1590" s="181"/>
      <c r="D1590" s="30"/>
      <c r="E1590" s="30"/>
      <c r="F1590" s="30"/>
      <c r="G1590" s="37"/>
      <c r="H1590" s="37"/>
      <c r="I1590" s="37"/>
      <c r="J1590" s="37" t="s">
        <v>69</v>
      </c>
      <c r="K1590" s="325" t="s">
        <v>69</v>
      </c>
      <c r="L1590" s="181"/>
      <c r="M1590" s="181"/>
      <c r="N1590" s="37"/>
      <c r="O1590" s="31"/>
      <c r="P1590" s="37"/>
      <c r="Q1590" s="181"/>
      <c r="R1590" s="181"/>
      <c r="S1590" s="181"/>
      <c r="T1590" s="181"/>
      <c r="U1590" s="181"/>
      <c r="V1590" s="37"/>
      <c r="W1590" s="181"/>
      <c r="X1590" s="38"/>
      <c r="Y1590" s="38"/>
      <c r="Z1590" s="38"/>
      <c r="AA1590" s="38"/>
      <c r="AB1590" s="248"/>
      <c r="AC1590" s="250"/>
      <c r="AD1590" s="181"/>
      <c r="AE1590" s="37"/>
      <c r="AF1590" s="37"/>
      <c r="AG1590" s="33"/>
      <c r="AH1590" s="37"/>
      <c r="AI1590" s="37"/>
      <c r="AJ1590" s="181"/>
      <c r="AK1590" s="37"/>
      <c r="AL1590" s="37"/>
      <c r="AM1590" s="181"/>
      <c r="AN1590" s="37"/>
      <c r="AO1590" s="37"/>
      <c r="AP1590" s="37"/>
      <c r="AQ1590" s="37"/>
      <c r="AR1590" s="37"/>
      <c r="AS1590" s="37"/>
      <c r="AT1590" s="37"/>
      <c r="AU1590" s="37"/>
      <c r="AV1590" s="37"/>
      <c r="AW1590" s="37"/>
      <c r="AX1590" s="37"/>
      <c r="AY1590" s="37"/>
      <c r="AZ1590" s="37"/>
    </row>
    <row r="1591" spans="1:52" ht="15.5" customHeight="1">
      <c r="A1591" s="360"/>
      <c r="B1591" s="340"/>
      <c r="C1591" s="181"/>
      <c r="D1591" s="30"/>
      <c r="E1591" s="30"/>
      <c r="F1591" s="30"/>
      <c r="G1591" s="37"/>
      <c r="H1591" s="37"/>
      <c r="I1591" s="37"/>
      <c r="J1591" s="37" t="s">
        <v>69</v>
      </c>
      <c r="K1591" s="325" t="s">
        <v>69</v>
      </c>
      <c r="L1591" s="181"/>
      <c r="M1591" s="181"/>
      <c r="N1591" s="37"/>
      <c r="O1591" s="31"/>
      <c r="P1591" s="37"/>
      <c r="Q1591" s="181"/>
      <c r="R1591" s="181"/>
      <c r="S1591" s="181"/>
      <c r="T1591" s="181"/>
      <c r="U1591" s="181"/>
      <c r="V1591" s="37"/>
      <c r="W1591" s="181"/>
      <c r="X1591" s="38"/>
      <c r="Y1591" s="38"/>
      <c r="Z1591" s="38"/>
      <c r="AA1591" s="38"/>
      <c r="AB1591" s="248"/>
      <c r="AC1591" s="250"/>
      <c r="AD1591" s="181"/>
      <c r="AE1591" s="37"/>
      <c r="AF1591" s="37"/>
      <c r="AG1591" s="33"/>
      <c r="AH1591" s="37"/>
      <c r="AI1591" s="37"/>
      <c r="AJ1591" s="181"/>
      <c r="AK1591" s="37"/>
      <c r="AL1591" s="37"/>
      <c r="AM1591" s="181"/>
      <c r="AN1591" s="37"/>
      <c r="AO1591" s="37"/>
      <c r="AP1591" s="37"/>
      <c r="AQ1591" s="37"/>
      <c r="AR1591" s="37"/>
      <c r="AS1591" s="37"/>
      <c r="AT1591" s="37"/>
      <c r="AU1591" s="37"/>
      <c r="AV1591" s="37"/>
      <c r="AW1591" s="37"/>
      <c r="AX1591" s="37"/>
      <c r="AY1591" s="37"/>
      <c r="AZ1591" s="37"/>
    </row>
    <row r="1592" spans="1:52" ht="15.5" customHeight="1">
      <c r="A1592" s="360"/>
      <c r="B1592" s="340"/>
      <c r="C1592" s="181"/>
      <c r="D1592" s="30"/>
      <c r="E1592" s="30"/>
      <c r="F1592" s="30"/>
      <c r="G1592" s="37"/>
      <c r="H1592" s="37"/>
      <c r="I1592" s="37"/>
      <c r="J1592" s="37" t="s">
        <v>69</v>
      </c>
      <c r="K1592" s="325" t="s">
        <v>69</v>
      </c>
      <c r="L1592" s="181"/>
      <c r="M1592" s="181"/>
      <c r="N1592" s="37"/>
      <c r="O1592" s="31"/>
      <c r="P1592" s="37"/>
      <c r="Q1592" s="181"/>
      <c r="R1592" s="181"/>
      <c r="S1592" s="181"/>
      <c r="T1592" s="181"/>
      <c r="U1592" s="181"/>
      <c r="V1592" s="37"/>
      <c r="W1592" s="181"/>
      <c r="X1592" s="38"/>
      <c r="Y1592" s="38"/>
      <c r="Z1592" s="38"/>
      <c r="AA1592" s="38"/>
      <c r="AB1592" s="248"/>
      <c r="AC1592" s="250"/>
      <c r="AD1592" s="181"/>
      <c r="AE1592" s="37"/>
      <c r="AF1592" s="37"/>
      <c r="AG1592" s="33"/>
      <c r="AH1592" s="37"/>
      <c r="AI1592" s="37"/>
      <c r="AJ1592" s="181"/>
      <c r="AK1592" s="37"/>
      <c r="AL1592" s="37"/>
      <c r="AM1592" s="181"/>
      <c r="AN1592" s="37"/>
      <c r="AO1592" s="37"/>
      <c r="AP1592" s="37"/>
      <c r="AQ1592" s="37"/>
      <c r="AR1592" s="37"/>
      <c r="AS1592" s="37"/>
      <c r="AT1592" s="37"/>
      <c r="AU1592" s="37"/>
      <c r="AV1592" s="37"/>
      <c r="AW1592" s="37"/>
      <c r="AX1592" s="37"/>
      <c r="AY1592" s="37"/>
      <c r="AZ1592" s="37"/>
    </row>
    <row r="1593" spans="1:52" ht="15.5" customHeight="1">
      <c r="A1593" s="360"/>
      <c r="B1593" s="340"/>
      <c r="C1593" s="181"/>
      <c r="D1593" s="30"/>
      <c r="E1593" s="30"/>
      <c r="F1593" s="30"/>
      <c r="G1593" s="37"/>
      <c r="H1593" s="37"/>
      <c r="I1593" s="37"/>
      <c r="J1593" s="37" t="s">
        <v>69</v>
      </c>
      <c r="K1593" s="325" t="s">
        <v>69</v>
      </c>
      <c r="L1593" s="181"/>
      <c r="M1593" s="181"/>
      <c r="N1593" s="37"/>
      <c r="O1593" s="31"/>
      <c r="P1593" s="37"/>
      <c r="Q1593" s="181"/>
      <c r="R1593" s="181"/>
      <c r="S1593" s="181"/>
      <c r="T1593" s="181"/>
      <c r="U1593" s="181"/>
      <c r="V1593" s="37"/>
      <c r="W1593" s="181"/>
      <c r="X1593" s="38"/>
      <c r="Y1593" s="38"/>
      <c r="Z1593" s="38"/>
      <c r="AA1593" s="38"/>
      <c r="AB1593" s="248"/>
      <c r="AC1593" s="250"/>
      <c r="AD1593" s="181"/>
      <c r="AE1593" s="37"/>
      <c r="AF1593" s="37"/>
      <c r="AG1593" s="33"/>
      <c r="AH1593" s="37"/>
      <c r="AI1593" s="37"/>
      <c r="AJ1593" s="181"/>
      <c r="AK1593" s="37"/>
      <c r="AL1593" s="37"/>
      <c r="AM1593" s="181"/>
      <c r="AN1593" s="37"/>
      <c r="AO1593" s="37"/>
      <c r="AP1593" s="37"/>
      <c r="AQ1593" s="37"/>
      <c r="AR1593" s="37"/>
      <c r="AS1593" s="37"/>
      <c r="AT1593" s="37"/>
      <c r="AU1593" s="37"/>
      <c r="AV1593" s="37"/>
      <c r="AW1593" s="37"/>
      <c r="AX1593" s="37"/>
      <c r="AY1593" s="37"/>
      <c r="AZ1593" s="37"/>
    </row>
    <row r="1594" spans="1:52" ht="15.5" customHeight="1">
      <c r="A1594" s="360"/>
      <c r="B1594" s="340"/>
      <c r="C1594" s="181"/>
      <c r="D1594" s="30"/>
      <c r="E1594" s="30"/>
      <c r="F1594" s="30"/>
      <c r="G1594" s="37"/>
      <c r="H1594" s="37"/>
      <c r="I1594" s="37"/>
      <c r="J1594" s="37" t="s">
        <v>69</v>
      </c>
      <c r="K1594" s="325" t="s">
        <v>69</v>
      </c>
      <c r="L1594" s="181"/>
      <c r="M1594" s="181"/>
      <c r="N1594" s="37"/>
      <c r="O1594" s="31"/>
      <c r="P1594" s="37"/>
      <c r="Q1594" s="181"/>
      <c r="R1594" s="181"/>
      <c r="S1594" s="181"/>
      <c r="T1594" s="181"/>
      <c r="U1594" s="181"/>
      <c r="V1594" s="37"/>
      <c r="W1594" s="181"/>
      <c r="X1594" s="38"/>
      <c r="Y1594" s="38"/>
      <c r="Z1594" s="38"/>
      <c r="AA1594" s="38"/>
      <c r="AB1594" s="248"/>
      <c r="AC1594" s="250"/>
      <c r="AD1594" s="181"/>
      <c r="AE1594" s="37"/>
      <c r="AF1594" s="37"/>
      <c r="AG1594" s="33"/>
      <c r="AH1594" s="37"/>
      <c r="AI1594" s="37"/>
      <c r="AJ1594" s="181"/>
      <c r="AK1594" s="37"/>
      <c r="AL1594" s="37"/>
      <c r="AM1594" s="181"/>
      <c r="AN1594" s="37"/>
      <c r="AO1594" s="37"/>
      <c r="AP1594" s="37"/>
      <c r="AQ1594" s="37"/>
      <c r="AR1594" s="37"/>
      <c r="AS1594" s="37"/>
      <c r="AT1594" s="37"/>
      <c r="AU1594" s="37"/>
      <c r="AV1594" s="37"/>
      <c r="AW1594" s="37"/>
      <c r="AX1594" s="37"/>
      <c r="AY1594" s="37"/>
      <c r="AZ1594" s="37"/>
    </row>
    <row r="1595" spans="1:52" ht="15.5" customHeight="1">
      <c r="A1595" s="360"/>
      <c r="B1595" s="340"/>
      <c r="C1595" s="181"/>
      <c r="D1595" s="30"/>
      <c r="E1595" s="30"/>
      <c r="F1595" s="30"/>
      <c r="G1595" s="37"/>
      <c r="H1595" s="37"/>
      <c r="I1595" s="37"/>
      <c r="J1595" s="37" t="s">
        <v>69</v>
      </c>
      <c r="K1595" s="325" t="s">
        <v>69</v>
      </c>
      <c r="L1595" s="181"/>
      <c r="M1595" s="181"/>
      <c r="N1595" s="37"/>
      <c r="O1595" s="31"/>
      <c r="P1595" s="37"/>
      <c r="Q1595" s="181"/>
      <c r="R1595" s="181"/>
      <c r="S1595" s="181"/>
      <c r="T1595" s="181"/>
      <c r="U1595" s="181"/>
      <c r="V1595" s="37"/>
      <c r="W1595" s="181"/>
      <c r="X1595" s="38"/>
      <c r="Y1595" s="38"/>
      <c r="Z1595" s="38"/>
      <c r="AA1595" s="38"/>
      <c r="AB1595" s="248"/>
      <c r="AC1595" s="250"/>
      <c r="AD1595" s="181"/>
      <c r="AE1595" s="37"/>
      <c r="AF1595" s="37"/>
      <c r="AG1595" s="33"/>
      <c r="AH1595" s="37"/>
      <c r="AI1595" s="37"/>
      <c r="AJ1595" s="181"/>
      <c r="AK1595" s="37"/>
      <c r="AL1595" s="37"/>
      <c r="AM1595" s="181"/>
      <c r="AN1595" s="37"/>
      <c r="AO1595" s="37"/>
      <c r="AP1595" s="37"/>
      <c r="AQ1595" s="37"/>
      <c r="AR1595" s="37"/>
      <c r="AS1595" s="37"/>
      <c r="AT1595" s="37"/>
      <c r="AU1595" s="37"/>
      <c r="AV1595" s="37"/>
      <c r="AW1595" s="37"/>
      <c r="AX1595" s="37"/>
      <c r="AY1595" s="37"/>
      <c r="AZ1595" s="37"/>
    </row>
    <row r="1596" spans="1:52" ht="15.5" customHeight="1">
      <c r="A1596" s="360"/>
      <c r="B1596" s="340"/>
      <c r="C1596" s="181"/>
      <c r="D1596" s="30"/>
      <c r="E1596" s="30"/>
      <c r="F1596" s="30"/>
      <c r="G1596" s="37"/>
      <c r="H1596" s="37"/>
      <c r="I1596" s="37"/>
      <c r="J1596" s="37" t="s">
        <v>69</v>
      </c>
      <c r="K1596" s="325" t="s">
        <v>69</v>
      </c>
      <c r="L1596" s="181"/>
      <c r="M1596" s="181"/>
      <c r="N1596" s="37"/>
      <c r="O1596" s="31"/>
      <c r="P1596" s="37"/>
      <c r="Q1596" s="181"/>
      <c r="R1596" s="181"/>
      <c r="S1596" s="181"/>
      <c r="T1596" s="181"/>
      <c r="U1596" s="181"/>
      <c r="V1596" s="37"/>
      <c r="W1596" s="181"/>
      <c r="X1596" s="38"/>
      <c r="Y1596" s="38"/>
      <c r="Z1596" s="38"/>
      <c r="AA1596" s="38"/>
      <c r="AB1596" s="248"/>
      <c r="AC1596" s="250"/>
      <c r="AD1596" s="181"/>
      <c r="AE1596" s="37"/>
      <c r="AF1596" s="37"/>
      <c r="AG1596" s="33"/>
      <c r="AH1596" s="37"/>
      <c r="AI1596" s="37"/>
      <c r="AJ1596" s="181"/>
      <c r="AK1596" s="37"/>
      <c r="AL1596" s="37"/>
      <c r="AM1596" s="181"/>
      <c r="AN1596" s="37"/>
      <c r="AO1596" s="37"/>
      <c r="AP1596" s="37"/>
      <c r="AQ1596" s="37"/>
      <c r="AR1596" s="37"/>
      <c r="AS1596" s="37"/>
      <c r="AT1596" s="37"/>
      <c r="AU1596" s="37"/>
      <c r="AV1596" s="37"/>
      <c r="AW1596" s="37"/>
      <c r="AX1596" s="37"/>
      <c r="AY1596" s="37"/>
      <c r="AZ1596" s="37"/>
    </row>
    <row r="1597" spans="1:52" ht="15.5" customHeight="1">
      <c r="A1597" s="360"/>
      <c r="B1597" s="340"/>
      <c r="C1597" s="181"/>
      <c r="D1597" s="30"/>
      <c r="E1597" s="30"/>
      <c r="F1597" s="30"/>
      <c r="G1597" s="37"/>
      <c r="H1597" s="37"/>
      <c r="I1597" s="37"/>
      <c r="J1597" s="37" t="s">
        <v>69</v>
      </c>
      <c r="K1597" s="325" t="s">
        <v>69</v>
      </c>
      <c r="L1597" s="181"/>
      <c r="M1597" s="181"/>
      <c r="N1597" s="37"/>
      <c r="O1597" s="31"/>
      <c r="P1597" s="37"/>
      <c r="Q1597" s="181"/>
      <c r="R1597" s="181"/>
      <c r="S1597" s="181"/>
      <c r="T1597" s="181"/>
      <c r="U1597" s="181"/>
      <c r="V1597" s="37"/>
      <c r="W1597" s="181"/>
      <c r="X1597" s="38"/>
      <c r="Y1597" s="38"/>
      <c r="Z1597" s="38"/>
      <c r="AA1597" s="38"/>
      <c r="AB1597" s="248"/>
      <c r="AC1597" s="250"/>
      <c r="AD1597" s="181"/>
      <c r="AE1597" s="37"/>
      <c r="AF1597" s="37"/>
      <c r="AG1597" s="33"/>
      <c r="AH1597" s="37"/>
      <c r="AI1597" s="37"/>
      <c r="AJ1597" s="181"/>
      <c r="AK1597" s="37"/>
      <c r="AL1597" s="37"/>
      <c r="AM1597" s="181"/>
      <c r="AN1597" s="37"/>
      <c r="AO1597" s="37"/>
      <c r="AP1597" s="37"/>
      <c r="AQ1597" s="37"/>
      <c r="AR1597" s="37"/>
      <c r="AS1597" s="37"/>
      <c r="AT1597" s="37"/>
      <c r="AU1597" s="37"/>
      <c r="AV1597" s="37"/>
      <c r="AW1597" s="37"/>
      <c r="AX1597" s="37"/>
      <c r="AY1597" s="37"/>
      <c r="AZ1597" s="37"/>
    </row>
    <row r="1598" spans="1:52" ht="15.5" customHeight="1">
      <c r="A1598" s="360"/>
      <c r="B1598" s="340"/>
      <c r="C1598" s="181"/>
      <c r="D1598" s="30"/>
      <c r="E1598" s="30"/>
      <c r="F1598" s="30"/>
      <c r="G1598" s="37"/>
      <c r="H1598" s="37"/>
      <c r="I1598" s="37"/>
      <c r="J1598" s="37" t="s">
        <v>69</v>
      </c>
      <c r="K1598" s="325" t="s">
        <v>69</v>
      </c>
      <c r="L1598" s="181"/>
      <c r="M1598" s="181"/>
      <c r="N1598" s="37"/>
      <c r="O1598" s="31"/>
      <c r="P1598" s="37"/>
      <c r="Q1598" s="181"/>
      <c r="R1598" s="181"/>
      <c r="S1598" s="181"/>
      <c r="T1598" s="181"/>
      <c r="U1598" s="181"/>
      <c r="V1598" s="37"/>
      <c r="W1598" s="181"/>
      <c r="X1598" s="38"/>
      <c r="Y1598" s="38"/>
      <c r="Z1598" s="38"/>
      <c r="AA1598" s="38"/>
      <c r="AB1598" s="248"/>
      <c r="AC1598" s="250"/>
      <c r="AD1598" s="181"/>
      <c r="AE1598" s="37"/>
      <c r="AF1598" s="37"/>
      <c r="AG1598" s="33"/>
      <c r="AH1598" s="37"/>
      <c r="AI1598" s="37"/>
      <c r="AJ1598" s="181"/>
      <c r="AK1598" s="37"/>
      <c r="AL1598" s="37"/>
      <c r="AM1598" s="181"/>
      <c r="AN1598" s="37"/>
      <c r="AO1598" s="37"/>
      <c r="AP1598" s="37"/>
      <c r="AQ1598" s="37"/>
      <c r="AR1598" s="37"/>
      <c r="AS1598" s="37"/>
      <c r="AT1598" s="37"/>
      <c r="AU1598" s="37"/>
      <c r="AV1598" s="37"/>
      <c r="AW1598" s="37"/>
      <c r="AX1598" s="37"/>
      <c r="AY1598" s="37"/>
      <c r="AZ1598" s="37"/>
    </row>
    <row r="1599" spans="1:52" ht="15.5" customHeight="1">
      <c r="A1599" s="360"/>
      <c r="B1599" s="340"/>
      <c r="C1599" s="181"/>
      <c r="D1599" s="30"/>
      <c r="E1599" s="30"/>
      <c r="F1599" s="30"/>
      <c r="G1599" s="37"/>
      <c r="H1599" s="37"/>
      <c r="I1599" s="37"/>
      <c r="J1599" s="37" t="s">
        <v>69</v>
      </c>
      <c r="K1599" s="325" t="s">
        <v>69</v>
      </c>
      <c r="L1599" s="181"/>
      <c r="M1599" s="181"/>
      <c r="N1599" s="37"/>
      <c r="O1599" s="31"/>
      <c r="P1599" s="37"/>
      <c r="Q1599" s="181"/>
      <c r="R1599" s="181"/>
      <c r="S1599" s="181"/>
      <c r="T1599" s="181"/>
      <c r="U1599" s="181"/>
      <c r="V1599" s="37"/>
      <c r="W1599" s="181"/>
      <c r="X1599" s="38"/>
      <c r="Y1599" s="38"/>
      <c r="Z1599" s="38"/>
      <c r="AA1599" s="38"/>
      <c r="AB1599" s="248"/>
      <c r="AC1599" s="250"/>
      <c r="AD1599" s="181"/>
      <c r="AE1599" s="37"/>
      <c r="AF1599" s="37"/>
      <c r="AG1599" s="33"/>
      <c r="AH1599" s="37"/>
      <c r="AI1599" s="37"/>
      <c r="AJ1599" s="181"/>
      <c r="AK1599" s="37"/>
      <c r="AL1599" s="37"/>
      <c r="AM1599" s="181"/>
      <c r="AN1599" s="37"/>
      <c r="AO1599" s="37"/>
      <c r="AP1599" s="37"/>
      <c r="AQ1599" s="37"/>
      <c r="AR1599" s="37"/>
      <c r="AS1599" s="37"/>
      <c r="AT1599" s="37"/>
      <c r="AU1599" s="37"/>
      <c r="AV1599" s="37"/>
      <c r="AW1599" s="37"/>
      <c r="AX1599" s="37"/>
      <c r="AY1599" s="37"/>
      <c r="AZ1599" s="37"/>
    </row>
    <row r="1600" spans="1:52" ht="15.5" customHeight="1">
      <c r="A1600" s="360"/>
      <c r="B1600" s="340"/>
      <c r="C1600" s="181"/>
      <c r="D1600" s="30"/>
      <c r="E1600" s="30"/>
      <c r="F1600" s="30"/>
      <c r="G1600" s="37"/>
      <c r="H1600" s="37"/>
      <c r="I1600" s="37"/>
      <c r="J1600" s="37" t="s">
        <v>69</v>
      </c>
      <c r="K1600" s="325" t="s">
        <v>69</v>
      </c>
      <c r="L1600" s="181"/>
      <c r="M1600" s="181"/>
      <c r="N1600" s="37"/>
      <c r="O1600" s="31"/>
      <c r="P1600" s="37"/>
      <c r="Q1600" s="181"/>
      <c r="R1600" s="181"/>
      <c r="S1600" s="181"/>
      <c r="T1600" s="181"/>
      <c r="U1600" s="181"/>
      <c r="V1600" s="37"/>
      <c r="W1600" s="181"/>
      <c r="X1600" s="38"/>
      <c r="Y1600" s="38"/>
      <c r="Z1600" s="38"/>
      <c r="AA1600" s="38"/>
      <c r="AB1600" s="248"/>
      <c r="AC1600" s="250"/>
      <c r="AD1600" s="181"/>
      <c r="AE1600" s="37"/>
      <c r="AF1600" s="37"/>
      <c r="AG1600" s="33"/>
      <c r="AH1600" s="37"/>
      <c r="AI1600" s="37"/>
      <c r="AJ1600" s="181"/>
      <c r="AK1600" s="37"/>
      <c r="AL1600" s="37"/>
      <c r="AM1600" s="181"/>
      <c r="AN1600" s="37"/>
      <c r="AO1600" s="37"/>
      <c r="AP1600" s="37"/>
      <c r="AQ1600" s="37"/>
      <c r="AR1600" s="37"/>
      <c r="AS1600" s="37"/>
      <c r="AT1600" s="37"/>
      <c r="AU1600" s="37"/>
      <c r="AV1600" s="37"/>
      <c r="AW1600" s="37"/>
      <c r="AX1600" s="37"/>
      <c r="AY1600" s="37"/>
      <c r="AZ1600" s="37"/>
    </row>
    <row r="1601" spans="1:52" ht="15.5" customHeight="1">
      <c r="A1601" s="360"/>
      <c r="B1601" s="340"/>
      <c r="C1601" s="181"/>
      <c r="D1601" s="30"/>
      <c r="E1601" s="30"/>
      <c r="F1601" s="30"/>
      <c r="G1601" s="37"/>
      <c r="H1601" s="37"/>
      <c r="I1601" s="37"/>
      <c r="J1601" s="37" t="s">
        <v>69</v>
      </c>
      <c r="K1601" s="325" t="s">
        <v>69</v>
      </c>
      <c r="L1601" s="181"/>
      <c r="M1601" s="181"/>
      <c r="N1601" s="37"/>
      <c r="O1601" s="31"/>
      <c r="P1601" s="37"/>
      <c r="Q1601" s="181"/>
      <c r="R1601" s="181"/>
      <c r="S1601" s="181"/>
      <c r="T1601" s="181"/>
      <c r="U1601" s="181"/>
      <c r="V1601" s="37"/>
      <c r="W1601" s="181"/>
      <c r="X1601" s="38"/>
      <c r="Y1601" s="38"/>
      <c r="Z1601" s="38"/>
      <c r="AA1601" s="38"/>
      <c r="AB1601" s="248"/>
      <c r="AC1601" s="250"/>
      <c r="AD1601" s="181"/>
      <c r="AE1601" s="37"/>
      <c r="AF1601" s="37"/>
      <c r="AG1601" s="33"/>
      <c r="AH1601" s="37"/>
      <c r="AI1601" s="37"/>
      <c r="AJ1601" s="181"/>
      <c r="AK1601" s="37"/>
      <c r="AL1601" s="37"/>
      <c r="AM1601" s="181"/>
      <c r="AN1601" s="37"/>
      <c r="AO1601" s="37"/>
      <c r="AP1601" s="37"/>
      <c r="AQ1601" s="37"/>
      <c r="AR1601" s="37"/>
      <c r="AS1601" s="37"/>
      <c r="AT1601" s="37"/>
      <c r="AU1601" s="37"/>
      <c r="AV1601" s="37"/>
      <c r="AW1601" s="37"/>
      <c r="AX1601" s="37"/>
      <c r="AY1601" s="37"/>
      <c r="AZ1601" s="37"/>
    </row>
    <row r="1602" spans="1:52" ht="15.5" customHeight="1">
      <c r="A1602" s="360"/>
      <c r="B1602" s="340"/>
      <c r="C1602" s="181"/>
      <c r="D1602" s="30"/>
      <c r="E1602" s="30"/>
      <c r="F1602" s="30"/>
      <c r="G1602" s="37"/>
      <c r="H1602" s="37"/>
      <c r="I1602" s="37"/>
      <c r="J1602" s="37" t="s">
        <v>69</v>
      </c>
      <c r="K1602" s="325" t="s">
        <v>69</v>
      </c>
      <c r="L1602" s="181"/>
      <c r="M1602" s="181"/>
      <c r="N1602" s="37"/>
      <c r="O1602" s="31"/>
      <c r="P1602" s="37"/>
      <c r="Q1602" s="181"/>
      <c r="R1602" s="181"/>
      <c r="S1602" s="181"/>
      <c r="T1602" s="181"/>
      <c r="U1602" s="181"/>
      <c r="V1602" s="37"/>
      <c r="W1602" s="181"/>
      <c r="X1602" s="38"/>
      <c r="Y1602" s="38"/>
      <c r="Z1602" s="38"/>
      <c r="AA1602" s="38"/>
      <c r="AB1602" s="248"/>
      <c r="AC1602" s="250"/>
      <c r="AD1602" s="181"/>
      <c r="AE1602" s="37"/>
      <c r="AF1602" s="37"/>
      <c r="AG1602" s="33"/>
      <c r="AH1602" s="37"/>
      <c r="AI1602" s="37"/>
      <c r="AJ1602" s="181"/>
      <c r="AK1602" s="37"/>
      <c r="AL1602" s="37"/>
      <c r="AM1602" s="181"/>
      <c r="AN1602" s="37"/>
      <c r="AO1602" s="37"/>
      <c r="AP1602" s="37"/>
      <c r="AQ1602" s="37"/>
      <c r="AR1602" s="37"/>
      <c r="AS1602" s="37"/>
      <c r="AT1602" s="37"/>
      <c r="AU1602" s="37"/>
      <c r="AV1602" s="37"/>
      <c r="AW1602" s="37"/>
      <c r="AX1602" s="37"/>
      <c r="AY1602" s="37"/>
      <c r="AZ1602" s="37"/>
    </row>
    <row r="1603" spans="1:52" ht="15.5" customHeight="1">
      <c r="A1603" s="360"/>
      <c r="B1603" s="340"/>
      <c r="C1603" s="181"/>
      <c r="D1603" s="30"/>
      <c r="E1603" s="30"/>
      <c r="F1603" s="30"/>
      <c r="G1603" s="37"/>
      <c r="H1603" s="37"/>
      <c r="I1603" s="37"/>
      <c r="J1603" s="37" t="s">
        <v>69</v>
      </c>
      <c r="K1603" s="325" t="s">
        <v>69</v>
      </c>
      <c r="L1603" s="181"/>
      <c r="M1603" s="181"/>
      <c r="N1603" s="37"/>
      <c r="O1603" s="31"/>
      <c r="P1603" s="37"/>
      <c r="Q1603" s="181"/>
      <c r="R1603" s="181"/>
      <c r="S1603" s="181"/>
      <c r="T1603" s="181"/>
      <c r="U1603" s="181"/>
      <c r="V1603" s="37"/>
      <c r="W1603" s="181"/>
      <c r="X1603" s="38"/>
      <c r="Y1603" s="38"/>
      <c r="Z1603" s="38"/>
      <c r="AA1603" s="38"/>
      <c r="AB1603" s="248"/>
      <c r="AC1603" s="250"/>
      <c r="AD1603" s="181"/>
      <c r="AE1603" s="37"/>
      <c r="AF1603" s="37"/>
      <c r="AG1603" s="33"/>
      <c r="AH1603" s="37"/>
      <c r="AI1603" s="37"/>
      <c r="AJ1603" s="181"/>
      <c r="AK1603" s="37"/>
      <c r="AL1603" s="37"/>
      <c r="AM1603" s="181"/>
      <c r="AN1603" s="37"/>
      <c r="AO1603" s="37"/>
      <c r="AP1603" s="37"/>
      <c r="AQ1603" s="37"/>
      <c r="AR1603" s="37"/>
      <c r="AS1603" s="37"/>
      <c r="AT1603" s="37"/>
      <c r="AU1603" s="37"/>
      <c r="AV1603" s="37"/>
      <c r="AW1603" s="37"/>
      <c r="AX1603" s="37"/>
      <c r="AY1603" s="37"/>
      <c r="AZ1603" s="37"/>
    </row>
    <row r="1604" spans="1:52" ht="15.5" customHeight="1">
      <c r="A1604" s="360"/>
      <c r="B1604" s="340"/>
      <c r="C1604" s="181"/>
      <c r="D1604" s="30"/>
      <c r="E1604" s="30"/>
      <c r="F1604" s="30"/>
      <c r="G1604" s="37"/>
      <c r="H1604" s="37"/>
      <c r="I1604" s="37"/>
      <c r="J1604" s="37" t="s">
        <v>69</v>
      </c>
      <c r="K1604" s="325" t="s">
        <v>69</v>
      </c>
      <c r="L1604" s="181"/>
      <c r="M1604" s="181"/>
      <c r="N1604" s="37"/>
      <c r="O1604" s="31"/>
      <c r="P1604" s="37"/>
      <c r="Q1604" s="181"/>
      <c r="R1604" s="181"/>
      <c r="S1604" s="181"/>
      <c r="T1604" s="181"/>
      <c r="U1604" s="181"/>
      <c r="V1604" s="37"/>
      <c r="W1604" s="181"/>
      <c r="X1604" s="38"/>
      <c r="Y1604" s="38"/>
      <c r="Z1604" s="38"/>
      <c r="AA1604" s="38"/>
      <c r="AB1604" s="248"/>
      <c r="AC1604" s="250"/>
      <c r="AD1604" s="181"/>
      <c r="AE1604" s="37"/>
      <c r="AF1604" s="37"/>
      <c r="AG1604" s="33"/>
      <c r="AH1604" s="37"/>
      <c r="AI1604" s="37"/>
      <c r="AJ1604" s="181"/>
      <c r="AK1604" s="37"/>
      <c r="AL1604" s="37"/>
      <c r="AM1604" s="181"/>
      <c r="AN1604" s="37"/>
      <c r="AO1604" s="37"/>
      <c r="AP1604" s="37"/>
      <c r="AQ1604" s="37"/>
      <c r="AR1604" s="37"/>
      <c r="AS1604" s="37"/>
      <c r="AT1604" s="37"/>
      <c r="AU1604" s="37"/>
      <c r="AV1604" s="37"/>
      <c r="AW1604" s="37"/>
      <c r="AX1604" s="37"/>
      <c r="AY1604" s="37"/>
      <c r="AZ1604" s="37"/>
    </row>
    <row r="1605" spans="1:52" ht="15.5" customHeight="1">
      <c r="A1605" s="360"/>
      <c r="B1605" s="340"/>
      <c r="C1605" s="181"/>
      <c r="D1605" s="30"/>
      <c r="E1605" s="30"/>
      <c r="F1605" s="30"/>
      <c r="G1605" s="37"/>
      <c r="H1605" s="37"/>
      <c r="I1605" s="37"/>
      <c r="J1605" s="37" t="s">
        <v>69</v>
      </c>
      <c r="K1605" s="325" t="s">
        <v>69</v>
      </c>
      <c r="L1605" s="181"/>
      <c r="M1605" s="181"/>
      <c r="N1605" s="37"/>
      <c r="O1605" s="31"/>
      <c r="P1605" s="37"/>
      <c r="Q1605" s="181"/>
      <c r="R1605" s="181"/>
      <c r="S1605" s="181"/>
      <c r="T1605" s="181"/>
      <c r="U1605" s="181"/>
      <c r="V1605" s="37"/>
      <c r="W1605" s="181"/>
      <c r="X1605" s="38"/>
      <c r="Y1605" s="38"/>
      <c r="Z1605" s="38"/>
      <c r="AA1605" s="38"/>
      <c r="AB1605" s="248"/>
      <c r="AC1605" s="250"/>
      <c r="AD1605" s="181"/>
      <c r="AE1605" s="37"/>
      <c r="AF1605" s="37"/>
      <c r="AG1605" s="33"/>
      <c r="AH1605" s="37"/>
      <c r="AI1605" s="37"/>
      <c r="AJ1605" s="181"/>
      <c r="AK1605" s="37"/>
      <c r="AL1605" s="37"/>
      <c r="AM1605" s="181"/>
      <c r="AN1605" s="37"/>
      <c r="AO1605" s="37"/>
      <c r="AP1605" s="37"/>
      <c r="AQ1605" s="37"/>
      <c r="AR1605" s="37"/>
      <c r="AS1605" s="37"/>
      <c r="AT1605" s="37"/>
      <c r="AU1605" s="37"/>
      <c r="AV1605" s="37"/>
      <c r="AW1605" s="37"/>
      <c r="AX1605" s="37"/>
      <c r="AY1605" s="37"/>
      <c r="AZ1605" s="37"/>
    </row>
    <row r="1606" spans="1:52" ht="15.5" customHeight="1">
      <c r="A1606" s="360"/>
      <c r="B1606" s="340"/>
      <c r="C1606" s="181"/>
      <c r="D1606" s="30"/>
      <c r="E1606" s="30"/>
      <c r="F1606" s="30"/>
      <c r="G1606" s="37"/>
      <c r="H1606" s="37"/>
      <c r="I1606" s="37"/>
      <c r="J1606" s="37" t="s">
        <v>69</v>
      </c>
      <c r="K1606" s="325" t="s">
        <v>69</v>
      </c>
      <c r="L1606" s="181"/>
      <c r="M1606" s="181"/>
      <c r="N1606" s="37"/>
      <c r="O1606" s="31"/>
      <c r="P1606" s="37"/>
      <c r="Q1606" s="181"/>
      <c r="R1606" s="181"/>
      <c r="S1606" s="181"/>
      <c r="T1606" s="181"/>
      <c r="U1606" s="181"/>
      <c r="V1606" s="37"/>
      <c r="W1606" s="181"/>
      <c r="X1606" s="38"/>
      <c r="Y1606" s="38"/>
      <c r="Z1606" s="38"/>
      <c r="AA1606" s="38"/>
      <c r="AB1606" s="248"/>
      <c r="AC1606" s="250"/>
      <c r="AD1606" s="181"/>
      <c r="AE1606" s="37"/>
      <c r="AF1606" s="37"/>
      <c r="AG1606" s="33"/>
      <c r="AH1606" s="37"/>
      <c r="AI1606" s="37"/>
      <c r="AJ1606" s="181"/>
      <c r="AK1606" s="37"/>
      <c r="AL1606" s="37"/>
      <c r="AM1606" s="181"/>
      <c r="AN1606" s="37"/>
      <c r="AO1606" s="37"/>
      <c r="AP1606" s="37"/>
      <c r="AQ1606" s="37"/>
      <c r="AR1606" s="37"/>
      <c r="AS1606" s="37"/>
      <c r="AT1606" s="37"/>
      <c r="AU1606" s="37"/>
      <c r="AV1606" s="37"/>
      <c r="AW1606" s="37"/>
      <c r="AX1606" s="37"/>
      <c r="AY1606" s="37"/>
      <c r="AZ1606" s="37"/>
    </row>
    <row r="1607" spans="1:52" ht="15.5" customHeight="1">
      <c r="A1607" s="360"/>
      <c r="B1607" s="340"/>
      <c r="C1607" s="181"/>
      <c r="D1607" s="30"/>
      <c r="E1607" s="30"/>
      <c r="F1607" s="30"/>
      <c r="G1607" s="37"/>
      <c r="H1607" s="37"/>
      <c r="I1607" s="37"/>
      <c r="J1607" s="37" t="s">
        <v>69</v>
      </c>
      <c r="K1607" s="325" t="s">
        <v>69</v>
      </c>
      <c r="L1607" s="181"/>
      <c r="M1607" s="181"/>
      <c r="N1607" s="37"/>
      <c r="O1607" s="31"/>
      <c r="P1607" s="37"/>
      <c r="Q1607" s="181"/>
      <c r="R1607" s="181"/>
      <c r="S1607" s="181"/>
      <c r="T1607" s="181"/>
      <c r="U1607" s="181"/>
      <c r="V1607" s="37"/>
      <c r="W1607" s="181"/>
      <c r="X1607" s="38"/>
      <c r="Y1607" s="38"/>
      <c r="Z1607" s="38"/>
      <c r="AA1607" s="38"/>
      <c r="AB1607" s="248"/>
      <c r="AC1607" s="250"/>
      <c r="AD1607" s="181"/>
      <c r="AE1607" s="37"/>
      <c r="AF1607" s="37"/>
      <c r="AG1607" s="33"/>
      <c r="AH1607" s="37"/>
      <c r="AI1607" s="37"/>
      <c r="AJ1607" s="181"/>
      <c r="AK1607" s="37"/>
      <c r="AL1607" s="37"/>
      <c r="AM1607" s="181"/>
      <c r="AN1607" s="37"/>
      <c r="AO1607" s="37"/>
      <c r="AP1607" s="37"/>
      <c r="AQ1607" s="37"/>
      <c r="AR1607" s="37"/>
      <c r="AS1607" s="37"/>
      <c r="AT1607" s="37"/>
      <c r="AU1607" s="37"/>
      <c r="AV1607" s="37"/>
      <c r="AW1607" s="37"/>
      <c r="AX1607" s="37"/>
      <c r="AY1607" s="37"/>
      <c r="AZ1607" s="37"/>
    </row>
    <row r="1608" spans="1:52" ht="15.5" customHeight="1">
      <c r="A1608" s="360"/>
      <c r="B1608" s="340"/>
      <c r="C1608" s="181"/>
      <c r="D1608" s="30"/>
      <c r="E1608" s="30"/>
      <c r="F1608" s="30"/>
      <c r="G1608" s="37"/>
      <c r="H1608" s="37"/>
      <c r="I1608" s="37"/>
      <c r="J1608" s="37" t="s">
        <v>69</v>
      </c>
      <c r="K1608" s="325" t="s">
        <v>69</v>
      </c>
      <c r="L1608" s="181"/>
      <c r="M1608" s="181"/>
      <c r="N1608" s="37"/>
      <c r="O1608" s="31"/>
      <c r="P1608" s="37"/>
      <c r="Q1608" s="181"/>
      <c r="R1608" s="181"/>
      <c r="S1608" s="181"/>
      <c r="T1608" s="181"/>
      <c r="U1608" s="181"/>
      <c r="V1608" s="37"/>
      <c r="W1608" s="181"/>
      <c r="X1608" s="38"/>
      <c r="Y1608" s="38"/>
      <c r="Z1608" s="38"/>
      <c r="AA1608" s="38"/>
      <c r="AB1608" s="248"/>
      <c r="AC1608" s="250"/>
      <c r="AD1608" s="181"/>
      <c r="AE1608" s="37"/>
      <c r="AF1608" s="37"/>
      <c r="AG1608" s="33"/>
      <c r="AH1608" s="37"/>
      <c r="AI1608" s="37"/>
      <c r="AJ1608" s="181"/>
      <c r="AK1608" s="37"/>
      <c r="AL1608" s="37"/>
      <c r="AM1608" s="181"/>
      <c r="AN1608" s="37"/>
      <c r="AO1608" s="37"/>
      <c r="AP1608" s="37"/>
      <c r="AQ1608" s="37"/>
      <c r="AR1608" s="37"/>
      <c r="AS1608" s="37"/>
      <c r="AT1608" s="37"/>
      <c r="AU1608" s="37"/>
      <c r="AV1608" s="37"/>
      <c r="AW1608" s="37"/>
      <c r="AX1608" s="37"/>
      <c r="AY1608" s="37"/>
      <c r="AZ1608" s="37"/>
    </row>
    <row r="1609" spans="1:52" ht="15.5" customHeight="1">
      <c r="A1609" s="360"/>
      <c r="B1609" s="340"/>
      <c r="C1609" s="181"/>
      <c r="D1609" s="30"/>
      <c r="E1609" s="30"/>
      <c r="F1609" s="30"/>
      <c r="G1609" s="37"/>
      <c r="H1609" s="37"/>
      <c r="I1609" s="37"/>
      <c r="J1609" s="37" t="s">
        <v>69</v>
      </c>
      <c r="K1609" s="325" t="s">
        <v>69</v>
      </c>
      <c r="L1609" s="181"/>
      <c r="M1609" s="181"/>
      <c r="N1609" s="37"/>
      <c r="O1609" s="31"/>
      <c r="P1609" s="37"/>
      <c r="Q1609" s="181"/>
      <c r="R1609" s="181"/>
      <c r="S1609" s="181"/>
      <c r="T1609" s="181"/>
      <c r="U1609" s="181"/>
      <c r="V1609" s="37"/>
      <c r="W1609" s="181"/>
      <c r="X1609" s="38"/>
      <c r="Y1609" s="38"/>
      <c r="Z1609" s="38"/>
      <c r="AA1609" s="38"/>
      <c r="AB1609" s="248"/>
      <c r="AC1609" s="250"/>
      <c r="AD1609" s="181"/>
      <c r="AE1609" s="37"/>
      <c r="AF1609" s="37"/>
      <c r="AG1609" s="33"/>
      <c r="AH1609" s="37"/>
      <c r="AI1609" s="37"/>
      <c r="AJ1609" s="181"/>
      <c r="AK1609" s="37"/>
      <c r="AL1609" s="37"/>
      <c r="AM1609" s="181"/>
      <c r="AN1609" s="37"/>
      <c r="AO1609" s="37"/>
      <c r="AP1609" s="37"/>
      <c r="AQ1609" s="37"/>
      <c r="AR1609" s="37"/>
      <c r="AS1609" s="37"/>
      <c r="AT1609" s="37"/>
      <c r="AU1609" s="37"/>
      <c r="AV1609" s="37"/>
      <c r="AW1609" s="37"/>
      <c r="AX1609" s="37"/>
      <c r="AY1609" s="37"/>
      <c r="AZ1609" s="37"/>
    </row>
    <row r="1610" spans="1:52" ht="15.5" customHeight="1">
      <c r="A1610" s="360"/>
      <c r="B1610" s="340"/>
      <c r="C1610" s="181"/>
      <c r="D1610" s="30"/>
      <c r="E1610" s="30"/>
      <c r="F1610" s="30"/>
      <c r="G1610" s="37"/>
      <c r="H1610" s="37"/>
      <c r="I1610" s="37"/>
      <c r="J1610" s="37" t="s">
        <v>69</v>
      </c>
      <c r="K1610" s="325" t="s">
        <v>69</v>
      </c>
      <c r="L1610" s="181"/>
      <c r="M1610" s="181"/>
      <c r="N1610" s="37"/>
      <c r="O1610" s="31"/>
      <c r="P1610" s="37"/>
      <c r="Q1610" s="181"/>
      <c r="R1610" s="181"/>
      <c r="S1610" s="181"/>
      <c r="T1610" s="181"/>
      <c r="U1610" s="181"/>
      <c r="V1610" s="37"/>
      <c r="W1610" s="181"/>
      <c r="X1610" s="38"/>
      <c r="Y1610" s="38"/>
      <c r="Z1610" s="38"/>
      <c r="AA1610" s="38"/>
      <c r="AB1610" s="248"/>
      <c r="AC1610" s="250"/>
      <c r="AD1610" s="181"/>
      <c r="AE1610" s="37"/>
      <c r="AF1610" s="37"/>
      <c r="AG1610" s="33"/>
      <c r="AH1610" s="37"/>
      <c r="AI1610" s="37"/>
      <c r="AJ1610" s="181"/>
      <c r="AK1610" s="37"/>
      <c r="AL1610" s="37"/>
      <c r="AM1610" s="181"/>
      <c r="AN1610" s="37"/>
      <c r="AO1610" s="37"/>
      <c r="AP1610" s="37"/>
      <c r="AQ1610" s="37"/>
      <c r="AR1610" s="37"/>
      <c r="AS1610" s="37"/>
      <c r="AT1610" s="37"/>
      <c r="AU1610" s="37"/>
      <c r="AV1610" s="37"/>
      <c r="AW1610" s="37"/>
      <c r="AX1610" s="37"/>
      <c r="AY1610" s="37"/>
      <c r="AZ1610" s="37"/>
    </row>
    <row r="1611" spans="1:52" ht="15.5" customHeight="1">
      <c r="A1611" s="360"/>
      <c r="B1611" s="340"/>
      <c r="C1611" s="181"/>
      <c r="D1611" s="30"/>
      <c r="E1611" s="30"/>
      <c r="F1611" s="30"/>
      <c r="G1611" s="37"/>
      <c r="H1611" s="37"/>
      <c r="I1611" s="37"/>
      <c r="J1611" s="37" t="s">
        <v>69</v>
      </c>
      <c r="K1611" s="325" t="s">
        <v>69</v>
      </c>
      <c r="L1611" s="181"/>
      <c r="M1611" s="181"/>
      <c r="N1611" s="37"/>
      <c r="O1611" s="31"/>
      <c r="P1611" s="37"/>
      <c r="Q1611" s="181"/>
      <c r="R1611" s="181"/>
      <c r="S1611" s="181"/>
      <c r="T1611" s="181"/>
      <c r="U1611" s="181"/>
      <c r="V1611" s="37"/>
      <c r="W1611" s="181"/>
      <c r="X1611" s="38"/>
      <c r="Y1611" s="38"/>
      <c r="Z1611" s="38"/>
      <c r="AA1611" s="38"/>
      <c r="AB1611" s="248"/>
      <c r="AC1611" s="250"/>
      <c r="AD1611" s="181"/>
      <c r="AE1611" s="37"/>
      <c r="AF1611" s="37"/>
      <c r="AG1611" s="33"/>
      <c r="AH1611" s="37"/>
      <c r="AI1611" s="37"/>
      <c r="AJ1611" s="181"/>
      <c r="AK1611" s="37"/>
      <c r="AL1611" s="37"/>
      <c r="AM1611" s="181"/>
      <c r="AN1611" s="37"/>
      <c r="AO1611" s="37"/>
      <c r="AP1611" s="37"/>
      <c r="AQ1611" s="37"/>
      <c r="AR1611" s="37"/>
      <c r="AS1611" s="37"/>
      <c r="AT1611" s="37"/>
      <c r="AU1611" s="37"/>
      <c r="AV1611" s="37"/>
      <c r="AW1611" s="37"/>
      <c r="AX1611" s="37"/>
      <c r="AY1611" s="37"/>
      <c r="AZ1611" s="37"/>
    </row>
    <row r="1612" spans="1:52" ht="15.5" customHeight="1">
      <c r="A1612" s="360"/>
      <c r="B1612" s="340"/>
      <c r="C1612" s="181"/>
      <c r="D1612" s="30"/>
      <c r="E1612" s="30"/>
      <c r="F1612" s="30"/>
      <c r="G1612" s="37"/>
      <c r="H1612" s="37"/>
      <c r="I1612" s="37"/>
      <c r="J1612" s="37" t="s">
        <v>69</v>
      </c>
      <c r="K1612" s="325" t="s">
        <v>69</v>
      </c>
      <c r="L1612" s="181"/>
      <c r="M1612" s="181"/>
      <c r="N1612" s="37"/>
      <c r="O1612" s="31"/>
      <c r="P1612" s="37"/>
      <c r="Q1612" s="181"/>
      <c r="R1612" s="181"/>
      <c r="S1612" s="181"/>
      <c r="T1612" s="181"/>
      <c r="U1612" s="181"/>
      <c r="V1612" s="37"/>
      <c r="W1612" s="181"/>
      <c r="X1612" s="38"/>
      <c r="Y1612" s="38"/>
      <c r="Z1612" s="38"/>
      <c r="AA1612" s="38"/>
      <c r="AB1612" s="248"/>
      <c r="AC1612" s="250"/>
      <c r="AD1612" s="181"/>
      <c r="AE1612" s="37"/>
      <c r="AF1612" s="37"/>
      <c r="AG1612" s="33"/>
      <c r="AH1612" s="37"/>
      <c r="AI1612" s="37"/>
      <c r="AJ1612" s="181"/>
      <c r="AK1612" s="37"/>
      <c r="AL1612" s="37"/>
      <c r="AM1612" s="181"/>
      <c r="AN1612" s="37"/>
      <c r="AO1612" s="37"/>
      <c r="AP1612" s="37"/>
      <c r="AQ1612" s="37"/>
      <c r="AR1612" s="37"/>
      <c r="AS1612" s="37"/>
      <c r="AT1612" s="37"/>
      <c r="AU1612" s="37"/>
      <c r="AV1612" s="37"/>
      <c r="AW1612" s="37"/>
      <c r="AX1612" s="37"/>
      <c r="AY1612" s="37"/>
      <c r="AZ1612" s="37"/>
    </row>
    <row r="1613" spans="1:52" ht="15.5" customHeight="1">
      <c r="A1613" s="360"/>
      <c r="B1613" s="340"/>
      <c r="C1613" s="181"/>
      <c r="D1613" s="30"/>
      <c r="E1613" s="30"/>
      <c r="F1613" s="30"/>
      <c r="G1613" s="37"/>
      <c r="H1613" s="37"/>
      <c r="I1613" s="37"/>
      <c r="J1613" s="37" t="s">
        <v>69</v>
      </c>
      <c r="K1613" s="325" t="s">
        <v>69</v>
      </c>
      <c r="L1613" s="181"/>
      <c r="M1613" s="181"/>
      <c r="N1613" s="37"/>
      <c r="O1613" s="31"/>
      <c r="P1613" s="37"/>
      <c r="Q1613" s="181"/>
      <c r="R1613" s="181"/>
      <c r="S1613" s="181"/>
      <c r="T1613" s="181"/>
      <c r="U1613" s="181"/>
      <c r="V1613" s="37"/>
      <c r="W1613" s="181"/>
      <c r="X1613" s="38"/>
      <c r="Y1613" s="38"/>
      <c r="Z1613" s="38"/>
      <c r="AA1613" s="38"/>
      <c r="AB1613" s="248"/>
      <c r="AC1613" s="250"/>
      <c r="AD1613" s="181"/>
      <c r="AE1613" s="37"/>
      <c r="AF1613" s="37"/>
      <c r="AG1613" s="33"/>
      <c r="AH1613" s="37"/>
      <c r="AI1613" s="37"/>
      <c r="AJ1613" s="181"/>
      <c r="AK1613" s="37"/>
      <c r="AL1613" s="37"/>
      <c r="AM1613" s="181"/>
      <c r="AN1613" s="37"/>
      <c r="AO1613" s="37"/>
      <c r="AP1613" s="37"/>
      <c r="AQ1613" s="37"/>
      <c r="AR1613" s="37"/>
      <c r="AS1613" s="37"/>
      <c r="AT1613" s="37"/>
      <c r="AU1613" s="37"/>
      <c r="AV1613" s="37"/>
      <c r="AW1613" s="37"/>
      <c r="AX1613" s="37"/>
      <c r="AY1613" s="37"/>
      <c r="AZ1613" s="37"/>
    </row>
    <row r="1614" spans="1:52" ht="15.5" customHeight="1">
      <c r="A1614" s="360"/>
      <c r="B1614" s="340"/>
      <c r="C1614" s="181"/>
      <c r="D1614" s="30"/>
      <c r="E1614" s="30"/>
      <c r="F1614" s="30"/>
      <c r="G1614" s="37"/>
      <c r="H1614" s="37"/>
      <c r="I1614" s="37"/>
      <c r="J1614" s="37" t="s">
        <v>69</v>
      </c>
      <c r="K1614" s="325" t="s">
        <v>69</v>
      </c>
      <c r="L1614" s="181"/>
      <c r="M1614" s="181"/>
      <c r="N1614" s="37"/>
      <c r="O1614" s="31"/>
      <c r="P1614" s="37"/>
      <c r="Q1614" s="181"/>
      <c r="R1614" s="181"/>
      <c r="S1614" s="181"/>
      <c r="T1614" s="181"/>
      <c r="U1614" s="181"/>
      <c r="V1614" s="37"/>
      <c r="W1614" s="181"/>
      <c r="X1614" s="38"/>
      <c r="Y1614" s="38"/>
      <c r="Z1614" s="38"/>
      <c r="AA1614" s="38"/>
      <c r="AB1614" s="248"/>
      <c r="AC1614" s="250"/>
      <c r="AD1614" s="181"/>
      <c r="AE1614" s="37"/>
      <c r="AF1614" s="37"/>
      <c r="AG1614" s="33"/>
      <c r="AH1614" s="37"/>
      <c r="AI1614" s="37"/>
      <c r="AJ1614" s="181"/>
      <c r="AK1614" s="37"/>
      <c r="AL1614" s="37"/>
      <c r="AM1614" s="181"/>
      <c r="AN1614" s="37"/>
      <c r="AO1614" s="37"/>
      <c r="AP1614" s="37"/>
      <c r="AQ1614" s="37"/>
      <c r="AR1614" s="37"/>
      <c r="AS1614" s="37"/>
      <c r="AT1614" s="37"/>
      <c r="AU1614" s="37"/>
      <c r="AV1614" s="37"/>
      <c r="AW1614" s="37"/>
      <c r="AX1614" s="37"/>
      <c r="AY1614" s="37"/>
      <c r="AZ1614" s="37"/>
    </row>
    <row r="1615" spans="1:52" ht="15.5" customHeight="1">
      <c r="A1615" s="360"/>
      <c r="B1615" s="340"/>
      <c r="C1615" s="181"/>
      <c r="D1615" s="30"/>
      <c r="E1615" s="30"/>
      <c r="F1615" s="30"/>
      <c r="G1615" s="37"/>
      <c r="H1615" s="37"/>
      <c r="I1615" s="37"/>
      <c r="J1615" s="37" t="s">
        <v>69</v>
      </c>
      <c r="K1615" s="325" t="s">
        <v>69</v>
      </c>
      <c r="L1615" s="181"/>
      <c r="M1615" s="181"/>
      <c r="N1615" s="37"/>
      <c r="O1615" s="31"/>
      <c r="P1615" s="37"/>
      <c r="Q1615" s="181"/>
      <c r="R1615" s="181"/>
      <c r="S1615" s="181"/>
      <c r="T1615" s="181"/>
      <c r="U1615" s="181"/>
      <c r="V1615" s="37"/>
      <c r="W1615" s="181"/>
      <c r="X1615" s="38"/>
      <c r="Y1615" s="38"/>
      <c r="Z1615" s="38"/>
      <c r="AA1615" s="38"/>
      <c r="AB1615" s="248"/>
      <c r="AC1615" s="250"/>
      <c r="AD1615" s="181"/>
      <c r="AE1615" s="37"/>
      <c r="AF1615" s="37"/>
      <c r="AG1615" s="33"/>
      <c r="AH1615" s="37"/>
      <c r="AI1615" s="37"/>
      <c r="AJ1615" s="181"/>
      <c r="AK1615" s="37"/>
      <c r="AL1615" s="37"/>
      <c r="AM1615" s="181"/>
      <c r="AN1615" s="37"/>
      <c r="AO1615" s="37"/>
      <c r="AP1615" s="37"/>
      <c r="AQ1615" s="37"/>
      <c r="AR1615" s="37"/>
      <c r="AS1615" s="37"/>
      <c r="AT1615" s="37"/>
      <c r="AU1615" s="37"/>
      <c r="AV1615" s="37"/>
      <c r="AW1615" s="37"/>
      <c r="AX1615" s="37"/>
      <c r="AY1615" s="37"/>
      <c r="AZ1615" s="37"/>
    </row>
    <row r="1616" spans="1:52" ht="15.5" customHeight="1">
      <c r="A1616" s="360"/>
      <c r="B1616" s="340"/>
      <c r="C1616" s="181"/>
      <c r="D1616" s="30"/>
      <c r="E1616" s="30"/>
      <c r="F1616" s="30"/>
      <c r="G1616" s="37"/>
      <c r="H1616" s="37"/>
      <c r="I1616" s="37"/>
      <c r="J1616" s="37" t="s">
        <v>69</v>
      </c>
      <c r="K1616" s="325" t="s">
        <v>69</v>
      </c>
      <c r="L1616" s="181"/>
      <c r="M1616" s="181"/>
      <c r="N1616" s="37"/>
      <c r="O1616" s="31"/>
      <c r="P1616" s="37"/>
      <c r="Q1616" s="181"/>
      <c r="R1616" s="181"/>
      <c r="S1616" s="181"/>
      <c r="T1616" s="181"/>
      <c r="U1616" s="181"/>
      <c r="V1616" s="37"/>
      <c r="W1616" s="181"/>
      <c r="X1616" s="38"/>
      <c r="Y1616" s="38"/>
      <c r="Z1616" s="38"/>
      <c r="AA1616" s="38"/>
      <c r="AB1616" s="248"/>
      <c r="AC1616" s="250"/>
      <c r="AD1616" s="181"/>
      <c r="AE1616" s="37"/>
      <c r="AF1616" s="37"/>
      <c r="AG1616" s="33"/>
      <c r="AH1616" s="37"/>
      <c r="AI1616" s="37"/>
      <c r="AJ1616" s="181"/>
      <c r="AK1616" s="37"/>
      <c r="AL1616" s="37"/>
      <c r="AM1616" s="181"/>
      <c r="AN1616" s="37"/>
      <c r="AO1616" s="37"/>
      <c r="AP1616" s="37"/>
      <c r="AQ1616" s="37"/>
      <c r="AR1616" s="37"/>
      <c r="AS1616" s="37"/>
      <c r="AT1616" s="37"/>
      <c r="AU1616" s="37"/>
      <c r="AV1616" s="37"/>
      <c r="AW1616" s="37"/>
      <c r="AX1616" s="37"/>
      <c r="AY1616" s="37"/>
      <c r="AZ1616" s="37"/>
    </row>
    <row r="1617" spans="1:52" ht="15.5" customHeight="1">
      <c r="A1617" s="360"/>
      <c r="B1617" s="340"/>
      <c r="C1617" s="181"/>
      <c r="D1617" s="30"/>
      <c r="E1617" s="30"/>
      <c r="F1617" s="30"/>
      <c r="G1617" s="37"/>
      <c r="H1617" s="37"/>
      <c r="I1617" s="37"/>
      <c r="J1617" s="37" t="s">
        <v>69</v>
      </c>
      <c r="K1617" s="325" t="s">
        <v>69</v>
      </c>
      <c r="L1617" s="181"/>
      <c r="M1617" s="181"/>
      <c r="N1617" s="37"/>
      <c r="O1617" s="31"/>
      <c r="P1617" s="37"/>
      <c r="Q1617" s="181"/>
      <c r="R1617" s="181"/>
      <c r="S1617" s="181"/>
      <c r="T1617" s="181"/>
      <c r="U1617" s="181"/>
      <c r="V1617" s="37"/>
      <c r="W1617" s="181"/>
      <c r="X1617" s="38"/>
      <c r="Y1617" s="38"/>
      <c r="Z1617" s="38"/>
      <c r="AA1617" s="38"/>
      <c r="AB1617" s="248"/>
      <c r="AC1617" s="250"/>
      <c r="AD1617" s="181"/>
      <c r="AE1617" s="37"/>
      <c r="AF1617" s="37"/>
      <c r="AG1617" s="33"/>
      <c r="AH1617" s="37"/>
      <c r="AI1617" s="37"/>
      <c r="AJ1617" s="181"/>
      <c r="AK1617" s="37"/>
      <c r="AL1617" s="37"/>
      <c r="AM1617" s="181"/>
      <c r="AN1617" s="37"/>
      <c r="AO1617" s="37"/>
      <c r="AP1617" s="37"/>
      <c r="AQ1617" s="37"/>
      <c r="AR1617" s="37"/>
      <c r="AS1617" s="37"/>
      <c r="AT1617" s="37"/>
      <c r="AU1617" s="37"/>
      <c r="AV1617" s="37"/>
      <c r="AW1617" s="37"/>
      <c r="AX1617" s="37"/>
      <c r="AY1617" s="37"/>
      <c r="AZ1617" s="37"/>
    </row>
    <row r="1618" spans="1:52" ht="15.5" customHeight="1">
      <c r="A1618" s="360"/>
      <c r="B1618" s="340"/>
      <c r="C1618" s="181"/>
      <c r="D1618" s="30"/>
      <c r="E1618" s="30"/>
      <c r="F1618" s="30"/>
      <c r="G1618" s="37"/>
      <c r="H1618" s="37"/>
      <c r="I1618" s="37"/>
      <c r="J1618" s="37" t="s">
        <v>69</v>
      </c>
      <c r="K1618" s="325" t="s">
        <v>69</v>
      </c>
      <c r="L1618" s="181"/>
      <c r="M1618" s="181"/>
      <c r="N1618" s="37"/>
      <c r="O1618" s="31"/>
      <c r="P1618" s="37"/>
      <c r="Q1618" s="181"/>
      <c r="R1618" s="181"/>
      <c r="S1618" s="181"/>
      <c r="T1618" s="181"/>
      <c r="U1618" s="181"/>
      <c r="V1618" s="37"/>
      <c r="W1618" s="181"/>
      <c r="X1618" s="38"/>
      <c r="Y1618" s="38"/>
      <c r="Z1618" s="38"/>
      <c r="AA1618" s="38"/>
      <c r="AB1618" s="248"/>
      <c r="AC1618" s="250"/>
      <c r="AD1618" s="181"/>
      <c r="AE1618" s="37"/>
      <c r="AF1618" s="37"/>
      <c r="AG1618" s="33"/>
      <c r="AH1618" s="37"/>
      <c r="AI1618" s="37"/>
      <c r="AJ1618" s="181"/>
      <c r="AK1618" s="37"/>
      <c r="AL1618" s="37"/>
      <c r="AM1618" s="181"/>
      <c r="AN1618" s="37"/>
      <c r="AO1618" s="37"/>
      <c r="AP1618" s="37"/>
      <c r="AQ1618" s="37"/>
      <c r="AR1618" s="37"/>
      <c r="AS1618" s="37"/>
      <c r="AT1618" s="37"/>
      <c r="AU1618" s="37"/>
      <c r="AV1618" s="37"/>
      <c r="AW1618" s="37"/>
      <c r="AX1618" s="37"/>
      <c r="AY1618" s="37"/>
      <c r="AZ1618" s="37"/>
    </row>
    <row r="1619" spans="1:52" ht="15.5" customHeight="1">
      <c r="A1619" s="360"/>
      <c r="B1619" s="340"/>
      <c r="C1619" s="181"/>
      <c r="D1619" s="30"/>
      <c r="E1619" s="30"/>
      <c r="F1619" s="30"/>
      <c r="G1619" s="37"/>
      <c r="H1619" s="37"/>
      <c r="I1619" s="37"/>
      <c r="J1619" s="37" t="s">
        <v>69</v>
      </c>
      <c r="K1619" s="325" t="s">
        <v>69</v>
      </c>
      <c r="L1619" s="181"/>
      <c r="M1619" s="181"/>
      <c r="N1619" s="37"/>
      <c r="O1619" s="31"/>
      <c r="P1619" s="37"/>
      <c r="Q1619" s="181"/>
      <c r="R1619" s="181"/>
      <c r="S1619" s="181"/>
      <c r="T1619" s="181"/>
      <c r="U1619" s="181"/>
      <c r="V1619" s="37"/>
      <c r="W1619" s="181"/>
      <c r="X1619" s="38"/>
      <c r="Y1619" s="38"/>
      <c r="Z1619" s="38"/>
      <c r="AA1619" s="38"/>
      <c r="AB1619" s="248"/>
      <c r="AC1619" s="250"/>
      <c r="AD1619" s="181"/>
      <c r="AE1619" s="37"/>
      <c r="AF1619" s="37"/>
      <c r="AG1619" s="33"/>
      <c r="AH1619" s="37"/>
      <c r="AI1619" s="37"/>
      <c r="AJ1619" s="181"/>
      <c r="AK1619" s="37"/>
      <c r="AL1619" s="37"/>
      <c r="AM1619" s="181"/>
      <c r="AN1619" s="37"/>
      <c r="AO1619" s="37"/>
      <c r="AP1619" s="37"/>
      <c r="AQ1619" s="37"/>
      <c r="AR1619" s="37"/>
      <c r="AS1619" s="37"/>
      <c r="AT1619" s="37"/>
      <c r="AU1619" s="37"/>
      <c r="AV1619" s="37"/>
      <c r="AW1619" s="37"/>
      <c r="AX1619" s="37"/>
      <c r="AY1619" s="37"/>
      <c r="AZ1619" s="37"/>
    </row>
    <row r="1620" spans="1:52" ht="15.5" customHeight="1">
      <c r="A1620" s="360"/>
      <c r="B1620" s="340"/>
      <c r="C1620" s="181"/>
      <c r="D1620" s="30"/>
      <c r="E1620" s="30"/>
      <c r="F1620" s="30"/>
      <c r="G1620" s="37"/>
      <c r="H1620" s="37"/>
      <c r="I1620" s="37"/>
      <c r="J1620" s="37" t="s">
        <v>69</v>
      </c>
      <c r="K1620" s="325" t="s">
        <v>69</v>
      </c>
      <c r="L1620" s="181"/>
      <c r="M1620" s="181"/>
      <c r="N1620" s="37"/>
      <c r="O1620" s="31"/>
      <c r="P1620" s="37"/>
      <c r="Q1620" s="181"/>
      <c r="R1620" s="181"/>
      <c r="S1620" s="181"/>
      <c r="T1620" s="181"/>
      <c r="U1620" s="181"/>
      <c r="V1620" s="37"/>
      <c r="W1620" s="181"/>
      <c r="X1620" s="38"/>
      <c r="Y1620" s="38"/>
      <c r="Z1620" s="38"/>
      <c r="AA1620" s="38"/>
      <c r="AB1620" s="248"/>
      <c r="AC1620" s="250"/>
      <c r="AD1620" s="181"/>
      <c r="AE1620" s="37"/>
      <c r="AF1620" s="37"/>
      <c r="AG1620" s="33"/>
      <c r="AH1620" s="37"/>
      <c r="AI1620" s="37"/>
      <c r="AJ1620" s="181"/>
      <c r="AK1620" s="37"/>
      <c r="AL1620" s="37"/>
      <c r="AM1620" s="181"/>
      <c r="AN1620" s="37"/>
      <c r="AO1620" s="37"/>
      <c r="AP1620" s="37"/>
      <c r="AQ1620" s="37"/>
      <c r="AR1620" s="37"/>
      <c r="AS1620" s="37"/>
      <c r="AT1620" s="37"/>
      <c r="AU1620" s="37"/>
      <c r="AV1620" s="37"/>
      <c r="AW1620" s="37"/>
      <c r="AX1620" s="37"/>
      <c r="AY1620" s="37"/>
      <c r="AZ1620" s="37"/>
    </row>
    <row r="1621" spans="1:52" ht="15.5" customHeight="1">
      <c r="A1621" s="360"/>
      <c r="B1621" s="340"/>
      <c r="C1621" s="181"/>
      <c r="D1621" s="30"/>
      <c r="E1621" s="30"/>
      <c r="F1621" s="30"/>
      <c r="G1621" s="37"/>
      <c r="H1621" s="37"/>
      <c r="I1621" s="37"/>
      <c r="J1621" s="37" t="s">
        <v>69</v>
      </c>
      <c r="K1621" s="325" t="s">
        <v>69</v>
      </c>
      <c r="L1621" s="181"/>
      <c r="M1621" s="181"/>
      <c r="N1621" s="37"/>
      <c r="O1621" s="31"/>
      <c r="P1621" s="37"/>
      <c r="Q1621" s="181"/>
      <c r="R1621" s="181"/>
      <c r="S1621" s="181"/>
      <c r="T1621" s="181"/>
      <c r="U1621" s="181"/>
      <c r="V1621" s="37"/>
      <c r="W1621" s="181"/>
      <c r="X1621" s="38"/>
      <c r="Y1621" s="38"/>
      <c r="Z1621" s="38"/>
      <c r="AA1621" s="38"/>
      <c r="AB1621" s="248"/>
      <c r="AC1621" s="250"/>
      <c r="AD1621" s="181"/>
      <c r="AE1621" s="37"/>
      <c r="AF1621" s="37"/>
      <c r="AG1621" s="33"/>
      <c r="AH1621" s="37"/>
      <c r="AI1621" s="37"/>
      <c r="AJ1621" s="181"/>
      <c r="AK1621" s="37"/>
      <c r="AL1621" s="37"/>
      <c r="AM1621" s="181"/>
      <c r="AN1621" s="37"/>
      <c r="AO1621" s="37"/>
      <c r="AP1621" s="37"/>
      <c r="AQ1621" s="37"/>
      <c r="AR1621" s="37"/>
      <c r="AS1621" s="37"/>
      <c r="AT1621" s="37"/>
      <c r="AU1621" s="37"/>
      <c r="AV1621" s="37"/>
      <c r="AW1621" s="37"/>
      <c r="AX1621" s="37"/>
      <c r="AY1621" s="37"/>
      <c r="AZ1621" s="37"/>
    </row>
    <row r="1622" spans="1:52" ht="15.5" customHeight="1">
      <c r="A1622" s="360"/>
      <c r="B1622" s="340"/>
      <c r="C1622" s="181"/>
      <c r="D1622" s="30"/>
      <c r="E1622" s="30"/>
      <c r="F1622" s="30"/>
      <c r="G1622" s="37"/>
      <c r="H1622" s="37"/>
      <c r="I1622" s="37"/>
      <c r="J1622" s="37" t="s">
        <v>69</v>
      </c>
      <c r="K1622" s="325" t="s">
        <v>69</v>
      </c>
      <c r="L1622" s="181"/>
      <c r="M1622" s="181"/>
      <c r="N1622" s="37"/>
      <c r="O1622" s="31"/>
      <c r="P1622" s="37"/>
      <c r="Q1622" s="181"/>
      <c r="R1622" s="181"/>
      <c r="S1622" s="181"/>
      <c r="T1622" s="181"/>
      <c r="U1622" s="181"/>
      <c r="V1622" s="37"/>
      <c r="W1622" s="181"/>
      <c r="X1622" s="38"/>
      <c r="Y1622" s="38"/>
      <c r="Z1622" s="38"/>
      <c r="AA1622" s="38"/>
      <c r="AB1622" s="248"/>
      <c r="AC1622" s="250"/>
      <c r="AD1622" s="181"/>
      <c r="AE1622" s="37"/>
      <c r="AF1622" s="37"/>
      <c r="AG1622" s="33"/>
      <c r="AH1622" s="37"/>
      <c r="AI1622" s="37"/>
      <c r="AJ1622" s="181"/>
      <c r="AK1622" s="37"/>
      <c r="AL1622" s="37"/>
      <c r="AM1622" s="181"/>
      <c r="AN1622" s="37"/>
      <c r="AO1622" s="37"/>
      <c r="AP1622" s="37"/>
      <c r="AQ1622" s="37"/>
      <c r="AR1622" s="37"/>
      <c r="AS1622" s="37"/>
      <c r="AT1622" s="37"/>
      <c r="AU1622" s="37"/>
      <c r="AV1622" s="37"/>
      <c r="AW1622" s="37"/>
      <c r="AX1622" s="37"/>
      <c r="AY1622" s="37"/>
      <c r="AZ1622" s="37"/>
    </row>
    <row r="1623" spans="1:52" ht="15.5" customHeight="1">
      <c r="A1623" s="360"/>
      <c r="B1623" s="340"/>
      <c r="C1623" s="181"/>
      <c r="D1623" s="30"/>
      <c r="E1623" s="30"/>
      <c r="F1623" s="30"/>
      <c r="G1623" s="37"/>
      <c r="H1623" s="37"/>
      <c r="I1623" s="37"/>
      <c r="J1623" s="37" t="s">
        <v>69</v>
      </c>
      <c r="K1623" s="325" t="s">
        <v>69</v>
      </c>
      <c r="L1623" s="181"/>
      <c r="M1623" s="181"/>
      <c r="N1623" s="37"/>
      <c r="O1623" s="31"/>
      <c r="P1623" s="37"/>
      <c r="Q1623" s="181"/>
      <c r="R1623" s="181"/>
      <c r="S1623" s="181"/>
      <c r="T1623" s="181"/>
      <c r="U1623" s="181"/>
      <c r="V1623" s="37"/>
      <c r="W1623" s="181"/>
      <c r="X1623" s="38"/>
      <c r="Y1623" s="38"/>
      <c r="Z1623" s="38"/>
      <c r="AA1623" s="38"/>
      <c r="AB1623" s="248"/>
      <c r="AC1623" s="250"/>
      <c r="AD1623" s="181"/>
      <c r="AE1623" s="37"/>
      <c r="AF1623" s="37"/>
      <c r="AG1623" s="33"/>
      <c r="AH1623" s="37"/>
      <c r="AI1623" s="37"/>
      <c r="AJ1623" s="181"/>
      <c r="AK1623" s="37"/>
      <c r="AL1623" s="37"/>
      <c r="AM1623" s="181"/>
      <c r="AN1623" s="37"/>
      <c r="AO1623" s="37"/>
      <c r="AP1623" s="37"/>
      <c r="AQ1623" s="37"/>
      <c r="AR1623" s="37"/>
      <c r="AS1623" s="37"/>
      <c r="AT1623" s="37"/>
      <c r="AU1623" s="37"/>
      <c r="AV1623" s="37"/>
      <c r="AW1623" s="37"/>
      <c r="AX1623" s="37"/>
      <c r="AY1623" s="37"/>
      <c r="AZ1623" s="37"/>
    </row>
    <row r="1624" spans="1:52" ht="15.5" customHeight="1">
      <c r="A1624" s="360"/>
      <c r="B1624" s="340"/>
      <c r="C1624" s="181"/>
      <c r="D1624" s="30"/>
      <c r="E1624" s="30"/>
      <c r="F1624" s="30"/>
      <c r="G1624" s="37"/>
      <c r="H1624" s="37"/>
      <c r="I1624" s="37"/>
      <c r="J1624" s="37" t="s">
        <v>69</v>
      </c>
      <c r="K1624" s="325" t="s">
        <v>69</v>
      </c>
      <c r="L1624" s="181"/>
      <c r="M1624" s="181"/>
      <c r="N1624" s="37"/>
      <c r="O1624" s="31"/>
      <c r="P1624" s="37"/>
      <c r="Q1624" s="181"/>
      <c r="R1624" s="181"/>
      <c r="S1624" s="181"/>
      <c r="T1624" s="181"/>
      <c r="U1624" s="181"/>
      <c r="V1624" s="37"/>
      <c r="W1624" s="181"/>
      <c r="X1624" s="38"/>
      <c r="Y1624" s="38"/>
      <c r="Z1624" s="38"/>
      <c r="AA1624" s="38"/>
      <c r="AB1624" s="248"/>
      <c r="AC1624" s="250"/>
      <c r="AD1624" s="181"/>
      <c r="AE1624" s="37"/>
      <c r="AF1624" s="37"/>
      <c r="AG1624" s="33"/>
      <c r="AH1624" s="37"/>
      <c r="AI1624" s="37"/>
      <c r="AJ1624" s="181"/>
      <c r="AK1624" s="37"/>
      <c r="AL1624" s="37"/>
      <c r="AM1624" s="181"/>
      <c r="AN1624" s="37"/>
      <c r="AO1624" s="37"/>
      <c r="AP1624" s="37"/>
      <c r="AQ1624" s="37"/>
      <c r="AR1624" s="37"/>
      <c r="AS1624" s="37"/>
      <c r="AT1624" s="37"/>
      <c r="AU1624" s="37"/>
      <c r="AV1624" s="37"/>
      <c r="AW1624" s="37"/>
      <c r="AX1624" s="37"/>
      <c r="AY1624" s="37"/>
      <c r="AZ1624" s="37"/>
    </row>
    <row r="1625" spans="1:52" ht="15.5" customHeight="1">
      <c r="A1625" s="360"/>
      <c r="B1625" s="340"/>
      <c r="C1625" s="181"/>
      <c r="D1625" s="30"/>
      <c r="E1625" s="30"/>
      <c r="F1625" s="30"/>
      <c r="G1625" s="37"/>
      <c r="H1625" s="37"/>
      <c r="I1625" s="37"/>
      <c r="J1625" s="37" t="s">
        <v>69</v>
      </c>
      <c r="K1625" s="325" t="s">
        <v>69</v>
      </c>
      <c r="L1625" s="181"/>
      <c r="M1625" s="181"/>
      <c r="N1625" s="37"/>
      <c r="O1625" s="31"/>
      <c r="P1625" s="37"/>
      <c r="Q1625" s="181"/>
      <c r="R1625" s="181"/>
      <c r="S1625" s="181"/>
      <c r="T1625" s="181"/>
      <c r="U1625" s="181"/>
      <c r="V1625" s="37"/>
      <c r="W1625" s="181"/>
      <c r="X1625" s="38"/>
      <c r="Y1625" s="38"/>
      <c r="Z1625" s="38"/>
      <c r="AA1625" s="38"/>
      <c r="AB1625" s="248"/>
      <c r="AC1625" s="250"/>
      <c r="AD1625" s="181"/>
      <c r="AE1625" s="37"/>
      <c r="AF1625" s="37"/>
      <c r="AG1625" s="33"/>
      <c r="AH1625" s="37"/>
      <c r="AI1625" s="37"/>
      <c r="AJ1625" s="181"/>
      <c r="AK1625" s="37"/>
      <c r="AL1625" s="37"/>
      <c r="AM1625" s="181"/>
      <c r="AN1625" s="37"/>
      <c r="AO1625" s="37"/>
      <c r="AP1625" s="37"/>
      <c r="AQ1625" s="37"/>
      <c r="AR1625" s="37"/>
      <c r="AS1625" s="37"/>
      <c r="AT1625" s="37"/>
      <c r="AU1625" s="37"/>
      <c r="AV1625" s="37"/>
      <c r="AW1625" s="37"/>
      <c r="AX1625" s="37"/>
      <c r="AY1625" s="37"/>
      <c r="AZ1625" s="37"/>
    </row>
    <row r="1626" spans="1:52" ht="15.5" customHeight="1">
      <c r="A1626" s="360"/>
      <c r="B1626" s="340"/>
      <c r="C1626" s="181"/>
      <c r="D1626" s="30"/>
      <c r="E1626" s="30"/>
      <c r="F1626" s="30"/>
      <c r="G1626" s="37"/>
      <c r="H1626" s="37"/>
      <c r="I1626" s="37"/>
      <c r="J1626" s="37" t="s">
        <v>69</v>
      </c>
      <c r="K1626" s="325" t="s">
        <v>69</v>
      </c>
      <c r="L1626" s="181"/>
      <c r="M1626" s="181"/>
      <c r="N1626" s="37"/>
      <c r="O1626" s="31"/>
      <c r="P1626" s="37"/>
      <c r="Q1626" s="181"/>
      <c r="R1626" s="181"/>
      <c r="S1626" s="181"/>
      <c r="T1626" s="181"/>
      <c r="U1626" s="181"/>
      <c r="V1626" s="37"/>
      <c r="W1626" s="181"/>
      <c r="X1626" s="38"/>
      <c r="Y1626" s="38"/>
      <c r="Z1626" s="38"/>
      <c r="AA1626" s="38"/>
      <c r="AB1626" s="248"/>
      <c r="AC1626" s="250"/>
      <c r="AD1626" s="181"/>
      <c r="AE1626" s="37"/>
      <c r="AF1626" s="37"/>
      <c r="AG1626" s="33"/>
      <c r="AH1626" s="37"/>
      <c r="AI1626" s="37"/>
      <c r="AJ1626" s="181"/>
      <c r="AK1626" s="37"/>
      <c r="AL1626" s="37"/>
      <c r="AM1626" s="181"/>
      <c r="AN1626" s="37"/>
      <c r="AO1626" s="37"/>
      <c r="AP1626" s="37"/>
      <c r="AQ1626" s="37"/>
      <c r="AR1626" s="37"/>
      <c r="AS1626" s="37"/>
      <c r="AT1626" s="37"/>
      <c r="AU1626" s="37"/>
      <c r="AV1626" s="37"/>
      <c r="AW1626" s="37"/>
      <c r="AX1626" s="37"/>
      <c r="AY1626" s="37"/>
      <c r="AZ1626" s="37"/>
    </row>
    <row r="1627" spans="1:52" ht="15.5" customHeight="1">
      <c r="A1627" s="360"/>
      <c r="B1627" s="340"/>
      <c r="C1627" s="181"/>
      <c r="D1627" s="30"/>
      <c r="E1627" s="30"/>
      <c r="F1627" s="30"/>
      <c r="G1627" s="37"/>
      <c r="H1627" s="37"/>
      <c r="I1627" s="37"/>
      <c r="J1627" s="37" t="s">
        <v>69</v>
      </c>
      <c r="K1627" s="325" t="s">
        <v>69</v>
      </c>
      <c r="L1627" s="181"/>
      <c r="M1627" s="181"/>
      <c r="N1627" s="37"/>
      <c r="O1627" s="31"/>
      <c r="P1627" s="37"/>
      <c r="Q1627" s="181"/>
      <c r="R1627" s="181"/>
      <c r="S1627" s="181"/>
      <c r="T1627" s="181"/>
      <c r="U1627" s="181"/>
      <c r="V1627" s="37"/>
      <c r="W1627" s="181"/>
      <c r="X1627" s="38"/>
      <c r="Y1627" s="38"/>
      <c r="Z1627" s="38"/>
      <c r="AA1627" s="38"/>
      <c r="AB1627" s="248"/>
      <c r="AC1627" s="250"/>
      <c r="AD1627" s="181"/>
      <c r="AE1627" s="37"/>
      <c r="AF1627" s="37"/>
      <c r="AG1627" s="33"/>
      <c r="AH1627" s="37"/>
      <c r="AI1627" s="37"/>
      <c r="AJ1627" s="181"/>
      <c r="AK1627" s="37"/>
      <c r="AL1627" s="37"/>
      <c r="AM1627" s="181"/>
      <c r="AN1627" s="37"/>
      <c r="AO1627" s="37"/>
      <c r="AP1627" s="37"/>
      <c r="AQ1627" s="37"/>
      <c r="AR1627" s="37"/>
      <c r="AS1627" s="37"/>
      <c r="AT1627" s="37"/>
      <c r="AU1627" s="37"/>
      <c r="AV1627" s="37"/>
      <c r="AW1627" s="37"/>
      <c r="AX1627" s="37"/>
      <c r="AY1627" s="37"/>
      <c r="AZ1627" s="37"/>
    </row>
    <row r="1628" spans="1:52" ht="15.5" customHeight="1">
      <c r="A1628" s="360"/>
      <c r="B1628" s="340"/>
      <c r="C1628" s="181"/>
      <c r="D1628" s="30"/>
      <c r="E1628" s="30"/>
      <c r="F1628" s="30"/>
      <c r="G1628" s="37"/>
      <c r="H1628" s="37"/>
      <c r="I1628" s="37"/>
      <c r="J1628" s="37" t="s">
        <v>69</v>
      </c>
      <c r="K1628" s="325" t="s">
        <v>69</v>
      </c>
      <c r="L1628" s="181"/>
      <c r="M1628" s="181"/>
      <c r="N1628" s="37"/>
      <c r="O1628" s="31"/>
      <c r="P1628" s="37"/>
      <c r="Q1628" s="181"/>
      <c r="R1628" s="181"/>
      <c r="S1628" s="181"/>
      <c r="T1628" s="181"/>
      <c r="U1628" s="181"/>
      <c r="V1628" s="37"/>
      <c r="W1628" s="181"/>
      <c r="X1628" s="38"/>
      <c r="Y1628" s="38"/>
      <c r="Z1628" s="38"/>
      <c r="AA1628" s="38"/>
      <c r="AB1628" s="248"/>
      <c r="AC1628" s="250"/>
      <c r="AD1628" s="181"/>
      <c r="AE1628" s="37"/>
      <c r="AF1628" s="37"/>
      <c r="AG1628" s="33"/>
      <c r="AH1628" s="37"/>
      <c r="AI1628" s="37"/>
      <c r="AJ1628" s="181"/>
      <c r="AK1628" s="37"/>
      <c r="AL1628" s="37"/>
      <c r="AM1628" s="181"/>
      <c r="AN1628" s="37"/>
      <c r="AO1628" s="37"/>
      <c r="AP1628" s="37"/>
      <c r="AQ1628" s="37"/>
      <c r="AR1628" s="37"/>
      <c r="AS1628" s="37"/>
      <c r="AT1628" s="37"/>
      <c r="AU1628" s="37"/>
      <c r="AV1628" s="37"/>
      <c r="AW1628" s="37"/>
      <c r="AX1628" s="37"/>
      <c r="AY1628" s="37"/>
      <c r="AZ1628" s="37"/>
    </row>
    <row r="1629" spans="1:52" ht="15.5" customHeight="1">
      <c r="A1629" s="360"/>
      <c r="B1629" s="340"/>
      <c r="C1629" s="181"/>
      <c r="D1629" s="30"/>
      <c r="E1629" s="30"/>
      <c r="F1629" s="30"/>
      <c r="G1629" s="37"/>
      <c r="H1629" s="37"/>
      <c r="I1629" s="37"/>
      <c r="J1629" s="37" t="s">
        <v>69</v>
      </c>
      <c r="K1629" s="325" t="s">
        <v>69</v>
      </c>
      <c r="L1629" s="181"/>
      <c r="M1629" s="181"/>
      <c r="N1629" s="37"/>
      <c r="O1629" s="31"/>
      <c r="P1629" s="37"/>
      <c r="Q1629" s="181"/>
      <c r="R1629" s="181"/>
      <c r="S1629" s="181"/>
      <c r="T1629" s="181"/>
      <c r="U1629" s="181"/>
      <c r="V1629" s="37"/>
      <c r="W1629" s="181"/>
      <c r="X1629" s="38"/>
      <c r="Y1629" s="38"/>
      <c r="Z1629" s="38"/>
      <c r="AA1629" s="38"/>
      <c r="AB1629" s="248"/>
      <c r="AC1629" s="250"/>
      <c r="AD1629" s="181"/>
      <c r="AE1629" s="37"/>
      <c r="AF1629" s="37"/>
      <c r="AG1629" s="33"/>
      <c r="AH1629" s="37"/>
      <c r="AI1629" s="37"/>
      <c r="AJ1629" s="181"/>
      <c r="AK1629" s="37"/>
      <c r="AL1629" s="37"/>
      <c r="AM1629" s="181"/>
      <c r="AN1629" s="37"/>
      <c r="AO1629" s="37"/>
      <c r="AP1629" s="37"/>
      <c r="AQ1629" s="37"/>
      <c r="AR1629" s="37"/>
      <c r="AS1629" s="37"/>
      <c r="AT1629" s="37"/>
      <c r="AU1629" s="37"/>
      <c r="AV1629" s="37"/>
      <c r="AW1629" s="37"/>
      <c r="AX1629" s="37"/>
      <c r="AY1629" s="37"/>
      <c r="AZ1629" s="37"/>
    </row>
    <row r="1630" spans="1:52" ht="15.5" customHeight="1">
      <c r="A1630" s="360"/>
      <c r="B1630" s="340"/>
      <c r="C1630" s="181"/>
      <c r="D1630" s="30"/>
      <c r="E1630" s="30"/>
      <c r="F1630" s="30"/>
      <c r="G1630" s="37"/>
      <c r="H1630" s="37"/>
      <c r="I1630" s="37"/>
      <c r="J1630" s="37" t="s">
        <v>69</v>
      </c>
      <c r="K1630" s="325" t="s">
        <v>69</v>
      </c>
      <c r="L1630" s="181"/>
      <c r="M1630" s="181"/>
      <c r="N1630" s="37"/>
      <c r="O1630" s="31"/>
      <c r="P1630" s="37"/>
      <c r="Q1630" s="181"/>
      <c r="R1630" s="181"/>
      <c r="S1630" s="181"/>
      <c r="T1630" s="181"/>
      <c r="U1630" s="181"/>
      <c r="V1630" s="37"/>
      <c r="W1630" s="181"/>
      <c r="X1630" s="38"/>
      <c r="Y1630" s="38"/>
      <c r="Z1630" s="38"/>
      <c r="AA1630" s="38"/>
      <c r="AB1630" s="248"/>
      <c r="AC1630" s="250"/>
      <c r="AD1630" s="181"/>
      <c r="AE1630" s="37"/>
      <c r="AF1630" s="37"/>
      <c r="AG1630" s="33"/>
      <c r="AH1630" s="37"/>
      <c r="AI1630" s="37"/>
      <c r="AJ1630" s="181"/>
      <c r="AK1630" s="37"/>
      <c r="AL1630" s="37"/>
      <c r="AM1630" s="181"/>
      <c r="AN1630" s="37"/>
      <c r="AO1630" s="37"/>
      <c r="AP1630" s="37"/>
      <c r="AQ1630" s="37"/>
      <c r="AR1630" s="37"/>
      <c r="AS1630" s="37"/>
      <c r="AT1630" s="37"/>
      <c r="AU1630" s="37"/>
      <c r="AV1630" s="37"/>
      <c r="AW1630" s="37"/>
      <c r="AX1630" s="37"/>
      <c r="AY1630" s="37"/>
      <c r="AZ1630" s="37"/>
    </row>
    <row r="1631" spans="1:52" ht="15.5" customHeight="1">
      <c r="A1631" s="360"/>
      <c r="B1631" s="340"/>
      <c r="C1631" s="181"/>
      <c r="D1631" s="30"/>
      <c r="E1631" s="30"/>
      <c r="F1631" s="30"/>
      <c r="G1631" s="37"/>
      <c r="H1631" s="37"/>
      <c r="I1631" s="37"/>
      <c r="J1631" s="37" t="s">
        <v>69</v>
      </c>
      <c r="K1631" s="325" t="s">
        <v>69</v>
      </c>
      <c r="L1631" s="181"/>
      <c r="M1631" s="181"/>
      <c r="N1631" s="37"/>
      <c r="O1631" s="31"/>
      <c r="P1631" s="37"/>
      <c r="Q1631" s="181"/>
      <c r="R1631" s="181"/>
      <c r="S1631" s="181"/>
      <c r="T1631" s="181"/>
      <c r="U1631" s="181"/>
      <c r="V1631" s="37"/>
      <c r="W1631" s="181"/>
      <c r="X1631" s="38"/>
      <c r="Y1631" s="38"/>
      <c r="Z1631" s="38"/>
      <c r="AA1631" s="38"/>
      <c r="AB1631" s="248"/>
      <c r="AC1631" s="250"/>
      <c r="AD1631" s="181"/>
      <c r="AE1631" s="37"/>
      <c r="AF1631" s="37"/>
      <c r="AG1631" s="33"/>
      <c r="AH1631" s="37"/>
      <c r="AI1631" s="37"/>
      <c r="AJ1631" s="181"/>
      <c r="AK1631" s="37"/>
      <c r="AL1631" s="37"/>
      <c r="AM1631" s="181"/>
      <c r="AN1631" s="37"/>
      <c r="AO1631" s="37"/>
      <c r="AP1631" s="37"/>
      <c r="AQ1631" s="37"/>
      <c r="AR1631" s="37"/>
      <c r="AS1631" s="37"/>
      <c r="AT1631" s="37"/>
      <c r="AU1631" s="37"/>
      <c r="AV1631" s="37"/>
      <c r="AW1631" s="37"/>
      <c r="AX1631" s="37"/>
      <c r="AY1631" s="37"/>
      <c r="AZ1631" s="37"/>
    </row>
    <row r="1632" spans="1:52" ht="15.5" customHeight="1">
      <c r="A1632" s="360"/>
      <c r="B1632" s="340"/>
      <c r="C1632" s="181"/>
      <c r="D1632" s="30"/>
      <c r="E1632" s="30"/>
      <c r="F1632" s="30"/>
      <c r="G1632" s="37"/>
      <c r="H1632" s="37"/>
      <c r="I1632" s="37"/>
      <c r="J1632" s="37" t="s">
        <v>69</v>
      </c>
      <c r="K1632" s="325" t="s">
        <v>69</v>
      </c>
      <c r="L1632" s="181"/>
      <c r="M1632" s="181"/>
      <c r="N1632" s="37"/>
      <c r="O1632" s="31"/>
      <c r="P1632" s="37"/>
      <c r="Q1632" s="181"/>
      <c r="R1632" s="181"/>
      <c r="S1632" s="181"/>
      <c r="T1632" s="181"/>
      <c r="U1632" s="181"/>
      <c r="V1632" s="37"/>
      <c r="W1632" s="181"/>
      <c r="X1632" s="38"/>
      <c r="Y1632" s="38"/>
      <c r="Z1632" s="38"/>
      <c r="AA1632" s="38"/>
      <c r="AB1632" s="248"/>
      <c r="AC1632" s="250"/>
      <c r="AD1632" s="181"/>
      <c r="AE1632" s="37"/>
      <c r="AF1632" s="37"/>
      <c r="AG1632" s="33"/>
      <c r="AH1632" s="37"/>
      <c r="AI1632" s="37"/>
      <c r="AJ1632" s="181"/>
      <c r="AK1632" s="37"/>
      <c r="AL1632" s="37"/>
      <c r="AM1632" s="181"/>
      <c r="AN1632" s="37"/>
      <c r="AO1632" s="37"/>
      <c r="AP1632" s="37"/>
      <c r="AQ1632" s="37"/>
      <c r="AR1632" s="37"/>
      <c r="AS1632" s="37"/>
      <c r="AT1632" s="37"/>
      <c r="AU1632" s="37"/>
      <c r="AV1632" s="37"/>
      <c r="AW1632" s="37"/>
      <c r="AX1632" s="37"/>
      <c r="AY1632" s="37"/>
      <c r="AZ1632" s="37"/>
    </row>
    <row r="1633" spans="1:52" ht="15.5" customHeight="1">
      <c r="A1633" s="360"/>
      <c r="B1633" s="340"/>
      <c r="C1633" s="181"/>
      <c r="D1633" s="30"/>
      <c r="E1633" s="30"/>
      <c r="F1633" s="30"/>
      <c r="G1633" s="37"/>
      <c r="H1633" s="37"/>
      <c r="I1633" s="37"/>
      <c r="J1633" s="37" t="s">
        <v>69</v>
      </c>
      <c r="K1633" s="325" t="s">
        <v>69</v>
      </c>
      <c r="L1633" s="181"/>
      <c r="M1633" s="181"/>
      <c r="N1633" s="37"/>
      <c r="O1633" s="31"/>
      <c r="P1633" s="37"/>
      <c r="Q1633" s="181"/>
      <c r="R1633" s="181"/>
      <c r="S1633" s="181"/>
      <c r="T1633" s="181"/>
      <c r="U1633" s="181"/>
      <c r="V1633" s="37"/>
      <c r="W1633" s="181"/>
      <c r="X1633" s="38"/>
      <c r="Y1633" s="38"/>
      <c r="Z1633" s="38"/>
      <c r="AA1633" s="38"/>
      <c r="AB1633" s="248"/>
      <c r="AC1633" s="250"/>
      <c r="AD1633" s="181"/>
      <c r="AE1633" s="37"/>
      <c r="AF1633" s="37"/>
      <c r="AG1633" s="33"/>
      <c r="AH1633" s="37"/>
      <c r="AI1633" s="37"/>
      <c r="AJ1633" s="181"/>
      <c r="AK1633" s="37"/>
      <c r="AL1633" s="37"/>
      <c r="AM1633" s="181"/>
      <c r="AN1633" s="37"/>
      <c r="AO1633" s="37"/>
      <c r="AP1633" s="37"/>
      <c r="AQ1633" s="37"/>
      <c r="AR1633" s="37"/>
      <c r="AS1633" s="37"/>
      <c r="AT1633" s="37"/>
      <c r="AU1633" s="37"/>
      <c r="AV1633" s="37"/>
      <c r="AW1633" s="37"/>
      <c r="AX1633" s="37"/>
      <c r="AY1633" s="37"/>
      <c r="AZ1633" s="37"/>
    </row>
    <row r="1634" spans="1:52" ht="15.5" customHeight="1">
      <c r="A1634" s="360"/>
      <c r="B1634" s="340"/>
      <c r="C1634" s="181"/>
      <c r="D1634" s="30"/>
      <c r="E1634" s="30"/>
      <c r="F1634" s="30"/>
      <c r="G1634" s="37"/>
      <c r="H1634" s="37"/>
      <c r="I1634" s="37"/>
      <c r="J1634" s="37" t="s">
        <v>69</v>
      </c>
      <c r="K1634" s="325" t="s">
        <v>69</v>
      </c>
      <c r="L1634" s="181"/>
      <c r="M1634" s="181"/>
      <c r="N1634" s="37"/>
      <c r="O1634" s="31"/>
      <c r="P1634" s="37"/>
      <c r="Q1634" s="181"/>
      <c r="R1634" s="181"/>
      <c r="S1634" s="181"/>
      <c r="T1634" s="181"/>
      <c r="U1634" s="181"/>
      <c r="V1634" s="37"/>
      <c r="W1634" s="181"/>
      <c r="X1634" s="38"/>
      <c r="Y1634" s="38"/>
      <c r="Z1634" s="38"/>
      <c r="AA1634" s="38"/>
      <c r="AB1634" s="248"/>
      <c r="AC1634" s="250"/>
      <c r="AD1634" s="181"/>
      <c r="AE1634" s="37"/>
      <c r="AF1634" s="37"/>
      <c r="AG1634" s="33"/>
      <c r="AH1634" s="37"/>
      <c r="AI1634" s="37"/>
      <c r="AJ1634" s="181"/>
      <c r="AK1634" s="37"/>
      <c r="AL1634" s="37"/>
      <c r="AM1634" s="181"/>
      <c r="AN1634" s="37"/>
      <c r="AO1634" s="37"/>
      <c r="AP1634" s="37"/>
      <c r="AQ1634" s="37"/>
      <c r="AR1634" s="37"/>
      <c r="AS1634" s="37"/>
      <c r="AT1634" s="37"/>
      <c r="AU1634" s="37"/>
      <c r="AV1634" s="37"/>
      <c r="AW1634" s="37"/>
      <c r="AX1634" s="37"/>
      <c r="AY1634" s="37"/>
      <c r="AZ1634" s="37"/>
    </row>
    <row r="1635" spans="1:52" ht="15.5" customHeight="1">
      <c r="A1635" s="360"/>
      <c r="B1635" s="340"/>
      <c r="C1635" s="181"/>
      <c r="D1635" s="30"/>
      <c r="E1635" s="30"/>
      <c r="F1635" s="30"/>
      <c r="G1635" s="37"/>
      <c r="H1635" s="37"/>
      <c r="I1635" s="37"/>
      <c r="J1635" s="37" t="s">
        <v>69</v>
      </c>
      <c r="K1635" s="325" t="s">
        <v>69</v>
      </c>
      <c r="L1635" s="181"/>
      <c r="M1635" s="181"/>
      <c r="N1635" s="37"/>
      <c r="O1635" s="31"/>
      <c r="P1635" s="37"/>
      <c r="Q1635" s="181"/>
      <c r="R1635" s="181"/>
      <c r="S1635" s="181"/>
      <c r="T1635" s="181"/>
      <c r="U1635" s="181"/>
      <c r="V1635" s="37"/>
      <c r="W1635" s="181"/>
      <c r="X1635" s="38"/>
      <c r="Y1635" s="38"/>
      <c r="Z1635" s="38"/>
      <c r="AA1635" s="38"/>
      <c r="AB1635" s="248"/>
      <c r="AC1635" s="250"/>
      <c r="AD1635" s="181"/>
      <c r="AE1635" s="37"/>
      <c r="AF1635" s="37"/>
      <c r="AG1635" s="33"/>
      <c r="AH1635" s="37"/>
      <c r="AI1635" s="37"/>
      <c r="AJ1635" s="181"/>
      <c r="AK1635" s="37"/>
      <c r="AL1635" s="37"/>
      <c r="AM1635" s="181"/>
      <c r="AN1635" s="37"/>
      <c r="AO1635" s="37"/>
      <c r="AP1635" s="37"/>
      <c r="AQ1635" s="37"/>
      <c r="AR1635" s="37"/>
      <c r="AS1635" s="37"/>
      <c r="AT1635" s="37"/>
      <c r="AU1635" s="37"/>
      <c r="AV1635" s="37"/>
      <c r="AW1635" s="37"/>
      <c r="AX1635" s="37"/>
      <c r="AY1635" s="37"/>
      <c r="AZ1635" s="37"/>
    </row>
    <row r="1636" spans="1:52" ht="15.5" customHeight="1">
      <c r="A1636" s="360"/>
      <c r="B1636" s="340"/>
      <c r="C1636" s="181"/>
      <c r="D1636" s="30"/>
      <c r="E1636" s="30"/>
      <c r="F1636" s="30"/>
      <c r="G1636" s="37"/>
      <c r="H1636" s="37"/>
      <c r="I1636" s="37"/>
      <c r="J1636" s="37" t="s">
        <v>69</v>
      </c>
      <c r="K1636" s="325" t="s">
        <v>69</v>
      </c>
      <c r="L1636" s="181"/>
      <c r="M1636" s="181"/>
      <c r="N1636" s="37"/>
      <c r="O1636" s="31"/>
      <c r="P1636" s="37"/>
      <c r="Q1636" s="181"/>
      <c r="R1636" s="181"/>
      <c r="S1636" s="181"/>
      <c r="T1636" s="181"/>
      <c r="U1636" s="181"/>
      <c r="V1636" s="37"/>
      <c r="W1636" s="181"/>
      <c r="X1636" s="38"/>
      <c r="Y1636" s="38"/>
      <c r="Z1636" s="38"/>
      <c r="AA1636" s="38"/>
      <c r="AB1636" s="248"/>
      <c r="AC1636" s="250"/>
      <c r="AD1636" s="181"/>
      <c r="AE1636" s="37"/>
      <c r="AF1636" s="37"/>
      <c r="AG1636" s="33"/>
      <c r="AH1636" s="37"/>
      <c r="AI1636" s="37"/>
      <c r="AJ1636" s="181"/>
      <c r="AK1636" s="37"/>
      <c r="AL1636" s="37"/>
      <c r="AM1636" s="181"/>
      <c r="AN1636" s="37"/>
      <c r="AO1636" s="37"/>
      <c r="AP1636" s="37"/>
      <c r="AQ1636" s="37"/>
      <c r="AR1636" s="37"/>
      <c r="AS1636" s="37"/>
      <c r="AT1636" s="37"/>
      <c r="AU1636" s="37"/>
      <c r="AV1636" s="37"/>
      <c r="AW1636" s="37"/>
      <c r="AX1636" s="37"/>
      <c r="AY1636" s="37"/>
      <c r="AZ1636" s="37"/>
    </row>
    <row r="1637" spans="1:52" ht="15.5" customHeight="1">
      <c r="A1637" s="360"/>
      <c r="B1637" s="340"/>
      <c r="C1637" s="181"/>
      <c r="D1637" s="30"/>
      <c r="E1637" s="30"/>
      <c r="F1637" s="30"/>
      <c r="G1637" s="37"/>
      <c r="H1637" s="37"/>
      <c r="I1637" s="37"/>
      <c r="J1637" s="37" t="s">
        <v>69</v>
      </c>
      <c r="K1637" s="325" t="s">
        <v>69</v>
      </c>
      <c r="L1637" s="181"/>
      <c r="M1637" s="181"/>
      <c r="N1637" s="37"/>
      <c r="O1637" s="31"/>
      <c r="P1637" s="37"/>
      <c r="Q1637" s="181"/>
      <c r="R1637" s="181"/>
      <c r="S1637" s="181"/>
      <c r="T1637" s="181"/>
      <c r="U1637" s="181"/>
      <c r="V1637" s="37"/>
      <c r="W1637" s="181"/>
      <c r="X1637" s="38"/>
      <c r="Y1637" s="38"/>
      <c r="Z1637" s="38"/>
      <c r="AA1637" s="38"/>
      <c r="AB1637" s="248"/>
      <c r="AC1637" s="250"/>
      <c r="AD1637" s="181"/>
      <c r="AE1637" s="37"/>
      <c r="AF1637" s="37"/>
      <c r="AG1637" s="33"/>
      <c r="AH1637" s="37"/>
      <c r="AI1637" s="37"/>
      <c r="AJ1637" s="181"/>
      <c r="AK1637" s="37"/>
      <c r="AL1637" s="37"/>
      <c r="AM1637" s="181"/>
      <c r="AN1637" s="37"/>
      <c r="AO1637" s="37"/>
      <c r="AP1637" s="37"/>
      <c r="AQ1637" s="37"/>
      <c r="AR1637" s="37"/>
      <c r="AS1637" s="37"/>
      <c r="AT1637" s="37"/>
      <c r="AU1637" s="37"/>
      <c r="AV1637" s="37"/>
      <c r="AW1637" s="37"/>
      <c r="AX1637" s="37"/>
      <c r="AY1637" s="37"/>
      <c r="AZ1637" s="37"/>
    </row>
    <row r="1638" spans="1:52" ht="15.5" customHeight="1">
      <c r="A1638" s="360"/>
      <c r="B1638" s="340"/>
      <c r="C1638" s="181"/>
      <c r="D1638" s="30"/>
      <c r="E1638" s="30"/>
      <c r="F1638" s="30"/>
      <c r="G1638" s="37"/>
      <c r="H1638" s="37"/>
      <c r="I1638" s="37"/>
      <c r="J1638" s="37" t="s">
        <v>69</v>
      </c>
      <c r="K1638" s="325" t="s">
        <v>69</v>
      </c>
      <c r="L1638" s="181"/>
      <c r="M1638" s="181"/>
      <c r="N1638" s="37"/>
      <c r="O1638" s="31"/>
      <c r="P1638" s="37"/>
      <c r="Q1638" s="181"/>
      <c r="R1638" s="181"/>
      <c r="S1638" s="181"/>
      <c r="T1638" s="181"/>
      <c r="U1638" s="181"/>
      <c r="V1638" s="37"/>
      <c r="W1638" s="181"/>
      <c r="X1638" s="38"/>
      <c r="Y1638" s="38"/>
      <c r="Z1638" s="38"/>
      <c r="AA1638" s="38"/>
      <c r="AB1638" s="248"/>
      <c r="AC1638" s="250"/>
      <c r="AD1638" s="181"/>
      <c r="AE1638" s="37"/>
      <c r="AF1638" s="37"/>
      <c r="AG1638" s="33"/>
      <c r="AH1638" s="37"/>
      <c r="AI1638" s="37"/>
      <c r="AJ1638" s="181"/>
      <c r="AK1638" s="37"/>
      <c r="AL1638" s="37"/>
      <c r="AM1638" s="181"/>
      <c r="AN1638" s="37"/>
      <c r="AO1638" s="37"/>
      <c r="AP1638" s="37"/>
      <c r="AQ1638" s="37"/>
      <c r="AR1638" s="37"/>
      <c r="AS1638" s="37"/>
      <c r="AT1638" s="37"/>
      <c r="AU1638" s="37"/>
      <c r="AV1638" s="37"/>
      <c r="AW1638" s="37"/>
      <c r="AX1638" s="37"/>
      <c r="AY1638" s="37"/>
      <c r="AZ1638" s="37"/>
    </row>
    <row r="1639" spans="1:52" ht="15.5" customHeight="1">
      <c r="A1639" s="360"/>
      <c r="B1639" s="340"/>
      <c r="C1639" s="181"/>
      <c r="D1639" s="30"/>
      <c r="E1639" s="30"/>
      <c r="F1639" s="30"/>
      <c r="G1639" s="37"/>
      <c r="H1639" s="37"/>
      <c r="I1639" s="37"/>
      <c r="J1639" s="37" t="s">
        <v>69</v>
      </c>
      <c r="K1639" s="325" t="s">
        <v>69</v>
      </c>
      <c r="L1639" s="181"/>
      <c r="M1639" s="181"/>
      <c r="N1639" s="37"/>
      <c r="O1639" s="31"/>
      <c r="P1639" s="37"/>
      <c r="Q1639" s="181"/>
      <c r="R1639" s="181"/>
      <c r="S1639" s="181"/>
      <c r="T1639" s="181"/>
      <c r="U1639" s="181"/>
      <c r="V1639" s="37"/>
      <c r="W1639" s="181"/>
      <c r="X1639" s="38"/>
      <c r="Y1639" s="38"/>
      <c r="Z1639" s="38"/>
      <c r="AA1639" s="38"/>
      <c r="AB1639" s="248"/>
      <c r="AC1639" s="250"/>
      <c r="AD1639" s="181"/>
      <c r="AE1639" s="37"/>
      <c r="AF1639" s="37"/>
      <c r="AG1639" s="33"/>
      <c r="AH1639" s="37"/>
      <c r="AI1639" s="37"/>
      <c r="AJ1639" s="181"/>
      <c r="AK1639" s="37"/>
      <c r="AL1639" s="37"/>
      <c r="AM1639" s="181"/>
      <c r="AN1639" s="37"/>
      <c r="AO1639" s="37"/>
      <c r="AP1639" s="37"/>
      <c r="AQ1639" s="37"/>
      <c r="AR1639" s="37"/>
      <c r="AS1639" s="37"/>
      <c r="AT1639" s="37"/>
      <c r="AU1639" s="37"/>
      <c r="AV1639" s="37"/>
      <c r="AW1639" s="37"/>
      <c r="AX1639" s="37"/>
      <c r="AY1639" s="37"/>
      <c r="AZ1639" s="37"/>
    </row>
    <row r="1640" spans="1:52" ht="15.5" customHeight="1">
      <c r="A1640" s="360"/>
      <c r="B1640" s="340"/>
      <c r="C1640" s="181"/>
      <c r="D1640" s="30"/>
      <c r="E1640" s="30"/>
      <c r="F1640" s="30"/>
      <c r="G1640" s="37"/>
      <c r="H1640" s="37"/>
      <c r="I1640" s="37"/>
      <c r="J1640" s="37" t="s">
        <v>69</v>
      </c>
      <c r="K1640" s="325" t="s">
        <v>69</v>
      </c>
      <c r="L1640" s="181"/>
      <c r="M1640" s="181"/>
      <c r="N1640" s="37"/>
      <c r="O1640" s="31"/>
      <c r="P1640" s="37"/>
      <c r="Q1640" s="181"/>
      <c r="R1640" s="181"/>
      <c r="S1640" s="181"/>
      <c r="T1640" s="181"/>
      <c r="U1640" s="181"/>
      <c r="V1640" s="37"/>
      <c r="W1640" s="181"/>
      <c r="X1640" s="38"/>
      <c r="Y1640" s="38"/>
      <c r="Z1640" s="38"/>
      <c r="AA1640" s="38"/>
      <c r="AB1640" s="248"/>
      <c r="AC1640" s="250"/>
      <c r="AD1640" s="181"/>
      <c r="AE1640" s="37"/>
      <c r="AF1640" s="37"/>
      <c r="AG1640" s="33"/>
      <c r="AH1640" s="37"/>
      <c r="AI1640" s="37"/>
      <c r="AJ1640" s="181"/>
      <c r="AK1640" s="37"/>
      <c r="AL1640" s="37"/>
      <c r="AM1640" s="181"/>
      <c r="AN1640" s="37"/>
      <c r="AO1640" s="37"/>
      <c r="AP1640" s="37"/>
      <c r="AQ1640" s="37"/>
      <c r="AR1640" s="37"/>
      <c r="AS1640" s="37"/>
      <c r="AT1640" s="37"/>
      <c r="AU1640" s="37"/>
      <c r="AV1640" s="37"/>
      <c r="AW1640" s="37"/>
      <c r="AX1640" s="37"/>
      <c r="AY1640" s="37"/>
      <c r="AZ1640" s="37"/>
    </row>
    <row r="1641" spans="1:52" ht="15.5" customHeight="1">
      <c r="A1641" s="360"/>
      <c r="B1641" s="340"/>
      <c r="C1641" s="181"/>
      <c r="D1641" s="30"/>
      <c r="E1641" s="30"/>
      <c r="F1641" s="30"/>
      <c r="G1641" s="37"/>
      <c r="H1641" s="37"/>
      <c r="I1641" s="37"/>
      <c r="J1641" s="37" t="s">
        <v>69</v>
      </c>
      <c r="K1641" s="325" t="s">
        <v>69</v>
      </c>
      <c r="L1641" s="181"/>
      <c r="M1641" s="181"/>
      <c r="N1641" s="37"/>
      <c r="O1641" s="31"/>
      <c r="P1641" s="37"/>
      <c r="Q1641" s="181"/>
      <c r="R1641" s="181"/>
      <c r="S1641" s="181"/>
      <c r="T1641" s="181"/>
      <c r="U1641" s="181"/>
      <c r="V1641" s="37"/>
      <c r="W1641" s="181"/>
      <c r="X1641" s="38"/>
      <c r="Y1641" s="38"/>
      <c r="Z1641" s="38"/>
      <c r="AA1641" s="38"/>
      <c r="AB1641" s="248"/>
      <c r="AC1641" s="250"/>
      <c r="AD1641" s="181"/>
      <c r="AE1641" s="37"/>
      <c r="AF1641" s="37"/>
      <c r="AG1641" s="33"/>
      <c r="AH1641" s="37"/>
      <c r="AI1641" s="37"/>
      <c r="AJ1641" s="181"/>
      <c r="AK1641" s="37"/>
      <c r="AL1641" s="37"/>
      <c r="AM1641" s="181"/>
      <c r="AN1641" s="37"/>
      <c r="AO1641" s="37"/>
      <c r="AP1641" s="37"/>
      <c r="AQ1641" s="37"/>
      <c r="AR1641" s="37"/>
      <c r="AS1641" s="37"/>
      <c r="AT1641" s="37"/>
      <c r="AU1641" s="37"/>
      <c r="AV1641" s="37"/>
      <c r="AW1641" s="37"/>
      <c r="AX1641" s="37"/>
      <c r="AY1641" s="37"/>
      <c r="AZ1641" s="37"/>
    </row>
    <row r="1642" spans="1:52" ht="15.5" customHeight="1">
      <c r="A1642" s="360"/>
      <c r="B1642" s="340"/>
      <c r="C1642" s="181"/>
      <c r="D1642" s="30"/>
      <c r="E1642" s="30"/>
      <c r="F1642" s="30"/>
      <c r="G1642" s="37"/>
      <c r="H1642" s="37"/>
      <c r="I1642" s="37"/>
      <c r="J1642" s="37" t="s">
        <v>69</v>
      </c>
      <c r="K1642" s="325" t="s">
        <v>69</v>
      </c>
      <c r="L1642" s="181"/>
      <c r="M1642" s="181"/>
      <c r="N1642" s="37"/>
      <c r="O1642" s="31"/>
      <c r="P1642" s="37"/>
      <c r="Q1642" s="181"/>
      <c r="R1642" s="181"/>
      <c r="S1642" s="181"/>
      <c r="T1642" s="181"/>
      <c r="U1642" s="181"/>
      <c r="V1642" s="37"/>
      <c r="W1642" s="181"/>
      <c r="X1642" s="38"/>
      <c r="Y1642" s="38"/>
      <c r="Z1642" s="38"/>
      <c r="AA1642" s="38"/>
      <c r="AB1642" s="248"/>
      <c r="AC1642" s="250"/>
      <c r="AD1642" s="181"/>
      <c r="AE1642" s="37"/>
      <c r="AF1642" s="37"/>
      <c r="AG1642" s="33"/>
      <c r="AH1642" s="37"/>
      <c r="AI1642" s="37"/>
      <c r="AJ1642" s="181"/>
      <c r="AK1642" s="37"/>
      <c r="AL1642" s="37"/>
      <c r="AM1642" s="181"/>
      <c r="AN1642" s="37"/>
      <c r="AO1642" s="37"/>
      <c r="AP1642" s="37"/>
      <c r="AQ1642" s="37"/>
      <c r="AR1642" s="37"/>
      <c r="AS1642" s="37"/>
      <c r="AT1642" s="37"/>
      <c r="AU1642" s="37"/>
      <c r="AV1642" s="37"/>
      <c r="AW1642" s="37"/>
      <c r="AX1642" s="37"/>
      <c r="AY1642" s="37"/>
      <c r="AZ1642" s="37"/>
    </row>
    <row r="1643" spans="1:52" ht="15.5" customHeight="1">
      <c r="A1643" s="360"/>
      <c r="B1643" s="340"/>
      <c r="C1643" s="181"/>
      <c r="D1643" s="30"/>
      <c r="E1643" s="30"/>
      <c r="F1643" s="30"/>
      <c r="G1643" s="37"/>
      <c r="H1643" s="37"/>
      <c r="I1643" s="37"/>
      <c r="J1643" s="37" t="s">
        <v>69</v>
      </c>
      <c r="K1643" s="325" t="s">
        <v>69</v>
      </c>
      <c r="L1643" s="181"/>
      <c r="M1643" s="181"/>
      <c r="N1643" s="37"/>
      <c r="O1643" s="31"/>
      <c r="P1643" s="37"/>
      <c r="Q1643" s="181"/>
      <c r="R1643" s="181"/>
      <c r="S1643" s="181"/>
      <c r="T1643" s="181"/>
      <c r="U1643" s="181"/>
      <c r="V1643" s="37"/>
      <c r="W1643" s="181"/>
      <c r="X1643" s="38"/>
      <c r="Y1643" s="38"/>
      <c r="Z1643" s="38"/>
      <c r="AA1643" s="38"/>
      <c r="AB1643" s="248"/>
      <c r="AC1643" s="250"/>
      <c r="AD1643" s="181"/>
      <c r="AE1643" s="37"/>
      <c r="AF1643" s="37"/>
      <c r="AG1643" s="33"/>
      <c r="AH1643" s="37"/>
      <c r="AI1643" s="37"/>
      <c r="AJ1643" s="181"/>
      <c r="AK1643" s="37"/>
      <c r="AL1643" s="37"/>
      <c r="AM1643" s="181"/>
      <c r="AN1643" s="37"/>
      <c r="AO1643" s="37"/>
      <c r="AP1643" s="37"/>
      <c r="AQ1643" s="37"/>
      <c r="AR1643" s="37"/>
      <c r="AS1643" s="37"/>
      <c r="AT1643" s="37"/>
      <c r="AU1643" s="37"/>
      <c r="AV1643" s="37"/>
      <c r="AW1643" s="37"/>
      <c r="AX1643" s="37"/>
      <c r="AY1643" s="37"/>
      <c r="AZ1643" s="37"/>
    </row>
    <row r="1644" spans="1:52" ht="15.5" customHeight="1">
      <c r="A1644" s="360"/>
      <c r="B1644" s="340"/>
      <c r="C1644" s="181"/>
      <c r="D1644" s="30"/>
      <c r="E1644" s="30"/>
      <c r="F1644" s="30"/>
      <c r="G1644" s="37"/>
      <c r="H1644" s="37"/>
      <c r="I1644" s="37"/>
      <c r="J1644" s="37" t="s">
        <v>69</v>
      </c>
      <c r="K1644" s="325" t="s">
        <v>69</v>
      </c>
      <c r="L1644" s="181"/>
      <c r="M1644" s="181"/>
      <c r="N1644" s="37"/>
      <c r="O1644" s="31"/>
      <c r="P1644" s="37"/>
      <c r="Q1644" s="181"/>
      <c r="R1644" s="181"/>
      <c r="S1644" s="181"/>
      <c r="T1644" s="181"/>
      <c r="U1644" s="181"/>
      <c r="V1644" s="37"/>
      <c r="W1644" s="181"/>
      <c r="X1644" s="38"/>
      <c r="Y1644" s="38"/>
      <c r="Z1644" s="38"/>
      <c r="AA1644" s="38"/>
      <c r="AB1644" s="248"/>
      <c r="AC1644" s="250"/>
      <c r="AD1644" s="181"/>
      <c r="AE1644" s="37"/>
      <c r="AF1644" s="37"/>
      <c r="AG1644" s="33"/>
      <c r="AH1644" s="37"/>
      <c r="AI1644" s="37"/>
      <c r="AJ1644" s="181"/>
      <c r="AK1644" s="37"/>
      <c r="AL1644" s="37"/>
      <c r="AM1644" s="181"/>
      <c r="AN1644" s="37"/>
      <c r="AO1644" s="37"/>
      <c r="AP1644" s="37"/>
      <c r="AQ1644" s="37"/>
      <c r="AR1644" s="37"/>
      <c r="AS1644" s="37"/>
      <c r="AT1644" s="37"/>
      <c r="AU1644" s="37"/>
      <c r="AV1644" s="37"/>
      <c r="AW1644" s="37"/>
      <c r="AX1644" s="37"/>
      <c r="AY1644" s="37"/>
      <c r="AZ1644" s="37"/>
    </row>
    <row r="1645" spans="1:52" ht="15.5" customHeight="1">
      <c r="A1645" s="360"/>
      <c r="B1645" s="340"/>
      <c r="C1645" s="181"/>
      <c r="D1645" s="30"/>
      <c r="E1645" s="30"/>
      <c r="F1645" s="30"/>
      <c r="G1645" s="37"/>
      <c r="H1645" s="37"/>
      <c r="I1645" s="37"/>
      <c r="J1645" s="37" t="s">
        <v>69</v>
      </c>
      <c r="K1645" s="325" t="s">
        <v>69</v>
      </c>
      <c r="L1645" s="181"/>
      <c r="M1645" s="181"/>
      <c r="N1645" s="37"/>
      <c r="O1645" s="31"/>
      <c r="P1645" s="37"/>
      <c r="Q1645" s="181"/>
      <c r="R1645" s="181"/>
      <c r="S1645" s="181"/>
      <c r="T1645" s="181"/>
      <c r="U1645" s="181"/>
      <c r="V1645" s="37"/>
      <c r="W1645" s="181"/>
      <c r="X1645" s="38"/>
      <c r="Y1645" s="38"/>
      <c r="Z1645" s="38"/>
      <c r="AA1645" s="38"/>
      <c r="AB1645" s="248"/>
      <c r="AC1645" s="250"/>
      <c r="AD1645" s="181"/>
      <c r="AE1645" s="37"/>
      <c r="AF1645" s="37"/>
      <c r="AG1645" s="33"/>
      <c r="AH1645" s="37"/>
      <c r="AI1645" s="37"/>
      <c r="AJ1645" s="181"/>
      <c r="AK1645" s="37"/>
      <c r="AL1645" s="37"/>
      <c r="AM1645" s="181"/>
      <c r="AN1645" s="37"/>
      <c r="AO1645" s="37"/>
      <c r="AP1645" s="37"/>
      <c r="AQ1645" s="37"/>
      <c r="AR1645" s="37"/>
      <c r="AS1645" s="37"/>
      <c r="AT1645" s="37"/>
      <c r="AU1645" s="37"/>
      <c r="AV1645" s="37"/>
      <c r="AW1645" s="37"/>
      <c r="AX1645" s="37"/>
      <c r="AY1645" s="37"/>
      <c r="AZ1645" s="37"/>
    </row>
    <row r="1646" spans="1:52" ht="15.5" customHeight="1">
      <c r="A1646" s="360"/>
      <c r="B1646" s="340"/>
      <c r="C1646" s="181"/>
      <c r="D1646" s="30"/>
      <c r="E1646" s="30"/>
      <c r="F1646" s="30"/>
      <c r="G1646" s="37"/>
      <c r="H1646" s="37"/>
      <c r="I1646" s="37"/>
      <c r="J1646" s="37" t="s">
        <v>69</v>
      </c>
      <c r="K1646" s="325" t="s">
        <v>69</v>
      </c>
      <c r="L1646" s="181"/>
      <c r="M1646" s="181"/>
      <c r="N1646" s="37"/>
      <c r="O1646" s="31"/>
      <c r="P1646" s="37"/>
      <c r="Q1646" s="181"/>
      <c r="R1646" s="181"/>
      <c r="S1646" s="181"/>
      <c r="T1646" s="181"/>
      <c r="U1646" s="181"/>
      <c r="V1646" s="37"/>
      <c r="W1646" s="181"/>
      <c r="X1646" s="38"/>
      <c r="Y1646" s="38"/>
      <c r="Z1646" s="38"/>
      <c r="AA1646" s="38"/>
      <c r="AB1646" s="248"/>
      <c r="AC1646" s="250"/>
      <c r="AD1646" s="181"/>
      <c r="AE1646" s="37"/>
      <c r="AF1646" s="37"/>
      <c r="AG1646" s="33"/>
      <c r="AH1646" s="37"/>
      <c r="AI1646" s="37"/>
      <c r="AJ1646" s="181"/>
      <c r="AK1646" s="37"/>
      <c r="AL1646" s="37"/>
      <c r="AM1646" s="181"/>
      <c r="AN1646" s="37"/>
      <c r="AO1646" s="37"/>
      <c r="AP1646" s="37"/>
      <c r="AQ1646" s="37"/>
      <c r="AR1646" s="37"/>
      <c r="AS1646" s="37"/>
      <c r="AT1646" s="37"/>
      <c r="AU1646" s="37"/>
      <c r="AV1646" s="37"/>
      <c r="AW1646" s="37"/>
      <c r="AX1646" s="37"/>
      <c r="AY1646" s="37"/>
      <c r="AZ1646" s="37"/>
    </row>
    <row r="1647" spans="1:52" ht="15.5" customHeight="1">
      <c r="A1647" s="360"/>
      <c r="B1647" s="340"/>
      <c r="C1647" s="181"/>
      <c r="D1647" s="30"/>
      <c r="E1647" s="30"/>
      <c r="F1647" s="30"/>
      <c r="G1647" s="37"/>
      <c r="H1647" s="37"/>
      <c r="I1647" s="37"/>
      <c r="J1647" s="37" t="s">
        <v>69</v>
      </c>
      <c r="K1647" s="325" t="s">
        <v>69</v>
      </c>
      <c r="L1647" s="181"/>
      <c r="M1647" s="181"/>
      <c r="N1647" s="37"/>
      <c r="O1647" s="31"/>
      <c r="P1647" s="37"/>
      <c r="Q1647" s="181"/>
      <c r="R1647" s="181"/>
      <c r="S1647" s="181"/>
      <c r="T1647" s="181"/>
      <c r="U1647" s="181"/>
      <c r="V1647" s="37"/>
      <c r="W1647" s="181"/>
      <c r="X1647" s="38"/>
      <c r="Y1647" s="38"/>
      <c r="Z1647" s="38"/>
      <c r="AA1647" s="38"/>
      <c r="AB1647" s="248"/>
      <c r="AC1647" s="250"/>
      <c r="AD1647" s="181"/>
      <c r="AE1647" s="37"/>
      <c r="AF1647" s="37"/>
      <c r="AG1647" s="33"/>
      <c r="AH1647" s="37"/>
      <c r="AI1647" s="37"/>
      <c r="AJ1647" s="181"/>
      <c r="AK1647" s="37"/>
      <c r="AL1647" s="37"/>
      <c r="AM1647" s="181"/>
      <c r="AN1647" s="37"/>
      <c r="AO1647" s="37"/>
      <c r="AP1647" s="37"/>
      <c r="AQ1647" s="37"/>
      <c r="AR1647" s="37"/>
      <c r="AS1647" s="37"/>
      <c r="AT1647" s="37"/>
      <c r="AU1647" s="37"/>
      <c r="AV1647" s="37"/>
      <c r="AW1647" s="37"/>
      <c r="AX1647" s="37"/>
      <c r="AY1647" s="37"/>
      <c r="AZ1647" s="37"/>
    </row>
    <row r="1648" spans="1:52" ht="15.5" customHeight="1">
      <c r="A1648" s="360"/>
      <c r="B1648" s="340"/>
      <c r="C1648" s="181"/>
      <c r="D1648" s="30"/>
      <c r="E1648" s="30"/>
      <c r="F1648" s="30"/>
      <c r="G1648" s="37"/>
      <c r="H1648" s="37"/>
      <c r="I1648" s="37"/>
      <c r="J1648" s="37" t="s">
        <v>69</v>
      </c>
      <c r="K1648" s="325" t="s">
        <v>69</v>
      </c>
      <c r="L1648" s="181"/>
      <c r="M1648" s="181"/>
      <c r="N1648" s="37"/>
      <c r="O1648" s="31"/>
      <c r="P1648" s="37"/>
      <c r="Q1648" s="181"/>
      <c r="R1648" s="181"/>
      <c r="S1648" s="181"/>
      <c r="T1648" s="181"/>
      <c r="U1648" s="181"/>
      <c r="V1648" s="37"/>
      <c r="W1648" s="181"/>
      <c r="X1648" s="38"/>
      <c r="Y1648" s="38"/>
      <c r="Z1648" s="38"/>
      <c r="AA1648" s="38"/>
      <c r="AB1648" s="248"/>
      <c r="AC1648" s="250"/>
      <c r="AD1648" s="181"/>
      <c r="AE1648" s="37"/>
      <c r="AF1648" s="37"/>
      <c r="AG1648" s="33"/>
      <c r="AH1648" s="37"/>
      <c r="AI1648" s="37"/>
      <c r="AJ1648" s="181"/>
      <c r="AK1648" s="37"/>
      <c r="AL1648" s="37"/>
      <c r="AM1648" s="181"/>
      <c r="AN1648" s="37"/>
      <c r="AO1648" s="37"/>
      <c r="AP1648" s="37"/>
      <c r="AQ1648" s="37"/>
      <c r="AR1648" s="37"/>
      <c r="AS1648" s="37"/>
      <c r="AT1648" s="37"/>
      <c r="AU1648" s="37"/>
      <c r="AV1648" s="37"/>
      <c r="AW1648" s="37"/>
      <c r="AX1648" s="37"/>
      <c r="AY1648" s="37"/>
      <c r="AZ1648" s="37"/>
    </row>
    <row r="1649" spans="1:52" ht="15.5" customHeight="1">
      <c r="A1649" s="360"/>
      <c r="B1649" s="340"/>
      <c r="C1649" s="181"/>
      <c r="D1649" s="30"/>
      <c r="E1649" s="30"/>
      <c r="F1649" s="30"/>
      <c r="G1649" s="37"/>
      <c r="H1649" s="37"/>
      <c r="I1649" s="37"/>
      <c r="J1649" s="37" t="s">
        <v>69</v>
      </c>
      <c r="K1649" s="325" t="s">
        <v>69</v>
      </c>
      <c r="L1649" s="181"/>
      <c r="M1649" s="181"/>
      <c r="N1649" s="37"/>
      <c r="O1649" s="31"/>
      <c r="P1649" s="37"/>
      <c r="Q1649" s="181"/>
      <c r="R1649" s="181"/>
      <c r="S1649" s="181"/>
      <c r="T1649" s="181"/>
      <c r="U1649" s="181"/>
      <c r="V1649" s="37"/>
      <c r="W1649" s="181"/>
      <c r="X1649" s="38"/>
      <c r="Y1649" s="38"/>
      <c r="Z1649" s="38"/>
      <c r="AA1649" s="38"/>
      <c r="AB1649" s="248"/>
      <c r="AC1649" s="250"/>
      <c r="AD1649" s="181"/>
      <c r="AE1649" s="37"/>
      <c r="AF1649" s="37"/>
      <c r="AG1649" s="33"/>
      <c r="AH1649" s="37"/>
      <c r="AI1649" s="37"/>
      <c r="AJ1649" s="181"/>
      <c r="AK1649" s="37"/>
      <c r="AL1649" s="37"/>
      <c r="AM1649" s="181"/>
      <c r="AN1649" s="37"/>
      <c r="AO1649" s="37"/>
      <c r="AP1649" s="37"/>
      <c r="AQ1649" s="37"/>
      <c r="AR1649" s="37"/>
      <c r="AS1649" s="37"/>
      <c r="AT1649" s="37"/>
      <c r="AU1649" s="37"/>
      <c r="AV1649" s="37"/>
      <c r="AW1649" s="37"/>
      <c r="AX1649" s="37"/>
      <c r="AY1649" s="37"/>
      <c r="AZ1649" s="37"/>
    </row>
    <row r="1650" spans="1:52" ht="15.5" customHeight="1">
      <c r="A1650" s="360"/>
      <c r="B1650" s="340"/>
      <c r="C1650" s="181"/>
      <c r="D1650" s="30"/>
      <c r="E1650" s="30"/>
      <c r="F1650" s="30"/>
      <c r="G1650" s="37"/>
      <c r="H1650" s="37"/>
      <c r="I1650" s="37"/>
      <c r="J1650" s="37" t="s">
        <v>69</v>
      </c>
      <c r="K1650" s="325" t="s">
        <v>69</v>
      </c>
      <c r="L1650" s="181"/>
      <c r="M1650" s="181"/>
      <c r="N1650" s="37"/>
      <c r="O1650" s="31"/>
      <c r="P1650" s="37"/>
      <c r="Q1650" s="181"/>
      <c r="R1650" s="181"/>
      <c r="S1650" s="181"/>
      <c r="T1650" s="181"/>
      <c r="U1650" s="181"/>
      <c r="V1650" s="37"/>
      <c r="W1650" s="181"/>
      <c r="X1650" s="38"/>
      <c r="Y1650" s="38"/>
      <c r="Z1650" s="38"/>
      <c r="AA1650" s="38"/>
      <c r="AB1650" s="248"/>
      <c r="AC1650" s="250"/>
      <c r="AD1650" s="181"/>
      <c r="AE1650" s="37"/>
      <c r="AF1650" s="37"/>
      <c r="AG1650" s="33"/>
      <c r="AH1650" s="37"/>
      <c r="AI1650" s="37"/>
      <c r="AJ1650" s="181"/>
      <c r="AK1650" s="37"/>
      <c r="AL1650" s="37"/>
      <c r="AM1650" s="181"/>
      <c r="AN1650" s="37"/>
      <c r="AO1650" s="37"/>
      <c r="AP1650" s="37"/>
      <c r="AQ1650" s="37"/>
      <c r="AR1650" s="37"/>
      <c r="AS1650" s="37"/>
      <c r="AT1650" s="37"/>
      <c r="AU1650" s="37"/>
      <c r="AV1650" s="37"/>
      <c r="AW1650" s="37"/>
      <c r="AX1650" s="37"/>
      <c r="AY1650" s="37"/>
      <c r="AZ1650" s="37"/>
    </row>
    <row r="1651" spans="1:52" ht="15.5" customHeight="1">
      <c r="A1651" s="360"/>
      <c r="B1651" s="340"/>
      <c r="C1651" s="181"/>
      <c r="D1651" s="30"/>
      <c r="E1651" s="30"/>
      <c r="F1651" s="30"/>
      <c r="G1651" s="37"/>
      <c r="H1651" s="37"/>
      <c r="I1651" s="37"/>
      <c r="J1651" s="37" t="s">
        <v>69</v>
      </c>
      <c r="K1651" s="325" t="s">
        <v>69</v>
      </c>
      <c r="L1651" s="181"/>
      <c r="M1651" s="181"/>
      <c r="N1651" s="37"/>
      <c r="O1651" s="31"/>
      <c r="P1651" s="37"/>
      <c r="Q1651" s="181"/>
      <c r="R1651" s="181"/>
      <c r="S1651" s="181"/>
      <c r="T1651" s="181"/>
      <c r="U1651" s="181"/>
      <c r="V1651" s="37"/>
      <c r="W1651" s="181"/>
      <c r="X1651" s="38"/>
      <c r="Y1651" s="38"/>
      <c r="Z1651" s="38"/>
      <c r="AA1651" s="38"/>
      <c r="AB1651" s="248"/>
      <c r="AC1651" s="250"/>
      <c r="AD1651" s="181"/>
      <c r="AE1651" s="37"/>
      <c r="AF1651" s="37"/>
      <c r="AG1651" s="33"/>
      <c r="AH1651" s="37"/>
      <c r="AI1651" s="37"/>
      <c r="AJ1651" s="181"/>
      <c r="AK1651" s="37"/>
      <c r="AL1651" s="37"/>
      <c r="AM1651" s="181"/>
      <c r="AN1651" s="37"/>
      <c r="AO1651" s="37"/>
      <c r="AP1651" s="37"/>
      <c r="AQ1651" s="37"/>
      <c r="AR1651" s="37"/>
      <c r="AS1651" s="37"/>
      <c r="AT1651" s="37"/>
      <c r="AU1651" s="37"/>
      <c r="AV1651" s="37"/>
      <c r="AW1651" s="37"/>
      <c r="AX1651" s="37"/>
      <c r="AY1651" s="37"/>
      <c r="AZ1651" s="37"/>
    </row>
    <row r="1652" spans="1:52" ht="15.5" customHeight="1">
      <c r="A1652" s="360"/>
      <c r="B1652" s="340"/>
      <c r="C1652" s="181"/>
      <c r="D1652" s="30"/>
      <c r="E1652" s="30"/>
      <c r="F1652" s="30"/>
      <c r="G1652" s="37"/>
      <c r="H1652" s="37"/>
      <c r="I1652" s="37"/>
      <c r="J1652" s="37" t="s">
        <v>69</v>
      </c>
      <c r="K1652" s="325" t="s">
        <v>69</v>
      </c>
      <c r="L1652" s="181"/>
      <c r="M1652" s="181"/>
      <c r="N1652" s="37"/>
      <c r="O1652" s="31"/>
      <c r="P1652" s="37"/>
      <c r="Q1652" s="181"/>
      <c r="R1652" s="181"/>
      <c r="S1652" s="181"/>
      <c r="T1652" s="181"/>
      <c r="U1652" s="181"/>
      <c r="V1652" s="37"/>
      <c r="W1652" s="181"/>
      <c r="X1652" s="38"/>
      <c r="Y1652" s="38"/>
      <c r="Z1652" s="38"/>
      <c r="AA1652" s="38"/>
      <c r="AB1652" s="248"/>
      <c r="AC1652" s="250"/>
      <c r="AD1652" s="181"/>
      <c r="AE1652" s="37"/>
      <c r="AF1652" s="37"/>
      <c r="AG1652" s="33"/>
      <c r="AH1652" s="37"/>
      <c r="AI1652" s="37"/>
      <c r="AJ1652" s="181"/>
      <c r="AK1652" s="37"/>
      <c r="AL1652" s="37"/>
      <c r="AM1652" s="181"/>
      <c r="AN1652" s="37"/>
      <c r="AO1652" s="37"/>
      <c r="AP1652" s="37"/>
      <c r="AQ1652" s="37"/>
      <c r="AR1652" s="37"/>
      <c r="AS1652" s="37"/>
      <c r="AT1652" s="37"/>
      <c r="AU1652" s="37"/>
      <c r="AV1652" s="37"/>
      <c r="AW1652" s="37"/>
      <c r="AX1652" s="37"/>
      <c r="AY1652" s="37"/>
      <c r="AZ1652" s="37"/>
    </row>
    <row r="1653" spans="1:52" ht="15.5" customHeight="1">
      <c r="A1653" s="360"/>
      <c r="B1653" s="340"/>
      <c r="C1653" s="181"/>
      <c r="D1653" s="30"/>
      <c r="E1653" s="30"/>
      <c r="F1653" s="30"/>
      <c r="G1653" s="37"/>
      <c r="H1653" s="37"/>
      <c r="I1653" s="37"/>
      <c r="J1653" s="37" t="s">
        <v>69</v>
      </c>
      <c r="K1653" s="325" t="s">
        <v>69</v>
      </c>
      <c r="L1653" s="181"/>
      <c r="M1653" s="181"/>
      <c r="N1653" s="37"/>
      <c r="O1653" s="31"/>
      <c r="P1653" s="37"/>
      <c r="Q1653" s="181"/>
      <c r="R1653" s="181"/>
      <c r="S1653" s="181"/>
      <c r="T1653" s="181"/>
      <c r="U1653" s="181"/>
      <c r="V1653" s="37"/>
      <c r="W1653" s="181"/>
      <c r="X1653" s="38"/>
      <c r="Y1653" s="38"/>
      <c r="Z1653" s="38"/>
      <c r="AA1653" s="38"/>
      <c r="AB1653" s="248"/>
      <c r="AC1653" s="250"/>
      <c r="AD1653" s="181"/>
      <c r="AE1653" s="37"/>
      <c r="AF1653" s="37"/>
      <c r="AG1653" s="33"/>
      <c r="AH1653" s="37"/>
      <c r="AI1653" s="37"/>
      <c r="AJ1653" s="181"/>
      <c r="AK1653" s="37"/>
      <c r="AL1653" s="37"/>
      <c r="AM1653" s="181"/>
      <c r="AN1653" s="37"/>
      <c r="AO1653" s="37"/>
      <c r="AP1653" s="37"/>
      <c r="AQ1653" s="37"/>
      <c r="AR1653" s="37"/>
      <c r="AS1653" s="37"/>
      <c r="AT1653" s="37"/>
      <c r="AU1653" s="37"/>
      <c r="AV1653" s="37"/>
      <c r="AW1653" s="37"/>
      <c r="AX1653" s="37"/>
      <c r="AY1653" s="37"/>
      <c r="AZ1653" s="37"/>
    </row>
    <row r="1654" spans="1:52" ht="15.5" customHeight="1">
      <c r="A1654" s="360"/>
      <c r="B1654" s="340"/>
      <c r="C1654" s="181"/>
      <c r="D1654" s="30"/>
      <c r="E1654" s="30"/>
      <c r="F1654" s="30"/>
      <c r="G1654" s="37"/>
      <c r="H1654" s="37"/>
      <c r="I1654" s="37"/>
      <c r="J1654" s="37" t="s">
        <v>69</v>
      </c>
      <c r="K1654" s="325" t="s">
        <v>69</v>
      </c>
      <c r="L1654" s="181"/>
      <c r="M1654" s="181"/>
      <c r="N1654" s="37"/>
      <c r="O1654" s="31"/>
      <c r="P1654" s="37"/>
      <c r="Q1654" s="181"/>
      <c r="R1654" s="181"/>
      <c r="S1654" s="181"/>
      <c r="T1654" s="181"/>
      <c r="U1654" s="181"/>
      <c r="V1654" s="37"/>
      <c r="W1654" s="181"/>
      <c r="X1654" s="38"/>
      <c r="Y1654" s="38"/>
      <c r="Z1654" s="38"/>
      <c r="AA1654" s="38"/>
      <c r="AB1654" s="248"/>
      <c r="AC1654" s="250"/>
      <c r="AD1654" s="181"/>
      <c r="AE1654" s="37"/>
      <c r="AF1654" s="37"/>
      <c r="AG1654" s="33"/>
      <c r="AH1654" s="37"/>
      <c r="AI1654" s="37"/>
      <c r="AJ1654" s="181"/>
      <c r="AK1654" s="37"/>
      <c r="AL1654" s="37"/>
      <c r="AM1654" s="181"/>
      <c r="AN1654" s="37"/>
      <c r="AO1654" s="37"/>
      <c r="AP1654" s="37"/>
      <c r="AQ1654" s="37"/>
      <c r="AR1654" s="37"/>
      <c r="AS1654" s="37"/>
      <c r="AT1654" s="37"/>
      <c r="AU1654" s="37"/>
      <c r="AV1654" s="37"/>
      <c r="AW1654" s="37"/>
      <c r="AX1654" s="37"/>
      <c r="AY1654" s="37"/>
      <c r="AZ1654" s="37"/>
    </row>
    <row r="1655" spans="1:52" ht="15.5" customHeight="1">
      <c r="A1655" s="360"/>
      <c r="B1655" s="340"/>
      <c r="C1655" s="181"/>
      <c r="D1655" s="30"/>
      <c r="E1655" s="30"/>
      <c r="F1655" s="30"/>
      <c r="G1655" s="37"/>
      <c r="H1655" s="37"/>
      <c r="I1655" s="37"/>
      <c r="J1655" s="37" t="s">
        <v>69</v>
      </c>
      <c r="K1655" s="325" t="s">
        <v>69</v>
      </c>
      <c r="L1655" s="181"/>
      <c r="M1655" s="181"/>
      <c r="N1655" s="37"/>
      <c r="O1655" s="31"/>
      <c r="P1655" s="37"/>
      <c r="Q1655" s="181"/>
      <c r="R1655" s="181"/>
      <c r="S1655" s="181"/>
      <c r="T1655" s="181"/>
      <c r="U1655" s="181"/>
      <c r="V1655" s="37"/>
      <c r="W1655" s="181"/>
      <c r="X1655" s="38"/>
      <c r="Y1655" s="38"/>
      <c r="Z1655" s="38"/>
      <c r="AA1655" s="38"/>
      <c r="AB1655" s="248"/>
      <c r="AC1655" s="250"/>
      <c r="AD1655" s="181"/>
      <c r="AE1655" s="37"/>
      <c r="AF1655" s="37"/>
      <c r="AG1655" s="33"/>
      <c r="AH1655" s="37"/>
      <c r="AI1655" s="37"/>
      <c r="AJ1655" s="181"/>
      <c r="AK1655" s="37"/>
      <c r="AL1655" s="37"/>
      <c r="AM1655" s="181"/>
      <c r="AN1655" s="37"/>
      <c r="AO1655" s="37"/>
      <c r="AP1655" s="37"/>
      <c r="AQ1655" s="37"/>
      <c r="AR1655" s="37"/>
      <c r="AS1655" s="37"/>
      <c r="AT1655" s="37"/>
      <c r="AU1655" s="37"/>
      <c r="AV1655" s="37"/>
      <c r="AW1655" s="37"/>
      <c r="AX1655" s="37"/>
      <c r="AY1655" s="37"/>
      <c r="AZ1655" s="37"/>
    </row>
    <row r="1656" spans="1:52" ht="15.5" customHeight="1">
      <c r="A1656" s="360"/>
      <c r="B1656" s="340"/>
      <c r="C1656" s="181"/>
      <c r="D1656" s="30"/>
      <c r="E1656" s="30"/>
      <c r="F1656" s="30"/>
      <c r="G1656" s="37"/>
      <c r="H1656" s="37"/>
      <c r="I1656" s="37"/>
      <c r="J1656" s="37" t="s">
        <v>69</v>
      </c>
      <c r="K1656" s="325" t="s">
        <v>69</v>
      </c>
      <c r="L1656" s="181"/>
      <c r="M1656" s="181"/>
      <c r="N1656" s="37"/>
      <c r="O1656" s="31"/>
      <c r="P1656" s="37"/>
      <c r="Q1656" s="181"/>
      <c r="R1656" s="181"/>
      <c r="S1656" s="181"/>
      <c r="T1656" s="181"/>
      <c r="U1656" s="181"/>
      <c r="V1656" s="37"/>
      <c r="W1656" s="181"/>
      <c r="X1656" s="38"/>
      <c r="Y1656" s="38"/>
      <c r="Z1656" s="38"/>
      <c r="AA1656" s="38"/>
      <c r="AB1656" s="248"/>
      <c r="AC1656" s="250"/>
      <c r="AD1656" s="181"/>
      <c r="AE1656" s="37"/>
      <c r="AF1656" s="37"/>
      <c r="AG1656" s="33"/>
      <c r="AH1656" s="37"/>
      <c r="AI1656" s="37"/>
      <c r="AJ1656" s="181"/>
      <c r="AK1656" s="37"/>
      <c r="AL1656" s="37"/>
      <c r="AM1656" s="181"/>
      <c r="AN1656" s="37"/>
      <c r="AO1656" s="37"/>
      <c r="AP1656" s="37"/>
      <c r="AQ1656" s="37"/>
      <c r="AR1656" s="37"/>
      <c r="AS1656" s="37"/>
      <c r="AT1656" s="37"/>
      <c r="AU1656" s="37"/>
      <c r="AV1656" s="37"/>
      <c r="AW1656" s="37"/>
      <c r="AX1656" s="37"/>
      <c r="AY1656" s="37"/>
      <c r="AZ1656" s="37"/>
    </row>
    <row r="1657" spans="1:52" ht="15.5" customHeight="1">
      <c r="A1657" s="360"/>
      <c r="B1657" s="340"/>
      <c r="C1657" s="181"/>
      <c r="D1657" s="30"/>
      <c r="E1657" s="30"/>
      <c r="F1657" s="30"/>
      <c r="G1657" s="37"/>
      <c r="H1657" s="37"/>
      <c r="I1657" s="37"/>
      <c r="J1657" s="37" t="s">
        <v>69</v>
      </c>
      <c r="K1657" s="325" t="s">
        <v>69</v>
      </c>
      <c r="L1657" s="181"/>
      <c r="M1657" s="181"/>
      <c r="N1657" s="37"/>
      <c r="O1657" s="31"/>
      <c r="P1657" s="37"/>
      <c r="Q1657" s="181"/>
      <c r="R1657" s="181"/>
      <c r="S1657" s="181"/>
      <c r="T1657" s="181"/>
      <c r="U1657" s="181"/>
      <c r="V1657" s="37"/>
      <c r="W1657" s="181"/>
      <c r="X1657" s="38"/>
      <c r="Y1657" s="38"/>
      <c r="Z1657" s="38"/>
      <c r="AA1657" s="38"/>
      <c r="AB1657" s="248"/>
      <c r="AC1657" s="250"/>
      <c r="AD1657" s="181"/>
      <c r="AE1657" s="37"/>
      <c r="AF1657" s="37"/>
      <c r="AG1657" s="33"/>
      <c r="AH1657" s="37"/>
      <c r="AI1657" s="37"/>
      <c r="AJ1657" s="181"/>
      <c r="AK1657" s="37"/>
      <c r="AL1657" s="37"/>
      <c r="AM1657" s="181"/>
      <c r="AN1657" s="37"/>
      <c r="AO1657" s="37"/>
      <c r="AP1657" s="37"/>
      <c r="AQ1657" s="37"/>
      <c r="AR1657" s="37"/>
      <c r="AS1657" s="37"/>
      <c r="AT1657" s="37"/>
      <c r="AU1657" s="37"/>
      <c r="AV1657" s="37"/>
      <c r="AW1657" s="37"/>
      <c r="AX1657" s="37"/>
      <c r="AY1657" s="37"/>
      <c r="AZ1657" s="37"/>
    </row>
    <row r="1658" spans="1:52" ht="15.5" customHeight="1">
      <c r="A1658" s="360"/>
      <c r="B1658" s="340"/>
      <c r="C1658" s="181"/>
      <c r="D1658" s="30"/>
      <c r="E1658" s="30"/>
      <c r="F1658" s="30"/>
      <c r="G1658" s="37"/>
      <c r="H1658" s="37"/>
      <c r="I1658" s="37"/>
      <c r="J1658" s="37" t="s">
        <v>69</v>
      </c>
      <c r="K1658" s="325" t="s">
        <v>69</v>
      </c>
      <c r="L1658" s="181"/>
      <c r="M1658" s="181"/>
      <c r="N1658" s="37"/>
      <c r="O1658" s="31"/>
      <c r="P1658" s="37"/>
      <c r="Q1658" s="181"/>
      <c r="R1658" s="181"/>
      <c r="S1658" s="181"/>
      <c r="T1658" s="181"/>
      <c r="U1658" s="181"/>
      <c r="V1658" s="37"/>
      <c r="W1658" s="181"/>
      <c r="X1658" s="38"/>
      <c r="Y1658" s="38"/>
      <c r="Z1658" s="38"/>
      <c r="AA1658" s="38"/>
      <c r="AB1658" s="248"/>
      <c r="AC1658" s="250"/>
      <c r="AD1658" s="181"/>
      <c r="AE1658" s="37"/>
      <c r="AF1658" s="37"/>
      <c r="AG1658" s="33"/>
      <c r="AH1658" s="37"/>
      <c r="AI1658" s="37"/>
      <c r="AJ1658" s="181"/>
      <c r="AK1658" s="37"/>
      <c r="AL1658" s="37"/>
      <c r="AM1658" s="181"/>
      <c r="AN1658" s="37"/>
      <c r="AO1658" s="37"/>
      <c r="AP1658" s="37"/>
      <c r="AQ1658" s="37"/>
      <c r="AR1658" s="37"/>
      <c r="AS1658" s="37"/>
      <c r="AT1658" s="37"/>
      <c r="AU1658" s="37"/>
      <c r="AV1658" s="37"/>
      <c r="AW1658" s="37"/>
      <c r="AX1658" s="37"/>
      <c r="AY1658" s="37"/>
      <c r="AZ1658" s="37"/>
    </row>
    <row r="1659" spans="1:52" ht="15.5" customHeight="1">
      <c r="A1659" s="360"/>
      <c r="B1659" s="340"/>
      <c r="C1659" s="181"/>
      <c r="D1659" s="30"/>
      <c r="E1659" s="30"/>
      <c r="F1659" s="30"/>
      <c r="G1659" s="37"/>
      <c r="H1659" s="37"/>
      <c r="I1659" s="37"/>
      <c r="J1659" s="37" t="s">
        <v>69</v>
      </c>
      <c r="K1659" s="325" t="s">
        <v>69</v>
      </c>
      <c r="L1659" s="181"/>
      <c r="M1659" s="181"/>
      <c r="N1659" s="37"/>
      <c r="O1659" s="31"/>
      <c r="P1659" s="37"/>
      <c r="Q1659" s="181"/>
      <c r="R1659" s="181"/>
      <c r="S1659" s="181"/>
      <c r="T1659" s="181"/>
      <c r="U1659" s="181"/>
      <c r="V1659" s="37"/>
      <c r="W1659" s="181"/>
      <c r="X1659" s="38"/>
      <c r="Y1659" s="38"/>
      <c r="Z1659" s="38"/>
      <c r="AA1659" s="38"/>
      <c r="AB1659" s="248"/>
      <c r="AC1659" s="250"/>
      <c r="AD1659" s="181"/>
      <c r="AE1659" s="37"/>
      <c r="AF1659" s="37"/>
      <c r="AG1659" s="33"/>
      <c r="AH1659" s="37"/>
      <c r="AI1659" s="37"/>
      <c r="AJ1659" s="181"/>
      <c r="AK1659" s="37"/>
      <c r="AL1659" s="37"/>
      <c r="AM1659" s="181"/>
      <c r="AN1659" s="37"/>
      <c r="AO1659" s="37"/>
      <c r="AP1659" s="37"/>
      <c r="AQ1659" s="37"/>
      <c r="AR1659" s="37"/>
      <c r="AS1659" s="37"/>
      <c r="AT1659" s="37"/>
      <c r="AU1659" s="37"/>
      <c r="AV1659" s="37"/>
      <c r="AW1659" s="37"/>
      <c r="AX1659" s="37"/>
      <c r="AY1659" s="37"/>
      <c r="AZ1659" s="37"/>
    </row>
    <row r="1660" spans="1:52" ht="15.5" customHeight="1">
      <c r="A1660" s="360"/>
      <c r="B1660" s="340"/>
      <c r="C1660" s="181"/>
      <c r="D1660" s="30"/>
      <c r="E1660" s="30"/>
      <c r="F1660" s="30"/>
      <c r="G1660" s="37"/>
      <c r="H1660" s="37"/>
      <c r="I1660" s="37"/>
      <c r="J1660" s="37" t="s">
        <v>69</v>
      </c>
      <c r="K1660" s="325" t="s">
        <v>69</v>
      </c>
      <c r="L1660" s="181"/>
      <c r="M1660" s="181"/>
      <c r="N1660" s="37"/>
      <c r="O1660" s="31"/>
      <c r="P1660" s="37"/>
      <c r="Q1660" s="181"/>
      <c r="R1660" s="181"/>
      <c r="S1660" s="181"/>
      <c r="T1660" s="181"/>
      <c r="U1660" s="181"/>
      <c r="V1660" s="37"/>
      <c r="W1660" s="181"/>
      <c r="X1660" s="38"/>
      <c r="Y1660" s="38"/>
      <c r="Z1660" s="38"/>
      <c r="AA1660" s="38"/>
      <c r="AB1660" s="248"/>
      <c r="AC1660" s="250"/>
      <c r="AD1660" s="181"/>
      <c r="AE1660" s="37"/>
      <c r="AF1660" s="37"/>
      <c r="AG1660" s="33"/>
      <c r="AH1660" s="37"/>
      <c r="AI1660" s="37"/>
      <c r="AJ1660" s="181"/>
      <c r="AK1660" s="37"/>
      <c r="AL1660" s="37"/>
      <c r="AM1660" s="181"/>
      <c r="AN1660" s="37"/>
      <c r="AO1660" s="37"/>
      <c r="AP1660" s="37"/>
      <c r="AQ1660" s="37"/>
      <c r="AR1660" s="37"/>
      <c r="AS1660" s="37"/>
      <c r="AT1660" s="37"/>
      <c r="AU1660" s="37"/>
      <c r="AV1660" s="37"/>
      <c r="AW1660" s="37"/>
      <c r="AX1660" s="37"/>
      <c r="AY1660" s="37"/>
      <c r="AZ1660" s="37"/>
    </row>
    <row r="1661" spans="1:52" ht="15.5" customHeight="1">
      <c r="A1661" s="360"/>
      <c r="B1661" s="340"/>
      <c r="C1661" s="181"/>
      <c r="D1661" s="30"/>
      <c r="E1661" s="30"/>
      <c r="F1661" s="30"/>
      <c r="G1661" s="37"/>
      <c r="H1661" s="37"/>
      <c r="I1661" s="37"/>
      <c r="J1661" s="37" t="s">
        <v>69</v>
      </c>
      <c r="K1661" s="325" t="s">
        <v>69</v>
      </c>
      <c r="L1661" s="181"/>
      <c r="M1661" s="181"/>
      <c r="N1661" s="37"/>
      <c r="O1661" s="31"/>
      <c r="P1661" s="37"/>
      <c r="Q1661" s="181"/>
      <c r="R1661" s="181"/>
      <c r="S1661" s="181"/>
      <c r="T1661" s="181"/>
      <c r="U1661" s="181"/>
      <c r="V1661" s="37"/>
      <c r="W1661" s="181"/>
      <c r="X1661" s="38"/>
      <c r="Y1661" s="38"/>
      <c r="Z1661" s="38"/>
      <c r="AA1661" s="38"/>
      <c r="AB1661" s="248"/>
      <c r="AC1661" s="250"/>
      <c r="AD1661" s="181"/>
      <c r="AE1661" s="37"/>
      <c r="AF1661" s="37"/>
      <c r="AG1661" s="33"/>
      <c r="AH1661" s="37"/>
      <c r="AI1661" s="37"/>
      <c r="AJ1661" s="181"/>
      <c r="AK1661" s="37"/>
      <c r="AL1661" s="37"/>
      <c r="AM1661" s="181"/>
      <c r="AN1661" s="37"/>
      <c r="AO1661" s="37"/>
      <c r="AP1661" s="37"/>
      <c r="AQ1661" s="37"/>
      <c r="AR1661" s="37"/>
      <c r="AS1661" s="37"/>
      <c r="AT1661" s="37"/>
      <c r="AU1661" s="37"/>
      <c r="AV1661" s="37"/>
      <c r="AW1661" s="37"/>
      <c r="AX1661" s="37"/>
      <c r="AY1661" s="37"/>
      <c r="AZ1661" s="37"/>
    </row>
    <row r="1662" spans="1:52" ht="15.5" customHeight="1">
      <c r="A1662" s="360"/>
      <c r="B1662" s="340"/>
      <c r="C1662" s="181"/>
      <c r="D1662" s="30"/>
      <c r="E1662" s="30"/>
      <c r="F1662" s="30"/>
      <c r="G1662" s="37"/>
      <c r="H1662" s="37"/>
      <c r="I1662" s="37"/>
      <c r="J1662" s="37" t="s">
        <v>69</v>
      </c>
      <c r="K1662" s="325" t="s">
        <v>69</v>
      </c>
      <c r="L1662" s="181"/>
      <c r="M1662" s="181"/>
      <c r="N1662" s="37"/>
      <c r="O1662" s="31"/>
      <c r="P1662" s="37"/>
      <c r="Q1662" s="181"/>
      <c r="R1662" s="181"/>
      <c r="S1662" s="181"/>
      <c r="T1662" s="181"/>
      <c r="U1662" s="181"/>
      <c r="V1662" s="37"/>
      <c r="W1662" s="181"/>
      <c r="X1662" s="38"/>
      <c r="Y1662" s="38"/>
      <c r="Z1662" s="38"/>
      <c r="AA1662" s="38"/>
      <c r="AB1662" s="248"/>
      <c r="AC1662" s="250"/>
      <c r="AD1662" s="181"/>
      <c r="AE1662" s="37"/>
      <c r="AF1662" s="37"/>
      <c r="AG1662" s="33"/>
      <c r="AH1662" s="37"/>
      <c r="AI1662" s="37"/>
      <c r="AJ1662" s="181"/>
      <c r="AK1662" s="37"/>
      <c r="AL1662" s="37"/>
      <c r="AM1662" s="181"/>
      <c r="AN1662" s="37"/>
      <c r="AO1662" s="37"/>
      <c r="AP1662" s="37"/>
      <c r="AQ1662" s="37"/>
      <c r="AR1662" s="37"/>
      <c r="AS1662" s="37"/>
      <c r="AT1662" s="37"/>
      <c r="AU1662" s="37"/>
      <c r="AV1662" s="37"/>
      <c r="AW1662" s="37"/>
      <c r="AX1662" s="37"/>
      <c r="AY1662" s="37"/>
      <c r="AZ1662" s="37"/>
    </row>
    <row r="1663" spans="1:52" ht="15.5" customHeight="1">
      <c r="A1663" s="360"/>
      <c r="B1663" s="340"/>
      <c r="C1663" s="181"/>
      <c r="D1663" s="30"/>
      <c r="E1663" s="30"/>
      <c r="F1663" s="30"/>
      <c r="G1663" s="37"/>
      <c r="H1663" s="37"/>
      <c r="I1663" s="37"/>
      <c r="J1663" s="37" t="s">
        <v>69</v>
      </c>
      <c r="K1663" s="325" t="s">
        <v>69</v>
      </c>
      <c r="L1663" s="181"/>
      <c r="M1663" s="181"/>
      <c r="N1663" s="37"/>
      <c r="O1663" s="31"/>
      <c r="P1663" s="37"/>
      <c r="Q1663" s="181"/>
      <c r="R1663" s="181"/>
      <c r="S1663" s="181"/>
      <c r="T1663" s="181"/>
      <c r="U1663" s="181"/>
      <c r="V1663" s="37"/>
      <c r="W1663" s="181"/>
      <c r="X1663" s="38"/>
      <c r="Y1663" s="38"/>
      <c r="Z1663" s="38"/>
      <c r="AA1663" s="38"/>
      <c r="AB1663" s="248"/>
      <c r="AC1663" s="250"/>
      <c r="AD1663" s="181"/>
      <c r="AE1663" s="37"/>
      <c r="AF1663" s="37"/>
      <c r="AG1663" s="33"/>
      <c r="AH1663" s="37"/>
      <c r="AI1663" s="37"/>
      <c r="AJ1663" s="181"/>
      <c r="AK1663" s="37"/>
      <c r="AL1663" s="37"/>
      <c r="AM1663" s="181"/>
      <c r="AN1663" s="37"/>
      <c r="AO1663" s="37"/>
      <c r="AP1663" s="37"/>
      <c r="AQ1663" s="37"/>
      <c r="AR1663" s="37"/>
      <c r="AS1663" s="37"/>
      <c r="AT1663" s="37"/>
      <c r="AU1663" s="37"/>
      <c r="AV1663" s="37"/>
      <c r="AW1663" s="37"/>
      <c r="AX1663" s="37"/>
      <c r="AY1663" s="37"/>
      <c r="AZ1663" s="37"/>
    </row>
    <row r="1664" spans="1:52" ht="15.5" customHeight="1">
      <c r="A1664" s="360"/>
      <c r="B1664" s="340"/>
      <c r="C1664" s="181"/>
      <c r="D1664" s="30"/>
      <c r="E1664" s="30"/>
      <c r="F1664" s="30"/>
      <c r="G1664" s="37"/>
      <c r="H1664" s="37"/>
      <c r="I1664" s="37"/>
      <c r="J1664" s="37" t="s">
        <v>69</v>
      </c>
      <c r="K1664" s="325" t="s">
        <v>69</v>
      </c>
      <c r="L1664" s="181"/>
      <c r="M1664" s="181"/>
      <c r="N1664" s="37"/>
      <c r="O1664" s="31"/>
      <c r="P1664" s="37"/>
      <c r="Q1664" s="181"/>
      <c r="R1664" s="181"/>
      <c r="S1664" s="181"/>
      <c r="T1664" s="181"/>
      <c r="U1664" s="181"/>
      <c r="V1664" s="37"/>
      <c r="W1664" s="181"/>
      <c r="X1664" s="38"/>
      <c r="Y1664" s="38"/>
      <c r="Z1664" s="38"/>
      <c r="AA1664" s="38"/>
      <c r="AB1664" s="248"/>
      <c r="AC1664" s="250"/>
      <c r="AD1664" s="181"/>
      <c r="AE1664" s="37"/>
      <c r="AF1664" s="37"/>
      <c r="AG1664" s="33"/>
      <c r="AH1664" s="37"/>
      <c r="AI1664" s="37"/>
      <c r="AJ1664" s="181"/>
      <c r="AK1664" s="37"/>
      <c r="AL1664" s="37"/>
      <c r="AM1664" s="181"/>
      <c r="AN1664" s="37"/>
      <c r="AO1664" s="37"/>
      <c r="AP1664" s="37"/>
      <c r="AQ1664" s="37"/>
      <c r="AR1664" s="37"/>
      <c r="AS1664" s="37"/>
      <c r="AT1664" s="37"/>
      <c r="AU1664" s="37"/>
      <c r="AV1664" s="37"/>
      <c r="AW1664" s="37"/>
      <c r="AX1664" s="37"/>
      <c r="AY1664" s="37"/>
      <c r="AZ1664" s="37"/>
    </row>
    <row r="1665" spans="1:52" ht="15.5" customHeight="1">
      <c r="A1665" s="360"/>
      <c r="B1665" s="340"/>
      <c r="C1665" s="181"/>
      <c r="D1665" s="30"/>
      <c r="E1665" s="30"/>
      <c r="F1665" s="30"/>
      <c r="G1665" s="37"/>
      <c r="H1665" s="37"/>
      <c r="I1665" s="37"/>
      <c r="J1665" s="37" t="s">
        <v>69</v>
      </c>
      <c r="K1665" s="325" t="s">
        <v>69</v>
      </c>
      <c r="L1665" s="181"/>
      <c r="M1665" s="181"/>
      <c r="N1665" s="37"/>
      <c r="O1665" s="31"/>
      <c r="P1665" s="37"/>
      <c r="Q1665" s="181"/>
      <c r="R1665" s="181"/>
      <c r="S1665" s="181"/>
      <c r="T1665" s="181"/>
      <c r="U1665" s="181"/>
      <c r="V1665" s="37"/>
      <c r="W1665" s="181"/>
      <c r="X1665" s="38"/>
      <c r="Y1665" s="38"/>
      <c r="Z1665" s="38"/>
      <c r="AA1665" s="38"/>
      <c r="AB1665" s="248"/>
      <c r="AC1665" s="250"/>
      <c r="AD1665" s="181"/>
      <c r="AE1665" s="37"/>
      <c r="AF1665" s="37"/>
      <c r="AG1665" s="33"/>
      <c r="AH1665" s="37"/>
      <c r="AI1665" s="37"/>
      <c r="AJ1665" s="181"/>
      <c r="AK1665" s="37"/>
      <c r="AL1665" s="37"/>
      <c r="AM1665" s="181"/>
      <c r="AN1665" s="37"/>
      <c r="AO1665" s="37"/>
      <c r="AP1665" s="37"/>
      <c r="AQ1665" s="37"/>
      <c r="AR1665" s="37"/>
      <c r="AS1665" s="37"/>
      <c r="AT1665" s="37"/>
      <c r="AU1665" s="37"/>
      <c r="AV1665" s="37"/>
      <c r="AW1665" s="37"/>
      <c r="AX1665" s="37"/>
      <c r="AY1665" s="37"/>
      <c r="AZ1665" s="37"/>
    </row>
    <row r="1666" spans="1:52" ht="15.5" customHeight="1">
      <c r="A1666" s="360"/>
      <c r="B1666" s="340"/>
      <c r="C1666" s="181"/>
      <c r="D1666" s="30"/>
      <c r="E1666" s="30"/>
      <c r="F1666" s="30"/>
      <c r="G1666" s="37"/>
      <c r="H1666" s="37"/>
      <c r="I1666" s="37"/>
      <c r="J1666" s="37" t="s">
        <v>69</v>
      </c>
      <c r="K1666" s="325" t="s">
        <v>69</v>
      </c>
      <c r="L1666" s="181"/>
      <c r="M1666" s="181"/>
      <c r="N1666" s="37"/>
      <c r="O1666" s="31"/>
      <c r="P1666" s="37"/>
      <c r="Q1666" s="181"/>
      <c r="R1666" s="181"/>
      <c r="S1666" s="181"/>
      <c r="T1666" s="181"/>
      <c r="U1666" s="181"/>
      <c r="V1666" s="37"/>
      <c r="W1666" s="181"/>
      <c r="X1666" s="38"/>
      <c r="Y1666" s="38"/>
      <c r="Z1666" s="38"/>
      <c r="AA1666" s="38"/>
      <c r="AB1666" s="248"/>
      <c r="AC1666" s="250"/>
      <c r="AD1666" s="181"/>
      <c r="AE1666" s="37"/>
      <c r="AF1666" s="37"/>
      <c r="AG1666" s="33"/>
      <c r="AH1666" s="37"/>
      <c r="AI1666" s="37"/>
      <c r="AJ1666" s="181"/>
      <c r="AK1666" s="37"/>
      <c r="AL1666" s="37"/>
      <c r="AM1666" s="181"/>
      <c r="AN1666" s="37"/>
      <c r="AO1666" s="37"/>
      <c r="AP1666" s="37"/>
      <c r="AQ1666" s="37"/>
      <c r="AR1666" s="37"/>
      <c r="AS1666" s="37"/>
      <c r="AT1666" s="37"/>
      <c r="AU1666" s="37"/>
      <c r="AV1666" s="37"/>
      <c r="AW1666" s="37"/>
      <c r="AX1666" s="37"/>
      <c r="AY1666" s="37"/>
      <c r="AZ1666" s="37"/>
    </row>
    <row r="1667" spans="1:52" ht="15.5" customHeight="1">
      <c r="A1667" s="360"/>
      <c r="B1667" s="340"/>
      <c r="C1667" s="181"/>
      <c r="D1667" s="30"/>
      <c r="E1667" s="30"/>
      <c r="F1667" s="30"/>
      <c r="G1667" s="37"/>
      <c r="H1667" s="37"/>
      <c r="I1667" s="37"/>
      <c r="J1667" s="37" t="s">
        <v>69</v>
      </c>
      <c r="K1667" s="325" t="s">
        <v>69</v>
      </c>
      <c r="L1667" s="181"/>
      <c r="M1667" s="181"/>
      <c r="N1667" s="37"/>
      <c r="O1667" s="31"/>
      <c r="P1667" s="37"/>
      <c r="Q1667" s="181"/>
      <c r="R1667" s="181"/>
      <c r="S1667" s="181"/>
      <c r="T1667" s="181"/>
      <c r="U1667" s="181"/>
      <c r="V1667" s="37"/>
      <c r="W1667" s="181"/>
      <c r="X1667" s="38"/>
      <c r="Y1667" s="38"/>
      <c r="Z1667" s="38"/>
      <c r="AA1667" s="38"/>
      <c r="AB1667" s="248"/>
      <c r="AC1667" s="250"/>
      <c r="AD1667" s="181"/>
      <c r="AE1667" s="37"/>
      <c r="AF1667" s="37"/>
      <c r="AG1667" s="33"/>
      <c r="AH1667" s="37"/>
      <c r="AI1667" s="37"/>
      <c r="AJ1667" s="181"/>
      <c r="AK1667" s="37"/>
      <c r="AL1667" s="37"/>
      <c r="AM1667" s="181"/>
      <c r="AN1667" s="37"/>
      <c r="AO1667" s="37"/>
      <c r="AP1667" s="37"/>
      <c r="AQ1667" s="37"/>
      <c r="AR1667" s="37"/>
      <c r="AS1667" s="37"/>
      <c r="AT1667" s="37"/>
      <c r="AU1667" s="37"/>
      <c r="AV1667" s="37"/>
      <c r="AW1667" s="37"/>
      <c r="AX1667" s="37"/>
      <c r="AY1667" s="37"/>
      <c r="AZ1667" s="37"/>
    </row>
    <row r="1668" spans="1:52" ht="15.5" customHeight="1">
      <c r="A1668" s="360"/>
      <c r="B1668" s="340"/>
      <c r="C1668" s="181"/>
      <c r="D1668" s="30"/>
      <c r="E1668" s="30"/>
      <c r="F1668" s="30"/>
      <c r="G1668" s="37"/>
      <c r="H1668" s="37"/>
      <c r="I1668" s="37"/>
      <c r="J1668" s="37" t="s">
        <v>69</v>
      </c>
      <c r="K1668" s="325" t="s">
        <v>69</v>
      </c>
      <c r="L1668" s="181"/>
      <c r="M1668" s="181"/>
      <c r="N1668" s="37"/>
      <c r="O1668" s="31"/>
      <c r="P1668" s="37"/>
      <c r="Q1668" s="181"/>
      <c r="R1668" s="181"/>
      <c r="S1668" s="181"/>
      <c r="T1668" s="181"/>
      <c r="U1668" s="181"/>
      <c r="V1668" s="37"/>
      <c r="W1668" s="181"/>
      <c r="X1668" s="38"/>
      <c r="Y1668" s="38"/>
      <c r="Z1668" s="38"/>
      <c r="AA1668" s="38"/>
      <c r="AB1668" s="248"/>
      <c r="AC1668" s="250"/>
      <c r="AD1668" s="181"/>
      <c r="AE1668" s="37"/>
      <c r="AF1668" s="37"/>
      <c r="AG1668" s="33"/>
      <c r="AH1668" s="37"/>
      <c r="AI1668" s="37"/>
      <c r="AJ1668" s="181"/>
      <c r="AK1668" s="37"/>
      <c r="AL1668" s="37"/>
      <c r="AM1668" s="181"/>
      <c r="AN1668" s="37"/>
      <c r="AO1668" s="37"/>
      <c r="AP1668" s="37"/>
      <c r="AQ1668" s="37"/>
      <c r="AR1668" s="37"/>
      <c r="AS1668" s="37"/>
      <c r="AT1668" s="37"/>
      <c r="AU1668" s="37"/>
      <c r="AV1668" s="37"/>
      <c r="AW1668" s="37"/>
      <c r="AX1668" s="37"/>
      <c r="AY1668" s="37"/>
      <c r="AZ1668" s="37"/>
    </row>
    <row r="1669" spans="1:52" ht="15.5" customHeight="1">
      <c r="A1669" s="360"/>
      <c r="B1669" s="340"/>
      <c r="C1669" s="181"/>
      <c r="D1669" s="30"/>
      <c r="E1669" s="30"/>
      <c r="F1669" s="30"/>
      <c r="G1669" s="37"/>
      <c r="H1669" s="37"/>
      <c r="I1669" s="37"/>
      <c r="J1669" s="37" t="s">
        <v>69</v>
      </c>
      <c r="K1669" s="325" t="s">
        <v>69</v>
      </c>
      <c r="L1669" s="181"/>
      <c r="M1669" s="181"/>
      <c r="N1669" s="37"/>
      <c r="O1669" s="31"/>
      <c r="P1669" s="37"/>
      <c r="Q1669" s="181"/>
      <c r="R1669" s="181"/>
      <c r="S1669" s="181"/>
      <c r="T1669" s="181"/>
      <c r="U1669" s="181"/>
      <c r="V1669" s="37"/>
      <c r="W1669" s="181"/>
      <c r="X1669" s="38"/>
      <c r="Y1669" s="38"/>
      <c r="Z1669" s="38"/>
      <c r="AA1669" s="38"/>
      <c r="AB1669" s="248"/>
      <c r="AC1669" s="250"/>
      <c r="AD1669" s="181"/>
      <c r="AE1669" s="37"/>
      <c r="AF1669" s="37"/>
      <c r="AG1669" s="33"/>
      <c r="AH1669" s="37"/>
      <c r="AI1669" s="37"/>
      <c r="AJ1669" s="181"/>
      <c r="AK1669" s="37"/>
      <c r="AL1669" s="37"/>
      <c r="AM1669" s="181"/>
      <c r="AN1669" s="37"/>
      <c r="AO1669" s="37"/>
      <c r="AP1669" s="37"/>
      <c r="AQ1669" s="37"/>
      <c r="AR1669" s="37"/>
      <c r="AS1669" s="37"/>
      <c r="AT1669" s="37"/>
      <c r="AU1669" s="37"/>
      <c r="AV1669" s="37"/>
      <c r="AW1669" s="37"/>
      <c r="AX1669" s="37"/>
      <c r="AY1669" s="37"/>
      <c r="AZ1669" s="37"/>
    </row>
    <row r="1670" spans="1:52" ht="15.5" customHeight="1">
      <c r="A1670" s="360"/>
      <c r="B1670" s="340"/>
      <c r="C1670" s="181"/>
      <c r="D1670" s="30"/>
      <c r="E1670" s="30"/>
      <c r="F1670" s="30"/>
      <c r="G1670" s="37"/>
      <c r="H1670" s="37"/>
      <c r="I1670" s="37"/>
      <c r="J1670" s="37" t="s">
        <v>69</v>
      </c>
      <c r="K1670" s="325" t="s">
        <v>69</v>
      </c>
      <c r="L1670" s="181"/>
      <c r="M1670" s="181"/>
      <c r="N1670" s="37"/>
      <c r="O1670" s="31"/>
      <c r="P1670" s="37"/>
      <c r="Q1670" s="181"/>
      <c r="R1670" s="181"/>
      <c r="S1670" s="181"/>
      <c r="T1670" s="181"/>
      <c r="U1670" s="181"/>
      <c r="V1670" s="37"/>
      <c r="W1670" s="181"/>
      <c r="X1670" s="38"/>
      <c r="Y1670" s="38"/>
      <c r="Z1670" s="38"/>
      <c r="AA1670" s="38"/>
      <c r="AB1670" s="248"/>
      <c r="AC1670" s="250"/>
      <c r="AD1670" s="181"/>
      <c r="AE1670" s="37"/>
      <c r="AF1670" s="37"/>
      <c r="AG1670" s="33"/>
      <c r="AH1670" s="37"/>
      <c r="AI1670" s="37"/>
      <c r="AJ1670" s="181"/>
      <c r="AK1670" s="37"/>
      <c r="AL1670" s="37"/>
      <c r="AM1670" s="181"/>
      <c r="AN1670" s="37"/>
      <c r="AO1670" s="37"/>
      <c r="AP1670" s="37"/>
      <c r="AQ1670" s="37"/>
      <c r="AR1670" s="37"/>
      <c r="AS1670" s="37"/>
      <c r="AT1670" s="37"/>
      <c r="AU1670" s="37"/>
      <c r="AV1670" s="37"/>
      <c r="AW1670" s="37"/>
      <c r="AX1670" s="37"/>
      <c r="AY1670" s="37"/>
      <c r="AZ1670" s="37"/>
    </row>
    <row r="1671" spans="1:52" ht="15.5" customHeight="1">
      <c r="A1671" s="360"/>
      <c r="B1671" s="340"/>
      <c r="C1671" s="181"/>
      <c r="D1671" s="30"/>
      <c r="E1671" s="30"/>
      <c r="F1671" s="30"/>
      <c r="G1671" s="37"/>
      <c r="H1671" s="37"/>
      <c r="I1671" s="37"/>
      <c r="J1671" s="37" t="s">
        <v>69</v>
      </c>
      <c r="K1671" s="325" t="s">
        <v>69</v>
      </c>
      <c r="L1671" s="181"/>
      <c r="M1671" s="181"/>
      <c r="N1671" s="37"/>
      <c r="O1671" s="31"/>
      <c r="P1671" s="37"/>
      <c r="Q1671" s="181"/>
      <c r="R1671" s="181"/>
      <c r="S1671" s="181"/>
      <c r="T1671" s="181"/>
      <c r="U1671" s="181"/>
      <c r="V1671" s="37"/>
      <c r="W1671" s="181"/>
      <c r="X1671" s="38"/>
      <c r="Y1671" s="38"/>
      <c r="Z1671" s="38"/>
      <c r="AA1671" s="38"/>
      <c r="AB1671" s="248"/>
      <c r="AC1671" s="250"/>
      <c r="AD1671" s="181"/>
      <c r="AE1671" s="37"/>
      <c r="AF1671" s="37"/>
      <c r="AG1671" s="33"/>
      <c r="AH1671" s="37"/>
      <c r="AI1671" s="37"/>
      <c r="AJ1671" s="181"/>
      <c r="AK1671" s="37"/>
      <c r="AL1671" s="37"/>
      <c r="AM1671" s="181"/>
      <c r="AN1671" s="37"/>
      <c r="AO1671" s="37"/>
      <c r="AP1671" s="37"/>
      <c r="AQ1671" s="37"/>
      <c r="AR1671" s="37"/>
      <c r="AS1671" s="37"/>
      <c r="AT1671" s="37"/>
      <c r="AU1671" s="37"/>
      <c r="AV1671" s="37"/>
      <c r="AW1671" s="37"/>
      <c r="AX1671" s="37"/>
      <c r="AY1671" s="37"/>
      <c r="AZ1671" s="37"/>
    </row>
    <row r="1672" spans="1:52" ht="15.5" customHeight="1">
      <c r="A1672" s="360"/>
      <c r="B1672" s="340"/>
      <c r="C1672" s="181"/>
      <c r="D1672" s="30"/>
      <c r="E1672" s="30"/>
      <c r="F1672" s="30"/>
      <c r="G1672" s="37"/>
      <c r="H1672" s="37"/>
      <c r="I1672" s="37"/>
      <c r="J1672" s="37" t="s">
        <v>69</v>
      </c>
      <c r="K1672" s="325" t="s">
        <v>69</v>
      </c>
      <c r="L1672" s="181"/>
      <c r="M1672" s="181"/>
      <c r="N1672" s="37"/>
      <c r="O1672" s="31"/>
      <c r="P1672" s="37"/>
      <c r="Q1672" s="181"/>
      <c r="R1672" s="181"/>
      <c r="S1672" s="181"/>
      <c r="T1672" s="181"/>
      <c r="U1672" s="181"/>
      <c r="V1672" s="37"/>
      <c r="W1672" s="181"/>
      <c r="X1672" s="38"/>
      <c r="Y1672" s="38"/>
      <c r="Z1672" s="38"/>
      <c r="AA1672" s="38"/>
      <c r="AB1672" s="248"/>
      <c r="AC1672" s="250"/>
      <c r="AD1672" s="181"/>
      <c r="AE1672" s="37"/>
      <c r="AF1672" s="37"/>
      <c r="AG1672" s="33"/>
      <c r="AH1672" s="37"/>
      <c r="AI1672" s="37"/>
      <c r="AJ1672" s="181"/>
      <c r="AK1672" s="37"/>
      <c r="AL1672" s="37"/>
      <c r="AM1672" s="181"/>
      <c r="AN1672" s="37"/>
      <c r="AO1672" s="37"/>
      <c r="AP1672" s="37"/>
      <c r="AQ1672" s="37"/>
      <c r="AR1672" s="37"/>
      <c r="AS1672" s="37"/>
      <c r="AT1672" s="37"/>
      <c r="AU1672" s="37"/>
      <c r="AV1672" s="37"/>
      <c r="AW1672" s="37"/>
      <c r="AX1672" s="37"/>
      <c r="AY1672" s="37"/>
      <c r="AZ1672" s="37"/>
    </row>
    <row r="1673" spans="1:52" ht="15.5" customHeight="1">
      <c r="A1673" s="360"/>
      <c r="B1673" s="340"/>
      <c r="C1673" s="181"/>
      <c r="D1673" s="30"/>
      <c r="E1673" s="30"/>
      <c r="F1673" s="30"/>
      <c r="G1673" s="37"/>
      <c r="H1673" s="37"/>
      <c r="I1673" s="37"/>
      <c r="J1673" s="37" t="s">
        <v>69</v>
      </c>
      <c r="K1673" s="325" t="s">
        <v>69</v>
      </c>
      <c r="L1673" s="181"/>
      <c r="M1673" s="181"/>
      <c r="N1673" s="37"/>
      <c r="O1673" s="31"/>
      <c r="P1673" s="37"/>
      <c r="Q1673" s="181"/>
      <c r="R1673" s="181"/>
      <c r="S1673" s="181"/>
      <c r="T1673" s="181"/>
      <c r="U1673" s="181"/>
      <c r="V1673" s="37"/>
      <c r="W1673" s="181"/>
      <c r="X1673" s="38"/>
      <c r="Y1673" s="38"/>
      <c r="Z1673" s="38"/>
      <c r="AA1673" s="38"/>
      <c r="AB1673" s="248"/>
      <c r="AC1673" s="250"/>
      <c r="AD1673" s="181"/>
      <c r="AE1673" s="37"/>
      <c r="AF1673" s="37"/>
      <c r="AG1673" s="33"/>
      <c r="AH1673" s="37"/>
      <c r="AI1673" s="37"/>
      <c r="AJ1673" s="181"/>
      <c r="AK1673" s="37"/>
      <c r="AL1673" s="37"/>
      <c r="AM1673" s="181"/>
      <c r="AN1673" s="37"/>
      <c r="AO1673" s="37"/>
      <c r="AP1673" s="37"/>
      <c r="AQ1673" s="37"/>
      <c r="AR1673" s="37"/>
      <c r="AS1673" s="37"/>
      <c r="AT1673" s="37"/>
      <c r="AU1673" s="37"/>
      <c r="AV1673" s="37"/>
      <c r="AW1673" s="37"/>
      <c r="AX1673" s="37"/>
      <c r="AY1673" s="37"/>
      <c r="AZ1673" s="37"/>
    </row>
    <row r="1674" spans="1:52" ht="15.5" customHeight="1">
      <c r="A1674" s="360"/>
      <c r="B1674" s="340"/>
      <c r="C1674" s="181"/>
      <c r="D1674" s="30"/>
      <c r="E1674" s="30"/>
      <c r="F1674" s="30"/>
      <c r="G1674" s="37"/>
      <c r="H1674" s="37"/>
      <c r="I1674" s="37"/>
      <c r="J1674" s="37" t="s">
        <v>69</v>
      </c>
      <c r="K1674" s="325" t="s">
        <v>69</v>
      </c>
      <c r="L1674" s="181"/>
      <c r="M1674" s="181"/>
      <c r="N1674" s="37"/>
      <c r="O1674" s="31"/>
      <c r="P1674" s="37"/>
      <c r="Q1674" s="181"/>
      <c r="R1674" s="181"/>
      <c r="S1674" s="181"/>
      <c r="T1674" s="181"/>
      <c r="U1674" s="181"/>
      <c r="V1674" s="37"/>
      <c r="W1674" s="181"/>
      <c r="X1674" s="38"/>
      <c r="Y1674" s="38"/>
      <c r="Z1674" s="38"/>
      <c r="AA1674" s="38"/>
      <c r="AB1674" s="248"/>
      <c r="AC1674" s="250"/>
      <c r="AD1674" s="181"/>
      <c r="AE1674" s="37"/>
      <c r="AF1674" s="37"/>
      <c r="AG1674" s="33"/>
      <c r="AH1674" s="37"/>
      <c r="AI1674" s="37"/>
      <c r="AJ1674" s="181"/>
      <c r="AK1674" s="37"/>
      <c r="AL1674" s="37"/>
      <c r="AM1674" s="181"/>
      <c r="AN1674" s="37"/>
      <c r="AO1674" s="37"/>
      <c r="AP1674" s="37"/>
      <c r="AQ1674" s="37"/>
      <c r="AR1674" s="37"/>
      <c r="AS1674" s="37"/>
      <c r="AT1674" s="37"/>
      <c r="AU1674" s="37"/>
      <c r="AV1674" s="37"/>
      <c r="AW1674" s="37"/>
      <c r="AX1674" s="37"/>
      <c r="AY1674" s="37"/>
      <c r="AZ1674" s="37"/>
    </row>
    <row r="1675" spans="1:52" ht="15.5" customHeight="1">
      <c r="A1675" s="360"/>
      <c r="B1675" s="340"/>
      <c r="C1675" s="181"/>
      <c r="D1675" s="30"/>
      <c r="E1675" s="30"/>
      <c r="F1675" s="30"/>
      <c r="G1675" s="37"/>
      <c r="H1675" s="37"/>
      <c r="I1675" s="37"/>
      <c r="J1675" s="37" t="s">
        <v>69</v>
      </c>
      <c r="K1675" s="325" t="s">
        <v>69</v>
      </c>
      <c r="L1675" s="181"/>
      <c r="M1675" s="181"/>
      <c r="N1675" s="37"/>
      <c r="O1675" s="31"/>
      <c r="P1675" s="37"/>
      <c r="Q1675" s="181"/>
      <c r="R1675" s="181"/>
      <c r="S1675" s="181"/>
      <c r="T1675" s="181"/>
      <c r="U1675" s="181"/>
      <c r="V1675" s="37"/>
      <c r="W1675" s="181"/>
      <c r="X1675" s="38"/>
      <c r="Y1675" s="38"/>
      <c r="Z1675" s="38"/>
      <c r="AA1675" s="38"/>
      <c r="AB1675" s="248"/>
      <c r="AC1675" s="250"/>
      <c r="AD1675" s="181"/>
      <c r="AE1675" s="37"/>
      <c r="AF1675" s="37"/>
      <c r="AG1675" s="33"/>
      <c r="AH1675" s="37"/>
      <c r="AI1675" s="37"/>
      <c r="AJ1675" s="181"/>
      <c r="AK1675" s="37"/>
      <c r="AL1675" s="37"/>
      <c r="AM1675" s="181"/>
      <c r="AN1675" s="37"/>
      <c r="AO1675" s="37"/>
      <c r="AP1675" s="37"/>
      <c r="AQ1675" s="37"/>
      <c r="AR1675" s="37"/>
      <c r="AS1675" s="37"/>
      <c r="AT1675" s="37"/>
      <c r="AU1675" s="37"/>
      <c r="AV1675" s="37"/>
      <c r="AW1675" s="37"/>
      <c r="AX1675" s="37"/>
      <c r="AY1675" s="37"/>
      <c r="AZ1675" s="37"/>
    </row>
    <row r="1676" spans="1:52" ht="15.5" customHeight="1">
      <c r="A1676" s="360"/>
      <c r="B1676" s="340"/>
      <c r="C1676" s="181"/>
      <c r="D1676" s="30"/>
      <c r="E1676" s="30"/>
      <c r="F1676" s="30"/>
      <c r="G1676" s="37"/>
      <c r="H1676" s="37"/>
      <c r="I1676" s="37"/>
      <c r="J1676" s="37" t="s">
        <v>69</v>
      </c>
      <c r="K1676" s="325" t="s">
        <v>69</v>
      </c>
      <c r="L1676" s="181"/>
      <c r="M1676" s="181"/>
      <c r="N1676" s="37"/>
      <c r="O1676" s="31"/>
      <c r="P1676" s="37"/>
      <c r="Q1676" s="181"/>
      <c r="R1676" s="181"/>
      <c r="S1676" s="181"/>
      <c r="T1676" s="181"/>
      <c r="U1676" s="181"/>
      <c r="V1676" s="37"/>
      <c r="W1676" s="181"/>
      <c r="X1676" s="38"/>
      <c r="Y1676" s="38"/>
      <c r="Z1676" s="38"/>
      <c r="AA1676" s="38"/>
      <c r="AB1676" s="248"/>
      <c r="AC1676" s="250"/>
      <c r="AD1676" s="181"/>
      <c r="AE1676" s="37"/>
      <c r="AF1676" s="37"/>
      <c r="AG1676" s="33"/>
      <c r="AH1676" s="37"/>
      <c r="AI1676" s="37"/>
      <c r="AJ1676" s="181"/>
      <c r="AK1676" s="37"/>
      <c r="AL1676" s="37"/>
      <c r="AM1676" s="181"/>
      <c r="AN1676" s="37"/>
      <c r="AO1676" s="37"/>
      <c r="AP1676" s="37"/>
      <c r="AQ1676" s="37"/>
      <c r="AR1676" s="37"/>
      <c r="AS1676" s="37"/>
      <c r="AT1676" s="37"/>
      <c r="AU1676" s="37"/>
      <c r="AV1676" s="37"/>
      <c r="AW1676" s="37"/>
      <c r="AX1676" s="37"/>
      <c r="AY1676" s="37"/>
      <c r="AZ1676" s="37"/>
    </row>
    <row r="1677" spans="1:52" ht="15.5" customHeight="1">
      <c r="A1677" s="360"/>
      <c r="B1677" s="340"/>
      <c r="C1677" s="181"/>
      <c r="D1677" s="30"/>
      <c r="E1677" s="30"/>
      <c r="F1677" s="30"/>
      <c r="G1677" s="37"/>
      <c r="H1677" s="37"/>
      <c r="I1677" s="37"/>
      <c r="J1677" s="37" t="s">
        <v>69</v>
      </c>
      <c r="K1677" s="325" t="s">
        <v>69</v>
      </c>
      <c r="L1677" s="181"/>
      <c r="M1677" s="181"/>
      <c r="N1677" s="37"/>
      <c r="O1677" s="31"/>
      <c r="P1677" s="37"/>
      <c r="Q1677" s="181"/>
      <c r="R1677" s="181"/>
      <c r="S1677" s="181"/>
      <c r="T1677" s="181"/>
      <c r="U1677" s="181"/>
      <c r="V1677" s="37"/>
      <c r="W1677" s="181"/>
      <c r="X1677" s="38"/>
      <c r="Y1677" s="38"/>
      <c r="Z1677" s="38"/>
      <c r="AA1677" s="38"/>
      <c r="AB1677" s="248"/>
      <c r="AC1677" s="250"/>
      <c r="AD1677" s="181"/>
      <c r="AE1677" s="37"/>
      <c r="AF1677" s="37"/>
      <c r="AG1677" s="33"/>
      <c r="AH1677" s="37"/>
      <c r="AI1677" s="37"/>
      <c r="AJ1677" s="181"/>
      <c r="AK1677" s="37"/>
      <c r="AL1677" s="37"/>
      <c r="AM1677" s="181"/>
      <c r="AN1677" s="37"/>
      <c r="AO1677" s="37"/>
      <c r="AP1677" s="37"/>
      <c r="AQ1677" s="37"/>
      <c r="AR1677" s="37"/>
      <c r="AS1677" s="37"/>
      <c r="AT1677" s="37"/>
      <c r="AU1677" s="37"/>
      <c r="AV1677" s="37"/>
      <c r="AW1677" s="37"/>
      <c r="AX1677" s="37"/>
      <c r="AY1677" s="37"/>
      <c r="AZ1677" s="37"/>
    </row>
    <row r="1678" spans="1:52" ht="15.5" customHeight="1">
      <c r="A1678" s="360"/>
      <c r="B1678" s="340"/>
      <c r="C1678" s="181"/>
      <c r="D1678" s="30"/>
      <c r="E1678" s="30"/>
      <c r="F1678" s="30"/>
      <c r="G1678" s="37"/>
      <c r="H1678" s="37"/>
      <c r="I1678" s="37"/>
      <c r="J1678" s="37" t="s">
        <v>69</v>
      </c>
      <c r="K1678" s="325" t="s">
        <v>69</v>
      </c>
      <c r="L1678" s="181"/>
      <c r="M1678" s="181"/>
      <c r="N1678" s="37"/>
      <c r="O1678" s="31"/>
      <c r="P1678" s="37"/>
      <c r="Q1678" s="181"/>
      <c r="R1678" s="181"/>
      <c r="S1678" s="181"/>
      <c r="T1678" s="181"/>
      <c r="U1678" s="181"/>
      <c r="V1678" s="37"/>
      <c r="W1678" s="181"/>
      <c r="X1678" s="38"/>
      <c r="Y1678" s="38"/>
      <c r="Z1678" s="38"/>
      <c r="AA1678" s="38"/>
      <c r="AB1678" s="248"/>
      <c r="AC1678" s="250"/>
      <c r="AD1678" s="181"/>
      <c r="AE1678" s="37"/>
      <c r="AF1678" s="37"/>
      <c r="AG1678" s="33"/>
      <c r="AH1678" s="37"/>
      <c r="AI1678" s="37"/>
      <c r="AJ1678" s="181"/>
      <c r="AK1678" s="37"/>
      <c r="AL1678" s="37"/>
      <c r="AM1678" s="181"/>
      <c r="AN1678" s="37"/>
      <c r="AO1678" s="37"/>
      <c r="AP1678" s="37"/>
      <c r="AQ1678" s="37"/>
      <c r="AR1678" s="37"/>
      <c r="AS1678" s="37"/>
      <c r="AT1678" s="37"/>
      <c r="AU1678" s="37"/>
      <c r="AV1678" s="37"/>
      <c r="AW1678" s="37"/>
      <c r="AX1678" s="37"/>
      <c r="AY1678" s="37"/>
      <c r="AZ1678" s="37"/>
    </row>
    <row r="1679" spans="1:52" ht="15.5" customHeight="1">
      <c r="A1679" s="360"/>
      <c r="B1679" s="340"/>
      <c r="C1679" s="181"/>
      <c r="D1679" s="30"/>
      <c r="E1679" s="30"/>
      <c r="F1679" s="30"/>
      <c r="G1679" s="37"/>
      <c r="H1679" s="37"/>
      <c r="I1679" s="37"/>
      <c r="J1679" s="37" t="s">
        <v>69</v>
      </c>
      <c r="K1679" s="325" t="s">
        <v>69</v>
      </c>
      <c r="L1679" s="181"/>
      <c r="M1679" s="181"/>
      <c r="N1679" s="37"/>
      <c r="O1679" s="31"/>
      <c r="P1679" s="37"/>
      <c r="Q1679" s="181"/>
      <c r="R1679" s="181"/>
      <c r="S1679" s="181"/>
      <c r="T1679" s="181"/>
      <c r="U1679" s="181"/>
      <c r="V1679" s="37"/>
      <c r="W1679" s="181"/>
      <c r="X1679" s="38"/>
      <c r="Y1679" s="38"/>
      <c r="Z1679" s="38"/>
      <c r="AA1679" s="38"/>
      <c r="AB1679" s="248"/>
      <c r="AC1679" s="250"/>
      <c r="AD1679" s="181"/>
      <c r="AE1679" s="37"/>
      <c r="AF1679" s="37"/>
      <c r="AG1679" s="33"/>
      <c r="AH1679" s="37"/>
      <c r="AI1679" s="37"/>
      <c r="AJ1679" s="181"/>
      <c r="AK1679" s="37"/>
      <c r="AL1679" s="37"/>
      <c r="AM1679" s="181"/>
      <c r="AN1679" s="37"/>
      <c r="AO1679" s="37"/>
      <c r="AP1679" s="37"/>
      <c r="AQ1679" s="37"/>
      <c r="AR1679" s="37"/>
      <c r="AS1679" s="37"/>
      <c r="AT1679" s="37"/>
      <c r="AU1679" s="37"/>
      <c r="AV1679" s="37"/>
      <c r="AW1679" s="37"/>
      <c r="AX1679" s="37"/>
      <c r="AY1679" s="37"/>
      <c r="AZ1679" s="37"/>
    </row>
    <row r="1680" spans="1:52" ht="15.5" customHeight="1">
      <c r="A1680" s="360"/>
      <c r="B1680" s="340"/>
      <c r="C1680" s="181"/>
      <c r="D1680" s="30"/>
      <c r="E1680" s="30"/>
      <c r="F1680" s="30"/>
      <c r="G1680" s="37"/>
      <c r="H1680" s="37"/>
      <c r="I1680" s="37"/>
      <c r="J1680" s="37" t="s">
        <v>69</v>
      </c>
      <c r="K1680" s="325" t="s">
        <v>69</v>
      </c>
      <c r="L1680" s="181"/>
      <c r="M1680" s="181"/>
      <c r="N1680" s="37"/>
      <c r="O1680" s="31"/>
      <c r="P1680" s="37"/>
      <c r="Q1680" s="181"/>
      <c r="R1680" s="181"/>
      <c r="S1680" s="181"/>
      <c r="T1680" s="181"/>
      <c r="U1680" s="181"/>
      <c r="V1680" s="37"/>
      <c r="W1680" s="181"/>
      <c r="X1680" s="38"/>
      <c r="Y1680" s="38"/>
      <c r="Z1680" s="38"/>
      <c r="AA1680" s="38"/>
      <c r="AB1680" s="248"/>
      <c r="AC1680" s="250"/>
      <c r="AD1680" s="181"/>
      <c r="AE1680" s="37"/>
      <c r="AF1680" s="37"/>
      <c r="AG1680" s="33"/>
      <c r="AH1680" s="37"/>
      <c r="AI1680" s="37"/>
      <c r="AJ1680" s="181"/>
      <c r="AK1680" s="37"/>
      <c r="AL1680" s="37"/>
      <c r="AM1680" s="181"/>
      <c r="AN1680" s="37"/>
      <c r="AO1680" s="37"/>
      <c r="AP1680" s="37"/>
      <c r="AQ1680" s="37"/>
      <c r="AR1680" s="37"/>
      <c r="AS1680" s="37"/>
      <c r="AT1680" s="37"/>
      <c r="AU1680" s="37"/>
      <c r="AV1680" s="37"/>
      <c r="AW1680" s="37"/>
      <c r="AX1680" s="37"/>
      <c r="AY1680" s="37"/>
      <c r="AZ1680" s="37"/>
    </row>
    <row r="1681" spans="1:52" ht="15.5" customHeight="1">
      <c r="A1681" s="360"/>
      <c r="B1681" s="340"/>
      <c r="C1681" s="181"/>
      <c r="D1681" s="30"/>
      <c r="E1681" s="30"/>
      <c r="F1681" s="30"/>
      <c r="G1681" s="37"/>
      <c r="H1681" s="37"/>
      <c r="I1681" s="37"/>
      <c r="J1681" s="37" t="s">
        <v>69</v>
      </c>
      <c r="K1681" s="325" t="s">
        <v>69</v>
      </c>
      <c r="L1681" s="181"/>
      <c r="M1681" s="181"/>
      <c r="N1681" s="37"/>
      <c r="O1681" s="31"/>
      <c r="P1681" s="37"/>
      <c r="Q1681" s="181"/>
      <c r="R1681" s="181"/>
      <c r="S1681" s="181"/>
      <c r="T1681" s="181"/>
      <c r="U1681" s="181"/>
      <c r="V1681" s="37"/>
      <c r="W1681" s="181"/>
      <c r="X1681" s="38"/>
      <c r="Y1681" s="38"/>
      <c r="Z1681" s="38"/>
      <c r="AA1681" s="38"/>
      <c r="AB1681" s="248"/>
      <c r="AC1681" s="250"/>
      <c r="AD1681" s="181"/>
      <c r="AE1681" s="37"/>
      <c r="AF1681" s="37"/>
      <c r="AG1681" s="33"/>
      <c r="AH1681" s="37"/>
      <c r="AI1681" s="37"/>
      <c r="AJ1681" s="181"/>
      <c r="AK1681" s="37"/>
      <c r="AL1681" s="37"/>
      <c r="AM1681" s="181"/>
      <c r="AN1681" s="37"/>
      <c r="AO1681" s="37"/>
      <c r="AP1681" s="37"/>
      <c r="AQ1681" s="37"/>
      <c r="AR1681" s="37"/>
      <c r="AS1681" s="37"/>
      <c r="AT1681" s="37"/>
      <c r="AU1681" s="37"/>
      <c r="AV1681" s="37"/>
      <c r="AW1681" s="37"/>
      <c r="AX1681" s="37"/>
      <c r="AY1681" s="37"/>
      <c r="AZ1681" s="37"/>
    </row>
    <row r="1682" spans="1:52" ht="15.5" customHeight="1">
      <c r="A1682" s="360"/>
      <c r="B1682" s="340"/>
      <c r="C1682" s="181"/>
      <c r="D1682" s="30"/>
      <c r="E1682" s="30"/>
      <c r="F1682" s="30"/>
      <c r="G1682" s="37"/>
      <c r="H1682" s="37"/>
      <c r="I1682" s="37"/>
      <c r="J1682" s="37" t="s">
        <v>69</v>
      </c>
      <c r="K1682" s="325" t="s">
        <v>69</v>
      </c>
      <c r="L1682" s="181"/>
      <c r="M1682" s="181"/>
      <c r="N1682" s="37"/>
      <c r="O1682" s="31"/>
      <c r="P1682" s="37"/>
      <c r="Q1682" s="181"/>
      <c r="R1682" s="181"/>
      <c r="S1682" s="181"/>
      <c r="T1682" s="181"/>
      <c r="U1682" s="181"/>
      <c r="V1682" s="37"/>
      <c r="W1682" s="181"/>
      <c r="X1682" s="38"/>
      <c r="Y1682" s="38"/>
      <c r="Z1682" s="38"/>
      <c r="AA1682" s="38"/>
      <c r="AB1682" s="248"/>
      <c r="AC1682" s="250"/>
      <c r="AD1682" s="181"/>
      <c r="AE1682" s="37"/>
      <c r="AF1682" s="37"/>
      <c r="AG1682" s="33"/>
      <c r="AH1682" s="37"/>
      <c r="AI1682" s="37"/>
      <c r="AJ1682" s="181"/>
      <c r="AK1682" s="37"/>
      <c r="AL1682" s="37"/>
      <c r="AM1682" s="181"/>
      <c r="AN1682" s="37"/>
      <c r="AO1682" s="37"/>
      <c r="AP1682" s="37"/>
      <c r="AQ1682" s="37"/>
      <c r="AR1682" s="37"/>
      <c r="AS1682" s="37"/>
      <c r="AT1682" s="37"/>
      <c r="AU1682" s="37"/>
      <c r="AV1682" s="37"/>
      <c r="AW1682" s="37"/>
      <c r="AX1682" s="37"/>
      <c r="AY1682" s="37"/>
      <c r="AZ1682" s="37"/>
    </row>
    <row r="1683" spans="1:52" ht="15.5" customHeight="1">
      <c r="A1683" s="360"/>
      <c r="B1683" s="340"/>
      <c r="C1683" s="181"/>
      <c r="D1683" s="30"/>
      <c r="E1683" s="30"/>
      <c r="F1683" s="30"/>
      <c r="G1683" s="37"/>
      <c r="H1683" s="37"/>
      <c r="I1683" s="37"/>
      <c r="J1683" s="37" t="s">
        <v>69</v>
      </c>
      <c r="K1683" s="325" t="s">
        <v>69</v>
      </c>
      <c r="L1683" s="181"/>
      <c r="M1683" s="181"/>
      <c r="N1683" s="37"/>
      <c r="O1683" s="31"/>
      <c r="P1683" s="37"/>
      <c r="Q1683" s="181"/>
      <c r="R1683" s="181"/>
      <c r="S1683" s="181"/>
      <c r="T1683" s="181"/>
      <c r="U1683" s="181"/>
      <c r="V1683" s="37"/>
      <c r="W1683" s="181"/>
      <c r="X1683" s="38"/>
      <c r="Y1683" s="38"/>
      <c r="Z1683" s="38"/>
      <c r="AA1683" s="38"/>
      <c r="AB1683" s="248"/>
      <c r="AC1683" s="250"/>
      <c r="AD1683" s="181"/>
      <c r="AE1683" s="37"/>
      <c r="AF1683" s="37"/>
      <c r="AG1683" s="33"/>
      <c r="AH1683" s="37"/>
      <c r="AI1683" s="37"/>
      <c r="AJ1683" s="181"/>
      <c r="AK1683" s="37"/>
      <c r="AL1683" s="37"/>
      <c r="AM1683" s="181"/>
      <c r="AN1683" s="37"/>
      <c r="AO1683" s="37"/>
      <c r="AP1683" s="37"/>
      <c r="AQ1683" s="37"/>
      <c r="AR1683" s="37"/>
      <c r="AS1683" s="37"/>
      <c r="AT1683" s="37"/>
      <c r="AU1683" s="37"/>
      <c r="AV1683" s="37"/>
      <c r="AW1683" s="37"/>
      <c r="AX1683" s="37"/>
      <c r="AY1683" s="37"/>
      <c r="AZ1683" s="37"/>
    </row>
    <row r="1684" spans="1:52" ht="15.5" customHeight="1">
      <c r="A1684" s="360"/>
      <c r="B1684" s="340"/>
      <c r="C1684" s="181"/>
      <c r="D1684" s="30"/>
      <c r="E1684" s="30"/>
      <c r="F1684" s="30"/>
      <c r="G1684" s="37"/>
      <c r="H1684" s="37"/>
      <c r="I1684" s="37"/>
      <c r="J1684" s="37" t="s">
        <v>69</v>
      </c>
      <c r="K1684" s="325" t="s">
        <v>69</v>
      </c>
      <c r="L1684" s="181"/>
      <c r="M1684" s="181"/>
      <c r="N1684" s="37"/>
      <c r="O1684" s="31"/>
      <c r="P1684" s="37"/>
      <c r="Q1684" s="181"/>
      <c r="R1684" s="181"/>
      <c r="S1684" s="181"/>
      <c r="T1684" s="181"/>
      <c r="U1684" s="181"/>
      <c r="V1684" s="37"/>
      <c r="W1684" s="181"/>
      <c r="X1684" s="38"/>
      <c r="Y1684" s="38"/>
      <c r="Z1684" s="38"/>
      <c r="AA1684" s="38"/>
      <c r="AB1684" s="248"/>
      <c r="AC1684" s="250"/>
      <c r="AD1684" s="181"/>
      <c r="AE1684" s="37"/>
      <c r="AF1684" s="37"/>
      <c r="AG1684" s="33"/>
      <c r="AH1684" s="37"/>
      <c r="AI1684" s="37"/>
      <c r="AJ1684" s="181"/>
      <c r="AK1684" s="37"/>
      <c r="AL1684" s="37"/>
      <c r="AM1684" s="181"/>
      <c r="AN1684" s="37"/>
      <c r="AO1684" s="37"/>
      <c r="AP1684" s="37"/>
      <c r="AQ1684" s="37"/>
      <c r="AR1684" s="37"/>
      <c r="AS1684" s="37"/>
      <c r="AT1684" s="37"/>
      <c r="AU1684" s="37"/>
      <c r="AV1684" s="37"/>
      <c r="AW1684" s="37"/>
      <c r="AX1684" s="37"/>
      <c r="AY1684" s="37"/>
      <c r="AZ1684" s="37"/>
    </row>
    <row r="1685" spans="1:52" ht="15.5" customHeight="1">
      <c r="A1685" s="360"/>
      <c r="B1685" s="340"/>
      <c r="C1685" s="181"/>
      <c r="D1685" s="30"/>
      <c r="E1685" s="30"/>
      <c r="F1685" s="30"/>
      <c r="G1685" s="37"/>
      <c r="H1685" s="37"/>
      <c r="I1685" s="37"/>
      <c r="J1685" s="37" t="s">
        <v>69</v>
      </c>
      <c r="K1685" s="325" t="s">
        <v>69</v>
      </c>
      <c r="L1685" s="181"/>
      <c r="M1685" s="181"/>
      <c r="N1685" s="37"/>
      <c r="O1685" s="31"/>
      <c r="P1685" s="37"/>
      <c r="Q1685" s="181"/>
      <c r="R1685" s="181"/>
      <c r="S1685" s="181"/>
      <c r="T1685" s="181"/>
      <c r="U1685" s="181"/>
      <c r="V1685" s="37"/>
      <c r="W1685" s="181"/>
      <c r="X1685" s="38"/>
      <c r="Y1685" s="38"/>
      <c r="Z1685" s="38"/>
      <c r="AA1685" s="38"/>
      <c r="AB1685" s="248"/>
      <c r="AC1685" s="250"/>
      <c r="AD1685" s="181"/>
      <c r="AE1685" s="37"/>
      <c r="AF1685" s="37"/>
      <c r="AG1685" s="33"/>
      <c r="AH1685" s="37"/>
      <c r="AI1685" s="37"/>
      <c r="AJ1685" s="181"/>
      <c r="AK1685" s="37"/>
      <c r="AL1685" s="37"/>
      <c r="AM1685" s="181"/>
      <c r="AN1685" s="37"/>
      <c r="AO1685" s="37"/>
      <c r="AP1685" s="37"/>
      <c r="AQ1685" s="37"/>
      <c r="AR1685" s="37"/>
      <c r="AS1685" s="37"/>
      <c r="AT1685" s="37"/>
      <c r="AU1685" s="37"/>
      <c r="AV1685" s="37"/>
      <c r="AW1685" s="37"/>
      <c r="AX1685" s="37"/>
      <c r="AY1685" s="37"/>
      <c r="AZ1685" s="37"/>
    </row>
    <row r="1686" spans="1:52" ht="15.5" customHeight="1">
      <c r="A1686" s="360"/>
      <c r="B1686" s="340"/>
      <c r="C1686" s="181"/>
      <c r="D1686" s="30"/>
      <c r="E1686" s="30"/>
      <c r="F1686" s="30"/>
      <c r="G1686" s="37"/>
      <c r="H1686" s="37"/>
      <c r="I1686" s="37"/>
      <c r="J1686" s="37" t="s">
        <v>69</v>
      </c>
      <c r="K1686" s="325" t="s">
        <v>69</v>
      </c>
      <c r="L1686" s="181"/>
      <c r="M1686" s="181"/>
      <c r="N1686" s="37"/>
      <c r="O1686" s="31"/>
      <c r="P1686" s="37"/>
      <c r="Q1686" s="181"/>
      <c r="R1686" s="181"/>
      <c r="S1686" s="181"/>
      <c r="T1686" s="181"/>
      <c r="U1686" s="181"/>
      <c r="V1686" s="37"/>
      <c r="W1686" s="181"/>
      <c r="X1686" s="38"/>
      <c r="Y1686" s="38"/>
      <c r="Z1686" s="38"/>
      <c r="AA1686" s="38"/>
      <c r="AB1686" s="248"/>
      <c r="AC1686" s="250"/>
      <c r="AD1686" s="181"/>
      <c r="AE1686" s="37"/>
      <c r="AF1686" s="37"/>
      <c r="AG1686" s="33"/>
      <c r="AH1686" s="37"/>
      <c r="AI1686" s="37"/>
      <c r="AJ1686" s="181"/>
      <c r="AK1686" s="37"/>
      <c r="AL1686" s="37"/>
      <c r="AM1686" s="181"/>
      <c r="AN1686" s="37"/>
      <c r="AO1686" s="37"/>
      <c r="AP1686" s="37"/>
      <c r="AQ1686" s="37"/>
      <c r="AR1686" s="37"/>
      <c r="AS1686" s="37"/>
      <c r="AT1686" s="37"/>
      <c r="AU1686" s="37"/>
      <c r="AV1686" s="37"/>
      <c r="AW1686" s="37"/>
      <c r="AX1686" s="37"/>
      <c r="AY1686" s="37"/>
      <c r="AZ1686" s="37"/>
    </row>
    <row r="1687" spans="1:52" ht="15.5" customHeight="1">
      <c r="A1687" s="360"/>
      <c r="B1687" s="340"/>
      <c r="C1687" s="181"/>
      <c r="D1687" s="30"/>
      <c r="E1687" s="30"/>
      <c r="F1687" s="30"/>
      <c r="G1687" s="37"/>
      <c r="H1687" s="37"/>
      <c r="I1687" s="37"/>
      <c r="J1687" s="37" t="s">
        <v>69</v>
      </c>
      <c r="K1687" s="325" t="s">
        <v>69</v>
      </c>
      <c r="L1687" s="181"/>
      <c r="M1687" s="181"/>
      <c r="N1687" s="37"/>
      <c r="O1687" s="31"/>
      <c r="P1687" s="37"/>
      <c r="Q1687" s="181"/>
      <c r="R1687" s="181"/>
      <c r="S1687" s="181"/>
      <c r="T1687" s="181"/>
      <c r="U1687" s="181"/>
      <c r="V1687" s="37"/>
      <c r="W1687" s="181"/>
      <c r="X1687" s="38"/>
      <c r="Y1687" s="38"/>
      <c r="Z1687" s="38"/>
      <c r="AA1687" s="38"/>
      <c r="AB1687" s="248"/>
      <c r="AC1687" s="250"/>
      <c r="AD1687" s="181"/>
      <c r="AE1687" s="37"/>
      <c r="AF1687" s="37"/>
      <c r="AG1687" s="33"/>
      <c r="AH1687" s="37"/>
      <c r="AI1687" s="37"/>
      <c r="AJ1687" s="181"/>
      <c r="AK1687" s="37"/>
      <c r="AL1687" s="37"/>
      <c r="AM1687" s="181"/>
      <c r="AN1687" s="37"/>
      <c r="AO1687" s="37"/>
      <c r="AP1687" s="37"/>
      <c r="AQ1687" s="37"/>
      <c r="AR1687" s="37"/>
      <c r="AS1687" s="37"/>
      <c r="AT1687" s="37"/>
      <c r="AU1687" s="37"/>
      <c r="AV1687" s="37"/>
      <c r="AW1687" s="37"/>
      <c r="AX1687" s="37"/>
      <c r="AY1687" s="37"/>
      <c r="AZ1687" s="37"/>
    </row>
    <row r="1688" spans="1:52" ht="15.5" customHeight="1">
      <c r="A1688" s="360"/>
      <c r="B1688" s="340"/>
      <c r="C1688" s="181"/>
      <c r="D1688" s="30"/>
      <c r="E1688" s="30"/>
      <c r="F1688" s="30"/>
      <c r="G1688" s="37"/>
      <c r="H1688" s="37"/>
      <c r="I1688" s="37"/>
      <c r="J1688" s="37" t="s">
        <v>69</v>
      </c>
      <c r="K1688" s="325" t="s">
        <v>69</v>
      </c>
      <c r="L1688" s="181"/>
      <c r="M1688" s="181"/>
      <c r="N1688" s="37"/>
      <c r="O1688" s="31"/>
      <c r="P1688" s="37"/>
      <c r="Q1688" s="181"/>
      <c r="R1688" s="181"/>
      <c r="S1688" s="181"/>
      <c r="T1688" s="181"/>
      <c r="U1688" s="181"/>
      <c r="V1688" s="37"/>
      <c r="W1688" s="181"/>
      <c r="X1688" s="38"/>
      <c r="Y1688" s="38"/>
      <c r="Z1688" s="38"/>
      <c r="AA1688" s="38"/>
      <c r="AB1688" s="248"/>
      <c r="AC1688" s="250"/>
      <c r="AD1688" s="181"/>
      <c r="AE1688" s="37"/>
      <c r="AF1688" s="37"/>
      <c r="AG1688" s="33"/>
      <c r="AH1688" s="37"/>
      <c r="AI1688" s="37"/>
      <c r="AJ1688" s="181"/>
      <c r="AK1688" s="37"/>
      <c r="AL1688" s="37"/>
      <c r="AM1688" s="181"/>
      <c r="AN1688" s="37"/>
      <c r="AO1688" s="37"/>
      <c r="AP1688" s="37"/>
      <c r="AQ1688" s="37"/>
      <c r="AR1688" s="37"/>
      <c r="AS1688" s="37"/>
      <c r="AT1688" s="37"/>
      <c r="AU1688" s="37"/>
      <c r="AV1688" s="37"/>
      <c r="AW1688" s="37"/>
      <c r="AX1688" s="37"/>
      <c r="AY1688" s="37"/>
      <c r="AZ1688" s="37"/>
    </row>
    <row r="1689" spans="1:52" ht="15.5" customHeight="1">
      <c r="A1689" s="360"/>
      <c r="B1689" s="340"/>
      <c r="C1689" s="181"/>
      <c r="D1689" s="30"/>
      <c r="E1689" s="30"/>
      <c r="F1689" s="30"/>
      <c r="G1689" s="37"/>
      <c r="H1689" s="37"/>
      <c r="I1689" s="37"/>
      <c r="J1689" s="37" t="s">
        <v>69</v>
      </c>
      <c r="K1689" s="325" t="s">
        <v>69</v>
      </c>
      <c r="L1689" s="181"/>
      <c r="M1689" s="181"/>
      <c r="N1689" s="37"/>
      <c r="O1689" s="31"/>
      <c r="P1689" s="37"/>
      <c r="Q1689" s="181"/>
      <c r="R1689" s="181"/>
      <c r="S1689" s="181"/>
      <c r="T1689" s="181"/>
      <c r="U1689" s="181"/>
      <c r="V1689" s="37"/>
      <c r="W1689" s="181"/>
      <c r="X1689" s="38"/>
      <c r="Y1689" s="38"/>
      <c r="Z1689" s="38"/>
      <c r="AA1689" s="38"/>
      <c r="AB1689" s="248"/>
      <c r="AC1689" s="250"/>
      <c r="AD1689" s="181"/>
      <c r="AE1689" s="37"/>
      <c r="AF1689" s="37"/>
      <c r="AG1689" s="33"/>
      <c r="AH1689" s="37"/>
      <c r="AI1689" s="37"/>
      <c r="AJ1689" s="181"/>
      <c r="AK1689" s="37"/>
      <c r="AL1689" s="37"/>
      <c r="AM1689" s="181"/>
      <c r="AN1689" s="37"/>
      <c r="AO1689" s="37"/>
      <c r="AP1689" s="37"/>
      <c r="AQ1689" s="37"/>
      <c r="AR1689" s="37"/>
      <c r="AS1689" s="37"/>
      <c r="AT1689" s="37"/>
      <c r="AU1689" s="37"/>
      <c r="AV1689" s="37"/>
      <c r="AW1689" s="37"/>
      <c r="AX1689" s="37"/>
      <c r="AY1689" s="37"/>
      <c r="AZ1689" s="37"/>
    </row>
    <row r="1690" spans="1:52" ht="15.5" customHeight="1">
      <c r="A1690" s="360"/>
      <c r="B1690" s="340"/>
      <c r="C1690" s="181"/>
      <c r="D1690" s="30"/>
      <c r="E1690" s="30"/>
      <c r="F1690" s="30"/>
      <c r="G1690" s="37"/>
      <c r="H1690" s="37"/>
      <c r="I1690" s="37"/>
      <c r="J1690" s="37" t="s">
        <v>69</v>
      </c>
      <c r="K1690" s="325" t="s">
        <v>69</v>
      </c>
      <c r="L1690" s="181"/>
      <c r="M1690" s="181"/>
      <c r="N1690" s="37"/>
      <c r="O1690" s="31"/>
      <c r="P1690" s="37"/>
      <c r="Q1690" s="181"/>
      <c r="R1690" s="181"/>
      <c r="S1690" s="181"/>
      <c r="T1690" s="181"/>
      <c r="U1690" s="181"/>
      <c r="V1690" s="37"/>
      <c r="W1690" s="181"/>
      <c r="X1690" s="38"/>
      <c r="Y1690" s="38"/>
      <c r="Z1690" s="38"/>
      <c r="AA1690" s="38"/>
      <c r="AB1690" s="248"/>
      <c r="AC1690" s="250"/>
      <c r="AD1690" s="181"/>
      <c r="AE1690" s="37"/>
      <c r="AF1690" s="37"/>
      <c r="AG1690" s="33"/>
      <c r="AH1690" s="37"/>
      <c r="AI1690" s="37"/>
      <c r="AJ1690" s="181"/>
      <c r="AK1690" s="37"/>
      <c r="AL1690" s="37"/>
      <c r="AM1690" s="181"/>
      <c r="AN1690" s="37"/>
      <c r="AO1690" s="37"/>
      <c r="AP1690" s="37"/>
      <c r="AQ1690" s="37"/>
      <c r="AR1690" s="37"/>
      <c r="AS1690" s="37"/>
      <c r="AT1690" s="37"/>
      <c r="AU1690" s="37"/>
      <c r="AV1690" s="37"/>
      <c r="AW1690" s="37"/>
      <c r="AX1690" s="37"/>
      <c r="AY1690" s="37"/>
      <c r="AZ1690" s="37"/>
    </row>
    <row r="1691" spans="1:52" ht="15.5" customHeight="1">
      <c r="A1691" s="360"/>
      <c r="B1691" s="340"/>
      <c r="C1691" s="181"/>
      <c r="D1691" s="30"/>
      <c r="E1691" s="30"/>
      <c r="F1691" s="30"/>
      <c r="G1691" s="37"/>
      <c r="H1691" s="37"/>
      <c r="I1691" s="37"/>
      <c r="J1691" s="37" t="s">
        <v>69</v>
      </c>
      <c r="K1691" s="325" t="s">
        <v>69</v>
      </c>
      <c r="L1691" s="181"/>
      <c r="M1691" s="181"/>
      <c r="N1691" s="37"/>
      <c r="O1691" s="31"/>
      <c r="P1691" s="37"/>
      <c r="Q1691" s="181"/>
      <c r="R1691" s="181"/>
      <c r="S1691" s="181"/>
      <c r="T1691" s="181"/>
      <c r="U1691" s="181"/>
      <c r="V1691" s="37"/>
      <c r="W1691" s="181"/>
      <c r="X1691" s="38"/>
      <c r="Y1691" s="38"/>
      <c r="Z1691" s="38"/>
      <c r="AA1691" s="38"/>
      <c r="AB1691" s="248"/>
      <c r="AC1691" s="250"/>
      <c r="AD1691" s="181"/>
      <c r="AE1691" s="37"/>
      <c r="AF1691" s="37"/>
      <c r="AG1691" s="33"/>
      <c r="AH1691" s="37"/>
      <c r="AI1691" s="37"/>
      <c r="AJ1691" s="181"/>
      <c r="AK1691" s="37"/>
      <c r="AL1691" s="37"/>
      <c r="AM1691" s="181"/>
      <c r="AN1691" s="37"/>
      <c r="AO1691" s="37"/>
      <c r="AP1691" s="37"/>
      <c r="AQ1691" s="37"/>
      <c r="AR1691" s="37"/>
      <c r="AS1691" s="37"/>
      <c r="AT1691" s="37"/>
      <c r="AU1691" s="37"/>
      <c r="AV1691" s="37"/>
      <c r="AW1691" s="37"/>
      <c r="AX1691" s="37"/>
      <c r="AY1691" s="37"/>
      <c r="AZ1691" s="37"/>
    </row>
    <row r="1692" spans="1:52" ht="15.5" customHeight="1">
      <c r="A1692" s="360"/>
      <c r="B1692" s="340"/>
      <c r="C1692" s="181"/>
      <c r="D1692" s="30"/>
      <c r="E1692" s="30"/>
      <c r="F1692" s="30"/>
      <c r="G1692" s="37"/>
      <c r="H1692" s="37"/>
      <c r="I1692" s="37"/>
      <c r="J1692" s="37" t="s">
        <v>69</v>
      </c>
      <c r="K1692" s="325" t="s">
        <v>69</v>
      </c>
      <c r="L1692" s="181"/>
      <c r="M1692" s="181"/>
      <c r="N1692" s="37"/>
      <c r="O1692" s="31"/>
      <c r="P1692" s="37"/>
      <c r="Q1692" s="181"/>
      <c r="R1692" s="181"/>
      <c r="S1692" s="181"/>
      <c r="T1692" s="181"/>
      <c r="U1692" s="181"/>
      <c r="V1692" s="37"/>
      <c r="W1692" s="181"/>
      <c r="X1692" s="38"/>
      <c r="Y1692" s="38"/>
      <c r="Z1692" s="38"/>
      <c r="AA1692" s="38"/>
      <c r="AB1692" s="248"/>
      <c r="AC1692" s="250"/>
      <c r="AD1692" s="181"/>
      <c r="AE1692" s="37"/>
      <c r="AF1692" s="37"/>
      <c r="AG1692" s="33"/>
      <c r="AH1692" s="37"/>
      <c r="AI1692" s="37"/>
      <c r="AJ1692" s="181"/>
      <c r="AK1692" s="37"/>
      <c r="AL1692" s="37"/>
      <c r="AM1692" s="181"/>
      <c r="AN1692" s="37"/>
      <c r="AO1692" s="37"/>
      <c r="AP1692" s="37"/>
      <c r="AQ1692" s="37"/>
      <c r="AR1692" s="37"/>
      <c r="AS1692" s="37"/>
      <c r="AT1692" s="37"/>
      <c r="AU1692" s="37"/>
      <c r="AV1692" s="37"/>
      <c r="AW1692" s="37"/>
      <c r="AX1692" s="37"/>
      <c r="AY1692" s="37"/>
      <c r="AZ1692" s="37"/>
    </row>
    <row r="1693" spans="1:52" ht="15.5" customHeight="1">
      <c r="A1693" s="360"/>
      <c r="B1693" s="340"/>
      <c r="C1693" s="181"/>
      <c r="D1693" s="30"/>
      <c r="E1693" s="30"/>
      <c r="F1693" s="30"/>
      <c r="G1693" s="37"/>
      <c r="H1693" s="37"/>
      <c r="I1693" s="37"/>
      <c r="J1693" s="37" t="s">
        <v>69</v>
      </c>
      <c r="K1693" s="325" t="s">
        <v>69</v>
      </c>
      <c r="L1693" s="181"/>
      <c r="M1693" s="181"/>
      <c r="N1693" s="37"/>
      <c r="O1693" s="31"/>
      <c r="P1693" s="37"/>
      <c r="Q1693" s="181"/>
      <c r="R1693" s="181"/>
      <c r="S1693" s="181"/>
      <c r="T1693" s="181"/>
      <c r="U1693" s="181"/>
      <c r="V1693" s="37"/>
      <c r="W1693" s="181"/>
      <c r="X1693" s="38"/>
      <c r="Y1693" s="38"/>
      <c r="Z1693" s="38"/>
      <c r="AA1693" s="38"/>
      <c r="AB1693" s="248"/>
      <c r="AC1693" s="250"/>
      <c r="AD1693" s="181"/>
      <c r="AE1693" s="37"/>
      <c r="AF1693" s="37"/>
      <c r="AG1693" s="33"/>
      <c r="AH1693" s="37"/>
      <c r="AI1693" s="37"/>
      <c r="AJ1693" s="181"/>
      <c r="AK1693" s="37"/>
      <c r="AL1693" s="37"/>
      <c r="AM1693" s="181"/>
      <c r="AN1693" s="37"/>
      <c r="AO1693" s="37"/>
      <c r="AP1693" s="37"/>
      <c r="AQ1693" s="37"/>
      <c r="AR1693" s="37"/>
      <c r="AS1693" s="37"/>
      <c r="AT1693" s="37"/>
      <c r="AU1693" s="37"/>
      <c r="AV1693" s="37"/>
      <c r="AW1693" s="37"/>
      <c r="AX1693" s="37"/>
      <c r="AY1693" s="37"/>
      <c r="AZ1693" s="37"/>
    </row>
    <row r="1694" spans="1:52" ht="15.5" customHeight="1">
      <c r="A1694" s="360"/>
      <c r="B1694" s="340"/>
      <c r="C1694" s="181"/>
      <c r="D1694" s="30"/>
      <c r="E1694" s="30"/>
      <c r="F1694" s="30"/>
      <c r="G1694" s="37"/>
      <c r="H1694" s="37"/>
      <c r="I1694" s="37"/>
      <c r="J1694" s="37" t="s">
        <v>69</v>
      </c>
      <c r="K1694" s="325" t="s">
        <v>69</v>
      </c>
      <c r="L1694" s="181"/>
      <c r="M1694" s="181"/>
      <c r="N1694" s="37"/>
      <c r="O1694" s="31"/>
      <c r="P1694" s="37"/>
      <c r="Q1694" s="181"/>
      <c r="R1694" s="181"/>
      <c r="S1694" s="181"/>
      <c r="T1694" s="181"/>
      <c r="U1694" s="181"/>
      <c r="V1694" s="37"/>
      <c r="W1694" s="181"/>
      <c r="X1694" s="38"/>
      <c r="Y1694" s="38"/>
      <c r="Z1694" s="38"/>
      <c r="AA1694" s="38"/>
      <c r="AB1694" s="248"/>
      <c r="AC1694" s="250"/>
      <c r="AD1694" s="181"/>
      <c r="AE1694" s="37"/>
      <c r="AF1694" s="37"/>
      <c r="AG1694" s="33"/>
      <c r="AH1694" s="37"/>
      <c r="AI1694" s="37"/>
      <c r="AJ1694" s="181"/>
      <c r="AK1694" s="37"/>
      <c r="AL1694" s="37"/>
      <c r="AM1694" s="181"/>
      <c r="AN1694" s="37"/>
      <c r="AO1694" s="37"/>
      <c r="AP1694" s="37"/>
      <c r="AQ1694" s="37"/>
      <c r="AR1694" s="37"/>
      <c r="AS1694" s="37"/>
      <c r="AT1694" s="37"/>
      <c r="AU1694" s="37"/>
      <c r="AV1694" s="37"/>
      <c r="AW1694" s="37"/>
      <c r="AX1694" s="37"/>
      <c r="AY1694" s="37"/>
      <c r="AZ1694" s="37"/>
    </row>
    <row r="1695" spans="1:52" ht="15.5" customHeight="1">
      <c r="A1695" s="360"/>
      <c r="B1695" s="340"/>
      <c r="C1695" s="181"/>
      <c r="D1695" s="30"/>
      <c r="E1695" s="30"/>
      <c r="F1695" s="30"/>
      <c r="G1695" s="37"/>
      <c r="H1695" s="37"/>
      <c r="I1695" s="37"/>
      <c r="J1695" s="37" t="s">
        <v>69</v>
      </c>
      <c r="K1695" s="325" t="s">
        <v>69</v>
      </c>
      <c r="L1695" s="181"/>
      <c r="M1695" s="181"/>
      <c r="N1695" s="37"/>
      <c r="O1695" s="31"/>
      <c r="P1695" s="37"/>
      <c r="Q1695" s="181"/>
      <c r="R1695" s="181"/>
      <c r="S1695" s="181"/>
      <c r="T1695" s="181"/>
      <c r="U1695" s="181"/>
      <c r="V1695" s="37"/>
      <c r="W1695" s="181"/>
      <c r="X1695" s="38"/>
      <c r="Y1695" s="38"/>
      <c r="Z1695" s="38"/>
      <c r="AA1695" s="38"/>
      <c r="AB1695" s="248"/>
      <c r="AC1695" s="250"/>
      <c r="AD1695" s="181"/>
      <c r="AE1695" s="37"/>
      <c r="AF1695" s="37"/>
      <c r="AG1695" s="33"/>
      <c r="AH1695" s="37"/>
      <c r="AI1695" s="37"/>
      <c r="AJ1695" s="181"/>
      <c r="AK1695" s="37"/>
      <c r="AL1695" s="37"/>
      <c r="AM1695" s="181"/>
      <c r="AN1695" s="37"/>
      <c r="AO1695" s="37"/>
      <c r="AP1695" s="37"/>
      <c r="AQ1695" s="37"/>
      <c r="AR1695" s="37"/>
      <c r="AS1695" s="37"/>
      <c r="AT1695" s="37"/>
      <c r="AU1695" s="37"/>
      <c r="AV1695" s="37"/>
      <c r="AW1695" s="37"/>
      <c r="AX1695" s="37"/>
      <c r="AY1695" s="37"/>
      <c r="AZ1695" s="37"/>
    </row>
    <row r="1696" spans="1:52" ht="15.5" customHeight="1">
      <c r="A1696" s="360"/>
      <c r="B1696" s="340"/>
      <c r="C1696" s="181"/>
      <c r="D1696" s="30"/>
      <c r="E1696" s="30"/>
      <c r="F1696" s="30"/>
      <c r="G1696" s="37"/>
      <c r="H1696" s="37"/>
      <c r="I1696" s="37"/>
      <c r="J1696" s="37" t="s">
        <v>69</v>
      </c>
      <c r="K1696" s="325" t="s">
        <v>69</v>
      </c>
      <c r="L1696" s="181"/>
      <c r="M1696" s="181"/>
      <c r="N1696" s="37"/>
      <c r="O1696" s="31"/>
      <c r="P1696" s="37"/>
      <c r="Q1696" s="181"/>
      <c r="R1696" s="181"/>
      <c r="S1696" s="181"/>
      <c r="T1696" s="181"/>
      <c r="U1696" s="181"/>
      <c r="V1696" s="37"/>
      <c r="W1696" s="181"/>
      <c r="X1696" s="38"/>
      <c r="Y1696" s="38"/>
      <c r="Z1696" s="38"/>
      <c r="AA1696" s="38"/>
      <c r="AB1696" s="248"/>
      <c r="AC1696" s="250"/>
      <c r="AD1696" s="181"/>
      <c r="AE1696" s="37"/>
      <c r="AF1696" s="37"/>
      <c r="AG1696" s="33"/>
      <c r="AH1696" s="37"/>
      <c r="AI1696" s="37"/>
      <c r="AJ1696" s="181"/>
      <c r="AK1696" s="37"/>
      <c r="AL1696" s="37"/>
      <c r="AM1696" s="181"/>
      <c r="AN1696" s="37"/>
      <c r="AO1696" s="37"/>
      <c r="AP1696" s="37"/>
      <c r="AQ1696" s="37"/>
      <c r="AR1696" s="37"/>
      <c r="AS1696" s="37"/>
      <c r="AT1696" s="37"/>
      <c r="AU1696" s="37"/>
      <c r="AV1696" s="37"/>
      <c r="AW1696" s="37"/>
      <c r="AX1696" s="37"/>
      <c r="AY1696" s="37"/>
      <c r="AZ1696" s="37"/>
    </row>
    <row r="1697" spans="1:52" ht="15.5" customHeight="1">
      <c r="A1697" s="360"/>
      <c r="B1697" s="340"/>
      <c r="C1697" s="181"/>
      <c r="D1697" s="30"/>
      <c r="E1697" s="30"/>
      <c r="F1697" s="30"/>
      <c r="G1697" s="37"/>
      <c r="H1697" s="37"/>
      <c r="I1697" s="37"/>
      <c r="J1697" s="37" t="s">
        <v>69</v>
      </c>
      <c r="K1697" s="325" t="s">
        <v>69</v>
      </c>
      <c r="L1697" s="181"/>
      <c r="M1697" s="181"/>
      <c r="N1697" s="37"/>
      <c r="O1697" s="31"/>
      <c r="P1697" s="37"/>
      <c r="Q1697" s="181"/>
      <c r="R1697" s="181"/>
      <c r="S1697" s="181"/>
      <c r="T1697" s="181"/>
      <c r="U1697" s="181"/>
      <c r="V1697" s="37"/>
      <c r="W1697" s="181"/>
      <c r="X1697" s="38"/>
      <c r="Y1697" s="38"/>
      <c r="Z1697" s="38"/>
      <c r="AA1697" s="38"/>
      <c r="AB1697" s="248"/>
      <c r="AC1697" s="250"/>
      <c r="AD1697" s="181"/>
      <c r="AE1697" s="37"/>
      <c r="AF1697" s="37"/>
      <c r="AG1697" s="33"/>
      <c r="AH1697" s="37"/>
      <c r="AI1697" s="37"/>
      <c r="AJ1697" s="181"/>
      <c r="AK1697" s="37"/>
      <c r="AL1697" s="37"/>
      <c r="AM1697" s="181"/>
      <c r="AN1697" s="37"/>
      <c r="AO1697" s="37"/>
      <c r="AP1697" s="37"/>
      <c r="AQ1697" s="37"/>
      <c r="AR1697" s="37"/>
      <c r="AS1697" s="37"/>
      <c r="AT1697" s="37"/>
      <c r="AU1697" s="37"/>
      <c r="AV1697" s="37"/>
      <c r="AW1697" s="37"/>
      <c r="AX1697" s="37"/>
      <c r="AY1697" s="37"/>
      <c r="AZ1697" s="37"/>
    </row>
    <row r="1698" spans="1:52" ht="15.5" customHeight="1">
      <c r="A1698" s="360"/>
      <c r="B1698" s="340"/>
      <c r="C1698" s="181"/>
      <c r="D1698" s="30"/>
      <c r="E1698" s="30"/>
      <c r="F1698" s="30"/>
      <c r="G1698" s="37"/>
      <c r="H1698" s="37"/>
      <c r="I1698" s="37"/>
      <c r="J1698" s="37" t="s">
        <v>69</v>
      </c>
      <c r="K1698" s="325" t="s">
        <v>69</v>
      </c>
      <c r="L1698" s="181"/>
      <c r="M1698" s="181"/>
      <c r="N1698" s="37"/>
      <c r="O1698" s="31"/>
      <c r="P1698" s="37"/>
      <c r="Q1698" s="181"/>
      <c r="R1698" s="181"/>
      <c r="S1698" s="181"/>
      <c r="T1698" s="181"/>
      <c r="U1698" s="181"/>
      <c r="V1698" s="37"/>
      <c r="W1698" s="181"/>
      <c r="X1698" s="38"/>
      <c r="Y1698" s="38"/>
      <c r="Z1698" s="38"/>
      <c r="AA1698" s="38"/>
      <c r="AB1698" s="248"/>
      <c r="AC1698" s="250"/>
      <c r="AD1698" s="181"/>
      <c r="AE1698" s="37"/>
      <c r="AF1698" s="37"/>
      <c r="AG1698" s="33"/>
      <c r="AH1698" s="37"/>
      <c r="AI1698" s="37"/>
      <c r="AJ1698" s="181"/>
      <c r="AK1698" s="37"/>
      <c r="AL1698" s="37"/>
      <c r="AM1698" s="181"/>
      <c r="AN1698" s="37"/>
      <c r="AO1698" s="37"/>
      <c r="AP1698" s="37"/>
      <c r="AQ1698" s="37"/>
      <c r="AR1698" s="37"/>
      <c r="AS1698" s="37"/>
      <c r="AT1698" s="37"/>
      <c r="AU1698" s="37"/>
      <c r="AV1698" s="37"/>
      <c r="AW1698" s="37"/>
      <c r="AX1698" s="37"/>
      <c r="AY1698" s="37"/>
      <c r="AZ1698" s="37"/>
    </row>
    <row r="1699" spans="1:52" ht="15.5" customHeight="1">
      <c r="A1699" s="360"/>
      <c r="B1699" s="340"/>
      <c r="C1699" s="181"/>
      <c r="D1699" s="30"/>
      <c r="E1699" s="30"/>
      <c r="F1699" s="30"/>
      <c r="G1699" s="37"/>
      <c r="H1699" s="37"/>
      <c r="I1699" s="37"/>
      <c r="J1699" s="37" t="s">
        <v>69</v>
      </c>
      <c r="K1699" s="325" t="s">
        <v>69</v>
      </c>
      <c r="L1699" s="181"/>
      <c r="M1699" s="181"/>
      <c r="N1699" s="37"/>
      <c r="O1699" s="31"/>
      <c r="P1699" s="37"/>
      <c r="Q1699" s="181"/>
      <c r="R1699" s="181"/>
      <c r="S1699" s="181"/>
      <c r="T1699" s="181"/>
      <c r="U1699" s="181"/>
      <c r="V1699" s="37"/>
      <c r="W1699" s="181"/>
      <c r="X1699" s="38"/>
      <c r="Y1699" s="38"/>
      <c r="Z1699" s="38"/>
      <c r="AA1699" s="38"/>
      <c r="AB1699" s="248"/>
      <c r="AC1699" s="250"/>
      <c r="AD1699" s="181"/>
      <c r="AE1699" s="37"/>
      <c r="AF1699" s="37"/>
      <c r="AG1699" s="33"/>
      <c r="AH1699" s="37"/>
      <c r="AI1699" s="37"/>
      <c r="AJ1699" s="181"/>
      <c r="AK1699" s="37"/>
      <c r="AL1699" s="37"/>
      <c r="AM1699" s="181"/>
      <c r="AN1699" s="37"/>
      <c r="AO1699" s="37"/>
      <c r="AP1699" s="37"/>
      <c r="AQ1699" s="37"/>
      <c r="AR1699" s="37"/>
      <c r="AS1699" s="37"/>
      <c r="AT1699" s="37"/>
      <c r="AU1699" s="37"/>
      <c r="AV1699" s="37"/>
      <c r="AW1699" s="37"/>
      <c r="AX1699" s="37"/>
      <c r="AY1699" s="37"/>
      <c r="AZ1699" s="37"/>
    </row>
    <row r="1700" spans="1:52" ht="15.5" customHeight="1">
      <c r="A1700" s="360"/>
      <c r="B1700" s="340"/>
      <c r="C1700" s="181"/>
      <c r="D1700" s="30"/>
      <c r="E1700" s="30"/>
      <c r="F1700" s="30"/>
      <c r="G1700" s="37"/>
      <c r="H1700" s="37"/>
      <c r="I1700" s="37"/>
      <c r="J1700" s="37" t="s">
        <v>69</v>
      </c>
      <c r="K1700" s="325" t="s">
        <v>69</v>
      </c>
      <c r="L1700" s="181"/>
      <c r="M1700" s="181"/>
      <c r="N1700" s="37"/>
      <c r="O1700" s="31"/>
      <c r="P1700" s="37"/>
      <c r="Q1700" s="181"/>
      <c r="R1700" s="181"/>
      <c r="S1700" s="181"/>
      <c r="T1700" s="181"/>
      <c r="U1700" s="181"/>
      <c r="V1700" s="37"/>
      <c r="W1700" s="181"/>
      <c r="X1700" s="38"/>
      <c r="Y1700" s="38"/>
      <c r="Z1700" s="38"/>
      <c r="AA1700" s="38"/>
      <c r="AB1700" s="248"/>
      <c r="AC1700" s="250"/>
      <c r="AD1700" s="181"/>
      <c r="AE1700" s="37"/>
      <c r="AF1700" s="37"/>
      <c r="AG1700" s="33"/>
      <c r="AH1700" s="37"/>
      <c r="AI1700" s="37"/>
      <c r="AJ1700" s="181"/>
      <c r="AK1700" s="37"/>
      <c r="AL1700" s="37"/>
      <c r="AM1700" s="181"/>
      <c r="AN1700" s="37"/>
      <c r="AO1700" s="37"/>
      <c r="AP1700" s="37"/>
      <c r="AQ1700" s="37"/>
      <c r="AR1700" s="37"/>
      <c r="AS1700" s="37"/>
      <c r="AT1700" s="37"/>
      <c r="AU1700" s="37"/>
      <c r="AV1700" s="37"/>
      <c r="AW1700" s="37"/>
      <c r="AX1700" s="37"/>
      <c r="AY1700" s="37"/>
      <c r="AZ1700" s="37"/>
    </row>
    <row r="1701" spans="1:52" ht="15.5" customHeight="1">
      <c r="A1701" s="360"/>
      <c r="B1701" s="340"/>
      <c r="C1701" s="181"/>
      <c r="D1701" s="30"/>
      <c r="E1701" s="30"/>
      <c r="F1701" s="30"/>
      <c r="G1701" s="37"/>
      <c r="H1701" s="37"/>
      <c r="I1701" s="37"/>
      <c r="J1701" s="37" t="s">
        <v>69</v>
      </c>
      <c r="K1701" s="325" t="s">
        <v>69</v>
      </c>
      <c r="L1701" s="181"/>
      <c r="M1701" s="181"/>
      <c r="N1701" s="37"/>
      <c r="O1701" s="31"/>
      <c r="P1701" s="37"/>
      <c r="Q1701" s="181"/>
      <c r="R1701" s="181"/>
      <c r="S1701" s="181"/>
      <c r="T1701" s="181"/>
      <c r="U1701" s="181"/>
      <c r="V1701" s="37"/>
      <c r="W1701" s="181"/>
      <c r="X1701" s="38"/>
      <c r="Y1701" s="38"/>
      <c r="Z1701" s="38"/>
      <c r="AA1701" s="38"/>
      <c r="AB1701" s="248"/>
      <c r="AC1701" s="250"/>
      <c r="AD1701" s="181"/>
      <c r="AE1701" s="37"/>
      <c r="AF1701" s="37"/>
      <c r="AG1701" s="33"/>
      <c r="AH1701" s="37"/>
      <c r="AI1701" s="37"/>
      <c r="AJ1701" s="181"/>
      <c r="AK1701" s="37"/>
      <c r="AL1701" s="37"/>
      <c r="AM1701" s="181"/>
      <c r="AN1701" s="37"/>
      <c r="AO1701" s="37"/>
      <c r="AP1701" s="37"/>
      <c r="AQ1701" s="37"/>
      <c r="AR1701" s="37"/>
      <c r="AS1701" s="37"/>
      <c r="AT1701" s="37"/>
      <c r="AU1701" s="37"/>
      <c r="AV1701" s="37"/>
      <c r="AW1701" s="37"/>
      <c r="AX1701" s="37"/>
      <c r="AY1701" s="37"/>
      <c r="AZ1701" s="37"/>
    </row>
    <row r="1702" spans="1:52" ht="15.5" customHeight="1">
      <c r="A1702" s="360"/>
      <c r="B1702" s="340"/>
      <c r="C1702" s="181"/>
      <c r="D1702" s="30"/>
      <c r="E1702" s="30"/>
      <c r="F1702" s="30"/>
      <c r="G1702" s="37"/>
      <c r="H1702" s="37"/>
      <c r="I1702" s="37"/>
      <c r="J1702" s="37" t="s">
        <v>69</v>
      </c>
      <c r="K1702" s="325" t="s">
        <v>69</v>
      </c>
      <c r="L1702" s="181"/>
      <c r="M1702" s="181"/>
      <c r="N1702" s="37"/>
      <c r="O1702" s="31"/>
      <c r="P1702" s="37"/>
      <c r="Q1702" s="181"/>
      <c r="R1702" s="181"/>
      <c r="S1702" s="181"/>
      <c r="T1702" s="181"/>
      <c r="U1702" s="181"/>
      <c r="V1702" s="37"/>
      <c r="W1702" s="181"/>
      <c r="X1702" s="38"/>
      <c r="Y1702" s="38"/>
      <c r="Z1702" s="38"/>
      <c r="AA1702" s="38"/>
      <c r="AB1702" s="248"/>
      <c r="AC1702" s="250"/>
      <c r="AD1702" s="181"/>
      <c r="AE1702" s="37"/>
      <c r="AF1702" s="37"/>
      <c r="AG1702" s="33"/>
      <c r="AH1702" s="37"/>
      <c r="AI1702" s="37"/>
      <c r="AJ1702" s="181"/>
      <c r="AK1702" s="37"/>
      <c r="AL1702" s="37"/>
      <c r="AM1702" s="181"/>
      <c r="AN1702" s="37"/>
      <c r="AO1702" s="37"/>
      <c r="AP1702" s="37"/>
      <c r="AQ1702" s="37"/>
      <c r="AR1702" s="37"/>
      <c r="AS1702" s="37"/>
      <c r="AT1702" s="37"/>
      <c r="AU1702" s="37"/>
      <c r="AV1702" s="37"/>
      <c r="AW1702" s="37"/>
      <c r="AX1702" s="37"/>
      <c r="AY1702" s="37"/>
      <c r="AZ1702" s="37"/>
    </row>
    <row r="1703" spans="1:52" ht="15.5" customHeight="1">
      <c r="A1703" s="360"/>
      <c r="B1703" s="340"/>
      <c r="C1703" s="181"/>
      <c r="D1703" s="30"/>
      <c r="E1703" s="30"/>
      <c r="F1703" s="30"/>
      <c r="G1703" s="37"/>
      <c r="H1703" s="37"/>
      <c r="I1703" s="37"/>
      <c r="J1703" s="37" t="s">
        <v>69</v>
      </c>
      <c r="K1703" s="325" t="s">
        <v>69</v>
      </c>
      <c r="L1703" s="181"/>
      <c r="M1703" s="181"/>
      <c r="N1703" s="37"/>
      <c r="O1703" s="31"/>
      <c r="P1703" s="37"/>
      <c r="Q1703" s="181"/>
      <c r="R1703" s="181"/>
      <c r="S1703" s="181"/>
      <c r="T1703" s="181"/>
      <c r="U1703" s="181"/>
      <c r="V1703" s="37"/>
      <c r="W1703" s="181"/>
      <c r="X1703" s="38"/>
      <c r="Y1703" s="38"/>
      <c r="Z1703" s="38"/>
      <c r="AA1703" s="38"/>
      <c r="AB1703" s="248"/>
      <c r="AC1703" s="250"/>
      <c r="AD1703" s="181"/>
      <c r="AE1703" s="37"/>
      <c r="AF1703" s="37"/>
      <c r="AG1703" s="33"/>
      <c r="AH1703" s="37"/>
      <c r="AI1703" s="37"/>
      <c r="AJ1703" s="181"/>
      <c r="AK1703" s="37"/>
      <c r="AL1703" s="37"/>
      <c r="AM1703" s="181"/>
      <c r="AN1703" s="37"/>
      <c r="AO1703" s="37"/>
      <c r="AP1703" s="37"/>
      <c r="AQ1703" s="37"/>
      <c r="AR1703" s="37"/>
      <c r="AS1703" s="37"/>
      <c r="AT1703" s="37"/>
      <c r="AU1703" s="37"/>
      <c r="AV1703" s="37"/>
      <c r="AW1703" s="37"/>
      <c r="AX1703" s="37"/>
      <c r="AY1703" s="37"/>
      <c r="AZ1703" s="37"/>
    </row>
    <row r="1704" spans="1:52" ht="15.5" customHeight="1">
      <c r="A1704" s="360"/>
      <c r="B1704" s="340"/>
      <c r="C1704" s="181"/>
      <c r="D1704" s="30"/>
      <c r="E1704" s="30"/>
      <c r="F1704" s="30"/>
      <c r="G1704" s="37"/>
      <c r="H1704" s="37"/>
      <c r="I1704" s="37"/>
      <c r="J1704" s="37" t="s">
        <v>69</v>
      </c>
      <c r="K1704" s="325" t="s">
        <v>69</v>
      </c>
      <c r="L1704" s="181"/>
      <c r="M1704" s="181"/>
      <c r="N1704" s="37"/>
      <c r="O1704" s="31"/>
      <c r="P1704" s="37"/>
      <c r="Q1704" s="181"/>
      <c r="R1704" s="181"/>
      <c r="S1704" s="181"/>
      <c r="T1704" s="181"/>
      <c r="U1704" s="181"/>
      <c r="V1704" s="37"/>
      <c r="W1704" s="181"/>
      <c r="X1704" s="38"/>
      <c r="Y1704" s="38"/>
      <c r="Z1704" s="38"/>
      <c r="AA1704" s="38"/>
      <c r="AB1704" s="248"/>
      <c r="AC1704" s="250"/>
      <c r="AD1704" s="181"/>
      <c r="AE1704" s="37"/>
      <c r="AF1704" s="37"/>
      <c r="AG1704" s="33"/>
      <c r="AH1704" s="37"/>
      <c r="AI1704" s="37"/>
      <c r="AJ1704" s="181"/>
      <c r="AK1704" s="37"/>
      <c r="AL1704" s="37"/>
      <c r="AM1704" s="181"/>
      <c r="AN1704" s="37"/>
      <c r="AO1704" s="37"/>
      <c r="AP1704" s="37"/>
      <c r="AQ1704" s="37"/>
      <c r="AR1704" s="37"/>
      <c r="AS1704" s="37"/>
      <c r="AT1704" s="37"/>
      <c r="AU1704" s="37"/>
      <c r="AV1704" s="37"/>
      <c r="AW1704" s="37"/>
      <c r="AX1704" s="37"/>
      <c r="AY1704" s="37"/>
      <c r="AZ1704" s="37"/>
    </row>
    <row r="1705" spans="1:52" ht="15.5" customHeight="1">
      <c r="A1705" s="360"/>
      <c r="B1705" s="340"/>
      <c r="C1705" s="181"/>
      <c r="D1705" s="30"/>
      <c r="E1705" s="30"/>
      <c r="F1705" s="30"/>
      <c r="G1705" s="37"/>
      <c r="H1705" s="37"/>
      <c r="I1705" s="37"/>
      <c r="J1705" s="37" t="s">
        <v>69</v>
      </c>
      <c r="K1705" s="325" t="s">
        <v>69</v>
      </c>
      <c r="L1705" s="181"/>
      <c r="M1705" s="181"/>
      <c r="N1705" s="37"/>
      <c r="O1705" s="31"/>
      <c r="P1705" s="37"/>
      <c r="Q1705" s="181"/>
      <c r="R1705" s="181"/>
      <c r="S1705" s="181"/>
      <c r="T1705" s="181"/>
      <c r="U1705" s="181"/>
      <c r="V1705" s="37"/>
      <c r="W1705" s="181"/>
      <c r="X1705" s="38"/>
      <c r="Y1705" s="38"/>
      <c r="Z1705" s="38"/>
      <c r="AA1705" s="38"/>
      <c r="AB1705" s="248"/>
      <c r="AC1705" s="250"/>
      <c r="AD1705" s="181"/>
      <c r="AE1705" s="37"/>
      <c r="AF1705" s="37"/>
      <c r="AG1705" s="33"/>
      <c r="AH1705" s="37"/>
      <c r="AI1705" s="37"/>
      <c r="AJ1705" s="181"/>
      <c r="AK1705" s="37"/>
      <c r="AL1705" s="37"/>
      <c r="AM1705" s="181"/>
      <c r="AN1705" s="37"/>
      <c r="AO1705" s="37"/>
      <c r="AP1705" s="37"/>
      <c r="AQ1705" s="37"/>
      <c r="AR1705" s="37"/>
      <c r="AS1705" s="37"/>
      <c r="AT1705" s="37"/>
      <c r="AU1705" s="37"/>
      <c r="AV1705" s="37"/>
      <c r="AW1705" s="37"/>
      <c r="AX1705" s="37"/>
      <c r="AY1705" s="37"/>
      <c r="AZ1705" s="37"/>
    </row>
    <row r="1706" spans="1:52" ht="15.5" customHeight="1">
      <c r="A1706" s="360"/>
      <c r="B1706" s="340"/>
      <c r="C1706" s="181"/>
      <c r="D1706" s="30"/>
      <c r="E1706" s="30"/>
      <c r="F1706" s="30"/>
      <c r="G1706" s="37"/>
      <c r="H1706" s="37"/>
      <c r="I1706" s="37"/>
      <c r="J1706" s="37" t="s">
        <v>69</v>
      </c>
      <c r="K1706" s="325" t="s">
        <v>69</v>
      </c>
      <c r="L1706" s="181"/>
      <c r="M1706" s="181"/>
      <c r="N1706" s="37"/>
      <c r="O1706" s="31"/>
      <c r="P1706" s="37"/>
      <c r="Q1706" s="181"/>
      <c r="R1706" s="181"/>
      <c r="S1706" s="181"/>
      <c r="T1706" s="181"/>
      <c r="U1706" s="181"/>
      <c r="V1706" s="37"/>
      <c r="W1706" s="181"/>
      <c r="X1706" s="38"/>
      <c r="Y1706" s="38"/>
      <c r="Z1706" s="38"/>
      <c r="AA1706" s="38"/>
      <c r="AB1706" s="248"/>
      <c r="AC1706" s="250"/>
      <c r="AD1706" s="181"/>
      <c r="AE1706" s="37"/>
      <c r="AF1706" s="37"/>
      <c r="AG1706" s="33"/>
      <c r="AH1706" s="37"/>
      <c r="AI1706" s="37"/>
      <c r="AJ1706" s="181"/>
      <c r="AK1706" s="37"/>
      <c r="AL1706" s="37"/>
      <c r="AM1706" s="181"/>
      <c r="AN1706" s="37"/>
      <c r="AO1706" s="37"/>
      <c r="AP1706" s="37"/>
      <c r="AQ1706" s="37"/>
      <c r="AR1706" s="37"/>
      <c r="AS1706" s="37"/>
      <c r="AT1706" s="37"/>
      <c r="AU1706" s="37"/>
      <c r="AV1706" s="37"/>
      <c r="AW1706" s="37"/>
      <c r="AX1706" s="37"/>
      <c r="AY1706" s="37"/>
      <c r="AZ1706" s="37"/>
    </row>
    <row r="1707" spans="1:52" ht="15.5" customHeight="1">
      <c r="A1707" s="360"/>
      <c r="B1707" s="340"/>
      <c r="C1707" s="181"/>
      <c r="D1707" s="30"/>
      <c r="E1707" s="30"/>
      <c r="F1707" s="30"/>
      <c r="G1707" s="37"/>
      <c r="H1707" s="37"/>
      <c r="I1707" s="37"/>
      <c r="J1707" s="37" t="s">
        <v>69</v>
      </c>
      <c r="K1707" s="325" t="s">
        <v>69</v>
      </c>
      <c r="L1707" s="181"/>
      <c r="M1707" s="181"/>
      <c r="N1707" s="37"/>
      <c r="O1707" s="31"/>
      <c r="P1707" s="37"/>
      <c r="Q1707" s="181"/>
      <c r="R1707" s="181"/>
      <c r="S1707" s="181"/>
      <c r="T1707" s="181"/>
      <c r="U1707" s="181"/>
      <c r="V1707" s="37"/>
      <c r="W1707" s="181"/>
      <c r="X1707" s="38"/>
      <c r="Y1707" s="38"/>
      <c r="Z1707" s="38"/>
      <c r="AA1707" s="38"/>
      <c r="AB1707" s="248"/>
      <c r="AC1707" s="250"/>
      <c r="AD1707" s="181"/>
      <c r="AE1707" s="37"/>
      <c r="AF1707" s="37"/>
      <c r="AG1707" s="33"/>
      <c r="AH1707" s="37"/>
      <c r="AI1707" s="37"/>
      <c r="AJ1707" s="181"/>
      <c r="AK1707" s="37"/>
      <c r="AL1707" s="37"/>
      <c r="AM1707" s="181"/>
      <c r="AN1707" s="37"/>
      <c r="AO1707" s="37"/>
      <c r="AP1707" s="37"/>
      <c r="AQ1707" s="37"/>
      <c r="AR1707" s="37"/>
      <c r="AS1707" s="37"/>
      <c r="AT1707" s="37"/>
      <c r="AU1707" s="37"/>
      <c r="AV1707" s="37"/>
      <c r="AW1707" s="37"/>
      <c r="AX1707" s="37"/>
      <c r="AY1707" s="37"/>
      <c r="AZ1707" s="37"/>
    </row>
    <row r="1708" spans="1:52" ht="15.5" customHeight="1">
      <c r="A1708" s="360"/>
      <c r="B1708" s="340"/>
      <c r="C1708" s="181"/>
      <c r="D1708" s="30"/>
      <c r="E1708" s="30"/>
      <c r="F1708" s="30"/>
      <c r="G1708" s="37"/>
      <c r="H1708" s="37"/>
      <c r="I1708" s="37"/>
      <c r="J1708" s="37" t="s">
        <v>69</v>
      </c>
      <c r="K1708" s="325" t="s">
        <v>69</v>
      </c>
      <c r="L1708" s="181"/>
      <c r="M1708" s="181"/>
      <c r="N1708" s="37"/>
      <c r="O1708" s="31"/>
      <c r="P1708" s="37"/>
      <c r="Q1708" s="181"/>
      <c r="R1708" s="181"/>
      <c r="S1708" s="181"/>
      <c r="T1708" s="181"/>
      <c r="U1708" s="181"/>
      <c r="V1708" s="37"/>
      <c r="W1708" s="181"/>
      <c r="X1708" s="38"/>
      <c r="Y1708" s="38"/>
      <c r="Z1708" s="38"/>
      <c r="AA1708" s="38"/>
      <c r="AB1708" s="248"/>
      <c r="AC1708" s="250"/>
      <c r="AD1708" s="181"/>
      <c r="AE1708" s="37"/>
      <c r="AF1708" s="37"/>
      <c r="AG1708" s="33"/>
      <c r="AH1708" s="37"/>
      <c r="AI1708" s="37"/>
      <c r="AJ1708" s="181"/>
      <c r="AK1708" s="37"/>
      <c r="AL1708" s="37"/>
      <c r="AM1708" s="181"/>
      <c r="AN1708" s="37"/>
      <c r="AO1708" s="37"/>
      <c r="AP1708" s="37"/>
      <c r="AQ1708" s="37"/>
      <c r="AR1708" s="37"/>
      <c r="AS1708" s="37"/>
      <c r="AT1708" s="37"/>
      <c r="AU1708" s="37"/>
      <c r="AV1708" s="37"/>
      <c r="AW1708" s="37"/>
      <c r="AX1708" s="37"/>
      <c r="AY1708" s="37"/>
      <c r="AZ1708" s="37"/>
    </row>
    <row r="1709" spans="1:52" ht="15.5" customHeight="1">
      <c r="A1709" s="360"/>
      <c r="B1709" s="340"/>
      <c r="C1709" s="181"/>
      <c r="D1709" s="30"/>
      <c r="E1709" s="30"/>
      <c r="F1709" s="30"/>
      <c r="G1709" s="37"/>
      <c r="H1709" s="37"/>
      <c r="I1709" s="37"/>
      <c r="J1709" s="37" t="s">
        <v>69</v>
      </c>
      <c r="K1709" s="325" t="s">
        <v>69</v>
      </c>
      <c r="L1709" s="181"/>
      <c r="M1709" s="181"/>
      <c r="N1709" s="37"/>
      <c r="O1709" s="31"/>
      <c r="P1709" s="37"/>
      <c r="Q1709" s="181"/>
      <c r="R1709" s="181"/>
      <c r="S1709" s="181"/>
      <c r="T1709" s="181"/>
      <c r="U1709" s="181"/>
      <c r="V1709" s="37"/>
      <c r="W1709" s="181"/>
      <c r="X1709" s="38"/>
      <c r="Y1709" s="38"/>
      <c r="Z1709" s="38"/>
      <c r="AA1709" s="38"/>
      <c r="AB1709" s="248"/>
      <c r="AC1709" s="250"/>
      <c r="AD1709" s="181"/>
      <c r="AE1709" s="37"/>
      <c r="AF1709" s="37"/>
      <c r="AG1709" s="33"/>
      <c r="AH1709" s="37"/>
      <c r="AI1709" s="37"/>
      <c r="AJ1709" s="181"/>
      <c r="AK1709" s="37"/>
      <c r="AL1709" s="37"/>
      <c r="AM1709" s="181"/>
      <c r="AN1709" s="37"/>
      <c r="AO1709" s="37"/>
      <c r="AP1709" s="37"/>
      <c r="AQ1709" s="37"/>
      <c r="AR1709" s="37"/>
      <c r="AS1709" s="37"/>
      <c r="AT1709" s="37"/>
      <c r="AU1709" s="37"/>
      <c r="AV1709" s="37"/>
      <c r="AW1709" s="37"/>
      <c r="AX1709" s="37"/>
      <c r="AY1709" s="37"/>
      <c r="AZ1709" s="37"/>
    </row>
    <row r="1710" spans="1:52" ht="15.5" customHeight="1">
      <c r="A1710" s="360"/>
      <c r="B1710" s="340"/>
      <c r="C1710" s="181"/>
      <c r="D1710" s="30"/>
      <c r="E1710" s="30"/>
      <c r="F1710" s="30"/>
      <c r="G1710" s="37"/>
      <c r="H1710" s="37"/>
      <c r="I1710" s="37"/>
      <c r="J1710" s="37" t="s">
        <v>69</v>
      </c>
      <c r="K1710" s="325" t="s">
        <v>69</v>
      </c>
      <c r="L1710" s="181"/>
      <c r="M1710" s="181"/>
      <c r="N1710" s="37"/>
      <c r="O1710" s="31"/>
      <c r="P1710" s="37"/>
      <c r="Q1710" s="181"/>
      <c r="R1710" s="181"/>
      <c r="S1710" s="181"/>
      <c r="T1710" s="181"/>
      <c r="U1710" s="181"/>
      <c r="V1710" s="37"/>
      <c r="W1710" s="181"/>
      <c r="X1710" s="38"/>
      <c r="Y1710" s="38"/>
      <c r="Z1710" s="38"/>
      <c r="AA1710" s="38"/>
      <c r="AB1710" s="248"/>
      <c r="AC1710" s="250"/>
      <c r="AD1710" s="181"/>
      <c r="AE1710" s="37"/>
      <c r="AF1710" s="37"/>
      <c r="AG1710" s="33"/>
      <c r="AH1710" s="37"/>
      <c r="AI1710" s="37"/>
      <c r="AJ1710" s="181"/>
      <c r="AK1710" s="37"/>
      <c r="AL1710" s="37"/>
      <c r="AM1710" s="181"/>
      <c r="AN1710" s="37"/>
      <c r="AO1710" s="37"/>
      <c r="AP1710" s="37"/>
      <c r="AQ1710" s="37"/>
      <c r="AR1710" s="37"/>
      <c r="AS1710" s="37"/>
      <c r="AT1710" s="37"/>
      <c r="AU1710" s="37"/>
      <c r="AV1710" s="37"/>
      <c r="AW1710" s="37"/>
      <c r="AX1710" s="37"/>
      <c r="AY1710" s="37"/>
      <c r="AZ1710" s="37"/>
    </row>
    <row r="1711" spans="1:52" ht="15.5" customHeight="1">
      <c r="A1711" s="360"/>
      <c r="B1711" s="340"/>
      <c r="C1711" s="181"/>
      <c r="D1711" s="30"/>
      <c r="E1711" s="30"/>
      <c r="F1711" s="30"/>
      <c r="G1711" s="37"/>
      <c r="H1711" s="37"/>
      <c r="I1711" s="37"/>
      <c r="J1711" s="37" t="s">
        <v>69</v>
      </c>
      <c r="K1711" s="325" t="s">
        <v>69</v>
      </c>
      <c r="L1711" s="181"/>
      <c r="M1711" s="181"/>
      <c r="N1711" s="37"/>
      <c r="O1711" s="31"/>
      <c r="P1711" s="37"/>
      <c r="Q1711" s="181"/>
      <c r="R1711" s="181"/>
      <c r="S1711" s="181"/>
      <c r="T1711" s="181"/>
      <c r="U1711" s="181"/>
      <c r="V1711" s="37"/>
      <c r="W1711" s="181"/>
      <c r="X1711" s="38"/>
      <c r="Y1711" s="38"/>
      <c r="Z1711" s="38"/>
      <c r="AA1711" s="38"/>
      <c r="AB1711" s="248"/>
      <c r="AC1711" s="250"/>
      <c r="AD1711" s="181"/>
      <c r="AE1711" s="37"/>
      <c r="AF1711" s="37"/>
      <c r="AG1711" s="33"/>
      <c r="AH1711" s="37"/>
      <c r="AI1711" s="37"/>
      <c r="AJ1711" s="181"/>
      <c r="AK1711" s="37"/>
      <c r="AL1711" s="37"/>
      <c r="AM1711" s="181"/>
      <c r="AN1711" s="37"/>
      <c r="AO1711" s="37"/>
      <c r="AP1711" s="37"/>
      <c r="AQ1711" s="37"/>
      <c r="AR1711" s="37"/>
      <c r="AS1711" s="37"/>
      <c r="AT1711" s="37"/>
      <c r="AU1711" s="37"/>
      <c r="AV1711" s="37"/>
      <c r="AW1711" s="37"/>
      <c r="AX1711" s="37"/>
      <c r="AY1711" s="37"/>
      <c r="AZ1711" s="37"/>
    </row>
    <row r="1712" spans="1:52" ht="15.5" customHeight="1">
      <c r="A1712" s="360"/>
      <c r="B1712" s="340"/>
      <c r="C1712" s="181"/>
      <c r="D1712" s="30"/>
      <c r="E1712" s="30"/>
      <c r="F1712" s="30"/>
      <c r="G1712" s="37"/>
      <c r="H1712" s="37"/>
      <c r="I1712" s="37"/>
      <c r="J1712" s="37" t="s">
        <v>69</v>
      </c>
      <c r="K1712" s="325" t="s">
        <v>69</v>
      </c>
      <c r="L1712" s="181"/>
      <c r="M1712" s="181"/>
      <c r="N1712" s="37"/>
      <c r="O1712" s="31"/>
      <c r="P1712" s="37"/>
      <c r="Q1712" s="181"/>
      <c r="R1712" s="181"/>
      <c r="S1712" s="181"/>
      <c r="T1712" s="181"/>
      <c r="U1712" s="181"/>
      <c r="V1712" s="37"/>
      <c r="W1712" s="181"/>
      <c r="X1712" s="38"/>
      <c r="Y1712" s="38"/>
      <c r="Z1712" s="38"/>
      <c r="AA1712" s="38"/>
      <c r="AB1712" s="248"/>
      <c r="AC1712" s="250"/>
      <c r="AD1712" s="181"/>
      <c r="AE1712" s="37"/>
      <c r="AF1712" s="37"/>
      <c r="AG1712" s="33"/>
      <c r="AH1712" s="37"/>
      <c r="AI1712" s="37"/>
      <c r="AJ1712" s="181"/>
      <c r="AK1712" s="37"/>
      <c r="AL1712" s="37"/>
      <c r="AM1712" s="181"/>
      <c r="AN1712" s="37"/>
      <c r="AO1712" s="37"/>
      <c r="AP1712" s="37"/>
      <c r="AQ1712" s="37"/>
      <c r="AR1712" s="37"/>
      <c r="AS1712" s="37"/>
      <c r="AT1712" s="37"/>
      <c r="AU1712" s="37"/>
      <c r="AV1712" s="37"/>
      <c r="AW1712" s="37"/>
      <c r="AX1712" s="37"/>
      <c r="AY1712" s="37"/>
      <c r="AZ1712" s="37"/>
    </row>
    <row r="1713" spans="1:52" ht="15.5" customHeight="1">
      <c r="A1713" s="360"/>
      <c r="B1713" s="340"/>
      <c r="C1713" s="181"/>
      <c r="D1713" s="30"/>
      <c r="E1713" s="30"/>
      <c r="F1713" s="30"/>
      <c r="G1713" s="37"/>
      <c r="H1713" s="37"/>
      <c r="I1713" s="37"/>
      <c r="J1713" s="37" t="s">
        <v>69</v>
      </c>
      <c r="K1713" s="325" t="s">
        <v>69</v>
      </c>
      <c r="L1713" s="181"/>
      <c r="M1713" s="181"/>
      <c r="N1713" s="37"/>
      <c r="O1713" s="31"/>
      <c r="P1713" s="37"/>
      <c r="Q1713" s="181"/>
      <c r="R1713" s="181"/>
      <c r="S1713" s="181"/>
      <c r="T1713" s="181"/>
      <c r="U1713" s="181"/>
      <c r="V1713" s="37"/>
      <c r="W1713" s="181"/>
      <c r="X1713" s="38"/>
      <c r="Y1713" s="38"/>
      <c r="Z1713" s="38"/>
      <c r="AA1713" s="38"/>
      <c r="AB1713" s="248"/>
      <c r="AC1713" s="250"/>
      <c r="AD1713" s="181"/>
      <c r="AE1713" s="37"/>
      <c r="AF1713" s="37"/>
      <c r="AG1713" s="33"/>
      <c r="AH1713" s="37"/>
      <c r="AI1713" s="37"/>
      <c r="AJ1713" s="181"/>
      <c r="AK1713" s="37"/>
      <c r="AL1713" s="37"/>
      <c r="AM1713" s="181"/>
      <c r="AN1713" s="37"/>
      <c r="AO1713" s="37"/>
      <c r="AP1713" s="37"/>
      <c r="AQ1713" s="37"/>
      <c r="AR1713" s="37"/>
      <c r="AS1713" s="37"/>
      <c r="AT1713" s="37"/>
      <c r="AU1713" s="37"/>
      <c r="AV1713" s="37"/>
      <c r="AW1713" s="37"/>
      <c r="AX1713" s="37"/>
      <c r="AY1713" s="37"/>
      <c r="AZ1713" s="37"/>
    </row>
    <row r="1714" spans="1:52" ht="15.5" customHeight="1">
      <c r="A1714" s="360"/>
      <c r="B1714" s="340"/>
      <c r="C1714" s="181"/>
      <c r="D1714" s="30"/>
      <c r="E1714" s="30"/>
      <c r="F1714" s="30"/>
      <c r="G1714" s="37"/>
      <c r="H1714" s="37"/>
      <c r="I1714" s="37"/>
      <c r="J1714" s="37" t="s">
        <v>69</v>
      </c>
      <c r="K1714" s="325" t="s">
        <v>69</v>
      </c>
      <c r="L1714" s="181"/>
      <c r="M1714" s="181"/>
      <c r="N1714" s="37"/>
      <c r="O1714" s="31"/>
      <c r="P1714" s="37"/>
      <c r="Q1714" s="181"/>
      <c r="R1714" s="181"/>
      <c r="S1714" s="181"/>
      <c r="T1714" s="181"/>
      <c r="U1714" s="181"/>
      <c r="V1714" s="37"/>
      <c r="W1714" s="181"/>
      <c r="X1714" s="38"/>
      <c r="Y1714" s="38"/>
      <c r="Z1714" s="38"/>
      <c r="AA1714" s="38"/>
      <c r="AB1714" s="248"/>
      <c r="AC1714" s="250"/>
      <c r="AD1714" s="181"/>
      <c r="AE1714" s="37"/>
      <c r="AF1714" s="37"/>
      <c r="AG1714" s="33"/>
      <c r="AH1714" s="37"/>
      <c r="AI1714" s="37"/>
      <c r="AJ1714" s="181"/>
      <c r="AK1714" s="37"/>
      <c r="AL1714" s="37"/>
      <c r="AM1714" s="181"/>
      <c r="AN1714" s="37"/>
      <c r="AO1714" s="37"/>
      <c r="AP1714" s="37"/>
      <c r="AQ1714" s="37"/>
      <c r="AR1714" s="37"/>
      <c r="AS1714" s="37"/>
      <c r="AT1714" s="37"/>
      <c r="AU1714" s="37"/>
      <c r="AV1714" s="37"/>
      <c r="AW1714" s="37"/>
      <c r="AX1714" s="37"/>
      <c r="AY1714" s="37"/>
      <c r="AZ1714" s="37"/>
    </row>
    <row r="1715" spans="1:52" ht="15.5" customHeight="1">
      <c r="A1715" s="360"/>
      <c r="B1715" s="340"/>
      <c r="C1715" s="181"/>
      <c r="D1715" s="30"/>
      <c r="E1715" s="30"/>
      <c r="F1715" s="30"/>
      <c r="G1715" s="37"/>
      <c r="H1715" s="37"/>
      <c r="I1715" s="37"/>
      <c r="J1715" s="37" t="s">
        <v>69</v>
      </c>
      <c r="K1715" s="325" t="s">
        <v>69</v>
      </c>
      <c r="L1715" s="181"/>
      <c r="M1715" s="181"/>
      <c r="N1715" s="37"/>
      <c r="O1715" s="31"/>
      <c r="P1715" s="37"/>
      <c r="Q1715" s="181"/>
      <c r="R1715" s="181"/>
      <c r="S1715" s="181"/>
      <c r="T1715" s="181"/>
      <c r="U1715" s="181"/>
      <c r="V1715" s="37"/>
      <c r="W1715" s="181"/>
      <c r="X1715" s="38"/>
      <c r="Y1715" s="38"/>
      <c r="Z1715" s="38"/>
      <c r="AA1715" s="38"/>
      <c r="AB1715" s="248"/>
      <c r="AC1715" s="250"/>
      <c r="AD1715" s="181"/>
      <c r="AE1715" s="37"/>
      <c r="AF1715" s="37"/>
      <c r="AG1715" s="33"/>
      <c r="AH1715" s="37"/>
      <c r="AI1715" s="37"/>
      <c r="AJ1715" s="181"/>
      <c r="AK1715" s="37"/>
      <c r="AL1715" s="37"/>
      <c r="AM1715" s="181"/>
      <c r="AN1715" s="37"/>
      <c r="AO1715" s="37"/>
      <c r="AP1715" s="37"/>
      <c r="AQ1715" s="37"/>
      <c r="AR1715" s="37"/>
      <c r="AS1715" s="37"/>
      <c r="AT1715" s="37"/>
      <c r="AU1715" s="37"/>
      <c r="AV1715" s="37"/>
      <c r="AW1715" s="37"/>
      <c r="AX1715" s="37"/>
      <c r="AY1715" s="37"/>
      <c r="AZ1715" s="37"/>
    </row>
    <row r="1716" spans="1:52" ht="15.5" customHeight="1">
      <c r="A1716" s="360"/>
      <c r="B1716" s="340"/>
      <c r="C1716" s="181"/>
      <c r="D1716" s="30"/>
      <c r="E1716" s="30"/>
      <c r="F1716" s="30"/>
      <c r="G1716" s="37"/>
      <c r="H1716" s="37"/>
      <c r="I1716" s="37"/>
      <c r="J1716" s="37" t="s">
        <v>69</v>
      </c>
      <c r="K1716" s="325" t="s">
        <v>69</v>
      </c>
      <c r="L1716" s="181"/>
      <c r="M1716" s="181"/>
      <c r="N1716" s="37"/>
      <c r="O1716" s="31"/>
      <c r="P1716" s="37"/>
      <c r="Q1716" s="181"/>
      <c r="R1716" s="181"/>
      <c r="S1716" s="181"/>
      <c r="T1716" s="181"/>
      <c r="U1716" s="181"/>
      <c r="V1716" s="37"/>
      <c r="W1716" s="181"/>
      <c r="X1716" s="38"/>
      <c r="Y1716" s="38"/>
      <c r="Z1716" s="38"/>
      <c r="AA1716" s="38"/>
      <c r="AB1716" s="248"/>
      <c r="AC1716" s="250"/>
      <c r="AD1716" s="181"/>
      <c r="AE1716" s="37"/>
      <c r="AF1716" s="37"/>
      <c r="AG1716" s="33"/>
      <c r="AH1716" s="37"/>
      <c r="AI1716" s="37"/>
      <c r="AJ1716" s="181"/>
      <c r="AK1716" s="37"/>
      <c r="AL1716" s="37"/>
      <c r="AM1716" s="181"/>
      <c r="AN1716" s="37"/>
      <c r="AO1716" s="37"/>
      <c r="AP1716" s="37"/>
      <c r="AQ1716" s="37"/>
      <c r="AR1716" s="37"/>
      <c r="AS1716" s="37"/>
      <c r="AT1716" s="37"/>
      <c r="AU1716" s="37"/>
      <c r="AV1716" s="37"/>
      <c r="AW1716" s="37"/>
      <c r="AX1716" s="37"/>
      <c r="AY1716" s="37"/>
      <c r="AZ1716" s="37"/>
    </row>
    <row r="1717" spans="1:52" ht="15.5" customHeight="1">
      <c r="A1717" s="360"/>
      <c r="B1717" s="340"/>
      <c r="C1717" s="181"/>
      <c r="D1717" s="30"/>
      <c r="E1717" s="30"/>
      <c r="F1717" s="30"/>
      <c r="G1717" s="37"/>
      <c r="H1717" s="37"/>
      <c r="I1717" s="37"/>
      <c r="J1717" s="37" t="s">
        <v>69</v>
      </c>
      <c r="K1717" s="325" t="s">
        <v>69</v>
      </c>
      <c r="L1717" s="181"/>
      <c r="M1717" s="181"/>
      <c r="N1717" s="37"/>
      <c r="O1717" s="31"/>
      <c r="P1717" s="37"/>
      <c r="Q1717" s="181"/>
      <c r="R1717" s="181"/>
      <c r="S1717" s="181"/>
      <c r="T1717" s="181"/>
      <c r="U1717" s="181"/>
      <c r="V1717" s="37"/>
      <c r="W1717" s="181"/>
      <c r="X1717" s="38"/>
      <c r="Y1717" s="38"/>
      <c r="Z1717" s="38"/>
      <c r="AA1717" s="38"/>
      <c r="AB1717" s="248"/>
      <c r="AC1717" s="250"/>
      <c r="AD1717" s="181"/>
      <c r="AE1717" s="37"/>
      <c r="AF1717" s="37"/>
      <c r="AG1717" s="33"/>
      <c r="AH1717" s="37"/>
      <c r="AI1717" s="37"/>
      <c r="AJ1717" s="181"/>
      <c r="AK1717" s="37"/>
      <c r="AL1717" s="37"/>
      <c r="AM1717" s="181"/>
      <c r="AN1717" s="37"/>
      <c r="AO1717" s="37"/>
      <c r="AP1717" s="37"/>
      <c r="AQ1717" s="37"/>
      <c r="AR1717" s="37"/>
      <c r="AS1717" s="37"/>
      <c r="AT1717" s="37"/>
      <c r="AU1717" s="37"/>
      <c r="AV1717" s="37"/>
      <c r="AW1717" s="37"/>
      <c r="AX1717" s="37"/>
      <c r="AY1717" s="37"/>
      <c r="AZ1717" s="37"/>
    </row>
    <row r="1718" spans="1:52" ht="15.5" customHeight="1">
      <c r="A1718" s="360"/>
      <c r="B1718" s="340"/>
      <c r="C1718" s="181"/>
      <c r="D1718" s="30"/>
      <c r="E1718" s="30"/>
      <c r="F1718" s="30"/>
      <c r="G1718" s="37"/>
      <c r="H1718" s="37"/>
      <c r="I1718" s="37"/>
      <c r="J1718" s="37" t="s">
        <v>69</v>
      </c>
      <c r="K1718" s="325" t="s">
        <v>69</v>
      </c>
      <c r="L1718" s="181"/>
      <c r="M1718" s="181"/>
      <c r="N1718" s="37"/>
      <c r="O1718" s="31"/>
      <c r="P1718" s="37"/>
      <c r="Q1718" s="181"/>
      <c r="R1718" s="181"/>
      <c r="S1718" s="181"/>
      <c r="T1718" s="181"/>
      <c r="U1718" s="181"/>
      <c r="V1718" s="37"/>
      <c r="W1718" s="181"/>
      <c r="X1718" s="38"/>
      <c r="Y1718" s="38"/>
      <c r="Z1718" s="38"/>
      <c r="AA1718" s="38"/>
      <c r="AB1718" s="248"/>
      <c r="AC1718" s="250"/>
      <c r="AD1718" s="181"/>
      <c r="AE1718" s="37"/>
      <c r="AF1718" s="37"/>
      <c r="AG1718" s="33"/>
      <c r="AH1718" s="37"/>
      <c r="AI1718" s="37"/>
      <c r="AJ1718" s="181"/>
      <c r="AK1718" s="37"/>
      <c r="AL1718" s="37"/>
      <c r="AM1718" s="181"/>
      <c r="AN1718" s="37"/>
      <c r="AO1718" s="37"/>
      <c r="AP1718" s="37"/>
      <c r="AQ1718" s="37"/>
      <c r="AR1718" s="37"/>
      <c r="AS1718" s="37"/>
      <c r="AT1718" s="37"/>
      <c r="AU1718" s="37"/>
      <c r="AV1718" s="37"/>
      <c r="AW1718" s="37"/>
      <c r="AX1718" s="37"/>
      <c r="AY1718" s="37"/>
      <c r="AZ1718" s="37"/>
    </row>
    <row r="1719" spans="1:52" ht="15.5" customHeight="1">
      <c r="A1719" s="360"/>
      <c r="B1719" s="340"/>
      <c r="C1719" s="181"/>
      <c r="D1719" s="30"/>
      <c r="E1719" s="30"/>
      <c r="F1719" s="30"/>
      <c r="G1719" s="37"/>
      <c r="H1719" s="37"/>
      <c r="I1719" s="37"/>
      <c r="J1719" s="37" t="s">
        <v>69</v>
      </c>
      <c r="K1719" s="325" t="s">
        <v>69</v>
      </c>
      <c r="L1719" s="181"/>
      <c r="M1719" s="181"/>
      <c r="N1719" s="37"/>
      <c r="O1719" s="31"/>
      <c r="P1719" s="37"/>
      <c r="Q1719" s="181"/>
      <c r="R1719" s="181"/>
      <c r="S1719" s="181"/>
      <c r="T1719" s="181"/>
      <c r="U1719" s="181"/>
      <c r="V1719" s="37"/>
      <c r="W1719" s="181"/>
      <c r="X1719" s="38"/>
      <c r="Y1719" s="38"/>
      <c r="Z1719" s="38"/>
      <c r="AA1719" s="38"/>
      <c r="AB1719" s="248"/>
      <c r="AC1719" s="250"/>
      <c r="AD1719" s="181"/>
      <c r="AE1719" s="37"/>
      <c r="AF1719" s="37"/>
      <c r="AG1719" s="33"/>
      <c r="AH1719" s="37"/>
      <c r="AI1719" s="37"/>
      <c r="AJ1719" s="181"/>
      <c r="AK1719" s="37"/>
      <c r="AL1719" s="37"/>
      <c r="AM1719" s="181"/>
      <c r="AN1719" s="37"/>
      <c r="AO1719" s="37"/>
      <c r="AP1719" s="37"/>
      <c r="AQ1719" s="37"/>
      <c r="AR1719" s="37"/>
      <c r="AS1719" s="37"/>
      <c r="AT1719" s="37"/>
      <c r="AU1719" s="37"/>
      <c r="AV1719" s="37"/>
      <c r="AW1719" s="37"/>
      <c r="AX1719" s="37"/>
      <c r="AY1719" s="37"/>
      <c r="AZ1719" s="37"/>
    </row>
    <row r="1720" spans="1:52" ht="15.5" customHeight="1">
      <c r="A1720" s="360"/>
      <c r="B1720" s="340"/>
      <c r="C1720" s="181"/>
      <c r="D1720" s="30"/>
      <c r="E1720" s="30"/>
      <c r="F1720" s="30"/>
      <c r="G1720" s="37"/>
      <c r="H1720" s="37"/>
      <c r="I1720" s="37"/>
      <c r="J1720" s="37" t="s">
        <v>69</v>
      </c>
      <c r="K1720" s="325" t="s">
        <v>69</v>
      </c>
      <c r="L1720" s="181"/>
      <c r="M1720" s="181"/>
      <c r="N1720" s="37"/>
      <c r="O1720" s="31"/>
      <c r="P1720" s="37"/>
      <c r="Q1720" s="181"/>
      <c r="R1720" s="181"/>
      <c r="S1720" s="181"/>
      <c r="T1720" s="181"/>
      <c r="U1720" s="181"/>
      <c r="V1720" s="37"/>
      <c r="W1720" s="181"/>
      <c r="X1720" s="38"/>
      <c r="Y1720" s="38"/>
      <c r="Z1720" s="38"/>
      <c r="AA1720" s="38"/>
      <c r="AB1720" s="248"/>
      <c r="AC1720" s="250"/>
      <c r="AD1720" s="181"/>
      <c r="AE1720" s="37"/>
      <c r="AF1720" s="37"/>
      <c r="AG1720" s="33"/>
      <c r="AH1720" s="37"/>
      <c r="AI1720" s="37"/>
      <c r="AJ1720" s="181"/>
      <c r="AK1720" s="37"/>
      <c r="AL1720" s="37"/>
      <c r="AM1720" s="181"/>
      <c r="AN1720" s="37"/>
      <c r="AO1720" s="37"/>
      <c r="AP1720" s="37"/>
      <c r="AQ1720" s="37"/>
      <c r="AR1720" s="37"/>
      <c r="AS1720" s="37"/>
      <c r="AT1720" s="37"/>
      <c r="AU1720" s="37"/>
      <c r="AV1720" s="37"/>
      <c r="AW1720" s="37"/>
      <c r="AX1720" s="37"/>
      <c r="AY1720" s="37"/>
      <c r="AZ1720" s="37"/>
    </row>
    <row r="1721" spans="1:52" ht="15.5" customHeight="1">
      <c r="A1721" s="360"/>
      <c r="B1721" s="340"/>
      <c r="C1721" s="181"/>
      <c r="D1721" s="30"/>
      <c r="E1721" s="30"/>
      <c r="F1721" s="30"/>
      <c r="G1721" s="37"/>
      <c r="H1721" s="37"/>
      <c r="I1721" s="37"/>
      <c r="J1721" s="37" t="s">
        <v>69</v>
      </c>
      <c r="K1721" s="325" t="s">
        <v>69</v>
      </c>
      <c r="L1721" s="181"/>
      <c r="M1721" s="181"/>
      <c r="N1721" s="37"/>
      <c r="O1721" s="31"/>
      <c r="P1721" s="37"/>
      <c r="Q1721" s="181"/>
      <c r="R1721" s="181"/>
      <c r="S1721" s="181"/>
      <c r="T1721" s="181"/>
      <c r="U1721" s="181"/>
      <c r="V1721" s="37"/>
      <c r="W1721" s="181"/>
      <c r="X1721" s="38"/>
      <c r="Y1721" s="38"/>
      <c r="Z1721" s="38"/>
      <c r="AA1721" s="38"/>
      <c r="AB1721" s="248"/>
      <c r="AC1721" s="250"/>
      <c r="AD1721" s="181"/>
      <c r="AE1721" s="37"/>
      <c r="AF1721" s="37"/>
      <c r="AG1721" s="33"/>
      <c r="AH1721" s="37"/>
      <c r="AI1721" s="37"/>
      <c r="AJ1721" s="181"/>
      <c r="AK1721" s="37"/>
      <c r="AL1721" s="37"/>
      <c r="AM1721" s="181"/>
      <c r="AN1721" s="37"/>
      <c r="AO1721" s="37"/>
      <c r="AP1721" s="37"/>
      <c r="AQ1721" s="37"/>
      <c r="AR1721" s="37"/>
      <c r="AS1721" s="37"/>
      <c r="AT1721" s="37"/>
      <c r="AU1721" s="37"/>
      <c r="AV1721" s="37"/>
      <c r="AW1721" s="37"/>
      <c r="AX1721" s="37"/>
      <c r="AY1721" s="37"/>
      <c r="AZ1721" s="37"/>
    </row>
    <row r="1722" spans="1:52" ht="15.5" customHeight="1">
      <c r="A1722" s="360"/>
      <c r="B1722" s="340"/>
      <c r="C1722" s="181"/>
      <c r="D1722" s="30"/>
      <c r="E1722" s="30"/>
      <c r="F1722" s="30"/>
      <c r="G1722" s="37"/>
      <c r="H1722" s="37"/>
      <c r="I1722" s="37"/>
      <c r="J1722" s="37" t="s">
        <v>69</v>
      </c>
      <c r="K1722" s="325" t="s">
        <v>69</v>
      </c>
      <c r="L1722" s="181"/>
      <c r="M1722" s="181"/>
      <c r="N1722" s="37"/>
      <c r="O1722" s="31"/>
      <c r="P1722" s="37"/>
      <c r="Q1722" s="181"/>
      <c r="R1722" s="181"/>
      <c r="S1722" s="181"/>
      <c r="T1722" s="181"/>
      <c r="U1722" s="181"/>
      <c r="V1722" s="37"/>
      <c r="W1722" s="181"/>
      <c r="X1722" s="38"/>
      <c r="Y1722" s="38"/>
      <c r="Z1722" s="38"/>
      <c r="AA1722" s="38"/>
      <c r="AB1722" s="248"/>
      <c r="AC1722" s="250"/>
      <c r="AD1722" s="181"/>
      <c r="AE1722" s="37"/>
      <c r="AF1722" s="37"/>
      <c r="AG1722" s="33"/>
      <c r="AH1722" s="37"/>
      <c r="AI1722" s="37"/>
      <c r="AJ1722" s="181"/>
      <c r="AK1722" s="37"/>
      <c r="AL1722" s="37"/>
      <c r="AM1722" s="181"/>
      <c r="AN1722" s="37"/>
      <c r="AO1722" s="37"/>
      <c r="AP1722" s="37"/>
      <c r="AQ1722" s="37"/>
      <c r="AR1722" s="37"/>
      <c r="AS1722" s="37"/>
      <c r="AT1722" s="37"/>
      <c r="AU1722" s="37"/>
      <c r="AV1722" s="37"/>
      <c r="AW1722" s="37"/>
      <c r="AX1722" s="37"/>
      <c r="AY1722" s="37"/>
      <c r="AZ1722" s="37"/>
    </row>
    <row r="1723" spans="1:52" ht="15.5" customHeight="1">
      <c r="A1723" s="360"/>
      <c r="B1723" s="340"/>
      <c r="C1723" s="181"/>
      <c r="D1723" s="30"/>
      <c r="E1723" s="30"/>
      <c r="F1723" s="30"/>
      <c r="G1723" s="37"/>
      <c r="H1723" s="37"/>
      <c r="I1723" s="37"/>
      <c r="J1723" s="37" t="s">
        <v>69</v>
      </c>
      <c r="K1723" s="325" t="s">
        <v>69</v>
      </c>
      <c r="L1723" s="181"/>
      <c r="M1723" s="181"/>
      <c r="N1723" s="37"/>
      <c r="O1723" s="31"/>
      <c r="P1723" s="37"/>
      <c r="Q1723" s="181"/>
      <c r="R1723" s="181"/>
      <c r="S1723" s="181"/>
      <c r="T1723" s="181"/>
      <c r="U1723" s="181"/>
      <c r="V1723" s="37"/>
      <c r="W1723" s="181"/>
      <c r="X1723" s="38"/>
      <c r="Y1723" s="38"/>
      <c r="Z1723" s="38"/>
      <c r="AA1723" s="38"/>
      <c r="AB1723" s="248"/>
      <c r="AC1723" s="250"/>
      <c r="AD1723" s="181"/>
      <c r="AE1723" s="37"/>
      <c r="AF1723" s="37"/>
      <c r="AG1723" s="33"/>
      <c r="AH1723" s="37"/>
      <c r="AI1723" s="37"/>
      <c r="AJ1723" s="181"/>
      <c r="AK1723" s="37"/>
      <c r="AL1723" s="37"/>
      <c r="AM1723" s="181"/>
      <c r="AN1723" s="37"/>
      <c r="AO1723" s="37"/>
      <c r="AP1723" s="37"/>
      <c r="AQ1723" s="37"/>
      <c r="AR1723" s="37"/>
      <c r="AS1723" s="37"/>
      <c r="AT1723" s="37"/>
      <c r="AU1723" s="37"/>
      <c r="AV1723" s="37"/>
      <c r="AW1723" s="37"/>
      <c r="AX1723" s="37"/>
      <c r="AY1723" s="37"/>
      <c r="AZ1723" s="37"/>
    </row>
    <row r="1724" spans="1:52" ht="15.5" customHeight="1">
      <c r="A1724" s="360"/>
      <c r="B1724" s="340"/>
      <c r="C1724" s="181"/>
      <c r="D1724" s="30"/>
      <c r="E1724" s="30"/>
      <c r="F1724" s="30"/>
      <c r="G1724" s="37"/>
      <c r="H1724" s="37"/>
      <c r="I1724" s="37"/>
      <c r="J1724" s="37" t="s">
        <v>69</v>
      </c>
      <c r="K1724" s="325" t="s">
        <v>69</v>
      </c>
      <c r="L1724" s="181"/>
      <c r="M1724" s="181"/>
      <c r="N1724" s="37"/>
      <c r="O1724" s="31"/>
      <c r="P1724" s="37"/>
      <c r="Q1724" s="181"/>
      <c r="R1724" s="181"/>
      <c r="S1724" s="181"/>
      <c r="T1724" s="181"/>
      <c r="U1724" s="181"/>
      <c r="V1724" s="37"/>
      <c r="W1724" s="181"/>
      <c r="X1724" s="38"/>
      <c r="Y1724" s="38"/>
      <c r="Z1724" s="38"/>
      <c r="AA1724" s="38"/>
      <c r="AB1724" s="248"/>
      <c r="AC1724" s="250"/>
      <c r="AD1724" s="181"/>
      <c r="AE1724" s="37"/>
      <c r="AF1724" s="37"/>
      <c r="AG1724" s="33"/>
      <c r="AH1724" s="37"/>
      <c r="AI1724" s="37"/>
      <c r="AJ1724" s="181"/>
      <c r="AK1724" s="37"/>
      <c r="AL1724" s="37"/>
      <c r="AM1724" s="181"/>
      <c r="AN1724" s="37"/>
      <c r="AO1724" s="37"/>
      <c r="AP1724" s="37"/>
      <c r="AQ1724" s="37"/>
      <c r="AR1724" s="37"/>
      <c r="AS1724" s="37"/>
      <c r="AT1724" s="37"/>
      <c r="AU1724" s="37"/>
      <c r="AV1724" s="37"/>
      <c r="AW1724" s="37"/>
      <c r="AX1724" s="37"/>
      <c r="AY1724" s="37"/>
      <c r="AZ1724" s="37"/>
    </row>
    <row r="1725" spans="1:52" ht="15.5" customHeight="1">
      <c r="A1725" s="360"/>
      <c r="B1725" s="340"/>
      <c r="C1725" s="181"/>
      <c r="D1725" s="30"/>
      <c r="E1725" s="30"/>
      <c r="F1725" s="30"/>
      <c r="G1725" s="37"/>
      <c r="H1725" s="37"/>
      <c r="I1725" s="37"/>
      <c r="J1725" s="37" t="s">
        <v>69</v>
      </c>
      <c r="K1725" s="325" t="s">
        <v>69</v>
      </c>
      <c r="L1725" s="181"/>
      <c r="M1725" s="181"/>
      <c r="N1725" s="37"/>
      <c r="O1725" s="31"/>
      <c r="P1725" s="37"/>
      <c r="Q1725" s="181"/>
      <c r="R1725" s="181"/>
      <c r="S1725" s="181"/>
      <c r="T1725" s="181"/>
      <c r="U1725" s="181"/>
      <c r="V1725" s="37"/>
      <c r="W1725" s="181"/>
      <c r="X1725" s="38"/>
      <c r="Y1725" s="38"/>
      <c r="Z1725" s="38"/>
      <c r="AA1725" s="38"/>
      <c r="AB1725" s="248"/>
      <c r="AC1725" s="250"/>
      <c r="AD1725" s="181"/>
      <c r="AE1725" s="37"/>
      <c r="AF1725" s="37"/>
      <c r="AG1725" s="33"/>
      <c r="AH1725" s="37"/>
      <c r="AI1725" s="37"/>
      <c r="AJ1725" s="181"/>
      <c r="AK1725" s="37"/>
      <c r="AL1725" s="37"/>
      <c r="AM1725" s="181"/>
      <c r="AN1725" s="37"/>
      <c r="AO1725" s="37"/>
      <c r="AP1725" s="37"/>
      <c r="AQ1725" s="37"/>
      <c r="AR1725" s="37"/>
      <c r="AS1725" s="37"/>
      <c r="AT1725" s="37"/>
      <c r="AU1725" s="37"/>
      <c r="AV1725" s="37"/>
      <c r="AW1725" s="37"/>
      <c r="AX1725" s="37"/>
      <c r="AY1725" s="37"/>
      <c r="AZ1725" s="37"/>
    </row>
    <row r="1726" spans="1:52" ht="15.5" customHeight="1">
      <c r="A1726" s="360"/>
      <c r="B1726" s="340"/>
      <c r="C1726" s="181"/>
      <c r="D1726" s="30"/>
      <c r="E1726" s="30"/>
      <c r="F1726" s="30"/>
      <c r="G1726" s="37"/>
      <c r="H1726" s="37"/>
      <c r="I1726" s="37"/>
      <c r="J1726" s="37" t="s">
        <v>69</v>
      </c>
      <c r="K1726" s="325" t="s">
        <v>69</v>
      </c>
      <c r="L1726" s="181"/>
      <c r="M1726" s="181"/>
      <c r="N1726" s="37"/>
      <c r="O1726" s="31"/>
      <c r="P1726" s="37"/>
      <c r="Q1726" s="181"/>
      <c r="R1726" s="181"/>
      <c r="S1726" s="181"/>
      <c r="T1726" s="181"/>
      <c r="U1726" s="181"/>
      <c r="V1726" s="37"/>
      <c r="W1726" s="181"/>
      <c r="X1726" s="38"/>
      <c r="Y1726" s="38"/>
      <c r="Z1726" s="38"/>
      <c r="AA1726" s="38"/>
      <c r="AB1726" s="248"/>
      <c r="AC1726" s="250"/>
      <c r="AD1726" s="181"/>
      <c r="AE1726" s="37"/>
      <c r="AF1726" s="37"/>
      <c r="AG1726" s="33"/>
      <c r="AH1726" s="37"/>
      <c r="AI1726" s="37"/>
      <c r="AJ1726" s="181"/>
      <c r="AK1726" s="37"/>
      <c r="AL1726" s="37"/>
      <c r="AM1726" s="181"/>
      <c r="AN1726" s="37"/>
      <c r="AO1726" s="37"/>
      <c r="AP1726" s="37"/>
      <c r="AQ1726" s="37"/>
      <c r="AR1726" s="37"/>
      <c r="AS1726" s="37"/>
      <c r="AT1726" s="37"/>
      <c r="AU1726" s="37"/>
      <c r="AV1726" s="37"/>
      <c r="AW1726" s="37"/>
      <c r="AX1726" s="37"/>
      <c r="AY1726" s="37"/>
      <c r="AZ1726" s="37"/>
    </row>
    <row r="1727" spans="1:52" ht="15.5" customHeight="1">
      <c r="A1727" s="360"/>
      <c r="B1727" s="340"/>
      <c r="C1727" s="181"/>
      <c r="D1727" s="30"/>
      <c r="E1727" s="30"/>
      <c r="F1727" s="30"/>
      <c r="G1727" s="37"/>
      <c r="H1727" s="37"/>
      <c r="I1727" s="37"/>
      <c r="J1727" s="37" t="s">
        <v>69</v>
      </c>
      <c r="K1727" s="325" t="s">
        <v>69</v>
      </c>
      <c r="L1727" s="181"/>
      <c r="M1727" s="181"/>
      <c r="N1727" s="37"/>
      <c r="O1727" s="31"/>
      <c r="P1727" s="37"/>
      <c r="Q1727" s="181"/>
      <c r="R1727" s="181"/>
      <c r="S1727" s="181"/>
      <c r="T1727" s="181"/>
      <c r="U1727" s="181"/>
      <c r="V1727" s="37"/>
      <c r="W1727" s="181"/>
      <c r="X1727" s="38"/>
      <c r="Y1727" s="38"/>
      <c r="Z1727" s="38"/>
      <c r="AA1727" s="38"/>
      <c r="AB1727" s="248"/>
      <c r="AC1727" s="250"/>
      <c r="AD1727" s="181"/>
      <c r="AE1727" s="37"/>
      <c r="AF1727" s="37"/>
      <c r="AG1727" s="33"/>
      <c r="AH1727" s="37"/>
      <c r="AI1727" s="37"/>
      <c r="AJ1727" s="181"/>
      <c r="AK1727" s="37"/>
      <c r="AL1727" s="37"/>
      <c r="AM1727" s="181"/>
      <c r="AN1727" s="37"/>
      <c r="AO1727" s="37"/>
      <c r="AP1727" s="37"/>
      <c r="AQ1727" s="37"/>
      <c r="AR1727" s="37"/>
      <c r="AS1727" s="37"/>
      <c r="AT1727" s="37"/>
      <c r="AU1727" s="37"/>
      <c r="AV1727" s="37"/>
      <c r="AW1727" s="37"/>
      <c r="AX1727" s="37"/>
      <c r="AY1727" s="37"/>
      <c r="AZ1727" s="37"/>
    </row>
    <row r="1728" spans="1:52" ht="15.5" customHeight="1">
      <c r="A1728" s="360"/>
      <c r="B1728" s="340"/>
      <c r="C1728" s="181"/>
      <c r="D1728" s="30"/>
      <c r="E1728" s="30"/>
      <c r="F1728" s="30"/>
      <c r="G1728" s="37"/>
      <c r="H1728" s="37"/>
      <c r="I1728" s="37"/>
      <c r="J1728" s="37" t="s">
        <v>69</v>
      </c>
      <c r="K1728" s="325" t="s">
        <v>69</v>
      </c>
      <c r="L1728" s="181"/>
      <c r="M1728" s="181"/>
      <c r="N1728" s="37"/>
      <c r="O1728" s="31"/>
      <c r="P1728" s="37"/>
      <c r="Q1728" s="181"/>
      <c r="R1728" s="181"/>
      <c r="S1728" s="181"/>
      <c r="T1728" s="181"/>
      <c r="U1728" s="181"/>
      <c r="V1728" s="37"/>
      <c r="W1728" s="181"/>
      <c r="X1728" s="38"/>
      <c r="Y1728" s="38"/>
      <c r="Z1728" s="38"/>
      <c r="AA1728" s="38"/>
      <c r="AB1728" s="248"/>
      <c r="AC1728" s="250"/>
      <c r="AD1728" s="181"/>
      <c r="AE1728" s="37"/>
      <c r="AF1728" s="37"/>
      <c r="AG1728" s="33"/>
      <c r="AH1728" s="37"/>
      <c r="AI1728" s="37"/>
      <c r="AJ1728" s="181"/>
      <c r="AK1728" s="37"/>
      <c r="AL1728" s="37"/>
      <c r="AM1728" s="181"/>
      <c r="AN1728" s="37"/>
      <c r="AO1728" s="37"/>
      <c r="AP1728" s="37"/>
      <c r="AQ1728" s="37"/>
      <c r="AR1728" s="37"/>
      <c r="AS1728" s="37"/>
      <c r="AT1728" s="37"/>
      <c r="AU1728" s="37"/>
      <c r="AV1728" s="37"/>
      <c r="AW1728" s="37"/>
      <c r="AX1728" s="37"/>
      <c r="AY1728" s="37"/>
      <c r="AZ1728" s="37"/>
    </row>
    <row r="1729" spans="1:52" ht="15.5" customHeight="1">
      <c r="A1729" s="360"/>
      <c r="B1729" s="340"/>
      <c r="C1729" s="181"/>
      <c r="D1729" s="30"/>
      <c r="E1729" s="30"/>
      <c r="F1729" s="30"/>
      <c r="G1729" s="37"/>
      <c r="H1729" s="37"/>
      <c r="I1729" s="37"/>
      <c r="J1729" s="37" t="s">
        <v>69</v>
      </c>
      <c r="K1729" s="325" t="s">
        <v>69</v>
      </c>
      <c r="L1729" s="181"/>
      <c r="M1729" s="181"/>
      <c r="N1729" s="37"/>
      <c r="O1729" s="31"/>
      <c r="P1729" s="37"/>
      <c r="Q1729" s="181"/>
      <c r="R1729" s="181"/>
      <c r="S1729" s="181"/>
      <c r="T1729" s="181"/>
      <c r="U1729" s="181"/>
      <c r="V1729" s="37"/>
      <c r="W1729" s="181"/>
      <c r="X1729" s="38"/>
      <c r="Y1729" s="38"/>
      <c r="Z1729" s="38"/>
      <c r="AA1729" s="38"/>
      <c r="AB1729" s="248"/>
      <c r="AC1729" s="250"/>
      <c r="AD1729" s="181"/>
      <c r="AE1729" s="37"/>
      <c r="AF1729" s="37"/>
      <c r="AG1729" s="33"/>
      <c r="AH1729" s="37"/>
      <c r="AI1729" s="37"/>
      <c r="AJ1729" s="181"/>
      <c r="AK1729" s="37"/>
      <c r="AL1729" s="37"/>
      <c r="AM1729" s="181"/>
      <c r="AN1729" s="37"/>
      <c r="AO1729" s="37"/>
      <c r="AP1729" s="37"/>
      <c r="AQ1729" s="37"/>
      <c r="AR1729" s="37"/>
      <c r="AS1729" s="37"/>
      <c r="AT1729" s="37"/>
      <c r="AU1729" s="37"/>
      <c r="AV1729" s="37"/>
      <c r="AW1729" s="37"/>
      <c r="AX1729" s="37"/>
      <c r="AY1729" s="37"/>
      <c r="AZ1729" s="37"/>
    </row>
    <row r="1730" spans="1:52" ht="15.5" customHeight="1">
      <c r="A1730" s="360"/>
      <c r="B1730" s="340"/>
      <c r="C1730" s="181"/>
      <c r="D1730" s="30"/>
      <c r="E1730" s="30"/>
      <c r="F1730" s="30"/>
      <c r="G1730" s="37"/>
      <c r="H1730" s="37"/>
      <c r="I1730" s="37"/>
      <c r="J1730" s="37" t="s">
        <v>69</v>
      </c>
      <c r="K1730" s="325" t="s">
        <v>69</v>
      </c>
      <c r="L1730" s="181"/>
      <c r="M1730" s="181"/>
      <c r="N1730" s="37"/>
      <c r="O1730" s="31"/>
      <c r="P1730" s="37"/>
      <c r="Q1730" s="181"/>
      <c r="R1730" s="181"/>
      <c r="S1730" s="181"/>
      <c r="T1730" s="181"/>
      <c r="U1730" s="181"/>
      <c r="V1730" s="37"/>
      <c r="W1730" s="181"/>
      <c r="X1730" s="38"/>
      <c r="Y1730" s="38"/>
      <c r="Z1730" s="38"/>
      <c r="AA1730" s="38"/>
      <c r="AB1730" s="248"/>
      <c r="AC1730" s="250"/>
      <c r="AD1730" s="181"/>
      <c r="AE1730" s="37"/>
      <c r="AF1730" s="37"/>
      <c r="AG1730" s="33"/>
      <c r="AH1730" s="37"/>
      <c r="AI1730" s="37"/>
      <c r="AJ1730" s="181"/>
      <c r="AK1730" s="37"/>
      <c r="AL1730" s="37"/>
      <c r="AM1730" s="181"/>
      <c r="AN1730" s="37"/>
      <c r="AO1730" s="37"/>
      <c r="AP1730" s="37"/>
      <c r="AQ1730" s="37"/>
      <c r="AR1730" s="37"/>
      <c r="AS1730" s="37"/>
      <c r="AT1730" s="37"/>
      <c r="AU1730" s="37"/>
      <c r="AV1730" s="37"/>
      <c r="AW1730" s="37"/>
      <c r="AX1730" s="37"/>
      <c r="AY1730" s="37"/>
      <c r="AZ1730" s="37"/>
    </row>
    <row r="1731" spans="1:52" ht="15.5" customHeight="1">
      <c r="A1731" s="360"/>
      <c r="B1731" s="340"/>
      <c r="C1731" s="181"/>
      <c r="D1731" s="30"/>
      <c r="E1731" s="30"/>
      <c r="F1731" s="30"/>
      <c r="G1731" s="37"/>
      <c r="H1731" s="37"/>
      <c r="I1731" s="37"/>
      <c r="J1731" s="37" t="s">
        <v>69</v>
      </c>
      <c r="K1731" s="325" t="s">
        <v>69</v>
      </c>
      <c r="L1731" s="181"/>
      <c r="M1731" s="181"/>
      <c r="N1731" s="37"/>
      <c r="O1731" s="31"/>
      <c r="P1731" s="37"/>
      <c r="Q1731" s="181"/>
      <c r="R1731" s="181"/>
      <c r="S1731" s="181"/>
      <c r="T1731" s="181"/>
      <c r="U1731" s="181"/>
      <c r="V1731" s="37"/>
      <c r="W1731" s="181"/>
      <c r="X1731" s="38"/>
      <c r="Y1731" s="38"/>
      <c r="Z1731" s="38"/>
      <c r="AA1731" s="38"/>
      <c r="AB1731" s="248"/>
      <c r="AC1731" s="250"/>
      <c r="AD1731" s="181"/>
      <c r="AE1731" s="37"/>
      <c r="AF1731" s="37"/>
      <c r="AG1731" s="33"/>
      <c r="AH1731" s="37"/>
      <c r="AI1731" s="37"/>
      <c r="AJ1731" s="181"/>
      <c r="AK1731" s="37"/>
      <c r="AL1731" s="37"/>
      <c r="AM1731" s="181"/>
      <c r="AN1731" s="37"/>
      <c r="AO1731" s="37"/>
      <c r="AP1731" s="37"/>
      <c r="AQ1731" s="37"/>
      <c r="AR1731" s="37"/>
      <c r="AS1731" s="37"/>
      <c r="AT1731" s="37"/>
      <c r="AU1731" s="37"/>
      <c r="AV1731" s="37"/>
      <c r="AW1731" s="37"/>
      <c r="AX1731" s="37"/>
      <c r="AY1731" s="37"/>
      <c r="AZ1731" s="37"/>
    </row>
    <row r="1732" spans="1:52" ht="15.5" customHeight="1">
      <c r="A1732" s="360"/>
      <c r="B1732" s="340"/>
      <c r="C1732" s="181"/>
      <c r="D1732" s="30"/>
      <c r="E1732" s="30"/>
      <c r="F1732" s="30"/>
      <c r="G1732" s="37"/>
      <c r="H1732" s="37"/>
      <c r="I1732" s="37"/>
      <c r="J1732" s="37" t="s">
        <v>69</v>
      </c>
      <c r="K1732" s="325" t="s">
        <v>69</v>
      </c>
      <c r="L1732" s="181"/>
      <c r="M1732" s="181"/>
      <c r="N1732" s="37"/>
      <c r="O1732" s="31"/>
      <c r="P1732" s="37"/>
      <c r="Q1732" s="181"/>
      <c r="R1732" s="181"/>
      <c r="S1732" s="181"/>
      <c r="T1732" s="181"/>
      <c r="U1732" s="181"/>
      <c r="V1732" s="37"/>
      <c r="W1732" s="181"/>
      <c r="X1732" s="38"/>
      <c r="Y1732" s="38"/>
      <c r="Z1732" s="38"/>
      <c r="AA1732" s="38"/>
      <c r="AB1732" s="248"/>
      <c r="AC1732" s="250"/>
      <c r="AD1732" s="181"/>
      <c r="AE1732" s="37"/>
      <c r="AF1732" s="37"/>
      <c r="AG1732" s="33"/>
      <c r="AH1732" s="37"/>
      <c r="AI1732" s="37"/>
      <c r="AJ1732" s="181"/>
      <c r="AK1732" s="37"/>
      <c r="AL1732" s="37"/>
      <c r="AM1732" s="181"/>
      <c r="AN1732" s="37"/>
      <c r="AO1732" s="37"/>
      <c r="AP1732" s="37"/>
      <c r="AQ1732" s="37"/>
      <c r="AR1732" s="37"/>
      <c r="AS1732" s="37"/>
      <c r="AT1732" s="37"/>
      <c r="AU1732" s="37"/>
      <c r="AV1732" s="37"/>
      <c r="AW1732" s="37"/>
      <c r="AX1732" s="37"/>
      <c r="AY1732" s="37"/>
      <c r="AZ1732" s="37"/>
    </row>
    <row r="1733" spans="1:52" ht="15.5" customHeight="1">
      <c r="A1733" s="360"/>
      <c r="B1733" s="340"/>
      <c r="C1733" s="181"/>
      <c r="D1733" s="30"/>
      <c r="E1733" s="30"/>
      <c r="F1733" s="30"/>
      <c r="G1733" s="37"/>
      <c r="H1733" s="37"/>
      <c r="I1733" s="37"/>
      <c r="J1733" s="37" t="s">
        <v>69</v>
      </c>
      <c r="K1733" s="325" t="s">
        <v>69</v>
      </c>
      <c r="L1733" s="181"/>
      <c r="M1733" s="181"/>
      <c r="N1733" s="37"/>
      <c r="O1733" s="31"/>
      <c r="P1733" s="37"/>
      <c r="Q1733" s="181"/>
      <c r="R1733" s="181"/>
      <c r="S1733" s="181"/>
      <c r="T1733" s="181"/>
      <c r="U1733" s="181"/>
      <c r="V1733" s="37"/>
      <c r="W1733" s="181"/>
      <c r="X1733" s="38"/>
      <c r="Y1733" s="38"/>
      <c r="Z1733" s="38"/>
      <c r="AA1733" s="38"/>
      <c r="AB1733" s="248"/>
      <c r="AC1733" s="250"/>
      <c r="AD1733" s="181"/>
      <c r="AE1733" s="37"/>
      <c r="AF1733" s="37"/>
      <c r="AG1733" s="33"/>
      <c r="AH1733" s="37"/>
      <c r="AI1733" s="37"/>
      <c r="AJ1733" s="181"/>
      <c r="AK1733" s="37"/>
      <c r="AL1733" s="37"/>
      <c r="AM1733" s="181"/>
      <c r="AN1733" s="37"/>
      <c r="AO1733" s="37"/>
      <c r="AP1733" s="37"/>
      <c r="AQ1733" s="37"/>
      <c r="AR1733" s="37"/>
      <c r="AS1733" s="37"/>
      <c r="AT1733" s="37"/>
      <c r="AU1733" s="37"/>
      <c r="AV1733" s="37"/>
      <c r="AW1733" s="37"/>
      <c r="AX1733" s="37"/>
      <c r="AY1733" s="37"/>
      <c r="AZ1733" s="37"/>
    </row>
    <row r="1734" spans="1:52" ht="15.5" customHeight="1">
      <c r="A1734" s="360"/>
      <c r="B1734" s="340"/>
      <c r="C1734" s="181"/>
      <c r="D1734" s="30"/>
      <c r="E1734" s="30"/>
      <c r="F1734" s="30"/>
      <c r="G1734" s="37"/>
      <c r="H1734" s="37"/>
      <c r="I1734" s="37"/>
      <c r="J1734" s="37" t="s">
        <v>69</v>
      </c>
      <c r="K1734" s="325" t="s">
        <v>69</v>
      </c>
      <c r="L1734" s="181"/>
      <c r="M1734" s="181"/>
      <c r="N1734" s="37"/>
      <c r="O1734" s="31"/>
      <c r="P1734" s="37"/>
      <c r="Q1734" s="181"/>
      <c r="R1734" s="181"/>
      <c r="S1734" s="181"/>
      <c r="T1734" s="181"/>
      <c r="U1734" s="181"/>
      <c r="V1734" s="37"/>
      <c r="W1734" s="181"/>
      <c r="X1734" s="38"/>
      <c r="Y1734" s="38"/>
      <c r="Z1734" s="38"/>
      <c r="AA1734" s="38"/>
      <c r="AB1734" s="248"/>
      <c r="AC1734" s="250"/>
      <c r="AD1734" s="181"/>
      <c r="AE1734" s="37"/>
      <c r="AF1734" s="37"/>
      <c r="AG1734" s="33"/>
      <c r="AH1734" s="37"/>
      <c r="AI1734" s="37"/>
      <c r="AJ1734" s="181"/>
      <c r="AK1734" s="37"/>
      <c r="AL1734" s="37"/>
      <c r="AM1734" s="181"/>
      <c r="AN1734" s="37"/>
      <c r="AO1734" s="37"/>
      <c r="AP1734" s="37"/>
      <c r="AQ1734" s="37"/>
      <c r="AR1734" s="37"/>
      <c r="AS1734" s="37"/>
      <c r="AT1734" s="37"/>
      <c r="AU1734" s="37"/>
      <c r="AV1734" s="37"/>
      <c r="AW1734" s="37"/>
      <c r="AX1734" s="37"/>
      <c r="AY1734" s="37"/>
      <c r="AZ1734" s="37"/>
    </row>
    <row r="1735" spans="1:52" ht="15.5" customHeight="1">
      <c r="A1735" s="360"/>
      <c r="B1735" s="340"/>
      <c r="C1735" s="181"/>
      <c r="D1735" s="30"/>
      <c r="E1735" s="30"/>
      <c r="F1735" s="30"/>
      <c r="G1735" s="37"/>
      <c r="H1735" s="37"/>
      <c r="I1735" s="37"/>
      <c r="J1735" s="37" t="s">
        <v>69</v>
      </c>
      <c r="K1735" s="325" t="s">
        <v>69</v>
      </c>
      <c r="L1735" s="181"/>
      <c r="M1735" s="181"/>
      <c r="N1735" s="37"/>
      <c r="O1735" s="31"/>
      <c r="P1735" s="37"/>
      <c r="Q1735" s="181"/>
      <c r="R1735" s="181"/>
      <c r="S1735" s="181"/>
      <c r="T1735" s="181"/>
      <c r="U1735" s="181"/>
      <c r="V1735" s="37"/>
      <c r="W1735" s="181"/>
      <c r="X1735" s="38"/>
      <c r="Y1735" s="38"/>
      <c r="Z1735" s="38"/>
      <c r="AA1735" s="38"/>
      <c r="AB1735" s="248"/>
      <c r="AC1735" s="250"/>
      <c r="AD1735" s="181"/>
      <c r="AE1735" s="37"/>
      <c r="AF1735" s="37"/>
      <c r="AG1735" s="33"/>
      <c r="AH1735" s="37"/>
      <c r="AI1735" s="37"/>
      <c r="AJ1735" s="181"/>
      <c r="AK1735" s="37"/>
      <c r="AL1735" s="37"/>
      <c r="AM1735" s="181"/>
      <c r="AN1735" s="37"/>
      <c r="AO1735" s="37"/>
      <c r="AP1735" s="37"/>
      <c r="AQ1735" s="37"/>
      <c r="AR1735" s="37"/>
      <c r="AS1735" s="37"/>
      <c r="AT1735" s="37"/>
      <c r="AU1735" s="37"/>
      <c r="AV1735" s="37"/>
      <c r="AW1735" s="37"/>
      <c r="AX1735" s="37"/>
      <c r="AY1735" s="37"/>
      <c r="AZ1735" s="37"/>
    </row>
    <row r="1736" spans="1:52" ht="15.5" customHeight="1">
      <c r="A1736" s="360"/>
      <c r="B1736" s="340"/>
      <c r="C1736" s="181"/>
      <c r="D1736" s="30"/>
      <c r="E1736" s="30"/>
      <c r="F1736" s="30"/>
      <c r="G1736" s="37"/>
      <c r="H1736" s="37"/>
      <c r="I1736" s="37"/>
      <c r="J1736" s="37" t="s">
        <v>69</v>
      </c>
      <c r="K1736" s="325" t="s">
        <v>69</v>
      </c>
      <c r="L1736" s="181"/>
      <c r="M1736" s="181"/>
      <c r="N1736" s="37"/>
      <c r="O1736" s="31"/>
      <c r="P1736" s="37"/>
      <c r="Q1736" s="181"/>
      <c r="R1736" s="181"/>
      <c r="S1736" s="181"/>
      <c r="T1736" s="181"/>
      <c r="U1736" s="181"/>
      <c r="V1736" s="37"/>
      <c r="W1736" s="181"/>
      <c r="X1736" s="38"/>
      <c r="Y1736" s="38"/>
      <c r="Z1736" s="38"/>
      <c r="AA1736" s="38"/>
      <c r="AB1736" s="248"/>
      <c r="AC1736" s="250"/>
      <c r="AD1736" s="181"/>
      <c r="AE1736" s="37"/>
      <c r="AF1736" s="37"/>
      <c r="AG1736" s="33"/>
      <c r="AH1736" s="37"/>
      <c r="AI1736" s="37"/>
      <c r="AJ1736" s="181"/>
      <c r="AK1736" s="37"/>
      <c r="AL1736" s="37"/>
      <c r="AM1736" s="181"/>
      <c r="AN1736" s="37"/>
      <c r="AO1736" s="37"/>
      <c r="AP1736" s="37"/>
      <c r="AQ1736" s="37"/>
      <c r="AR1736" s="37"/>
      <c r="AS1736" s="37"/>
      <c r="AT1736" s="37"/>
      <c r="AU1736" s="37"/>
      <c r="AV1736" s="37"/>
      <c r="AW1736" s="37"/>
      <c r="AX1736" s="37"/>
      <c r="AY1736" s="37"/>
      <c r="AZ1736" s="37"/>
    </row>
    <row r="1737" spans="1:52" ht="15.5" customHeight="1">
      <c r="A1737" s="360"/>
      <c r="B1737" s="340"/>
      <c r="C1737" s="181"/>
      <c r="D1737" s="30"/>
      <c r="E1737" s="30"/>
      <c r="F1737" s="30"/>
      <c r="G1737" s="37"/>
      <c r="H1737" s="37"/>
      <c r="I1737" s="37"/>
      <c r="J1737" s="37" t="s">
        <v>69</v>
      </c>
      <c r="K1737" s="325" t="s">
        <v>69</v>
      </c>
      <c r="L1737" s="181"/>
      <c r="M1737" s="181"/>
      <c r="N1737" s="37"/>
      <c r="O1737" s="31"/>
      <c r="P1737" s="37"/>
      <c r="Q1737" s="181"/>
      <c r="R1737" s="181"/>
      <c r="S1737" s="181"/>
      <c r="T1737" s="181"/>
      <c r="U1737" s="181"/>
      <c r="V1737" s="37"/>
      <c r="W1737" s="181"/>
      <c r="X1737" s="38"/>
      <c r="Y1737" s="38"/>
      <c r="Z1737" s="38"/>
      <c r="AA1737" s="38"/>
      <c r="AB1737" s="248"/>
      <c r="AC1737" s="250"/>
      <c r="AD1737" s="181"/>
      <c r="AE1737" s="37"/>
      <c r="AF1737" s="37"/>
      <c r="AG1737" s="33"/>
      <c r="AH1737" s="37"/>
      <c r="AI1737" s="37"/>
      <c r="AJ1737" s="181"/>
      <c r="AK1737" s="37"/>
      <c r="AL1737" s="37"/>
      <c r="AM1737" s="181"/>
      <c r="AN1737" s="37"/>
      <c r="AO1737" s="37"/>
      <c r="AP1737" s="37"/>
      <c r="AQ1737" s="37"/>
      <c r="AR1737" s="37"/>
      <c r="AS1737" s="37"/>
      <c r="AT1737" s="37"/>
      <c r="AU1737" s="37"/>
      <c r="AV1737" s="37"/>
      <c r="AW1737" s="37"/>
      <c r="AX1737" s="37"/>
      <c r="AY1737" s="37"/>
      <c r="AZ1737" s="37"/>
    </row>
    <row r="1738" spans="1:52" ht="15.5" customHeight="1">
      <c r="A1738" s="360"/>
      <c r="B1738" s="340"/>
      <c r="C1738" s="181"/>
      <c r="D1738" s="30"/>
      <c r="E1738" s="30"/>
      <c r="F1738" s="30"/>
      <c r="G1738" s="37"/>
      <c r="H1738" s="37"/>
      <c r="I1738" s="37"/>
      <c r="J1738" s="37" t="s">
        <v>69</v>
      </c>
      <c r="K1738" s="325" t="s">
        <v>69</v>
      </c>
      <c r="L1738" s="181"/>
      <c r="M1738" s="181"/>
      <c r="N1738" s="37"/>
      <c r="O1738" s="31"/>
      <c r="P1738" s="37"/>
      <c r="Q1738" s="181"/>
      <c r="R1738" s="181"/>
      <c r="S1738" s="181"/>
      <c r="T1738" s="181"/>
      <c r="U1738" s="181"/>
      <c r="V1738" s="37"/>
      <c r="W1738" s="181"/>
      <c r="X1738" s="38"/>
      <c r="Y1738" s="38"/>
      <c r="Z1738" s="38"/>
      <c r="AA1738" s="38"/>
      <c r="AB1738" s="248"/>
      <c r="AC1738" s="250"/>
      <c r="AD1738" s="181"/>
      <c r="AE1738" s="37"/>
      <c r="AF1738" s="37"/>
      <c r="AG1738" s="33"/>
      <c r="AH1738" s="37"/>
      <c r="AI1738" s="37"/>
      <c r="AJ1738" s="181"/>
      <c r="AK1738" s="37"/>
      <c r="AL1738" s="37"/>
      <c r="AM1738" s="181"/>
      <c r="AN1738" s="37"/>
      <c r="AO1738" s="37"/>
      <c r="AP1738" s="37"/>
      <c r="AQ1738" s="37"/>
      <c r="AR1738" s="37"/>
      <c r="AS1738" s="37"/>
      <c r="AT1738" s="37"/>
      <c r="AU1738" s="37"/>
      <c r="AV1738" s="37"/>
      <c r="AW1738" s="37"/>
      <c r="AX1738" s="37"/>
      <c r="AY1738" s="37"/>
      <c r="AZ1738" s="37"/>
    </row>
    <row r="1739" spans="1:52" ht="15.5" customHeight="1">
      <c r="A1739" s="360"/>
      <c r="B1739" s="340"/>
      <c r="C1739" s="181"/>
      <c r="D1739" s="30"/>
      <c r="E1739" s="30"/>
      <c r="F1739" s="30"/>
      <c r="G1739" s="37"/>
      <c r="H1739" s="37"/>
      <c r="I1739" s="37"/>
      <c r="J1739" s="37" t="s">
        <v>69</v>
      </c>
      <c r="K1739" s="325" t="s">
        <v>69</v>
      </c>
      <c r="L1739" s="181"/>
      <c r="M1739" s="181"/>
      <c r="N1739" s="37"/>
      <c r="O1739" s="31"/>
      <c r="P1739" s="37"/>
      <c r="Q1739" s="181"/>
      <c r="R1739" s="181"/>
      <c r="S1739" s="181"/>
      <c r="T1739" s="181"/>
      <c r="U1739" s="181"/>
      <c r="V1739" s="37"/>
      <c r="W1739" s="181"/>
      <c r="X1739" s="38"/>
      <c r="Y1739" s="38"/>
      <c r="Z1739" s="38"/>
      <c r="AA1739" s="38"/>
      <c r="AB1739" s="248"/>
      <c r="AC1739" s="250"/>
      <c r="AD1739" s="181"/>
      <c r="AE1739" s="37"/>
      <c r="AF1739" s="37"/>
      <c r="AG1739" s="33"/>
      <c r="AH1739" s="37"/>
      <c r="AI1739" s="37"/>
      <c r="AJ1739" s="181"/>
      <c r="AK1739" s="37"/>
      <c r="AL1739" s="37"/>
      <c r="AM1739" s="181"/>
      <c r="AN1739" s="37"/>
      <c r="AO1739" s="37"/>
      <c r="AP1739" s="37"/>
      <c r="AQ1739" s="37"/>
      <c r="AR1739" s="37"/>
      <c r="AS1739" s="37"/>
      <c r="AT1739" s="37"/>
      <c r="AU1739" s="37"/>
      <c r="AV1739" s="37"/>
      <c r="AW1739" s="37"/>
      <c r="AX1739" s="37"/>
      <c r="AY1739" s="37"/>
      <c r="AZ1739" s="37"/>
    </row>
    <row r="1740" spans="1:52" ht="15.5" customHeight="1">
      <c r="A1740" s="360"/>
      <c r="B1740" s="340"/>
      <c r="C1740" s="181"/>
      <c r="D1740" s="30"/>
      <c r="E1740" s="30"/>
      <c r="F1740" s="30"/>
      <c r="G1740" s="37"/>
      <c r="H1740" s="37"/>
      <c r="I1740" s="37"/>
      <c r="J1740" s="37" t="s">
        <v>69</v>
      </c>
      <c r="K1740" s="325" t="s">
        <v>69</v>
      </c>
      <c r="L1740" s="181"/>
      <c r="M1740" s="181"/>
      <c r="N1740" s="37"/>
      <c r="O1740" s="31"/>
      <c r="P1740" s="37"/>
      <c r="Q1740" s="181"/>
      <c r="R1740" s="181"/>
      <c r="S1740" s="181"/>
      <c r="T1740" s="181"/>
      <c r="U1740" s="181"/>
      <c r="V1740" s="37"/>
      <c r="W1740" s="181"/>
      <c r="X1740" s="38"/>
      <c r="Y1740" s="38"/>
      <c r="Z1740" s="38"/>
      <c r="AA1740" s="38"/>
      <c r="AB1740" s="248"/>
      <c r="AC1740" s="250"/>
      <c r="AD1740" s="181"/>
      <c r="AE1740" s="37"/>
      <c r="AF1740" s="37"/>
      <c r="AG1740" s="33"/>
      <c r="AH1740" s="37"/>
      <c r="AI1740" s="37"/>
      <c r="AJ1740" s="181"/>
      <c r="AK1740" s="37"/>
      <c r="AL1740" s="37"/>
      <c r="AM1740" s="181"/>
      <c r="AN1740" s="37"/>
      <c r="AO1740" s="37"/>
      <c r="AP1740" s="37"/>
      <c r="AQ1740" s="37"/>
      <c r="AR1740" s="37"/>
      <c r="AS1740" s="37"/>
      <c r="AT1740" s="37"/>
      <c r="AU1740" s="37"/>
      <c r="AV1740" s="37"/>
      <c r="AW1740" s="37"/>
      <c r="AX1740" s="37"/>
      <c r="AY1740" s="37"/>
      <c r="AZ1740" s="37"/>
    </row>
    <row r="1741" spans="1:52" ht="15.5" customHeight="1">
      <c r="A1741" s="360"/>
      <c r="B1741" s="340"/>
      <c r="C1741" s="181"/>
      <c r="D1741" s="30"/>
      <c r="E1741" s="30"/>
      <c r="F1741" s="30"/>
      <c r="G1741" s="37"/>
      <c r="H1741" s="37"/>
      <c r="I1741" s="37"/>
      <c r="J1741" s="37" t="s">
        <v>69</v>
      </c>
      <c r="K1741" s="325" t="s">
        <v>69</v>
      </c>
      <c r="L1741" s="181"/>
      <c r="M1741" s="181"/>
      <c r="N1741" s="37"/>
      <c r="O1741" s="31"/>
      <c r="P1741" s="37"/>
      <c r="Q1741" s="181"/>
      <c r="R1741" s="181"/>
      <c r="S1741" s="181"/>
      <c r="T1741" s="181"/>
      <c r="U1741" s="181"/>
      <c r="V1741" s="37"/>
      <c r="W1741" s="181"/>
      <c r="X1741" s="38"/>
      <c r="Y1741" s="38"/>
      <c r="Z1741" s="38"/>
      <c r="AA1741" s="38"/>
      <c r="AB1741" s="248"/>
      <c r="AC1741" s="250"/>
      <c r="AD1741" s="181"/>
      <c r="AE1741" s="37"/>
      <c r="AF1741" s="37"/>
      <c r="AG1741" s="33"/>
      <c r="AH1741" s="37"/>
      <c r="AI1741" s="37"/>
      <c r="AJ1741" s="181"/>
      <c r="AK1741" s="37"/>
      <c r="AL1741" s="37"/>
      <c r="AM1741" s="181"/>
      <c r="AN1741" s="37"/>
      <c r="AO1741" s="37"/>
      <c r="AP1741" s="37"/>
      <c r="AQ1741" s="37"/>
      <c r="AR1741" s="37"/>
      <c r="AS1741" s="37"/>
      <c r="AT1741" s="37"/>
      <c r="AU1741" s="37"/>
      <c r="AV1741" s="37"/>
      <c r="AW1741" s="37"/>
      <c r="AX1741" s="37"/>
      <c r="AY1741" s="37"/>
      <c r="AZ1741" s="37"/>
    </row>
    <row r="1742" spans="1:52" ht="15.5" customHeight="1">
      <c r="A1742" s="360"/>
      <c r="B1742" s="340"/>
      <c r="C1742" s="181"/>
      <c r="D1742" s="30"/>
      <c r="E1742" s="30"/>
      <c r="F1742" s="30"/>
      <c r="G1742" s="37"/>
      <c r="H1742" s="37"/>
      <c r="I1742" s="37"/>
      <c r="J1742" s="37" t="s">
        <v>69</v>
      </c>
      <c r="K1742" s="325" t="s">
        <v>69</v>
      </c>
      <c r="L1742" s="181"/>
      <c r="M1742" s="181"/>
      <c r="N1742" s="37"/>
      <c r="O1742" s="31"/>
      <c r="P1742" s="37"/>
      <c r="Q1742" s="181"/>
      <c r="R1742" s="181"/>
      <c r="S1742" s="181"/>
      <c r="T1742" s="181"/>
      <c r="U1742" s="181"/>
      <c r="V1742" s="37"/>
      <c r="W1742" s="181"/>
      <c r="X1742" s="38"/>
      <c r="Y1742" s="38"/>
      <c r="Z1742" s="38"/>
      <c r="AA1742" s="38"/>
      <c r="AB1742" s="248"/>
      <c r="AC1742" s="250"/>
      <c r="AD1742" s="181"/>
      <c r="AE1742" s="37"/>
      <c r="AF1742" s="37"/>
      <c r="AG1742" s="33"/>
      <c r="AH1742" s="37"/>
      <c r="AI1742" s="37"/>
      <c r="AJ1742" s="181"/>
      <c r="AK1742" s="37"/>
      <c r="AL1742" s="37"/>
      <c r="AM1742" s="181"/>
      <c r="AN1742" s="37"/>
      <c r="AO1742" s="37"/>
      <c r="AP1742" s="37"/>
      <c r="AQ1742" s="37"/>
      <c r="AR1742" s="37"/>
      <c r="AS1742" s="37"/>
      <c r="AT1742" s="37"/>
      <c r="AU1742" s="37"/>
      <c r="AV1742" s="37"/>
      <c r="AW1742" s="37"/>
      <c r="AX1742" s="37"/>
      <c r="AY1742" s="37"/>
      <c r="AZ1742" s="37"/>
    </row>
    <row r="1743" spans="1:52" ht="15.5" customHeight="1">
      <c r="A1743" s="360"/>
      <c r="B1743" s="340"/>
      <c r="C1743" s="181"/>
      <c r="D1743" s="30"/>
      <c r="E1743" s="30"/>
      <c r="F1743" s="30"/>
      <c r="G1743" s="37"/>
      <c r="H1743" s="37"/>
      <c r="I1743" s="37"/>
      <c r="J1743" s="37" t="s">
        <v>69</v>
      </c>
      <c r="K1743" s="325" t="s">
        <v>69</v>
      </c>
      <c r="L1743" s="181"/>
      <c r="M1743" s="181"/>
      <c r="N1743" s="37"/>
      <c r="O1743" s="31"/>
      <c r="P1743" s="37"/>
      <c r="Q1743" s="181"/>
      <c r="R1743" s="181"/>
      <c r="S1743" s="181"/>
      <c r="T1743" s="181"/>
      <c r="U1743" s="181"/>
      <c r="V1743" s="37"/>
      <c r="W1743" s="181"/>
      <c r="X1743" s="38"/>
      <c r="Y1743" s="38"/>
      <c r="Z1743" s="38"/>
      <c r="AA1743" s="38"/>
      <c r="AB1743" s="248"/>
      <c r="AC1743" s="250"/>
      <c r="AD1743" s="181"/>
      <c r="AE1743" s="37"/>
      <c r="AF1743" s="37"/>
      <c r="AG1743" s="33"/>
      <c r="AH1743" s="37"/>
      <c r="AI1743" s="37"/>
      <c r="AJ1743" s="181"/>
      <c r="AK1743" s="37"/>
      <c r="AL1743" s="37"/>
      <c r="AM1743" s="181"/>
      <c r="AN1743" s="37"/>
      <c r="AO1743" s="37"/>
      <c r="AP1743" s="37"/>
      <c r="AQ1743" s="37"/>
      <c r="AR1743" s="37"/>
      <c r="AS1743" s="37"/>
      <c r="AT1743" s="37"/>
      <c r="AU1743" s="37"/>
      <c r="AV1743" s="37"/>
      <c r="AW1743" s="37"/>
      <c r="AX1743" s="37"/>
      <c r="AY1743" s="37"/>
      <c r="AZ1743" s="37"/>
    </row>
    <row r="1744" spans="1:52" ht="15.5" customHeight="1">
      <c r="A1744" s="360"/>
      <c r="B1744" s="340"/>
      <c r="C1744" s="181"/>
      <c r="D1744" s="30"/>
      <c r="E1744" s="30"/>
      <c r="F1744" s="30"/>
      <c r="G1744" s="37"/>
      <c r="H1744" s="37"/>
      <c r="I1744" s="37"/>
      <c r="J1744" s="37" t="s">
        <v>69</v>
      </c>
      <c r="K1744" s="325" t="s">
        <v>69</v>
      </c>
      <c r="L1744" s="181"/>
      <c r="M1744" s="181"/>
      <c r="N1744" s="37"/>
      <c r="O1744" s="31"/>
      <c r="P1744" s="37"/>
      <c r="Q1744" s="181"/>
      <c r="R1744" s="181"/>
      <c r="S1744" s="181"/>
      <c r="T1744" s="181"/>
      <c r="U1744" s="181"/>
      <c r="V1744" s="37"/>
      <c r="W1744" s="181"/>
      <c r="X1744" s="38"/>
      <c r="Y1744" s="38"/>
      <c r="Z1744" s="38"/>
      <c r="AA1744" s="38"/>
      <c r="AB1744" s="248"/>
      <c r="AC1744" s="250"/>
      <c r="AD1744" s="181"/>
      <c r="AE1744" s="37"/>
      <c r="AF1744" s="37"/>
      <c r="AG1744" s="33"/>
      <c r="AH1744" s="37"/>
      <c r="AI1744" s="37"/>
      <c r="AJ1744" s="181"/>
      <c r="AK1744" s="37"/>
      <c r="AL1744" s="37"/>
      <c r="AM1744" s="181"/>
      <c r="AN1744" s="37"/>
      <c r="AO1744" s="37"/>
      <c r="AP1744" s="37"/>
      <c r="AQ1744" s="37"/>
      <c r="AR1744" s="37"/>
      <c r="AS1744" s="37"/>
      <c r="AT1744" s="37"/>
      <c r="AU1744" s="37"/>
      <c r="AV1744" s="37"/>
      <c r="AW1744" s="37"/>
      <c r="AX1744" s="37"/>
      <c r="AY1744" s="37"/>
      <c r="AZ1744" s="37"/>
    </row>
    <row r="1745" spans="1:52" ht="15.5" customHeight="1">
      <c r="A1745" s="360"/>
      <c r="B1745" s="340"/>
      <c r="C1745" s="181"/>
      <c r="D1745" s="30"/>
      <c r="E1745" s="30"/>
      <c r="F1745" s="30"/>
      <c r="G1745" s="37"/>
      <c r="H1745" s="37"/>
      <c r="I1745" s="37"/>
      <c r="J1745" s="37" t="s">
        <v>69</v>
      </c>
      <c r="K1745" s="325" t="s">
        <v>69</v>
      </c>
      <c r="L1745" s="181"/>
      <c r="M1745" s="181"/>
      <c r="N1745" s="37"/>
      <c r="O1745" s="31"/>
      <c r="P1745" s="37"/>
      <c r="Q1745" s="181"/>
      <c r="R1745" s="181"/>
      <c r="S1745" s="181"/>
      <c r="T1745" s="181"/>
      <c r="U1745" s="181"/>
      <c r="V1745" s="37"/>
      <c r="W1745" s="181"/>
      <c r="X1745" s="38"/>
      <c r="Y1745" s="38"/>
      <c r="Z1745" s="38"/>
      <c r="AA1745" s="38"/>
      <c r="AB1745" s="248"/>
      <c r="AC1745" s="250"/>
      <c r="AD1745" s="181"/>
      <c r="AE1745" s="37"/>
      <c r="AF1745" s="37"/>
      <c r="AG1745" s="33"/>
      <c r="AH1745" s="37"/>
      <c r="AI1745" s="37"/>
      <c r="AJ1745" s="181"/>
      <c r="AK1745" s="37"/>
      <c r="AL1745" s="37"/>
      <c r="AM1745" s="181"/>
      <c r="AN1745" s="37"/>
      <c r="AO1745" s="37"/>
      <c r="AP1745" s="37"/>
      <c r="AQ1745" s="37"/>
      <c r="AR1745" s="37"/>
      <c r="AS1745" s="37"/>
      <c r="AT1745" s="37"/>
      <c r="AU1745" s="37"/>
      <c r="AV1745" s="37"/>
      <c r="AW1745" s="37"/>
      <c r="AX1745" s="37"/>
      <c r="AY1745" s="37"/>
      <c r="AZ1745" s="37"/>
    </row>
    <row r="1746" spans="1:52" ht="15.5" customHeight="1">
      <c r="A1746" s="360"/>
      <c r="B1746" s="340"/>
      <c r="C1746" s="181"/>
      <c r="D1746" s="30"/>
      <c r="E1746" s="30"/>
      <c r="F1746" s="30"/>
      <c r="G1746" s="37"/>
      <c r="H1746" s="37"/>
      <c r="I1746" s="37"/>
      <c r="J1746" s="37" t="s">
        <v>69</v>
      </c>
      <c r="K1746" s="325" t="s">
        <v>69</v>
      </c>
      <c r="L1746" s="181"/>
      <c r="M1746" s="181"/>
      <c r="N1746" s="37"/>
      <c r="O1746" s="31"/>
      <c r="P1746" s="37"/>
      <c r="Q1746" s="181"/>
      <c r="R1746" s="181"/>
      <c r="S1746" s="181"/>
      <c r="T1746" s="181"/>
      <c r="U1746" s="181"/>
      <c r="V1746" s="37"/>
      <c r="W1746" s="181"/>
      <c r="X1746" s="38"/>
      <c r="Y1746" s="38"/>
      <c r="Z1746" s="38"/>
      <c r="AA1746" s="38"/>
      <c r="AB1746" s="248"/>
      <c r="AC1746" s="250"/>
      <c r="AD1746" s="181"/>
      <c r="AE1746" s="37"/>
      <c r="AF1746" s="37"/>
      <c r="AG1746" s="33"/>
      <c r="AH1746" s="37"/>
      <c r="AI1746" s="37"/>
      <c r="AJ1746" s="181"/>
      <c r="AK1746" s="37"/>
      <c r="AL1746" s="37"/>
      <c r="AM1746" s="181"/>
      <c r="AN1746" s="37"/>
      <c r="AO1746" s="37"/>
      <c r="AP1746" s="37"/>
      <c r="AQ1746" s="37"/>
      <c r="AR1746" s="37"/>
      <c r="AS1746" s="37"/>
      <c r="AT1746" s="37"/>
      <c r="AU1746" s="37"/>
      <c r="AV1746" s="37"/>
      <c r="AW1746" s="37"/>
      <c r="AX1746" s="37"/>
      <c r="AY1746" s="37"/>
      <c r="AZ1746" s="37"/>
    </row>
    <row r="1747" spans="1:52" ht="15.5" customHeight="1">
      <c r="A1747" s="360"/>
      <c r="B1747" s="340"/>
      <c r="C1747" s="181"/>
      <c r="D1747" s="30"/>
      <c r="E1747" s="30"/>
      <c r="F1747" s="30"/>
      <c r="G1747" s="37"/>
      <c r="H1747" s="37"/>
      <c r="I1747" s="37"/>
      <c r="J1747" s="37" t="s">
        <v>69</v>
      </c>
      <c r="K1747" s="325" t="s">
        <v>69</v>
      </c>
      <c r="L1747" s="181"/>
      <c r="M1747" s="181"/>
      <c r="N1747" s="37"/>
      <c r="O1747" s="31"/>
      <c r="P1747" s="37"/>
      <c r="Q1747" s="181"/>
      <c r="R1747" s="181"/>
      <c r="S1747" s="181"/>
      <c r="T1747" s="181"/>
      <c r="U1747" s="181"/>
      <c r="V1747" s="37"/>
      <c r="W1747" s="181"/>
      <c r="X1747" s="38"/>
      <c r="Y1747" s="38"/>
      <c r="Z1747" s="38"/>
      <c r="AA1747" s="38"/>
      <c r="AB1747" s="248"/>
      <c r="AC1747" s="250"/>
      <c r="AD1747" s="181"/>
      <c r="AE1747" s="37"/>
      <c r="AF1747" s="37"/>
      <c r="AG1747" s="33"/>
      <c r="AH1747" s="37"/>
      <c r="AI1747" s="37"/>
      <c r="AJ1747" s="181"/>
      <c r="AK1747" s="37"/>
      <c r="AL1747" s="37"/>
      <c r="AM1747" s="181"/>
      <c r="AN1747" s="37"/>
      <c r="AO1747" s="37"/>
      <c r="AP1747" s="37"/>
      <c r="AQ1747" s="37"/>
      <c r="AR1747" s="37"/>
      <c r="AS1747" s="37"/>
      <c r="AT1747" s="37"/>
      <c r="AU1747" s="37"/>
      <c r="AV1747" s="37"/>
      <c r="AW1747" s="37"/>
      <c r="AX1747" s="37"/>
      <c r="AY1747" s="37"/>
      <c r="AZ1747" s="37"/>
    </row>
    <row r="1748" spans="1:52" ht="15.5" customHeight="1">
      <c r="A1748" s="360"/>
      <c r="B1748" s="340"/>
      <c r="C1748" s="181"/>
      <c r="D1748" s="30"/>
      <c r="E1748" s="30"/>
      <c r="F1748" s="30"/>
      <c r="G1748" s="37"/>
      <c r="H1748" s="37"/>
      <c r="I1748" s="37"/>
      <c r="J1748" s="37" t="s">
        <v>69</v>
      </c>
      <c r="K1748" s="325" t="s">
        <v>69</v>
      </c>
      <c r="L1748" s="181"/>
      <c r="M1748" s="181"/>
      <c r="N1748" s="37"/>
      <c r="O1748" s="31"/>
      <c r="P1748" s="37"/>
      <c r="Q1748" s="181"/>
      <c r="R1748" s="181"/>
      <c r="S1748" s="181"/>
      <c r="T1748" s="181"/>
      <c r="U1748" s="181"/>
      <c r="V1748" s="37"/>
      <c r="W1748" s="181"/>
      <c r="X1748" s="38"/>
      <c r="Y1748" s="38"/>
      <c r="Z1748" s="38"/>
      <c r="AA1748" s="38"/>
      <c r="AB1748" s="248"/>
      <c r="AC1748" s="250"/>
      <c r="AD1748" s="181"/>
      <c r="AE1748" s="37"/>
      <c r="AF1748" s="37"/>
      <c r="AG1748" s="33"/>
      <c r="AH1748" s="37"/>
      <c r="AI1748" s="37"/>
      <c r="AJ1748" s="181"/>
      <c r="AK1748" s="37"/>
      <c r="AL1748" s="37"/>
      <c r="AM1748" s="181"/>
      <c r="AN1748" s="37"/>
      <c r="AO1748" s="37"/>
      <c r="AP1748" s="37"/>
      <c r="AQ1748" s="37"/>
      <c r="AR1748" s="37"/>
      <c r="AS1748" s="37"/>
      <c r="AT1748" s="37"/>
      <c r="AU1748" s="37"/>
      <c r="AV1748" s="37"/>
      <c r="AW1748" s="37"/>
      <c r="AX1748" s="37"/>
      <c r="AY1748" s="37"/>
      <c r="AZ1748" s="37"/>
    </row>
    <row r="1749" spans="1:52" ht="15.5" customHeight="1">
      <c r="A1749" s="360"/>
      <c r="B1749" s="340"/>
      <c r="C1749" s="181"/>
      <c r="D1749" s="30"/>
      <c r="E1749" s="30"/>
      <c r="F1749" s="30"/>
      <c r="G1749" s="37"/>
      <c r="H1749" s="37"/>
      <c r="I1749" s="37"/>
      <c r="J1749" s="37" t="s">
        <v>69</v>
      </c>
      <c r="K1749" s="325" t="s">
        <v>69</v>
      </c>
      <c r="L1749" s="181"/>
      <c r="M1749" s="181"/>
      <c r="N1749" s="37"/>
      <c r="O1749" s="31"/>
      <c r="P1749" s="37"/>
      <c r="Q1749" s="181"/>
      <c r="R1749" s="181"/>
      <c r="S1749" s="181"/>
      <c r="T1749" s="181"/>
      <c r="U1749" s="181"/>
      <c r="V1749" s="37"/>
      <c r="W1749" s="181"/>
      <c r="X1749" s="38"/>
      <c r="Y1749" s="38"/>
      <c r="Z1749" s="38"/>
      <c r="AA1749" s="38"/>
      <c r="AB1749" s="248"/>
      <c r="AC1749" s="250"/>
      <c r="AD1749" s="181"/>
      <c r="AE1749" s="37"/>
      <c r="AF1749" s="37"/>
      <c r="AG1749" s="33"/>
      <c r="AH1749" s="37"/>
      <c r="AI1749" s="37"/>
      <c r="AJ1749" s="181"/>
      <c r="AK1749" s="37"/>
      <c r="AL1749" s="37"/>
      <c r="AM1749" s="181"/>
      <c r="AN1749" s="37"/>
      <c r="AO1749" s="37"/>
      <c r="AP1749" s="37"/>
      <c r="AQ1749" s="37"/>
      <c r="AR1749" s="37"/>
      <c r="AS1749" s="37"/>
      <c r="AT1749" s="37"/>
      <c r="AU1749" s="37"/>
      <c r="AV1749" s="37"/>
      <c r="AW1749" s="37"/>
      <c r="AX1749" s="37"/>
      <c r="AY1749" s="37"/>
      <c r="AZ1749" s="37"/>
    </row>
    <row r="1750" spans="1:52" ht="15.5" customHeight="1">
      <c r="A1750" s="360"/>
      <c r="B1750" s="340"/>
      <c r="C1750" s="181"/>
      <c r="D1750" s="30"/>
      <c r="E1750" s="30"/>
      <c r="F1750" s="30"/>
      <c r="G1750" s="37"/>
      <c r="H1750" s="37"/>
      <c r="I1750" s="37"/>
      <c r="J1750" s="37" t="s">
        <v>69</v>
      </c>
      <c r="K1750" s="325" t="s">
        <v>69</v>
      </c>
      <c r="L1750" s="181"/>
      <c r="M1750" s="181"/>
      <c r="N1750" s="37"/>
      <c r="O1750" s="31"/>
      <c r="P1750" s="37"/>
      <c r="Q1750" s="181"/>
      <c r="R1750" s="181"/>
      <c r="S1750" s="181"/>
      <c r="T1750" s="181"/>
      <c r="U1750" s="181"/>
      <c r="V1750" s="37"/>
      <c r="W1750" s="181"/>
      <c r="X1750" s="38"/>
      <c r="Y1750" s="38"/>
      <c r="Z1750" s="38"/>
      <c r="AA1750" s="38"/>
      <c r="AB1750" s="248"/>
      <c r="AC1750" s="250"/>
      <c r="AD1750" s="181"/>
      <c r="AE1750" s="37"/>
      <c r="AF1750" s="37"/>
      <c r="AG1750" s="33"/>
      <c r="AH1750" s="37"/>
      <c r="AI1750" s="37"/>
      <c r="AJ1750" s="181"/>
      <c r="AK1750" s="37"/>
      <c r="AL1750" s="37"/>
      <c r="AM1750" s="181"/>
      <c r="AN1750" s="37"/>
      <c r="AO1750" s="37"/>
      <c r="AP1750" s="37"/>
      <c r="AQ1750" s="37"/>
      <c r="AR1750" s="37"/>
      <c r="AS1750" s="37"/>
      <c r="AT1750" s="37"/>
      <c r="AU1750" s="37"/>
      <c r="AV1750" s="37"/>
      <c r="AW1750" s="37"/>
      <c r="AX1750" s="37"/>
      <c r="AY1750" s="37"/>
      <c r="AZ1750" s="37"/>
    </row>
    <row r="1751" spans="1:52" ht="15.5" customHeight="1">
      <c r="A1751" s="360"/>
      <c r="B1751" s="340"/>
      <c r="C1751" s="181"/>
      <c r="D1751" s="30"/>
      <c r="E1751" s="30"/>
      <c r="F1751" s="30"/>
      <c r="G1751" s="37"/>
      <c r="H1751" s="37"/>
      <c r="I1751" s="37"/>
      <c r="J1751" s="37" t="s">
        <v>69</v>
      </c>
      <c r="K1751" s="325" t="s">
        <v>69</v>
      </c>
      <c r="L1751" s="181"/>
      <c r="M1751" s="181"/>
      <c r="N1751" s="37"/>
      <c r="O1751" s="31"/>
      <c r="P1751" s="37"/>
      <c r="Q1751" s="181"/>
      <c r="R1751" s="181"/>
      <c r="S1751" s="181"/>
      <c r="T1751" s="181"/>
      <c r="U1751" s="181"/>
      <c r="V1751" s="37"/>
      <c r="W1751" s="181"/>
      <c r="X1751" s="38"/>
      <c r="Y1751" s="38"/>
      <c r="Z1751" s="38"/>
      <c r="AA1751" s="38"/>
      <c r="AB1751" s="248"/>
      <c r="AC1751" s="250"/>
      <c r="AD1751" s="181"/>
      <c r="AE1751" s="37"/>
      <c r="AF1751" s="37"/>
      <c r="AG1751" s="33"/>
      <c r="AH1751" s="37"/>
      <c r="AI1751" s="37"/>
      <c r="AJ1751" s="181"/>
      <c r="AK1751" s="37"/>
      <c r="AL1751" s="37"/>
      <c r="AM1751" s="181"/>
      <c r="AN1751" s="37"/>
      <c r="AO1751" s="37"/>
      <c r="AP1751" s="37"/>
      <c r="AQ1751" s="37"/>
      <c r="AR1751" s="37"/>
      <c r="AS1751" s="37"/>
      <c r="AT1751" s="37"/>
      <c r="AU1751" s="37"/>
      <c r="AV1751" s="37"/>
      <c r="AW1751" s="37"/>
      <c r="AX1751" s="37"/>
      <c r="AY1751" s="37"/>
      <c r="AZ1751" s="37"/>
    </row>
    <row r="1752" spans="1:52" ht="15.5" customHeight="1">
      <c r="A1752" s="360"/>
      <c r="B1752" s="340"/>
      <c r="C1752" s="181"/>
      <c r="D1752" s="30"/>
      <c r="E1752" s="30"/>
      <c r="F1752" s="30"/>
      <c r="G1752" s="37"/>
      <c r="H1752" s="37"/>
      <c r="I1752" s="37"/>
      <c r="J1752" s="37" t="s">
        <v>69</v>
      </c>
      <c r="K1752" s="325" t="s">
        <v>69</v>
      </c>
      <c r="L1752" s="181"/>
      <c r="M1752" s="181"/>
      <c r="N1752" s="37"/>
      <c r="O1752" s="31"/>
      <c r="P1752" s="37"/>
      <c r="Q1752" s="181"/>
      <c r="R1752" s="181"/>
      <c r="S1752" s="181"/>
      <c r="T1752" s="181"/>
      <c r="U1752" s="181"/>
      <c r="V1752" s="37"/>
      <c r="W1752" s="181"/>
      <c r="X1752" s="38"/>
      <c r="Y1752" s="38"/>
      <c r="Z1752" s="38"/>
      <c r="AA1752" s="38"/>
      <c r="AB1752" s="248"/>
      <c r="AC1752" s="250"/>
      <c r="AD1752" s="181"/>
      <c r="AE1752" s="37"/>
      <c r="AF1752" s="37"/>
      <c r="AG1752" s="33"/>
      <c r="AH1752" s="37"/>
      <c r="AI1752" s="37"/>
      <c r="AJ1752" s="181"/>
      <c r="AK1752" s="37"/>
      <c r="AL1752" s="37"/>
      <c r="AM1752" s="181"/>
      <c r="AN1752" s="37"/>
      <c r="AO1752" s="37"/>
      <c r="AP1752" s="37"/>
      <c r="AQ1752" s="37"/>
      <c r="AR1752" s="37"/>
      <c r="AS1752" s="37"/>
      <c r="AT1752" s="37"/>
      <c r="AU1752" s="37"/>
      <c r="AV1752" s="37"/>
      <c r="AW1752" s="37"/>
      <c r="AX1752" s="37"/>
      <c r="AY1752" s="37"/>
      <c r="AZ1752" s="37"/>
    </row>
    <row r="1753" spans="1:52" ht="15.5" customHeight="1">
      <c r="A1753" s="360"/>
      <c r="B1753" s="340"/>
      <c r="C1753" s="181"/>
      <c r="D1753" s="30"/>
      <c r="E1753" s="30"/>
      <c r="F1753" s="30"/>
      <c r="G1753" s="37"/>
      <c r="H1753" s="37"/>
      <c r="I1753" s="37"/>
      <c r="J1753" s="37" t="s">
        <v>69</v>
      </c>
      <c r="K1753" s="325" t="s">
        <v>69</v>
      </c>
      <c r="L1753" s="181"/>
      <c r="M1753" s="181"/>
      <c r="N1753" s="37"/>
      <c r="O1753" s="31"/>
      <c r="P1753" s="37"/>
      <c r="Q1753" s="181"/>
      <c r="R1753" s="181"/>
      <c r="S1753" s="181"/>
      <c r="T1753" s="181"/>
      <c r="U1753" s="181"/>
      <c r="V1753" s="37"/>
      <c r="W1753" s="181"/>
      <c r="X1753" s="38"/>
      <c r="Y1753" s="38"/>
      <c r="Z1753" s="38"/>
      <c r="AA1753" s="38"/>
      <c r="AB1753" s="248"/>
      <c r="AC1753" s="250"/>
      <c r="AD1753" s="181"/>
      <c r="AE1753" s="37"/>
      <c r="AF1753" s="37"/>
      <c r="AG1753" s="33"/>
      <c r="AH1753" s="37"/>
      <c r="AI1753" s="37"/>
      <c r="AJ1753" s="181"/>
      <c r="AK1753" s="37"/>
      <c r="AL1753" s="37"/>
      <c r="AM1753" s="181"/>
      <c r="AN1753" s="37"/>
      <c r="AO1753" s="37"/>
      <c r="AP1753" s="37"/>
      <c r="AQ1753" s="37"/>
      <c r="AR1753" s="37"/>
      <c r="AS1753" s="37"/>
      <c r="AT1753" s="37"/>
      <c r="AU1753" s="37"/>
      <c r="AV1753" s="37"/>
      <c r="AW1753" s="37"/>
      <c r="AX1753" s="37"/>
      <c r="AY1753" s="37"/>
      <c r="AZ1753" s="37"/>
    </row>
    <row r="1754" spans="1:52" ht="15.5" customHeight="1">
      <c r="A1754" s="360"/>
      <c r="B1754" s="340"/>
      <c r="C1754" s="181"/>
      <c r="D1754" s="30"/>
      <c r="E1754" s="30"/>
      <c r="F1754" s="30"/>
      <c r="G1754" s="37"/>
      <c r="H1754" s="37"/>
      <c r="I1754" s="37"/>
      <c r="J1754" s="37" t="s">
        <v>69</v>
      </c>
      <c r="K1754" s="325" t="s">
        <v>69</v>
      </c>
      <c r="L1754" s="181"/>
      <c r="M1754" s="181"/>
      <c r="N1754" s="37"/>
      <c r="O1754" s="31"/>
      <c r="P1754" s="37"/>
      <c r="Q1754" s="181"/>
      <c r="R1754" s="181"/>
      <c r="S1754" s="181"/>
      <c r="T1754" s="181"/>
      <c r="U1754" s="181"/>
      <c r="V1754" s="37"/>
      <c r="W1754" s="181"/>
      <c r="X1754" s="38"/>
      <c r="Y1754" s="38"/>
      <c r="Z1754" s="38"/>
      <c r="AA1754" s="38"/>
      <c r="AB1754" s="248"/>
      <c r="AC1754" s="250"/>
      <c r="AD1754" s="181"/>
      <c r="AE1754" s="37"/>
      <c r="AF1754" s="37"/>
      <c r="AG1754" s="33"/>
      <c r="AH1754" s="37"/>
      <c r="AI1754" s="37"/>
      <c r="AJ1754" s="181"/>
      <c r="AK1754" s="37"/>
      <c r="AL1754" s="37"/>
      <c r="AM1754" s="181"/>
      <c r="AN1754" s="37"/>
      <c r="AO1754" s="37"/>
      <c r="AP1754" s="37"/>
      <c r="AQ1754" s="37"/>
      <c r="AR1754" s="37"/>
      <c r="AS1754" s="37"/>
      <c r="AT1754" s="37"/>
      <c r="AU1754" s="37"/>
      <c r="AV1754" s="37"/>
      <c r="AW1754" s="37"/>
      <c r="AX1754" s="37"/>
      <c r="AY1754" s="37"/>
      <c r="AZ1754" s="37"/>
    </row>
    <row r="1755" spans="1:52" ht="15.5" customHeight="1">
      <c r="A1755" s="360"/>
      <c r="B1755" s="340"/>
      <c r="C1755" s="181"/>
      <c r="D1755" s="30"/>
      <c r="E1755" s="30"/>
      <c r="F1755" s="30"/>
      <c r="G1755" s="37"/>
      <c r="H1755" s="37"/>
      <c r="I1755" s="37"/>
      <c r="J1755" s="37" t="s">
        <v>69</v>
      </c>
      <c r="K1755" s="325" t="s">
        <v>69</v>
      </c>
      <c r="L1755" s="181"/>
      <c r="M1755" s="181"/>
      <c r="N1755" s="37"/>
      <c r="O1755" s="31"/>
      <c r="P1755" s="37"/>
      <c r="Q1755" s="181"/>
      <c r="R1755" s="181"/>
      <c r="S1755" s="181"/>
      <c r="T1755" s="181"/>
      <c r="U1755" s="181"/>
      <c r="V1755" s="37"/>
      <c r="W1755" s="181"/>
      <c r="X1755" s="38"/>
      <c r="Y1755" s="38"/>
      <c r="Z1755" s="38"/>
      <c r="AA1755" s="38"/>
      <c r="AB1755" s="248"/>
      <c r="AC1755" s="250"/>
      <c r="AD1755" s="181"/>
      <c r="AE1755" s="37"/>
      <c r="AF1755" s="37"/>
      <c r="AG1755" s="33"/>
      <c r="AH1755" s="37"/>
      <c r="AI1755" s="37"/>
      <c r="AJ1755" s="181"/>
      <c r="AK1755" s="37"/>
      <c r="AL1755" s="37"/>
      <c r="AM1755" s="181"/>
      <c r="AN1755" s="37"/>
      <c r="AO1755" s="37"/>
      <c r="AP1755" s="37"/>
      <c r="AQ1755" s="37"/>
      <c r="AR1755" s="37"/>
      <c r="AS1755" s="37"/>
      <c r="AT1755" s="37"/>
      <c r="AU1755" s="37"/>
      <c r="AV1755" s="37"/>
      <c r="AW1755" s="37"/>
      <c r="AX1755" s="37"/>
      <c r="AY1755" s="37"/>
      <c r="AZ1755" s="37"/>
    </row>
    <row r="1756" spans="1:52" ht="15.5" customHeight="1">
      <c r="A1756" s="360"/>
      <c r="B1756" s="340"/>
      <c r="C1756" s="181"/>
      <c r="D1756" s="30"/>
      <c r="E1756" s="30"/>
      <c r="F1756" s="30"/>
      <c r="G1756" s="37"/>
      <c r="H1756" s="37"/>
      <c r="I1756" s="37"/>
      <c r="J1756" s="37" t="s">
        <v>69</v>
      </c>
      <c r="K1756" s="325" t="s">
        <v>69</v>
      </c>
      <c r="L1756" s="181"/>
      <c r="M1756" s="181"/>
      <c r="N1756" s="37"/>
      <c r="O1756" s="31"/>
      <c r="P1756" s="37"/>
      <c r="Q1756" s="181"/>
      <c r="R1756" s="181"/>
      <c r="S1756" s="181"/>
      <c r="T1756" s="181"/>
      <c r="U1756" s="181"/>
      <c r="V1756" s="37"/>
      <c r="W1756" s="181"/>
      <c r="X1756" s="38"/>
      <c r="Y1756" s="38"/>
      <c r="Z1756" s="38"/>
      <c r="AA1756" s="38"/>
      <c r="AB1756" s="248"/>
      <c r="AC1756" s="250"/>
      <c r="AD1756" s="181"/>
      <c r="AE1756" s="37"/>
      <c r="AF1756" s="37"/>
      <c r="AG1756" s="33"/>
      <c r="AH1756" s="37"/>
      <c r="AI1756" s="37"/>
      <c r="AJ1756" s="181"/>
      <c r="AK1756" s="37"/>
      <c r="AL1756" s="37"/>
      <c r="AM1756" s="181"/>
      <c r="AN1756" s="37"/>
      <c r="AO1756" s="37"/>
      <c r="AP1756" s="37"/>
      <c r="AQ1756" s="37"/>
      <c r="AR1756" s="37"/>
      <c r="AS1756" s="37"/>
      <c r="AT1756" s="37"/>
      <c r="AU1756" s="37"/>
      <c r="AV1756" s="37"/>
      <c r="AW1756" s="37"/>
      <c r="AX1756" s="37"/>
      <c r="AY1756" s="37"/>
      <c r="AZ1756" s="37"/>
    </row>
    <row r="1757" spans="1:52" ht="15.5" customHeight="1">
      <c r="A1757" s="360"/>
      <c r="B1757" s="340"/>
      <c r="C1757" s="181"/>
      <c r="D1757" s="30"/>
      <c r="E1757" s="30"/>
      <c r="F1757" s="30"/>
      <c r="G1757" s="37"/>
      <c r="H1757" s="37"/>
      <c r="I1757" s="37"/>
      <c r="J1757" s="37" t="s">
        <v>69</v>
      </c>
      <c r="K1757" s="325" t="s">
        <v>69</v>
      </c>
      <c r="L1757" s="181"/>
      <c r="M1757" s="181"/>
      <c r="N1757" s="37"/>
      <c r="O1757" s="31"/>
      <c r="P1757" s="37"/>
      <c r="Q1757" s="181"/>
      <c r="R1757" s="181"/>
      <c r="S1757" s="181"/>
      <c r="T1757" s="181"/>
      <c r="U1757" s="181"/>
      <c r="V1757" s="37"/>
      <c r="W1757" s="181"/>
      <c r="X1757" s="38"/>
      <c r="Y1757" s="38"/>
      <c r="Z1757" s="38"/>
      <c r="AA1757" s="38"/>
      <c r="AB1757" s="248"/>
      <c r="AC1757" s="250"/>
      <c r="AD1757" s="181"/>
      <c r="AE1757" s="37"/>
      <c r="AF1757" s="37"/>
      <c r="AG1757" s="33"/>
      <c r="AH1757" s="37"/>
      <c r="AI1757" s="37"/>
      <c r="AJ1757" s="181"/>
      <c r="AK1757" s="37"/>
      <c r="AL1757" s="37"/>
      <c r="AM1757" s="181"/>
      <c r="AN1757" s="37"/>
      <c r="AO1757" s="37"/>
      <c r="AP1757" s="37"/>
      <c r="AQ1757" s="37"/>
      <c r="AR1757" s="37"/>
      <c r="AS1757" s="37"/>
      <c r="AT1757" s="37"/>
      <c r="AU1757" s="37"/>
      <c r="AV1757" s="37"/>
      <c r="AW1757" s="37"/>
      <c r="AX1757" s="37"/>
      <c r="AY1757" s="37"/>
      <c r="AZ1757" s="37"/>
    </row>
    <row r="1758" spans="1:52" ht="15.5" customHeight="1">
      <c r="A1758" s="360"/>
      <c r="B1758" s="340"/>
      <c r="C1758" s="181"/>
      <c r="D1758" s="30"/>
      <c r="E1758" s="30"/>
      <c r="F1758" s="30"/>
      <c r="G1758" s="37"/>
      <c r="H1758" s="37"/>
      <c r="I1758" s="37"/>
      <c r="J1758" s="37" t="s">
        <v>69</v>
      </c>
      <c r="K1758" s="325" t="s">
        <v>69</v>
      </c>
      <c r="L1758" s="181"/>
      <c r="M1758" s="181"/>
      <c r="N1758" s="37"/>
      <c r="O1758" s="31"/>
      <c r="P1758" s="37"/>
      <c r="Q1758" s="181"/>
      <c r="R1758" s="181"/>
      <c r="S1758" s="181"/>
      <c r="T1758" s="181"/>
      <c r="U1758" s="181"/>
      <c r="V1758" s="37"/>
      <c r="W1758" s="181"/>
      <c r="X1758" s="38"/>
      <c r="Y1758" s="38"/>
      <c r="Z1758" s="38"/>
      <c r="AA1758" s="38"/>
      <c r="AB1758" s="248"/>
      <c r="AC1758" s="250"/>
      <c r="AD1758" s="181"/>
      <c r="AE1758" s="37"/>
      <c r="AF1758" s="37"/>
      <c r="AG1758" s="33"/>
      <c r="AH1758" s="37"/>
      <c r="AI1758" s="37"/>
      <c r="AJ1758" s="181"/>
      <c r="AK1758" s="37"/>
      <c r="AL1758" s="37"/>
      <c r="AM1758" s="181"/>
      <c r="AN1758" s="37"/>
      <c r="AO1758" s="37"/>
      <c r="AP1758" s="37"/>
      <c r="AQ1758" s="37"/>
      <c r="AR1758" s="37"/>
      <c r="AS1758" s="37"/>
      <c r="AT1758" s="37"/>
      <c r="AU1758" s="37"/>
      <c r="AV1758" s="37"/>
      <c r="AW1758" s="37"/>
      <c r="AX1758" s="37"/>
      <c r="AY1758" s="37"/>
      <c r="AZ1758" s="37"/>
    </row>
    <row r="1759" spans="1:52" ht="15.5" customHeight="1">
      <c r="A1759" s="360"/>
      <c r="B1759" s="340"/>
      <c r="C1759" s="181"/>
      <c r="D1759" s="30"/>
      <c r="E1759" s="30"/>
      <c r="F1759" s="30"/>
      <c r="G1759" s="37"/>
      <c r="H1759" s="37"/>
      <c r="I1759" s="37"/>
      <c r="J1759" s="37" t="s">
        <v>69</v>
      </c>
      <c r="K1759" s="325" t="s">
        <v>69</v>
      </c>
      <c r="L1759" s="181"/>
      <c r="M1759" s="181"/>
      <c r="N1759" s="37"/>
      <c r="O1759" s="31"/>
      <c r="P1759" s="37"/>
      <c r="Q1759" s="181"/>
      <c r="R1759" s="181"/>
      <c r="S1759" s="181"/>
      <c r="T1759" s="181"/>
      <c r="U1759" s="181"/>
      <c r="V1759" s="37"/>
      <c r="W1759" s="181"/>
      <c r="X1759" s="38"/>
      <c r="Y1759" s="38"/>
      <c r="Z1759" s="38"/>
      <c r="AA1759" s="38"/>
      <c r="AB1759" s="248"/>
      <c r="AC1759" s="250"/>
      <c r="AD1759" s="181"/>
      <c r="AE1759" s="37"/>
      <c r="AF1759" s="37"/>
      <c r="AG1759" s="33"/>
      <c r="AH1759" s="37"/>
      <c r="AI1759" s="37"/>
      <c r="AJ1759" s="181"/>
      <c r="AK1759" s="37"/>
      <c r="AL1759" s="37"/>
      <c r="AM1759" s="181"/>
      <c r="AN1759" s="37"/>
      <c r="AO1759" s="37"/>
      <c r="AP1759" s="37"/>
      <c r="AQ1759" s="37"/>
      <c r="AR1759" s="37"/>
      <c r="AS1759" s="37"/>
      <c r="AT1759" s="37"/>
      <c r="AU1759" s="37"/>
      <c r="AV1759" s="37"/>
      <c r="AW1759" s="37"/>
      <c r="AX1759" s="37"/>
      <c r="AY1759" s="37"/>
      <c r="AZ1759" s="37"/>
    </row>
    <row r="1760" spans="1:52" ht="15.5" customHeight="1">
      <c r="A1760" s="360"/>
      <c r="B1760" s="340"/>
      <c r="C1760" s="181"/>
      <c r="D1760" s="30"/>
      <c r="E1760" s="30"/>
      <c r="F1760" s="30"/>
      <c r="G1760" s="37"/>
      <c r="H1760" s="37"/>
      <c r="I1760" s="37"/>
      <c r="J1760" s="37" t="s">
        <v>69</v>
      </c>
      <c r="K1760" s="325" t="s">
        <v>69</v>
      </c>
      <c r="L1760" s="181"/>
      <c r="M1760" s="181"/>
      <c r="N1760" s="37"/>
      <c r="O1760" s="31"/>
      <c r="P1760" s="37"/>
      <c r="Q1760" s="181"/>
      <c r="R1760" s="181"/>
      <c r="S1760" s="181"/>
      <c r="T1760" s="181"/>
      <c r="U1760" s="181"/>
      <c r="V1760" s="37"/>
      <c r="W1760" s="181"/>
      <c r="X1760" s="38"/>
      <c r="Y1760" s="38"/>
      <c r="Z1760" s="38"/>
      <c r="AA1760" s="38"/>
      <c r="AB1760" s="248"/>
      <c r="AC1760" s="250"/>
      <c r="AD1760" s="181"/>
      <c r="AE1760" s="37"/>
      <c r="AF1760" s="37"/>
      <c r="AG1760" s="33"/>
      <c r="AH1760" s="37"/>
      <c r="AI1760" s="37"/>
      <c r="AJ1760" s="181"/>
      <c r="AK1760" s="37"/>
      <c r="AL1760" s="37"/>
      <c r="AM1760" s="181"/>
      <c r="AN1760" s="37"/>
      <c r="AO1760" s="37"/>
      <c r="AP1760" s="37"/>
      <c r="AQ1760" s="37"/>
      <c r="AR1760" s="37"/>
      <c r="AS1760" s="37"/>
      <c r="AT1760" s="37"/>
      <c r="AU1760" s="37"/>
      <c r="AV1760" s="37"/>
      <c r="AW1760" s="37"/>
      <c r="AX1760" s="37"/>
      <c r="AY1760" s="37"/>
      <c r="AZ1760" s="37"/>
    </row>
    <row r="1761" spans="1:52" ht="15.5" customHeight="1">
      <c r="A1761" s="360"/>
      <c r="B1761" s="340"/>
      <c r="C1761" s="181"/>
      <c r="D1761" s="30"/>
      <c r="E1761" s="30"/>
      <c r="F1761" s="30"/>
      <c r="G1761" s="37"/>
      <c r="H1761" s="37"/>
      <c r="I1761" s="37"/>
      <c r="J1761" s="37" t="s">
        <v>69</v>
      </c>
      <c r="K1761" s="325" t="s">
        <v>69</v>
      </c>
      <c r="L1761" s="181"/>
      <c r="M1761" s="181"/>
      <c r="N1761" s="37"/>
      <c r="O1761" s="31"/>
      <c r="P1761" s="37"/>
      <c r="Q1761" s="181"/>
      <c r="R1761" s="181"/>
      <c r="S1761" s="181"/>
      <c r="T1761" s="181"/>
      <c r="U1761" s="181"/>
      <c r="V1761" s="37"/>
      <c r="W1761" s="181"/>
      <c r="X1761" s="38"/>
      <c r="Y1761" s="38"/>
      <c r="Z1761" s="38"/>
      <c r="AA1761" s="38"/>
      <c r="AB1761" s="248"/>
      <c r="AC1761" s="250"/>
      <c r="AD1761" s="181"/>
      <c r="AE1761" s="37"/>
      <c r="AF1761" s="37"/>
      <c r="AG1761" s="33"/>
      <c r="AH1761" s="37"/>
      <c r="AI1761" s="37"/>
      <c r="AJ1761" s="181"/>
      <c r="AK1761" s="37"/>
      <c r="AL1761" s="37"/>
      <c r="AM1761" s="181"/>
      <c r="AN1761" s="37"/>
      <c r="AO1761" s="37"/>
      <c r="AP1761" s="37"/>
      <c r="AQ1761" s="37"/>
      <c r="AR1761" s="37"/>
      <c r="AS1761" s="37"/>
      <c r="AT1761" s="37"/>
      <c r="AU1761" s="37"/>
      <c r="AV1761" s="37"/>
      <c r="AW1761" s="37"/>
      <c r="AX1761" s="37"/>
      <c r="AY1761" s="37"/>
      <c r="AZ1761" s="37"/>
    </row>
    <row r="1762" spans="1:52" ht="15.5" customHeight="1">
      <c r="A1762" s="360"/>
      <c r="B1762" s="340"/>
      <c r="C1762" s="181"/>
      <c r="D1762" s="30"/>
      <c r="E1762" s="30"/>
      <c r="F1762" s="30"/>
      <c r="G1762" s="37"/>
      <c r="H1762" s="37"/>
      <c r="I1762" s="37"/>
      <c r="J1762" s="37" t="s">
        <v>69</v>
      </c>
      <c r="K1762" s="325" t="s">
        <v>69</v>
      </c>
      <c r="L1762" s="181"/>
      <c r="M1762" s="181"/>
      <c r="N1762" s="37"/>
      <c r="O1762" s="31"/>
      <c r="P1762" s="37"/>
      <c r="Q1762" s="181"/>
      <c r="R1762" s="181"/>
      <c r="S1762" s="181"/>
      <c r="T1762" s="181"/>
      <c r="U1762" s="181"/>
      <c r="V1762" s="37"/>
      <c r="W1762" s="181"/>
      <c r="X1762" s="38"/>
      <c r="Y1762" s="38"/>
      <c r="Z1762" s="38"/>
      <c r="AA1762" s="38"/>
      <c r="AB1762" s="248"/>
      <c r="AC1762" s="250"/>
      <c r="AD1762" s="181"/>
      <c r="AE1762" s="37"/>
      <c r="AF1762" s="37"/>
      <c r="AG1762" s="33"/>
      <c r="AH1762" s="37"/>
      <c r="AI1762" s="37"/>
      <c r="AJ1762" s="181"/>
      <c r="AK1762" s="37"/>
      <c r="AL1762" s="37"/>
      <c r="AM1762" s="181"/>
      <c r="AN1762" s="37"/>
      <c r="AO1762" s="37"/>
      <c r="AP1762" s="37"/>
      <c r="AQ1762" s="37"/>
      <c r="AR1762" s="37"/>
      <c r="AS1762" s="37"/>
      <c r="AT1762" s="37"/>
      <c r="AU1762" s="37"/>
      <c r="AV1762" s="37"/>
      <c r="AW1762" s="37"/>
      <c r="AX1762" s="37"/>
      <c r="AY1762" s="37"/>
      <c r="AZ1762" s="37"/>
    </row>
    <row r="1763" spans="1:52" ht="15.5" customHeight="1">
      <c r="A1763" s="360"/>
      <c r="B1763" s="340"/>
      <c r="C1763" s="181"/>
      <c r="D1763" s="30"/>
      <c r="E1763" s="30"/>
      <c r="F1763" s="30"/>
      <c r="G1763" s="37"/>
      <c r="H1763" s="37"/>
      <c r="I1763" s="37"/>
      <c r="J1763" s="37" t="s">
        <v>69</v>
      </c>
      <c r="K1763" s="325" t="s">
        <v>69</v>
      </c>
      <c r="L1763" s="181"/>
      <c r="M1763" s="181"/>
      <c r="N1763" s="37"/>
      <c r="O1763" s="31"/>
      <c r="P1763" s="37"/>
      <c r="Q1763" s="181"/>
      <c r="R1763" s="181"/>
      <c r="S1763" s="181"/>
      <c r="T1763" s="181"/>
      <c r="U1763" s="181"/>
      <c r="V1763" s="37"/>
      <c r="W1763" s="181"/>
      <c r="X1763" s="38"/>
      <c r="Y1763" s="38"/>
      <c r="Z1763" s="38"/>
      <c r="AA1763" s="38"/>
      <c r="AB1763" s="248"/>
      <c r="AC1763" s="250"/>
      <c r="AD1763" s="181"/>
      <c r="AE1763" s="37"/>
      <c r="AF1763" s="37"/>
      <c r="AG1763" s="33"/>
      <c r="AH1763" s="37"/>
      <c r="AI1763" s="37"/>
      <c r="AJ1763" s="181"/>
      <c r="AK1763" s="37"/>
      <c r="AL1763" s="37"/>
      <c r="AM1763" s="181"/>
      <c r="AN1763" s="37"/>
      <c r="AO1763" s="37"/>
      <c r="AP1763" s="37"/>
      <c r="AQ1763" s="37"/>
      <c r="AR1763" s="37"/>
      <c r="AS1763" s="37"/>
      <c r="AT1763" s="37"/>
      <c r="AU1763" s="37"/>
      <c r="AV1763" s="37"/>
      <c r="AW1763" s="37"/>
      <c r="AX1763" s="37"/>
      <c r="AY1763" s="37"/>
      <c r="AZ1763" s="37"/>
    </row>
    <row r="1764" spans="1:52" ht="15.5" customHeight="1">
      <c r="A1764" s="360"/>
      <c r="B1764" s="340"/>
      <c r="C1764" s="181"/>
      <c r="D1764" s="30"/>
      <c r="E1764" s="30"/>
      <c r="F1764" s="30"/>
      <c r="G1764" s="37"/>
      <c r="H1764" s="37"/>
      <c r="I1764" s="37"/>
      <c r="J1764" s="37" t="s">
        <v>69</v>
      </c>
      <c r="K1764" s="325" t="s">
        <v>69</v>
      </c>
      <c r="L1764" s="181"/>
      <c r="M1764" s="181"/>
      <c r="N1764" s="37"/>
      <c r="O1764" s="31"/>
      <c r="P1764" s="37"/>
      <c r="Q1764" s="181"/>
      <c r="R1764" s="181"/>
      <c r="S1764" s="181"/>
      <c r="T1764" s="181"/>
      <c r="U1764" s="181"/>
      <c r="V1764" s="37"/>
      <c r="W1764" s="181"/>
      <c r="X1764" s="38"/>
      <c r="Y1764" s="38"/>
      <c r="Z1764" s="38"/>
      <c r="AA1764" s="38"/>
      <c r="AB1764" s="248"/>
      <c r="AC1764" s="250"/>
      <c r="AD1764" s="181"/>
      <c r="AE1764" s="37"/>
      <c r="AF1764" s="37"/>
      <c r="AG1764" s="33"/>
      <c r="AH1764" s="37"/>
      <c r="AI1764" s="37"/>
      <c r="AJ1764" s="181"/>
      <c r="AK1764" s="37"/>
      <c r="AL1764" s="37"/>
      <c r="AM1764" s="181"/>
      <c r="AN1764" s="37"/>
      <c r="AO1764" s="37"/>
      <c r="AP1764" s="37"/>
      <c r="AQ1764" s="37"/>
      <c r="AR1764" s="37"/>
      <c r="AS1764" s="37"/>
      <c r="AT1764" s="37"/>
      <c r="AU1764" s="37"/>
      <c r="AV1764" s="37"/>
      <c r="AW1764" s="37"/>
      <c r="AX1764" s="37"/>
      <c r="AY1764" s="37"/>
      <c r="AZ1764" s="37"/>
    </row>
    <row r="1765" spans="1:52" ht="15.5" customHeight="1">
      <c r="A1765" s="360"/>
      <c r="B1765" s="340"/>
      <c r="C1765" s="181"/>
      <c r="D1765" s="30"/>
      <c r="E1765" s="30"/>
      <c r="F1765" s="30"/>
      <c r="G1765" s="37"/>
      <c r="H1765" s="37"/>
      <c r="I1765" s="37"/>
      <c r="J1765" s="37" t="s">
        <v>69</v>
      </c>
      <c r="K1765" s="325" t="s">
        <v>69</v>
      </c>
      <c r="L1765" s="181"/>
      <c r="M1765" s="181"/>
      <c r="N1765" s="37"/>
      <c r="O1765" s="31"/>
      <c r="P1765" s="37"/>
      <c r="Q1765" s="181"/>
      <c r="R1765" s="181"/>
      <c r="S1765" s="181"/>
      <c r="T1765" s="181"/>
      <c r="U1765" s="181"/>
      <c r="V1765" s="37"/>
      <c r="W1765" s="181"/>
      <c r="X1765" s="38"/>
      <c r="Y1765" s="38"/>
      <c r="Z1765" s="38"/>
      <c r="AA1765" s="38"/>
      <c r="AB1765" s="248"/>
      <c r="AC1765" s="250"/>
      <c r="AD1765" s="181"/>
      <c r="AE1765" s="37"/>
      <c r="AF1765" s="37"/>
      <c r="AG1765" s="33"/>
      <c r="AH1765" s="37"/>
      <c r="AI1765" s="37"/>
      <c r="AJ1765" s="181"/>
      <c r="AK1765" s="37"/>
      <c r="AL1765" s="37"/>
      <c r="AM1765" s="181"/>
      <c r="AN1765" s="37"/>
      <c r="AO1765" s="37"/>
      <c r="AP1765" s="37"/>
      <c r="AQ1765" s="37"/>
      <c r="AR1765" s="37"/>
      <c r="AS1765" s="37"/>
      <c r="AT1765" s="37"/>
      <c r="AU1765" s="37"/>
      <c r="AV1765" s="37"/>
      <c r="AW1765" s="37"/>
      <c r="AX1765" s="37"/>
      <c r="AY1765" s="37"/>
      <c r="AZ1765" s="37"/>
    </row>
    <row r="1766" spans="1:52" ht="15.5" customHeight="1">
      <c r="A1766" s="360"/>
      <c r="B1766" s="340"/>
      <c r="C1766" s="181"/>
      <c r="D1766" s="30"/>
      <c r="E1766" s="30"/>
      <c r="F1766" s="30"/>
      <c r="G1766" s="37"/>
      <c r="H1766" s="37"/>
      <c r="I1766" s="37"/>
      <c r="J1766" s="37" t="s">
        <v>69</v>
      </c>
      <c r="K1766" s="325" t="s">
        <v>69</v>
      </c>
      <c r="L1766" s="181"/>
      <c r="M1766" s="181"/>
      <c r="N1766" s="37"/>
      <c r="O1766" s="31"/>
      <c r="P1766" s="37"/>
      <c r="Q1766" s="181"/>
      <c r="R1766" s="181"/>
      <c r="S1766" s="181"/>
      <c r="T1766" s="181"/>
      <c r="U1766" s="181"/>
      <c r="V1766" s="37"/>
      <c r="W1766" s="181"/>
      <c r="X1766" s="38"/>
      <c r="Y1766" s="38"/>
      <c r="Z1766" s="38"/>
      <c r="AA1766" s="38"/>
      <c r="AB1766" s="248"/>
      <c r="AC1766" s="250"/>
      <c r="AD1766" s="181"/>
      <c r="AE1766" s="37"/>
      <c r="AF1766" s="37"/>
      <c r="AG1766" s="33"/>
      <c r="AH1766" s="37"/>
      <c r="AI1766" s="37"/>
      <c r="AJ1766" s="181"/>
      <c r="AK1766" s="37"/>
      <c r="AL1766" s="37"/>
      <c r="AM1766" s="181"/>
      <c r="AN1766" s="37"/>
      <c r="AO1766" s="37"/>
      <c r="AP1766" s="37"/>
      <c r="AQ1766" s="37"/>
      <c r="AR1766" s="37"/>
      <c r="AS1766" s="37"/>
      <c r="AT1766" s="37"/>
      <c r="AU1766" s="37"/>
      <c r="AV1766" s="37"/>
      <c r="AW1766" s="37"/>
      <c r="AX1766" s="37"/>
      <c r="AY1766" s="37"/>
      <c r="AZ1766" s="37"/>
    </row>
    <row r="1767" spans="1:52" ht="15.5" customHeight="1">
      <c r="A1767" s="360"/>
      <c r="B1767" s="340"/>
      <c r="C1767" s="181"/>
      <c r="D1767" s="30"/>
      <c r="E1767" s="30"/>
      <c r="F1767" s="30"/>
      <c r="G1767" s="37"/>
      <c r="H1767" s="37"/>
      <c r="I1767" s="37"/>
      <c r="J1767" s="37" t="s">
        <v>69</v>
      </c>
      <c r="K1767" s="325" t="s">
        <v>69</v>
      </c>
      <c r="L1767" s="181"/>
      <c r="M1767" s="181"/>
      <c r="N1767" s="37"/>
      <c r="O1767" s="31"/>
      <c r="P1767" s="37"/>
      <c r="Q1767" s="181"/>
      <c r="R1767" s="181"/>
      <c r="S1767" s="181"/>
      <c r="T1767" s="181"/>
      <c r="U1767" s="181"/>
      <c r="V1767" s="37"/>
      <c r="W1767" s="181"/>
      <c r="X1767" s="38"/>
      <c r="Y1767" s="38"/>
      <c r="Z1767" s="38"/>
      <c r="AA1767" s="38"/>
      <c r="AB1767" s="248"/>
      <c r="AC1767" s="250"/>
      <c r="AD1767" s="181"/>
      <c r="AE1767" s="37"/>
      <c r="AF1767" s="37"/>
      <c r="AG1767" s="33"/>
      <c r="AH1767" s="37"/>
      <c r="AI1767" s="37"/>
      <c r="AJ1767" s="181"/>
      <c r="AK1767" s="37"/>
      <c r="AL1767" s="37"/>
      <c r="AM1767" s="181"/>
      <c r="AN1767" s="37"/>
      <c r="AO1767" s="37"/>
      <c r="AP1767" s="37"/>
      <c r="AQ1767" s="37"/>
      <c r="AR1767" s="37"/>
      <c r="AS1767" s="37"/>
      <c r="AT1767" s="37"/>
      <c r="AU1767" s="37"/>
      <c r="AV1767" s="37"/>
      <c r="AW1767" s="37"/>
      <c r="AX1767" s="37"/>
      <c r="AY1767" s="37"/>
      <c r="AZ1767" s="37"/>
    </row>
    <row r="1768" spans="1:52" ht="15.5" customHeight="1">
      <c r="A1768" s="360"/>
      <c r="B1768" s="340"/>
      <c r="C1768" s="181"/>
      <c r="D1768" s="30"/>
      <c r="E1768" s="30"/>
      <c r="F1768" s="30"/>
      <c r="G1768" s="37"/>
      <c r="H1768" s="37"/>
      <c r="I1768" s="37"/>
      <c r="J1768" s="37" t="s">
        <v>69</v>
      </c>
      <c r="K1768" s="325" t="s">
        <v>69</v>
      </c>
      <c r="L1768" s="181"/>
      <c r="M1768" s="181"/>
      <c r="N1768" s="37"/>
      <c r="O1768" s="31"/>
      <c r="P1768" s="37"/>
      <c r="Q1768" s="181"/>
      <c r="R1768" s="181"/>
      <c r="S1768" s="181"/>
      <c r="T1768" s="181"/>
      <c r="U1768" s="181"/>
      <c r="V1768" s="37"/>
      <c r="W1768" s="181"/>
      <c r="X1768" s="38"/>
      <c r="Y1768" s="38"/>
      <c r="Z1768" s="38"/>
      <c r="AA1768" s="38"/>
      <c r="AB1768" s="248"/>
      <c r="AC1768" s="250"/>
      <c r="AD1768" s="181"/>
      <c r="AE1768" s="37"/>
      <c r="AF1768" s="37"/>
      <c r="AG1768" s="33"/>
      <c r="AH1768" s="37"/>
      <c r="AI1768" s="37"/>
      <c r="AJ1768" s="181"/>
      <c r="AK1768" s="37"/>
      <c r="AL1768" s="37"/>
      <c r="AM1768" s="181"/>
      <c r="AN1768" s="37"/>
      <c r="AO1768" s="37"/>
      <c r="AP1768" s="37"/>
      <c r="AQ1768" s="37"/>
      <c r="AR1768" s="37"/>
      <c r="AS1768" s="37"/>
      <c r="AT1768" s="37"/>
      <c r="AU1768" s="37"/>
      <c r="AV1768" s="37"/>
      <c r="AW1768" s="37"/>
      <c r="AX1768" s="37"/>
      <c r="AY1768" s="37"/>
      <c r="AZ1768" s="37"/>
    </row>
    <row r="1769" spans="1:52" ht="15.5" customHeight="1">
      <c r="A1769" s="360"/>
      <c r="B1769" s="340"/>
      <c r="C1769" s="181"/>
      <c r="D1769" s="30"/>
      <c r="E1769" s="30"/>
      <c r="F1769" s="30"/>
      <c r="G1769" s="37"/>
      <c r="H1769" s="37"/>
      <c r="I1769" s="37"/>
      <c r="J1769" s="37" t="s">
        <v>69</v>
      </c>
      <c r="K1769" s="325" t="s">
        <v>69</v>
      </c>
      <c r="L1769" s="181"/>
      <c r="M1769" s="181"/>
      <c r="N1769" s="37"/>
      <c r="O1769" s="31"/>
      <c r="P1769" s="37"/>
      <c r="Q1769" s="181"/>
      <c r="R1769" s="181"/>
      <c r="S1769" s="181"/>
      <c r="T1769" s="181"/>
      <c r="U1769" s="181"/>
      <c r="V1769" s="37"/>
      <c r="W1769" s="181"/>
      <c r="X1769" s="38"/>
      <c r="Y1769" s="38"/>
      <c r="Z1769" s="38"/>
      <c r="AA1769" s="38"/>
      <c r="AB1769" s="248"/>
      <c r="AC1769" s="250"/>
      <c r="AD1769" s="181"/>
      <c r="AE1769" s="37"/>
      <c r="AF1769" s="37"/>
      <c r="AG1769" s="33"/>
      <c r="AH1769" s="37"/>
      <c r="AI1769" s="37"/>
      <c r="AJ1769" s="181"/>
      <c r="AK1769" s="37"/>
      <c r="AL1769" s="37"/>
      <c r="AM1769" s="181"/>
      <c r="AN1769" s="37"/>
      <c r="AO1769" s="37"/>
      <c r="AP1769" s="37"/>
      <c r="AQ1769" s="37"/>
      <c r="AR1769" s="37"/>
      <c r="AS1769" s="37"/>
      <c r="AT1769" s="37"/>
      <c r="AU1769" s="37"/>
      <c r="AV1769" s="37"/>
      <c r="AW1769" s="37"/>
      <c r="AX1769" s="37"/>
      <c r="AY1769" s="37"/>
      <c r="AZ1769" s="37"/>
    </row>
    <row r="1770" spans="1:52" ht="15.5" customHeight="1">
      <c r="A1770" s="360"/>
      <c r="B1770" s="340"/>
      <c r="C1770" s="181"/>
      <c r="D1770" s="30"/>
      <c r="E1770" s="30"/>
      <c r="F1770" s="30"/>
      <c r="G1770" s="37"/>
      <c r="H1770" s="37"/>
      <c r="I1770" s="37"/>
      <c r="J1770" s="37" t="s">
        <v>69</v>
      </c>
      <c r="K1770" s="325" t="s">
        <v>69</v>
      </c>
      <c r="L1770" s="181"/>
      <c r="M1770" s="181"/>
      <c r="N1770" s="37"/>
      <c r="O1770" s="31"/>
      <c r="P1770" s="37"/>
      <c r="Q1770" s="181"/>
      <c r="R1770" s="181"/>
      <c r="S1770" s="181"/>
      <c r="T1770" s="181"/>
      <c r="U1770" s="181"/>
      <c r="V1770" s="37"/>
      <c r="W1770" s="181"/>
      <c r="X1770" s="38"/>
      <c r="Y1770" s="38"/>
      <c r="Z1770" s="38"/>
      <c r="AA1770" s="38"/>
      <c r="AB1770" s="248"/>
      <c r="AC1770" s="250"/>
      <c r="AD1770" s="181"/>
      <c r="AE1770" s="37"/>
      <c r="AF1770" s="37"/>
      <c r="AG1770" s="33"/>
      <c r="AH1770" s="37"/>
      <c r="AI1770" s="37"/>
      <c r="AJ1770" s="181"/>
      <c r="AK1770" s="37"/>
      <c r="AL1770" s="37"/>
      <c r="AM1770" s="181"/>
      <c r="AN1770" s="37"/>
      <c r="AO1770" s="37"/>
      <c r="AP1770" s="37"/>
      <c r="AQ1770" s="37"/>
      <c r="AR1770" s="37"/>
      <c r="AS1770" s="37"/>
      <c r="AT1770" s="37"/>
      <c r="AU1770" s="37"/>
      <c r="AV1770" s="37"/>
      <c r="AW1770" s="37"/>
      <c r="AX1770" s="37"/>
      <c r="AY1770" s="37"/>
      <c r="AZ1770" s="37"/>
    </row>
    <row r="1771" spans="1:52" ht="15.5" customHeight="1">
      <c r="A1771" s="360"/>
      <c r="B1771" s="340"/>
      <c r="C1771" s="181"/>
      <c r="D1771" s="30"/>
      <c r="E1771" s="30"/>
      <c r="F1771" s="30"/>
      <c r="G1771" s="37"/>
      <c r="H1771" s="37"/>
      <c r="I1771" s="37"/>
      <c r="J1771" s="37" t="s">
        <v>69</v>
      </c>
      <c r="K1771" s="325" t="s">
        <v>69</v>
      </c>
      <c r="L1771" s="181"/>
      <c r="M1771" s="181"/>
      <c r="N1771" s="37"/>
      <c r="O1771" s="31"/>
      <c r="P1771" s="37"/>
      <c r="Q1771" s="181"/>
      <c r="R1771" s="181"/>
      <c r="S1771" s="181"/>
      <c r="T1771" s="181"/>
      <c r="U1771" s="181"/>
      <c r="V1771" s="37"/>
      <c r="W1771" s="181"/>
      <c r="X1771" s="38"/>
      <c r="Y1771" s="38"/>
      <c r="Z1771" s="38"/>
      <c r="AA1771" s="38"/>
      <c r="AB1771" s="248"/>
      <c r="AC1771" s="250"/>
      <c r="AD1771" s="181"/>
      <c r="AE1771" s="37"/>
      <c r="AF1771" s="37"/>
      <c r="AG1771" s="33"/>
      <c r="AH1771" s="37"/>
      <c r="AI1771" s="37"/>
      <c r="AJ1771" s="181"/>
      <c r="AK1771" s="37"/>
      <c r="AL1771" s="37"/>
      <c r="AM1771" s="181"/>
      <c r="AN1771" s="37"/>
      <c r="AO1771" s="37"/>
      <c r="AP1771" s="37"/>
      <c r="AQ1771" s="37"/>
      <c r="AR1771" s="37"/>
      <c r="AS1771" s="37"/>
      <c r="AT1771" s="37"/>
      <c r="AU1771" s="37"/>
      <c r="AV1771" s="37"/>
      <c r="AW1771" s="37"/>
      <c r="AX1771" s="37"/>
      <c r="AY1771" s="37"/>
      <c r="AZ1771" s="37"/>
    </row>
    <row r="1772" spans="1:52" ht="15.5" customHeight="1">
      <c r="A1772" s="360"/>
      <c r="B1772" s="340"/>
      <c r="C1772" s="181"/>
      <c r="D1772" s="30"/>
      <c r="E1772" s="30"/>
      <c r="F1772" s="30"/>
      <c r="G1772" s="37"/>
      <c r="H1772" s="37"/>
      <c r="I1772" s="37"/>
      <c r="J1772" s="37" t="s">
        <v>69</v>
      </c>
      <c r="K1772" s="325" t="s">
        <v>69</v>
      </c>
      <c r="L1772" s="181"/>
      <c r="M1772" s="181"/>
      <c r="N1772" s="37"/>
      <c r="O1772" s="31"/>
      <c r="P1772" s="37"/>
      <c r="Q1772" s="181"/>
      <c r="R1772" s="181"/>
      <c r="S1772" s="181"/>
      <c r="T1772" s="181"/>
      <c r="U1772" s="181"/>
      <c r="V1772" s="37"/>
      <c r="W1772" s="181"/>
      <c r="X1772" s="38"/>
      <c r="Y1772" s="38"/>
      <c r="Z1772" s="38"/>
      <c r="AA1772" s="38"/>
      <c r="AB1772" s="248"/>
      <c r="AC1772" s="250"/>
      <c r="AD1772" s="181"/>
      <c r="AE1772" s="37"/>
      <c r="AF1772" s="37"/>
      <c r="AG1772" s="33"/>
      <c r="AH1772" s="37"/>
      <c r="AI1772" s="37"/>
      <c r="AJ1772" s="181"/>
      <c r="AK1772" s="37"/>
      <c r="AL1772" s="37"/>
      <c r="AM1772" s="181"/>
      <c r="AN1772" s="37"/>
      <c r="AO1772" s="37"/>
      <c r="AP1772" s="37"/>
      <c r="AQ1772" s="37"/>
      <c r="AR1772" s="37"/>
      <c r="AS1772" s="37"/>
      <c r="AT1772" s="37"/>
      <c r="AU1772" s="37"/>
      <c r="AV1772" s="37"/>
      <c r="AW1772" s="37"/>
      <c r="AX1772" s="37"/>
      <c r="AY1772" s="37"/>
      <c r="AZ1772" s="37"/>
    </row>
    <row r="1773" spans="1:52" ht="15.5" customHeight="1">
      <c r="A1773" s="360"/>
      <c r="B1773" s="340"/>
      <c r="C1773" s="181"/>
      <c r="D1773" s="30"/>
      <c r="E1773" s="30"/>
      <c r="F1773" s="30"/>
      <c r="G1773" s="37"/>
      <c r="H1773" s="37"/>
      <c r="I1773" s="37"/>
      <c r="J1773" s="37" t="s">
        <v>69</v>
      </c>
      <c r="K1773" s="325" t="s">
        <v>69</v>
      </c>
      <c r="L1773" s="181"/>
      <c r="M1773" s="181"/>
      <c r="N1773" s="37"/>
      <c r="O1773" s="31"/>
      <c r="P1773" s="37"/>
      <c r="Q1773" s="181"/>
      <c r="R1773" s="181"/>
      <c r="S1773" s="181"/>
      <c r="T1773" s="181"/>
      <c r="U1773" s="181"/>
      <c r="V1773" s="37"/>
      <c r="W1773" s="181"/>
      <c r="X1773" s="38"/>
      <c r="Y1773" s="38"/>
      <c r="Z1773" s="38"/>
      <c r="AA1773" s="38"/>
      <c r="AB1773" s="248"/>
      <c r="AC1773" s="250"/>
      <c r="AD1773" s="181"/>
      <c r="AE1773" s="37"/>
      <c r="AF1773" s="37"/>
      <c r="AG1773" s="33"/>
      <c r="AH1773" s="37"/>
      <c r="AI1773" s="37"/>
      <c r="AJ1773" s="181"/>
      <c r="AK1773" s="37"/>
      <c r="AL1773" s="37"/>
      <c r="AM1773" s="181"/>
      <c r="AN1773" s="37"/>
      <c r="AO1773" s="37"/>
      <c r="AP1773" s="37"/>
      <c r="AQ1773" s="37"/>
      <c r="AR1773" s="37"/>
      <c r="AS1773" s="37"/>
      <c r="AT1773" s="37"/>
      <c r="AU1773" s="37"/>
      <c r="AV1773" s="37"/>
      <c r="AW1773" s="37"/>
      <c r="AX1773" s="37"/>
      <c r="AY1773" s="37"/>
      <c r="AZ1773" s="37"/>
    </row>
    <row r="1774" spans="1:52" ht="15.5" customHeight="1">
      <c r="A1774" s="360"/>
      <c r="B1774" s="340"/>
      <c r="C1774" s="181"/>
      <c r="D1774" s="30"/>
      <c r="E1774" s="30"/>
      <c r="F1774" s="30"/>
      <c r="G1774" s="37"/>
      <c r="H1774" s="37"/>
      <c r="I1774" s="37"/>
      <c r="J1774" s="37" t="s">
        <v>69</v>
      </c>
      <c r="K1774" s="325" t="s">
        <v>69</v>
      </c>
      <c r="L1774" s="181"/>
      <c r="M1774" s="181"/>
      <c r="N1774" s="37"/>
      <c r="O1774" s="31"/>
      <c r="P1774" s="37"/>
      <c r="Q1774" s="181"/>
      <c r="R1774" s="181"/>
      <c r="S1774" s="181"/>
      <c r="T1774" s="181"/>
      <c r="U1774" s="181"/>
      <c r="V1774" s="37"/>
      <c r="W1774" s="181"/>
      <c r="X1774" s="38"/>
      <c r="Y1774" s="38"/>
      <c r="Z1774" s="38"/>
      <c r="AA1774" s="38"/>
      <c r="AB1774" s="248"/>
      <c r="AC1774" s="250"/>
      <c r="AD1774" s="181"/>
      <c r="AE1774" s="37"/>
      <c r="AF1774" s="37"/>
      <c r="AG1774" s="33"/>
      <c r="AH1774" s="37"/>
      <c r="AI1774" s="37"/>
      <c r="AJ1774" s="181"/>
      <c r="AK1774" s="37"/>
      <c r="AL1774" s="37"/>
      <c r="AM1774" s="181"/>
      <c r="AN1774" s="37"/>
      <c r="AO1774" s="37"/>
      <c r="AP1774" s="37"/>
      <c r="AQ1774" s="37"/>
      <c r="AR1774" s="37"/>
      <c r="AS1774" s="37"/>
      <c r="AT1774" s="37"/>
      <c r="AU1774" s="37"/>
      <c r="AV1774" s="37"/>
      <c r="AW1774" s="37"/>
      <c r="AX1774" s="37"/>
      <c r="AY1774" s="37"/>
      <c r="AZ1774" s="37"/>
    </row>
    <row r="1775" spans="1:52" ht="15.5" customHeight="1">
      <c r="A1775" s="360"/>
      <c r="B1775" s="340"/>
      <c r="C1775" s="181"/>
      <c r="D1775" s="30"/>
      <c r="E1775" s="30"/>
      <c r="F1775" s="30"/>
      <c r="G1775" s="37"/>
      <c r="H1775" s="37"/>
      <c r="I1775" s="37"/>
      <c r="J1775" s="37" t="s">
        <v>69</v>
      </c>
      <c r="K1775" s="325" t="s">
        <v>69</v>
      </c>
      <c r="L1775" s="181"/>
      <c r="M1775" s="181"/>
      <c r="N1775" s="37"/>
      <c r="O1775" s="31"/>
      <c r="P1775" s="37"/>
      <c r="Q1775" s="181"/>
      <c r="R1775" s="181"/>
      <c r="S1775" s="181"/>
      <c r="T1775" s="181"/>
      <c r="U1775" s="181"/>
      <c r="V1775" s="37"/>
      <c r="W1775" s="181"/>
      <c r="X1775" s="38"/>
      <c r="Y1775" s="38"/>
      <c r="Z1775" s="38"/>
      <c r="AA1775" s="38"/>
      <c r="AB1775" s="248"/>
      <c r="AC1775" s="250"/>
      <c r="AD1775" s="181"/>
      <c r="AE1775" s="37"/>
      <c r="AF1775" s="37"/>
      <c r="AG1775" s="33"/>
      <c r="AH1775" s="37"/>
      <c r="AI1775" s="37"/>
      <c r="AJ1775" s="181"/>
      <c r="AK1775" s="37"/>
      <c r="AL1775" s="37"/>
      <c r="AM1775" s="181"/>
      <c r="AN1775" s="37"/>
      <c r="AO1775" s="37"/>
      <c r="AP1775" s="37"/>
      <c r="AQ1775" s="37"/>
      <c r="AR1775" s="37"/>
      <c r="AS1775" s="37"/>
      <c r="AT1775" s="37"/>
      <c r="AU1775" s="37"/>
      <c r="AV1775" s="37"/>
      <c r="AW1775" s="37"/>
      <c r="AX1775" s="37"/>
      <c r="AY1775" s="37"/>
      <c r="AZ1775" s="37"/>
    </row>
    <row r="1776" spans="1:52" ht="15.5" customHeight="1">
      <c r="A1776" s="360"/>
      <c r="B1776" s="340"/>
      <c r="C1776" s="181"/>
      <c r="D1776" s="30"/>
      <c r="E1776" s="30"/>
      <c r="F1776" s="30"/>
      <c r="G1776" s="37"/>
      <c r="H1776" s="37"/>
      <c r="I1776" s="37"/>
      <c r="J1776" s="37" t="s">
        <v>69</v>
      </c>
      <c r="K1776" s="325" t="s">
        <v>69</v>
      </c>
      <c r="L1776" s="181"/>
      <c r="M1776" s="181"/>
      <c r="N1776" s="37"/>
      <c r="O1776" s="31"/>
      <c r="P1776" s="37"/>
      <c r="Q1776" s="181"/>
      <c r="R1776" s="181"/>
      <c r="S1776" s="181"/>
      <c r="T1776" s="181"/>
      <c r="U1776" s="181"/>
      <c r="V1776" s="37"/>
      <c r="W1776" s="181"/>
      <c r="X1776" s="38"/>
      <c r="Y1776" s="38"/>
      <c r="Z1776" s="38"/>
      <c r="AA1776" s="38"/>
      <c r="AB1776" s="248"/>
      <c r="AC1776" s="250"/>
      <c r="AD1776" s="181"/>
      <c r="AE1776" s="37"/>
      <c r="AF1776" s="37"/>
      <c r="AG1776" s="33"/>
      <c r="AH1776" s="37"/>
      <c r="AI1776" s="37"/>
      <c r="AJ1776" s="181"/>
      <c r="AK1776" s="37"/>
      <c r="AL1776" s="37"/>
      <c r="AM1776" s="181"/>
      <c r="AN1776" s="37"/>
      <c r="AO1776" s="37"/>
      <c r="AP1776" s="37"/>
      <c r="AQ1776" s="37"/>
      <c r="AR1776" s="37"/>
      <c r="AS1776" s="37"/>
      <c r="AT1776" s="37"/>
      <c r="AU1776" s="37"/>
      <c r="AV1776" s="37"/>
      <c r="AW1776" s="37"/>
      <c r="AX1776" s="37"/>
      <c r="AY1776" s="37"/>
      <c r="AZ1776" s="37"/>
    </row>
    <row r="1777" spans="1:52" ht="15.5" customHeight="1">
      <c r="A1777" s="360"/>
      <c r="B1777" s="340"/>
      <c r="C1777" s="181"/>
      <c r="D1777" s="30"/>
      <c r="E1777" s="30"/>
      <c r="F1777" s="30"/>
      <c r="G1777" s="37"/>
      <c r="H1777" s="37"/>
      <c r="I1777" s="37"/>
      <c r="J1777" s="37" t="s">
        <v>69</v>
      </c>
      <c r="K1777" s="325" t="s">
        <v>69</v>
      </c>
      <c r="L1777" s="181"/>
      <c r="M1777" s="181"/>
      <c r="N1777" s="37"/>
      <c r="O1777" s="31"/>
      <c r="P1777" s="37"/>
      <c r="Q1777" s="181"/>
      <c r="R1777" s="181"/>
      <c r="S1777" s="181"/>
      <c r="T1777" s="181"/>
      <c r="U1777" s="181"/>
      <c r="V1777" s="37"/>
      <c r="W1777" s="181"/>
      <c r="X1777" s="38"/>
      <c r="Y1777" s="38"/>
      <c r="Z1777" s="38"/>
      <c r="AA1777" s="38"/>
      <c r="AB1777" s="248"/>
      <c r="AC1777" s="250"/>
      <c r="AD1777" s="181"/>
      <c r="AE1777" s="37"/>
      <c r="AF1777" s="37"/>
      <c r="AG1777" s="33"/>
      <c r="AH1777" s="37"/>
      <c r="AI1777" s="37"/>
      <c r="AJ1777" s="181"/>
      <c r="AK1777" s="37"/>
      <c r="AL1777" s="37"/>
      <c r="AM1777" s="181"/>
      <c r="AN1777" s="37"/>
      <c r="AO1777" s="37"/>
      <c r="AP1777" s="37"/>
      <c r="AQ1777" s="37"/>
      <c r="AR1777" s="37"/>
      <c r="AS1777" s="37"/>
      <c r="AT1777" s="37"/>
      <c r="AU1777" s="37"/>
      <c r="AV1777" s="37"/>
      <c r="AW1777" s="37"/>
      <c r="AX1777" s="37"/>
      <c r="AY1777" s="37"/>
      <c r="AZ1777" s="37"/>
    </row>
    <row r="1778" spans="1:52" ht="15.5" customHeight="1">
      <c r="A1778" s="360"/>
      <c r="B1778" s="340"/>
      <c r="C1778" s="181"/>
      <c r="D1778" s="30"/>
      <c r="E1778" s="30"/>
      <c r="F1778" s="30"/>
      <c r="G1778" s="37"/>
      <c r="H1778" s="37"/>
      <c r="I1778" s="37"/>
      <c r="J1778" s="37" t="s">
        <v>69</v>
      </c>
      <c r="K1778" s="325" t="s">
        <v>69</v>
      </c>
      <c r="L1778" s="181"/>
      <c r="M1778" s="181"/>
      <c r="N1778" s="37"/>
      <c r="O1778" s="31"/>
      <c r="P1778" s="37"/>
      <c r="Q1778" s="181"/>
      <c r="R1778" s="181"/>
      <c r="S1778" s="181"/>
      <c r="T1778" s="181"/>
      <c r="U1778" s="181"/>
      <c r="V1778" s="37"/>
      <c r="W1778" s="181"/>
      <c r="X1778" s="38"/>
      <c r="Y1778" s="38"/>
      <c r="Z1778" s="38"/>
      <c r="AA1778" s="38"/>
      <c r="AB1778" s="248"/>
      <c r="AC1778" s="250"/>
      <c r="AD1778" s="181"/>
      <c r="AE1778" s="37"/>
      <c r="AF1778" s="37"/>
      <c r="AG1778" s="33"/>
      <c r="AH1778" s="37"/>
      <c r="AI1778" s="37"/>
      <c r="AJ1778" s="181"/>
      <c r="AK1778" s="37"/>
      <c r="AL1778" s="37"/>
      <c r="AM1778" s="181"/>
      <c r="AN1778" s="37"/>
      <c r="AO1778" s="37"/>
      <c r="AP1778" s="37"/>
      <c r="AQ1778" s="37"/>
      <c r="AR1778" s="37"/>
      <c r="AS1778" s="37"/>
      <c r="AT1778" s="37"/>
      <c r="AU1778" s="37"/>
      <c r="AV1778" s="37"/>
      <c r="AW1778" s="37"/>
      <c r="AX1778" s="37"/>
      <c r="AY1778" s="37"/>
      <c r="AZ1778" s="37"/>
    </row>
    <row r="1779" spans="1:52" ht="15.5" customHeight="1">
      <c r="A1779" s="360"/>
      <c r="B1779" s="340"/>
      <c r="C1779" s="181"/>
      <c r="D1779" s="30"/>
      <c r="E1779" s="30"/>
      <c r="F1779" s="30"/>
      <c r="G1779" s="37"/>
      <c r="H1779" s="37"/>
      <c r="I1779" s="37"/>
      <c r="J1779" s="37" t="s">
        <v>69</v>
      </c>
      <c r="K1779" s="325" t="s">
        <v>69</v>
      </c>
      <c r="L1779" s="181"/>
      <c r="M1779" s="181"/>
      <c r="N1779" s="37"/>
      <c r="O1779" s="31"/>
      <c r="P1779" s="37"/>
      <c r="Q1779" s="181"/>
      <c r="R1779" s="181"/>
      <c r="S1779" s="181"/>
      <c r="T1779" s="181"/>
      <c r="U1779" s="181"/>
      <c r="V1779" s="37"/>
      <c r="W1779" s="181"/>
      <c r="X1779" s="38"/>
      <c r="Y1779" s="38"/>
      <c r="Z1779" s="38"/>
      <c r="AA1779" s="38"/>
      <c r="AB1779" s="248"/>
      <c r="AC1779" s="250"/>
      <c r="AD1779" s="181"/>
      <c r="AE1779" s="37"/>
      <c r="AF1779" s="37"/>
      <c r="AG1779" s="33"/>
      <c r="AH1779" s="37"/>
      <c r="AI1779" s="37"/>
      <c r="AJ1779" s="181"/>
      <c r="AK1779" s="37"/>
      <c r="AL1779" s="37"/>
      <c r="AM1779" s="181"/>
      <c r="AN1779" s="37"/>
      <c r="AO1779" s="37"/>
      <c r="AP1779" s="37"/>
      <c r="AQ1779" s="37"/>
      <c r="AR1779" s="37"/>
      <c r="AS1779" s="37"/>
      <c r="AT1779" s="37"/>
      <c r="AU1779" s="37"/>
      <c r="AV1779" s="37"/>
      <c r="AW1779" s="37"/>
      <c r="AX1779" s="37"/>
      <c r="AY1779" s="37"/>
      <c r="AZ1779" s="37"/>
    </row>
    <row r="1780" spans="1:52" ht="15.5" customHeight="1">
      <c r="A1780" s="360"/>
      <c r="B1780" s="340"/>
      <c r="C1780" s="181"/>
      <c r="D1780" s="30"/>
      <c r="E1780" s="30"/>
      <c r="F1780" s="30"/>
      <c r="G1780" s="37"/>
      <c r="H1780" s="37"/>
      <c r="I1780" s="37"/>
      <c r="J1780" s="37" t="s">
        <v>69</v>
      </c>
      <c r="K1780" s="325" t="s">
        <v>69</v>
      </c>
      <c r="L1780" s="181"/>
      <c r="M1780" s="181"/>
      <c r="N1780" s="37"/>
      <c r="O1780" s="31"/>
      <c r="P1780" s="37"/>
      <c r="Q1780" s="181"/>
      <c r="R1780" s="181"/>
      <c r="S1780" s="181"/>
      <c r="T1780" s="181"/>
      <c r="U1780" s="181"/>
      <c r="V1780" s="37"/>
      <c r="W1780" s="181"/>
      <c r="X1780" s="38"/>
      <c r="Y1780" s="38"/>
      <c r="Z1780" s="38"/>
      <c r="AA1780" s="38"/>
      <c r="AB1780" s="248"/>
      <c r="AC1780" s="250"/>
      <c r="AD1780" s="181"/>
      <c r="AE1780" s="37"/>
      <c r="AF1780" s="37"/>
      <c r="AG1780" s="33"/>
      <c r="AH1780" s="37"/>
      <c r="AI1780" s="37"/>
      <c r="AJ1780" s="181"/>
      <c r="AK1780" s="37"/>
      <c r="AL1780" s="37"/>
      <c r="AM1780" s="181"/>
      <c r="AN1780" s="37"/>
      <c r="AO1780" s="37"/>
      <c r="AP1780" s="37"/>
      <c r="AQ1780" s="37"/>
      <c r="AR1780" s="37"/>
      <c r="AS1780" s="37"/>
      <c r="AT1780" s="37"/>
      <c r="AU1780" s="37"/>
      <c r="AV1780" s="37"/>
      <c r="AW1780" s="37"/>
      <c r="AX1780" s="37"/>
      <c r="AY1780" s="37"/>
      <c r="AZ1780" s="37"/>
    </row>
    <row r="1781" spans="1:52" ht="15.5" customHeight="1">
      <c r="A1781" s="360"/>
      <c r="B1781" s="340"/>
      <c r="C1781" s="181"/>
      <c r="D1781" s="30"/>
      <c r="E1781" s="30"/>
      <c r="F1781" s="30"/>
      <c r="G1781" s="37"/>
      <c r="H1781" s="37"/>
      <c r="I1781" s="37"/>
      <c r="J1781" s="37" t="s">
        <v>69</v>
      </c>
      <c r="K1781" s="325" t="s">
        <v>69</v>
      </c>
      <c r="L1781" s="181"/>
      <c r="M1781" s="181"/>
      <c r="N1781" s="37"/>
      <c r="O1781" s="31"/>
      <c r="P1781" s="37"/>
      <c r="Q1781" s="181"/>
      <c r="R1781" s="181"/>
      <c r="S1781" s="181"/>
      <c r="T1781" s="181"/>
      <c r="U1781" s="181"/>
      <c r="V1781" s="37"/>
      <c r="W1781" s="181"/>
      <c r="X1781" s="38"/>
      <c r="Y1781" s="38"/>
      <c r="Z1781" s="38"/>
      <c r="AA1781" s="38"/>
      <c r="AB1781" s="248"/>
      <c r="AC1781" s="250"/>
      <c r="AD1781" s="181"/>
      <c r="AE1781" s="37"/>
      <c r="AF1781" s="37"/>
      <c r="AG1781" s="33"/>
      <c r="AH1781" s="37"/>
      <c r="AI1781" s="37"/>
      <c r="AJ1781" s="181"/>
      <c r="AK1781" s="37"/>
      <c r="AL1781" s="37"/>
      <c r="AM1781" s="181"/>
      <c r="AN1781" s="37"/>
      <c r="AO1781" s="37"/>
      <c r="AP1781" s="37"/>
      <c r="AQ1781" s="37"/>
      <c r="AR1781" s="37"/>
      <c r="AS1781" s="37"/>
      <c r="AT1781" s="37"/>
      <c r="AU1781" s="37"/>
      <c r="AV1781" s="37"/>
      <c r="AW1781" s="37"/>
      <c r="AX1781" s="37"/>
      <c r="AY1781" s="37"/>
      <c r="AZ1781" s="37"/>
    </row>
    <row r="1782" spans="1:52" ht="15.5" customHeight="1">
      <c r="A1782" s="360"/>
      <c r="B1782" s="340"/>
      <c r="C1782" s="181"/>
      <c r="D1782" s="30"/>
      <c r="E1782" s="30"/>
      <c r="F1782" s="30"/>
      <c r="G1782" s="37"/>
      <c r="H1782" s="37"/>
      <c r="I1782" s="37"/>
      <c r="J1782" s="37" t="s">
        <v>69</v>
      </c>
      <c r="K1782" s="325" t="s">
        <v>69</v>
      </c>
      <c r="L1782" s="181"/>
      <c r="M1782" s="181"/>
      <c r="N1782" s="37"/>
      <c r="O1782" s="31"/>
      <c r="P1782" s="37"/>
      <c r="Q1782" s="181"/>
      <c r="R1782" s="181"/>
      <c r="S1782" s="181"/>
      <c r="T1782" s="181"/>
      <c r="U1782" s="181"/>
      <c r="V1782" s="37"/>
      <c r="W1782" s="181"/>
      <c r="X1782" s="38"/>
      <c r="Y1782" s="38"/>
      <c r="Z1782" s="38"/>
      <c r="AA1782" s="38"/>
      <c r="AB1782" s="248"/>
      <c r="AC1782" s="250"/>
      <c r="AD1782" s="181"/>
      <c r="AE1782" s="37"/>
      <c r="AF1782" s="37"/>
      <c r="AG1782" s="33"/>
      <c r="AH1782" s="37"/>
      <c r="AI1782" s="37"/>
      <c r="AJ1782" s="181"/>
      <c r="AK1782" s="37"/>
      <c r="AL1782" s="37"/>
      <c r="AM1782" s="181"/>
      <c r="AN1782" s="37"/>
      <c r="AO1782" s="37"/>
      <c r="AP1782" s="37"/>
      <c r="AQ1782" s="37"/>
      <c r="AR1782" s="37"/>
      <c r="AS1782" s="37"/>
      <c r="AT1782" s="37"/>
      <c r="AU1782" s="37"/>
      <c r="AV1782" s="37"/>
      <c r="AW1782" s="37"/>
      <c r="AX1782" s="37"/>
      <c r="AY1782" s="37"/>
      <c r="AZ1782" s="37"/>
    </row>
    <row r="1783" spans="1:52" ht="15.5" customHeight="1">
      <c r="A1783" s="360"/>
      <c r="B1783" s="340"/>
      <c r="C1783" s="181"/>
      <c r="D1783" s="30"/>
      <c r="E1783" s="30"/>
      <c r="F1783" s="30"/>
      <c r="G1783" s="37"/>
      <c r="H1783" s="37"/>
      <c r="I1783" s="37"/>
      <c r="J1783" s="37" t="s">
        <v>69</v>
      </c>
      <c r="K1783" s="325" t="s">
        <v>69</v>
      </c>
      <c r="L1783" s="181"/>
      <c r="M1783" s="181"/>
      <c r="N1783" s="37"/>
      <c r="O1783" s="31"/>
      <c r="P1783" s="37"/>
      <c r="Q1783" s="181"/>
      <c r="R1783" s="181"/>
      <c r="S1783" s="181"/>
      <c r="T1783" s="181"/>
      <c r="U1783" s="181"/>
      <c r="V1783" s="37"/>
      <c r="W1783" s="181"/>
      <c r="X1783" s="38"/>
      <c r="Y1783" s="38"/>
      <c r="Z1783" s="38"/>
      <c r="AA1783" s="38"/>
      <c r="AB1783" s="248"/>
      <c r="AC1783" s="250"/>
      <c r="AD1783" s="181"/>
      <c r="AE1783" s="37"/>
      <c r="AF1783" s="37"/>
      <c r="AG1783" s="33"/>
      <c r="AH1783" s="37"/>
      <c r="AI1783" s="37"/>
      <c r="AJ1783" s="181"/>
      <c r="AK1783" s="37"/>
      <c r="AL1783" s="37"/>
      <c r="AM1783" s="181"/>
      <c r="AN1783" s="37"/>
      <c r="AO1783" s="37"/>
      <c r="AP1783" s="37"/>
      <c r="AQ1783" s="37"/>
      <c r="AR1783" s="37"/>
      <c r="AS1783" s="37"/>
      <c r="AT1783" s="37"/>
      <c r="AU1783" s="37"/>
      <c r="AV1783" s="37"/>
      <c r="AW1783" s="37"/>
      <c r="AX1783" s="37"/>
      <c r="AY1783" s="37"/>
      <c r="AZ1783" s="37"/>
    </row>
    <row r="1784" spans="1:52" ht="15.5" customHeight="1">
      <c r="A1784" s="360"/>
      <c r="B1784" s="340"/>
      <c r="C1784" s="181"/>
      <c r="D1784" s="30"/>
      <c r="E1784" s="30"/>
      <c r="F1784" s="30"/>
      <c r="G1784" s="37"/>
      <c r="H1784" s="37"/>
      <c r="I1784" s="37"/>
      <c r="J1784" s="37" t="s">
        <v>69</v>
      </c>
      <c r="K1784" s="325" t="s">
        <v>69</v>
      </c>
      <c r="L1784" s="181"/>
      <c r="M1784" s="181"/>
      <c r="N1784" s="37"/>
      <c r="O1784" s="31"/>
      <c r="P1784" s="37"/>
      <c r="Q1784" s="181"/>
      <c r="R1784" s="181"/>
      <c r="S1784" s="181"/>
      <c r="T1784" s="181"/>
      <c r="U1784" s="181"/>
      <c r="V1784" s="37"/>
      <c r="W1784" s="181"/>
      <c r="X1784" s="38"/>
      <c r="Y1784" s="38"/>
      <c r="Z1784" s="38"/>
      <c r="AA1784" s="38"/>
      <c r="AB1784" s="248"/>
      <c r="AC1784" s="250"/>
      <c r="AD1784" s="181"/>
      <c r="AE1784" s="37"/>
      <c r="AF1784" s="37"/>
      <c r="AG1784" s="33"/>
      <c r="AH1784" s="37"/>
      <c r="AI1784" s="37"/>
      <c r="AJ1784" s="181"/>
      <c r="AK1784" s="37"/>
      <c r="AL1784" s="37"/>
      <c r="AM1784" s="181"/>
      <c r="AN1784" s="37"/>
      <c r="AO1784" s="37"/>
      <c r="AP1784" s="37"/>
      <c r="AQ1784" s="37"/>
      <c r="AR1784" s="37"/>
      <c r="AS1784" s="37"/>
      <c r="AT1784" s="37"/>
      <c r="AU1784" s="37"/>
      <c r="AV1784" s="37"/>
      <c r="AW1784" s="37"/>
      <c r="AX1784" s="37"/>
      <c r="AY1784" s="37"/>
      <c r="AZ1784" s="37"/>
    </row>
    <row r="1785" spans="1:52" ht="15.5" customHeight="1">
      <c r="A1785" s="360"/>
      <c r="B1785" s="340"/>
      <c r="C1785" s="181"/>
      <c r="D1785" s="30"/>
      <c r="E1785" s="30"/>
      <c r="F1785" s="30"/>
      <c r="G1785" s="37"/>
      <c r="H1785" s="37"/>
      <c r="I1785" s="37"/>
      <c r="J1785" s="37" t="s">
        <v>69</v>
      </c>
      <c r="K1785" s="325" t="s">
        <v>69</v>
      </c>
      <c r="L1785" s="181"/>
      <c r="M1785" s="181"/>
      <c r="N1785" s="37"/>
      <c r="O1785" s="31"/>
      <c r="P1785" s="37"/>
      <c r="Q1785" s="181"/>
      <c r="R1785" s="181"/>
      <c r="S1785" s="181"/>
      <c r="T1785" s="181"/>
      <c r="U1785" s="181"/>
      <c r="V1785" s="37"/>
      <c r="W1785" s="181"/>
      <c r="X1785" s="38"/>
      <c r="Y1785" s="38"/>
      <c r="Z1785" s="38"/>
      <c r="AA1785" s="38"/>
      <c r="AB1785" s="248"/>
      <c r="AC1785" s="250"/>
      <c r="AD1785" s="181"/>
      <c r="AE1785" s="37"/>
      <c r="AF1785" s="37"/>
      <c r="AG1785" s="33"/>
      <c r="AH1785" s="37"/>
      <c r="AI1785" s="37"/>
      <c r="AJ1785" s="181"/>
      <c r="AK1785" s="37"/>
      <c r="AL1785" s="37"/>
      <c r="AM1785" s="181"/>
      <c r="AN1785" s="37"/>
      <c r="AO1785" s="37"/>
      <c r="AP1785" s="37"/>
      <c r="AQ1785" s="37"/>
      <c r="AR1785" s="37"/>
      <c r="AS1785" s="37"/>
      <c r="AT1785" s="37"/>
      <c r="AU1785" s="37"/>
      <c r="AV1785" s="37"/>
      <c r="AW1785" s="37"/>
      <c r="AX1785" s="37"/>
      <c r="AY1785" s="37"/>
      <c r="AZ1785" s="37"/>
    </row>
    <row r="1786" spans="1:52" ht="15.5" customHeight="1">
      <c r="A1786" s="360"/>
      <c r="B1786" s="340"/>
      <c r="C1786" s="181"/>
      <c r="D1786" s="30"/>
      <c r="E1786" s="30"/>
      <c r="F1786" s="30"/>
      <c r="G1786" s="37"/>
      <c r="H1786" s="37"/>
      <c r="I1786" s="37"/>
      <c r="J1786" s="37" t="s">
        <v>69</v>
      </c>
      <c r="K1786" s="325" t="s">
        <v>69</v>
      </c>
      <c r="L1786" s="181"/>
      <c r="M1786" s="181"/>
      <c r="N1786" s="37"/>
      <c r="O1786" s="31"/>
      <c r="P1786" s="37"/>
      <c r="Q1786" s="181"/>
      <c r="R1786" s="181"/>
      <c r="S1786" s="181"/>
      <c r="T1786" s="181"/>
      <c r="U1786" s="181"/>
      <c r="V1786" s="37"/>
      <c r="W1786" s="181"/>
      <c r="X1786" s="38"/>
      <c r="Y1786" s="38"/>
      <c r="Z1786" s="38"/>
      <c r="AA1786" s="38"/>
      <c r="AB1786" s="248"/>
      <c r="AC1786" s="250"/>
      <c r="AD1786" s="181"/>
      <c r="AE1786" s="37"/>
      <c r="AF1786" s="37"/>
      <c r="AG1786" s="33"/>
      <c r="AH1786" s="37"/>
      <c r="AI1786" s="37"/>
      <c r="AJ1786" s="181"/>
      <c r="AK1786" s="37"/>
      <c r="AL1786" s="37"/>
      <c r="AM1786" s="181"/>
      <c r="AN1786" s="37"/>
      <c r="AO1786" s="37"/>
      <c r="AP1786" s="37"/>
      <c r="AQ1786" s="37"/>
      <c r="AR1786" s="37"/>
      <c r="AS1786" s="37"/>
      <c r="AT1786" s="37"/>
      <c r="AU1786" s="37"/>
      <c r="AV1786" s="37"/>
      <c r="AW1786" s="37"/>
      <c r="AX1786" s="37"/>
      <c r="AY1786" s="37"/>
      <c r="AZ1786" s="37"/>
    </row>
    <row r="1787" spans="1:52" ht="15.5" customHeight="1">
      <c r="A1787" s="360"/>
      <c r="B1787" s="340"/>
      <c r="C1787" s="181"/>
      <c r="D1787" s="30"/>
      <c r="E1787" s="30"/>
      <c r="F1787" s="30"/>
      <c r="G1787" s="37"/>
      <c r="H1787" s="37"/>
      <c r="I1787" s="37"/>
      <c r="J1787" s="37" t="s">
        <v>69</v>
      </c>
      <c r="K1787" s="325" t="s">
        <v>69</v>
      </c>
      <c r="L1787" s="181"/>
      <c r="M1787" s="181"/>
      <c r="N1787" s="37"/>
      <c r="O1787" s="31"/>
      <c r="P1787" s="37"/>
      <c r="Q1787" s="181"/>
      <c r="R1787" s="181"/>
      <c r="S1787" s="181"/>
      <c r="T1787" s="181"/>
      <c r="U1787" s="181"/>
      <c r="V1787" s="37"/>
      <c r="W1787" s="181"/>
      <c r="X1787" s="38"/>
      <c r="Y1787" s="38"/>
      <c r="Z1787" s="38"/>
      <c r="AA1787" s="38"/>
      <c r="AB1787" s="248"/>
      <c r="AC1787" s="250"/>
      <c r="AD1787" s="181"/>
      <c r="AE1787" s="37"/>
      <c r="AF1787" s="37"/>
      <c r="AG1787" s="33"/>
      <c r="AH1787" s="37"/>
      <c r="AI1787" s="37"/>
      <c r="AJ1787" s="181"/>
      <c r="AK1787" s="37"/>
      <c r="AL1787" s="37"/>
      <c r="AM1787" s="181"/>
      <c r="AN1787" s="37"/>
      <c r="AO1787" s="37"/>
      <c r="AP1787" s="37"/>
      <c r="AQ1787" s="37"/>
      <c r="AR1787" s="37"/>
      <c r="AS1787" s="37"/>
      <c r="AT1787" s="37"/>
      <c r="AU1787" s="37"/>
      <c r="AV1787" s="37"/>
      <c r="AW1787" s="37"/>
      <c r="AX1787" s="37"/>
      <c r="AY1787" s="37"/>
      <c r="AZ1787" s="37"/>
    </row>
    <row r="1788" spans="1:52" ht="15.5" customHeight="1">
      <c r="A1788" s="360"/>
      <c r="B1788" s="340"/>
      <c r="C1788" s="181"/>
      <c r="D1788" s="30"/>
      <c r="E1788" s="30"/>
      <c r="F1788" s="30"/>
      <c r="G1788" s="37"/>
      <c r="H1788" s="37"/>
      <c r="I1788" s="37"/>
      <c r="J1788" s="37" t="s">
        <v>69</v>
      </c>
      <c r="K1788" s="325" t="s">
        <v>69</v>
      </c>
      <c r="L1788" s="181"/>
      <c r="M1788" s="181"/>
      <c r="N1788" s="37"/>
      <c r="O1788" s="31"/>
      <c r="P1788" s="37"/>
      <c r="Q1788" s="181"/>
      <c r="R1788" s="181"/>
      <c r="S1788" s="181"/>
      <c r="T1788" s="181"/>
      <c r="U1788" s="181"/>
      <c r="V1788" s="37"/>
      <c r="W1788" s="181"/>
      <c r="X1788" s="38"/>
      <c r="Y1788" s="38"/>
      <c r="Z1788" s="38"/>
      <c r="AA1788" s="38"/>
      <c r="AB1788" s="248"/>
      <c r="AC1788" s="250"/>
      <c r="AD1788" s="181"/>
      <c r="AE1788" s="37"/>
      <c r="AF1788" s="37"/>
      <c r="AG1788" s="33"/>
      <c r="AH1788" s="37"/>
      <c r="AI1788" s="37"/>
      <c r="AJ1788" s="181"/>
      <c r="AK1788" s="37"/>
      <c r="AL1788" s="37"/>
      <c r="AM1788" s="181"/>
      <c r="AN1788" s="37"/>
      <c r="AO1788" s="37"/>
      <c r="AP1788" s="37"/>
      <c r="AQ1788" s="37"/>
      <c r="AR1788" s="37"/>
      <c r="AS1788" s="37"/>
      <c r="AT1788" s="37"/>
      <c r="AU1788" s="37"/>
      <c r="AV1788" s="37"/>
      <c r="AW1788" s="37"/>
      <c r="AX1788" s="37"/>
      <c r="AY1788" s="37"/>
      <c r="AZ1788" s="37"/>
    </row>
    <row r="1789" spans="1:52" ht="15.5" customHeight="1">
      <c r="A1789" s="360"/>
      <c r="B1789" s="340"/>
      <c r="C1789" s="181"/>
      <c r="D1789" s="30"/>
      <c r="E1789" s="30"/>
      <c r="F1789" s="30"/>
      <c r="G1789" s="37"/>
      <c r="H1789" s="37"/>
      <c r="I1789" s="37"/>
      <c r="J1789" s="37" t="s">
        <v>69</v>
      </c>
      <c r="K1789" s="325" t="s">
        <v>69</v>
      </c>
      <c r="L1789" s="181"/>
      <c r="M1789" s="181"/>
      <c r="N1789" s="37"/>
      <c r="O1789" s="31"/>
      <c r="P1789" s="37"/>
      <c r="Q1789" s="181"/>
      <c r="R1789" s="181"/>
      <c r="S1789" s="181"/>
      <c r="T1789" s="181"/>
      <c r="U1789" s="181"/>
      <c r="V1789" s="37"/>
      <c r="W1789" s="181"/>
      <c r="X1789" s="38"/>
      <c r="Y1789" s="38"/>
      <c r="Z1789" s="38"/>
      <c r="AA1789" s="38"/>
      <c r="AB1789" s="248"/>
      <c r="AC1789" s="250"/>
      <c r="AD1789" s="181"/>
      <c r="AE1789" s="37"/>
      <c r="AF1789" s="37"/>
      <c r="AG1789" s="33"/>
      <c r="AH1789" s="37"/>
      <c r="AI1789" s="37"/>
      <c r="AJ1789" s="181"/>
      <c r="AK1789" s="37"/>
      <c r="AL1789" s="37"/>
      <c r="AM1789" s="181"/>
      <c r="AN1789" s="37"/>
      <c r="AO1789" s="37"/>
      <c r="AP1789" s="37"/>
      <c r="AQ1789" s="37"/>
      <c r="AR1789" s="37"/>
      <c r="AS1789" s="37"/>
      <c r="AT1789" s="37"/>
      <c r="AU1789" s="37"/>
      <c r="AV1789" s="37"/>
      <c r="AW1789" s="37"/>
      <c r="AX1789" s="37"/>
      <c r="AY1789" s="37"/>
      <c r="AZ1789" s="37"/>
    </row>
    <row r="1790" spans="1:52" ht="15.5" customHeight="1">
      <c r="A1790" s="360"/>
      <c r="B1790" s="340"/>
      <c r="C1790" s="181"/>
      <c r="D1790" s="30"/>
      <c r="E1790" s="30"/>
      <c r="F1790" s="30"/>
      <c r="G1790" s="37"/>
      <c r="H1790" s="37"/>
      <c r="I1790" s="37"/>
      <c r="J1790" s="37" t="s">
        <v>69</v>
      </c>
      <c r="K1790" s="325" t="s">
        <v>69</v>
      </c>
      <c r="L1790" s="181"/>
      <c r="M1790" s="181"/>
      <c r="N1790" s="37"/>
      <c r="O1790" s="31"/>
      <c r="P1790" s="37"/>
      <c r="Q1790" s="181"/>
      <c r="R1790" s="181"/>
      <c r="S1790" s="181"/>
      <c r="T1790" s="181"/>
      <c r="U1790" s="181"/>
      <c r="V1790" s="37"/>
      <c r="W1790" s="181"/>
      <c r="X1790" s="38"/>
      <c r="Y1790" s="38"/>
      <c r="Z1790" s="38"/>
      <c r="AA1790" s="38"/>
      <c r="AB1790" s="248"/>
      <c r="AC1790" s="250"/>
      <c r="AD1790" s="181"/>
      <c r="AE1790" s="37"/>
      <c r="AF1790" s="37"/>
      <c r="AG1790" s="33"/>
      <c r="AH1790" s="37"/>
      <c r="AI1790" s="37"/>
      <c r="AJ1790" s="181"/>
      <c r="AK1790" s="37"/>
      <c r="AL1790" s="37"/>
      <c r="AM1790" s="181"/>
      <c r="AN1790" s="37"/>
      <c r="AO1790" s="37"/>
      <c r="AP1790" s="37"/>
      <c r="AQ1790" s="37"/>
      <c r="AR1790" s="37"/>
      <c r="AS1790" s="37"/>
      <c r="AT1790" s="37"/>
      <c r="AU1790" s="37"/>
      <c r="AV1790" s="37"/>
      <c r="AW1790" s="37"/>
      <c r="AX1790" s="37"/>
      <c r="AY1790" s="37"/>
      <c r="AZ1790" s="37"/>
    </row>
    <row r="1791" spans="1:52" ht="15.5" customHeight="1">
      <c r="A1791" s="360"/>
      <c r="B1791" s="340"/>
      <c r="C1791" s="181"/>
      <c r="D1791" s="30"/>
      <c r="E1791" s="30"/>
      <c r="F1791" s="30"/>
      <c r="G1791" s="37"/>
      <c r="H1791" s="37"/>
      <c r="I1791" s="37"/>
      <c r="J1791" s="37" t="s">
        <v>69</v>
      </c>
      <c r="K1791" s="325" t="s">
        <v>69</v>
      </c>
      <c r="L1791" s="181"/>
      <c r="M1791" s="181"/>
      <c r="N1791" s="37"/>
      <c r="O1791" s="31"/>
      <c r="P1791" s="37"/>
      <c r="Q1791" s="181"/>
      <c r="R1791" s="181"/>
      <c r="S1791" s="181"/>
      <c r="T1791" s="181"/>
      <c r="U1791" s="181"/>
      <c r="V1791" s="37"/>
      <c r="W1791" s="181"/>
      <c r="X1791" s="38"/>
      <c r="Y1791" s="38"/>
      <c r="Z1791" s="38"/>
      <c r="AA1791" s="38"/>
      <c r="AB1791" s="248"/>
      <c r="AC1791" s="250"/>
      <c r="AD1791" s="181"/>
      <c r="AE1791" s="37"/>
      <c r="AF1791" s="37"/>
      <c r="AG1791" s="33"/>
      <c r="AH1791" s="37"/>
      <c r="AI1791" s="37"/>
      <c r="AJ1791" s="181"/>
      <c r="AK1791" s="37"/>
      <c r="AL1791" s="37"/>
      <c r="AM1791" s="181"/>
      <c r="AN1791" s="37"/>
      <c r="AO1791" s="37"/>
      <c r="AP1791" s="37"/>
      <c r="AQ1791" s="37"/>
      <c r="AR1791" s="37"/>
      <c r="AS1791" s="37"/>
      <c r="AT1791" s="37"/>
      <c r="AU1791" s="37"/>
      <c r="AV1791" s="37"/>
      <c r="AW1791" s="37"/>
      <c r="AX1791" s="37"/>
      <c r="AY1791" s="37"/>
      <c r="AZ1791" s="37"/>
    </row>
    <row r="1792" spans="1:52" ht="15.5" customHeight="1">
      <c r="A1792" s="360"/>
      <c r="B1792" s="340"/>
      <c r="C1792" s="181"/>
      <c r="D1792" s="30"/>
      <c r="E1792" s="30"/>
      <c r="F1792" s="30"/>
      <c r="G1792" s="37"/>
      <c r="H1792" s="37"/>
      <c r="I1792" s="37"/>
      <c r="J1792" s="37" t="s">
        <v>69</v>
      </c>
      <c r="K1792" s="325" t="s">
        <v>69</v>
      </c>
      <c r="L1792" s="181"/>
      <c r="M1792" s="181"/>
      <c r="N1792" s="37"/>
      <c r="O1792" s="31"/>
      <c r="P1792" s="37"/>
      <c r="Q1792" s="181"/>
      <c r="R1792" s="181"/>
      <c r="S1792" s="181"/>
      <c r="T1792" s="181"/>
      <c r="U1792" s="181"/>
      <c r="V1792" s="37"/>
      <c r="W1792" s="181"/>
      <c r="X1792" s="38"/>
      <c r="Y1792" s="38"/>
      <c r="Z1792" s="38"/>
      <c r="AA1792" s="38"/>
      <c r="AB1792" s="248"/>
      <c r="AC1792" s="250"/>
      <c r="AD1792" s="181"/>
      <c r="AE1792" s="37"/>
      <c r="AF1792" s="37"/>
      <c r="AG1792" s="33"/>
      <c r="AH1792" s="37"/>
      <c r="AI1792" s="37"/>
      <c r="AJ1792" s="181"/>
      <c r="AK1792" s="37"/>
      <c r="AL1792" s="37"/>
      <c r="AM1792" s="181"/>
      <c r="AN1792" s="37"/>
      <c r="AO1792" s="37"/>
      <c r="AP1792" s="37"/>
      <c r="AQ1792" s="37"/>
      <c r="AR1792" s="37"/>
      <c r="AS1792" s="37"/>
      <c r="AT1792" s="37"/>
      <c r="AU1792" s="37"/>
      <c r="AV1792" s="37"/>
      <c r="AW1792" s="37"/>
      <c r="AX1792" s="37"/>
      <c r="AY1792" s="37"/>
      <c r="AZ1792" s="37"/>
    </row>
    <row r="1793" spans="1:52" ht="15.5" customHeight="1">
      <c r="A1793" s="360"/>
      <c r="B1793" s="340"/>
      <c r="C1793" s="181"/>
      <c r="D1793" s="30"/>
      <c r="E1793" s="30"/>
      <c r="F1793" s="30"/>
      <c r="G1793" s="37"/>
      <c r="H1793" s="37"/>
      <c r="I1793" s="37"/>
      <c r="J1793" s="37" t="s">
        <v>69</v>
      </c>
      <c r="K1793" s="325" t="s">
        <v>69</v>
      </c>
      <c r="L1793" s="181"/>
      <c r="M1793" s="181"/>
      <c r="N1793" s="37"/>
      <c r="O1793" s="31"/>
      <c r="P1793" s="37"/>
      <c r="Q1793" s="181"/>
      <c r="R1793" s="181"/>
      <c r="S1793" s="181"/>
      <c r="T1793" s="181"/>
      <c r="U1793" s="181"/>
      <c r="V1793" s="37"/>
      <c r="W1793" s="181"/>
      <c r="X1793" s="38"/>
      <c r="Y1793" s="38"/>
      <c r="Z1793" s="38"/>
      <c r="AA1793" s="38"/>
      <c r="AB1793" s="248"/>
      <c r="AC1793" s="250"/>
      <c r="AD1793" s="181"/>
      <c r="AE1793" s="37"/>
      <c r="AF1793" s="37"/>
      <c r="AG1793" s="33"/>
      <c r="AH1793" s="37"/>
      <c r="AI1793" s="37"/>
      <c r="AJ1793" s="181"/>
      <c r="AK1793" s="37"/>
      <c r="AL1793" s="37"/>
      <c r="AM1793" s="181"/>
      <c r="AN1793" s="37"/>
      <c r="AO1793" s="37"/>
      <c r="AP1793" s="37"/>
      <c r="AQ1793" s="37"/>
      <c r="AR1793" s="37"/>
      <c r="AS1793" s="37"/>
      <c r="AT1793" s="37"/>
      <c r="AU1793" s="37"/>
      <c r="AV1793" s="37"/>
      <c r="AW1793" s="37"/>
      <c r="AX1793" s="37"/>
      <c r="AY1793" s="37"/>
      <c r="AZ1793" s="37"/>
    </row>
    <row r="1794" spans="1:52" ht="15.5" customHeight="1">
      <c r="A1794" s="360"/>
      <c r="B1794" s="340"/>
      <c r="C1794" s="181"/>
      <c r="D1794" s="30"/>
      <c r="E1794" s="30"/>
      <c r="F1794" s="30"/>
      <c r="G1794" s="37"/>
      <c r="H1794" s="37"/>
      <c r="I1794" s="37"/>
      <c r="J1794" s="37" t="s">
        <v>69</v>
      </c>
      <c r="K1794" s="325" t="s">
        <v>69</v>
      </c>
      <c r="L1794" s="181"/>
      <c r="M1794" s="181"/>
      <c r="N1794" s="37"/>
      <c r="O1794" s="31"/>
      <c r="P1794" s="37"/>
      <c r="Q1794" s="181"/>
      <c r="R1794" s="181"/>
      <c r="S1794" s="181"/>
      <c r="T1794" s="181"/>
      <c r="U1794" s="181"/>
      <c r="V1794" s="37"/>
      <c r="W1794" s="181"/>
      <c r="X1794" s="38"/>
      <c r="Y1794" s="38"/>
      <c r="Z1794" s="38"/>
      <c r="AA1794" s="38"/>
      <c r="AB1794" s="248"/>
      <c r="AC1794" s="250"/>
      <c r="AD1794" s="181"/>
      <c r="AE1794" s="37"/>
      <c r="AF1794" s="37"/>
      <c r="AG1794" s="33"/>
      <c r="AH1794" s="37"/>
      <c r="AI1794" s="37"/>
      <c r="AJ1794" s="181"/>
      <c r="AK1794" s="37"/>
      <c r="AL1794" s="37"/>
      <c r="AM1794" s="181"/>
      <c r="AN1794" s="37"/>
      <c r="AO1794" s="37"/>
      <c r="AP1794" s="37"/>
      <c r="AQ1794" s="37"/>
      <c r="AR1794" s="37"/>
      <c r="AS1794" s="37"/>
      <c r="AT1794" s="37"/>
      <c r="AU1794" s="37"/>
      <c r="AV1794" s="37"/>
      <c r="AW1794" s="37"/>
      <c r="AX1794" s="37"/>
      <c r="AY1794" s="37"/>
      <c r="AZ1794" s="37"/>
    </row>
    <row r="1795" spans="1:52" ht="15.5" customHeight="1">
      <c r="A1795" s="360"/>
      <c r="B1795" s="340"/>
      <c r="C1795" s="181"/>
      <c r="D1795" s="30"/>
      <c r="E1795" s="30"/>
      <c r="F1795" s="30"/>
      <c r="G1795" s="37"/>
      <c r="H1795" s="37"/>
      <c r="I1795" s="37"/>
      <c r="J1795" s="37" t="s">
        <v>69</v>
      </c>
      <c r="K1795" s="325" t="s">
        <v>69</v>
      </c>
      <c r="L1795" s="181"/>
      <c r="M1795" s="181"/>
      <c r="N1795" s="37"/>
      <c r="O1795" s="31"/>
      <c r="P1795" s="37"/>
      <c r="Q1795" s="181"/>
      <c r="R1795" s="181"/>
      <c r="S1795" s="181"/>
      <c r="T1795" s="181"/>
      <c r="U1795" s="181"/>
      <c r="V1795" s="37"/>
      <c r="W1795" s="181"/>
      <c r="X1795" s="38"/>
      <c r="Y1795" s="38"/>
      <c r="Z1795" s="38"/>
      <c r="AA1795" s="38"/>
      <c r="AB1795" s="248"/>
      <c r="AC1795" s="250"/>
      <c r="AD1795" s="181"/>
      <c r="AE1795" s="37"/>
      <c r="AF1795" s="37"/>
      <c r="AG1795" s="33"/>
      <c r="AH1795" s="37"/>
      <c r="AI1795" s="37"/>
      <c r="AJ1795" s="181"/>
      <c r="AK1795" s="37"/>
      <c r="AL1795" s="37"/>
      <c r="AM1795" s="181"/>
      <c r="AN1795" s="37"/>
      <c r="AO1795" s="37"/>
      <c r="AP1795" s="37"/>
      <c r="AQ1795" s="37"/>
      <c r="AR1795" s="37"/>
      <c r="AS1795" s="37"/>
      <c r="AT1795" s="37"/>
      <c r="AU1795" s="37"/>
      <c r="AV1795" s="37"/>
      <c r="AW1795" s="37"/>
      <c r="AX1795" s="37"/>
      <c r="AY1795" s="37"/>
      <c r="AZ1795" s="37"/>
    </row>
    <row r="1796" spans="1:52" ht="15.5" customHeight="1">
      <c r="A1796" s="360"/>
      <c r="B1796" s="340"/>
      <c r="C1796" s="181"/>
      <c r="D1796" s="30"/>
      <c r="E1796" s="30"/>
      <c r="F1796" s="30"/>
      <c r="G1796" s="37"/>
      <c r="H1796" s="37"/>
      <c r="I1796" s="37"/>
      <c r="J1796" s="37" t="s">
        <v>69</v>
      </c>
      <c r="K1796" s="325" t="s">
        <v>69</v>
      </c>
      <c r="L1796" s="181"/>
      <c r="M1796" s="181"/>
      <c r="N1796" s="37"/>
      <c r="O1796" s="31"/>
      <c r="P1796" s="37"/>
      <c r="Q1796" s="181"/>
      <c r="R1796" s="181"/>
      <c r="S1796" s="181"/>
      <c r="T1796" s="181"/>
      <c r="U1796" s="181"/>
      <c r="V1796" s="37"/>
      <c r="W1796" s="181"/>
      <c r="X1796" s="38"/>
      <c r="Y1796" s="38"/>
      <c r="Z1796" s="38"/>
      <c r="AA1796" s="38"/>
      <c r="AB1796" s="248"/>
      <c r="AC1796" s="250"/>
      <c r="AD1796" s="181"/>
      <c r="AE1796" s="37"/>
      <c r="AF1796" s="37"/>
      <c r="AG1796" s="33"/>
      <c r="AH1796" s="37"/>
      <c r="AI1796" s="37"/>
      <c r="AJ1796" s="181"/>
      <c r="AK1796" s="37"/>
      <c r="AL1796" s="37"/>
      <c r="AM1796" s="181"/>
      <c r="AN1796" s="37"/>
      <c r="AO1796" s="37"/>
      <c r="AP1796" s="37"/>
      <c r="AQ1796" s="37"/>
      <c r="AR1796" s="37"/>
      <c r="AS1796" s="37"/>
      <c r="AT1796" s="37"/>
      <c r="AU1796" s="37"/>
      <c r="AV1796" s="37"/>
      <c r="AW1796" s="37"/>
      <c r="AX1796" s="37"/>
      <c r="AY1796" s="37"/>
      <c r="AZ1796" s="37"/>
    </row>
    <row r="1797" spans="1:52" ht="15.5" customHeight="1">
      <c r="A1797" s="360"/>
      <c r="B1797" s="340"/>
      <c r="C1797" s="181"/>
      <c r="D1797" s="30"/>
      <c r="E1797" s="30"/>
      <c r="F1797" s="30"/>
      <c r="G1797" s="37"/>
      <c r="H1797" s="37"/>
      <c r="I1797" s="37"/>
      <c r="J1797" s="37" t="s">
        <v>69</v>
      </c>
      <c r="K1797" s="325" t="s">
        <v>69</v>
      </c>
      <c r="L1797" s="181"/>
      <c r="M1797" s="181"/>
      <c r="N1797" s="37"/>
      <c r="O1797" s="31"/>
      <c r="P1797" s="37"/>
      <c r="Q1797" s="181"/>
      <c r="R1797" s="181"/>
      <c r="S1797" s="181"/>
      <c r="T1797" s="181"/>
      <c r="U1797" s="181"/>
      <c r="V1797" s="37"/>
      <c r="W1797" s="181"/>
      <c r="X1797" s="38"/>
      <c r="Y1797" s="38"/>
      <c r="Z1797" s="38"/>
      <c r="AA1797" s="38"/>
      <c r="AB1797" s="248"/>
      <c r="AC1797" s="250"/>
      <c r="AD1797" s="181"/>
      <c r="AE1797" s="37"/>
      <c r="AF1797" s="37"/>
      <c r="AG1797" s="33"/>
      <c r="AH1797" s="37"/>
      <c r="AI1797" s="37"/>
      <c r="AJ1797" s="181"/>
      <c r="AK1797" s="37"/>
      <c r="AL1797" s="37"/>
      <c r="AM1797" s="181"/>
      <c r="AN1797" s="37"/>
      <c r="AO1797" s="37"/>
      <c r="AP1797" s="37"/>
      <c r="AQ1797" s="37"/>
      <c r="AR1797" s="37"/>
      <c r="AS1797" s="37"/>
      <c r="AT1797" s="37"/>
      <c r="AU1797" s="37"/>
      <c r="AV1797" s="37"/>
      <c r="AW1797" s="37"/>
      <c r="AX1797" s="37"/>
      <c r="AY1797" s="37"/>
      <c r="AZ1797" s="37"/>
    </row>
    <row r="1798" spans="1:52" ht="15.5" customHeight="1">
      <c r="A1798" s="360"/>
      <c r="B1798" s="340"/>
      <c r="C1798" s="181"/>
      <c r="D1798" s="30"/>
      <c r="E1798" s="30"/>
      <c r="F1798" s="30"/>
      <c r="G1798" s="37"/>
      <c r="H1798" s="37"/>
      <c r="I1798" s="37"/>
      <c r="J1798" s="37" t="s">
        <v>69</v>
      </c>
      <c r="K1798" s="325" t="s">
        <v>69</v>
      </c>
      <c r="L1798" s="181"/>
      <c r="M1798" s="181"/>
      <c r="N1798" s="37"/>
      <c r="O1798" s="31"/>
      <c r="P1798" s="37"/>
      <c r="Q1798" s="181"/>
      <c r="R1798" s="181"/>
      <c r="S1798" s="181"/>
      <c r="T1798" s="181"/>
      <c r="U1798" s="181"/>
      <c r="V1798" s="37"/>
      <c r="W1798" s="181"/>
      <c r="X1798" s="38"/>
      <c r="Y1798" s="38"/>
      <c r="Z1798" s="38"/>
      <c r="AA1798" s="38"/>
      <c r="AB1798" s="248"/>
      <c r="AC1798" s="250"/>
      <c r="AD1798" s="181"/>
      <c r="AE1798" s="37"/>
      <c r="AF1798" s="37"/>
      <c r="AG1798" s="33"/>
      <c r="AH1798" s="37"/>
      <c r="AI1798" s="37"/>
      <c r="AJ1798" s="181"/>
      <c r="AK1798" s="37"/>
      <c r="AL1798" s="37"/>
      <c r="AM1798" s="181"/>
      <c r="AN1798" s="37"/>
      <c r="AO1798" s="37"/>
      <c r="AP1798" s="37"/>
      <c r="AQ1798" s="37"/>
      <c r="AR1798" s="37"/>
      <c r="AS1798" s="37"/>
      <c r="AT1798" s="37"/>
      <c r="AU1798" s="37"/>
      <c r="AV1798" s="37"/>
      <c r="AW1798" s="37"/>
      <c r="AX1798" s="37"/>
      <c r="AY1798" s="37"/>
      <c r="AZ1798" s="37"/>
    </row>
    <row r="1799" spans="1:52" ht="15.5" customHeight="1">
      <c r="A1799" s="360"/>
      <c r="B1799" s="340"/>
      <c r="C1799" s="181"/>
      <c r="D1799" s="30"/>
      <c r="E1799" s="30"/>
      <c r="F1799" s="30"/>
      <c r="G1799" s="37"/>
      <c r="H1799" s="37"/>
      <c r="I1799" s="37"/>
      <c r="J1799" s="37" t="s">
        <v>69</v>
      </c>
      <c r="K1799" s="325" t="s">
        <v>69</v>
      </c>
      <c r="L1799" s="181"/>
      <c r="M1799" s="181"/>
      <c r="N1799" s="37"/>
      <c r="O1799" s="31"/>
      <c r="P1799" s="37"/>
      <c r="Q1799" s="181"/>
      <c r="R1799" s="181"/>
      <c r="S1799" s="181"/>
      <c r="T1799" s="181"/>
      <c r="U1799" s="181"/>
      <c r="V1799" s="37"/>
      <c r="W1799" s="181"/>
      <c r="X1799" s="38"/>
      <c r="Y1799" s="38"/>
      <c r="Z1799" s="38"/>
      <c r="AA1799" s="38"/>
      <c r="AB1799" s="248"/>
      <c r="AC1799" s="250"/>
      <c r="AD1799" s="181"/>
      <c r="AE1799" s="37"/>
      <c r="AF1799" s="37"/>
      <c r="AG1799" s="33"/>
      <c r="AH1799" s="37"/>
      <c r="AI1799" s="37"/>
      <c r="AJ1799" s="181"/>
      <c r="AK1799" s="37"/>
      <c r="AL1799" s="37"/>
      <c r="AM1799" s="181"/>
      <c r="AN1799" s="37"/>
      <c r="AO1799" s="37"/>
      <c r="AP1799" s="37"/>
      <c r="AQ1799" s="37"/>
      <c r="AR1799" s="37"/>
      <c r="AS1799" s="37"/>
      <c r="AT1799" s="37"/>
      <c r="AU1799" s="37"/>
      <c r="AV1799" s="37"/>
      <c r="AW1799" s="37"/>
      <c r="AX1799" s="37"/>
      <c r="AY1799" s="37"/>
      <c r="AZ1799" s="37"/>
    </row>
    <row r="1800" spans="1:52" ht="15.5" customHeight="1">
      <c r="A1800" s="360"/>
      <c r="B1800" s="340"/>
      <c r="C1800" s="181"/>
      <c r="D1800" s="30"/>
      <c r="E1800" s="30"/>
      <c r="F1800" s="30"/>
      <c r="G1800" s="37"/>
      <c r="H1800" s="37"/>
      <c r="I1800" s="37"/>
      <c r="J1800" s="37" t="s">
        <v>69</v>
      </c>
      <c r="K1800" s="325" t="s">
        <v>69</v>
      </c>
      <c r="L1800" s="181"/>
      <c r="M1800" s="181"/>
      <c r="N1800" s="37"/>
      <c r="O1800" s="31"/>
      <c r="P1800" s="37"/>
      <c r="Q1800" s="181"/>
      <c r="R1800" s="181"/>
      <c r="S1800" s="181"/>
      <c r="T1800" s="181"/>
      <c r="U1800" s="181"/>
      <c r="V1800" s="37"/>
      <c r="W1800" s="181"/>
      <c r="X1800" s="38"/>
      <c r="Y1800" s="38"/>
      <c r="Z1800" s="38"/>
      <c r="AA1800" s="38"/>
      <c r="AB1800" s="248"/>
      <c r="AC1800" s="250"/>
      <c r="AD1800" s="181"/>
      <c r="AE1800" s="37"/>
      <c r="AF1800" s="37"/>
      <c r="AG1800" s="33"/>
      <c r="AH1800" s="37"/>
      <c r="AI1800" s="37"/>
      <c r="AJ1800" s="181"/>
      <c r="AK1800" s="37"/>
      <c r="AL1800" s="37"/>
      <c r="AM1800" s="181"/>
      <c r="AN1800" s="37"/>
      <c r="AO1800" s="37"/>
      <c r="AP1800" s="37"/>
      <c r="AQ1800" s="37"/>
      <c r="AR1800" s="37"/>
      <c r="AS1800" s="37"/>
      <c r="AT1800" s="37"/>
      <c r="AU1800" s="37"/>
      <c r="AV1800" s="37"/>
      <c r="AW1800" s="37"/>
      <c r="AX1800" s="37"/>
      <c r="AY1800" s="37"/>
      <c r="AZ1800" s="37"/>
    </row>
    <row r="1801" spans="1:52" ht="15.5" customHeight="1">
      <c r="A1801" s="360"/>
      <c r="B1801" s="340"/>
      <c r="C1801" s="181"/>
      <c r="D1801" s="30"/>
      <c r="E1801" s="30"/>
      <c r="F1801" s="30"/>
      <c r="G1801" s="37"/>
      <c r="H1801" s="37"/>
      <c r="I1801" s="37"/>
      <c r="J1801" s="37" t="s">
        <v>69</v>
      </c>
      <c r="K1801" s="325" t="s">
        <v>69</v>
      </c>
      <c r="L1801" s="181"/>
      <c r="M1801" s="181"/>
      <c r="N1801" s="37"/>
      <c r="O1801" s="31"/>
      <c r="P1801" s="37"/>
      <c r="Q1801" s="181"/>
      <c r="R1801" s="181"/>
      <c r="S1801" s="181"/>
      <c r="T1801" s="181"/>
      <c r="U1801" s="181"/>
      <c r="V1801" s="37"/>
      <c r="W1801" s="181"/>
      <c r="X1801" s="38"/>
      <c r="Y1801" s="38"/>
      <c r="Z1801" s="38"/>
      <c r="AA1801" s="38"/>
      <c r="AB1801" s="248"/>
      <c r="AC1801" s="250"/>
      <c r="AD1801" s="181"/>
      <c r="AE1801" s="37"/>
      <c r="AF1801" s="37"/>
      <c r="AG1801" s="33"/>
      <c r="AH1801" s="37"/>
      <c r="AI1801" s="37"/>
      <c r="AJ1801" s="181"/>
      <c r="AK1801" s="37"/>
      <c r="AL1801" s="37"/>
      <c r="AM1801" s="181"/>
      <c r="AN1801" s="37"/>
      <c r="AO1801" s="37"/>
      <c r="AP1801" s="37"/>
      <c r="AQ1801" s="37"/>
      <c r="AR1801" s="37"/>
      <c r="AS1801" s="37"/>
      <c r="AT1801" s="37"/>
      <c r="AU1801" s="37"/>
      <c r="AV1801" s="37"/>
      <c r="AW1801" s="37"/>
      <c r="AX1801" s="37"/>
      <c r="AY1801" s="37"/>
      <c r="AZ1801" s="37"/>
    </row>
    <row r="1802" spans="1:52" ht="15.5" customHeight="1">
      <c r="A1802" s="360"/>
      <c r="B1802" s="340"/>
      <c r="C1802" s="181"/>
      <c r="D1802" s="30"/>
      <c r="E1802" s="30"/>
      <c r="F1802" s="30"/>
      <c r="G1802" s="37"/>
      <c r="H1802" s="37"/>
      <c r="I1802" s="37"/>
      <c r="J1802" s="37" t="s">
        <v>69</v>
      </c>
      <c r="K1802" s="325" t="s">
        <v>69</v>
      </c>
      <c r="L1802" s="181"/>
      <c r="M1802" s="181"/>
      <c r="N1802" s="37"/>
      <c r="O1802" s="31"/>
      <c r="P1802" s="37"/>
      <c r="Q1802" s="181"/>
      <c r="R1802" s="181"/>
      <c r="S1802" s="181"/>
      <c r="T1802" s="181"/>
      <c r="U1802" s="181"/>
      <c r="V1802" s="37"/>
      <c r="W1802" s="181"/>
      <c r="X1802" s="38"/>
      <c r="Y1802" s="38"/>
      <c r="Z1802" s="38"/>
      <c r="AA1802" s="38"/>
      <c r="AB1802" s="248"/>
      <c r="AC1802" s="250"/>
      <c r="AD1802" s="181"/>
      <c r="AE1802" s="37"/>
      <c r="AF1802" s="37"/>
      <c r="AG1802" s="33"/>
      <c r="AH1802" s="37"/>
      <c r="AI1802" s="37"/>
      <c r="AJ1802" s="181"/>
      <c r="AK1802" s="37"/>
      <c r="AL1802" s="37"/>
      <c r="AM1802" s="181"/>
      <c r="AN1802" s="37"/>
      <c r="AO1802" s="37"/>
      <c r="AP1802" s="37"/>
      <c r="AQ1802" s="37"/>
      <c r="AR1802" s="37"/>
      <c r="AS1802" s="37"/>
      <c r="AT1802" s="37"/>
      <c r="AU1802" s="37"/>
      <c r="AV1802" s="37"/>
      <c r="AW1802" s="37"/>
      <c r="AX1802" s="37"/>
      <c r="AY1802" s="37"/>
      <c r="AZ1802" s="37"/>
    </row>
    <row r="1803" spans="1:52" ht="15.5" customHeight="1">
      <c r="A1803" s="360"/>
      <c r="B1803" s="340"/>
      <c r="C1803" s="181"/>
      <c r="D1803" s="30"/>
      <c r="E1803" s="30"/>
      <c r="F1803" s="30"/>
      <c r="G1803" s="37"/>
      <c r="H1803" s="37"/>
      <c r="I1803" s="37"/>
      <c r="J1803" s="37" t="s">
        <v>69</v>
      </c>
      <c r="K1803" s="325" t="s">
        <v>69</v>
      </c>
      <c r="L1803" s="181"/>
      <c r="M1803" s="181"/>
      <c r="N1803" s="37"/>
      <c r="O1803" s="31"/>
      <c r="P1803" s="37"/>
      <c r="Q1803" s="181"/>
      <c r="R1803" s="181"/>
      <c r="S1803" s="181"/>
      <c r="T1803" s="181"/>
      <c r="U1803" s="181"/>
      <c r="V1803" s="37"/>
      <c r="W1803" s="181"/>
      <c r="X1803" s="38"/>
      <c r="Y1803" s="38"/>
      <c r="Z1803" s="38"/>
      <c r="AA1803" s="38"/>
      <c r="AB1803" s="248"/>
      <c r="AC1803" s="250"/>
      <c r="AD1803" s="181"/>
      <c r="AE1803" s="37"/>
      <c r="AF1803" s="37"/>
      <c r="AG1803" s="33"/>
      <c r="AH1803" s="37"/>
      <c r="AI1803" s="37"/>
      <c r="AJ1803" s="181"/>
      <c r="AK1803" s="37"/>
      <c r="AL1803" s="37"/>
      <c r="AM1803" s="181"/>
      <c r="AN1803" s="37"/>
      <c r="AO1803" s="37"/>
      <c r="AP1803" s="37"/>
      <c r="AQ1803" s="37"/>
      <c r="AR1803" s="37"/>
      <c r="AS1803" s="37"/>
      <c r="AT1803" s="37"/>
      <c r="AU1803" s="37"/>
      <c r="AV1803" s="37"/>
      <c r="AW1803" s="37"/>
      <c r="AX1803" s="37"/>
      <c r="AY1803" s="37"/>
      <c r="AZ1803" s="37"/>
    </row>
    <row r="1804" spans="1:52" ht="15.5" customHeight="1">
      <c r="A1804" s="360"/>
      <c r="B1804" s="340"/>
      <c r="C1804" s="181"/>
      <c r="D1804" s="30"/>
      <c r="E1804" s="30"/>
      <c r="F1804" s="30"/>
      <c r="G1804" s="37"/>
      <c r="H1804" s="37"/>
      <c r="I1804" s="37"/>
      <c r="J1804" s="37" t="s">
        <v>69</v>
      </c>
      <c r="K1804" s="325" t="s">
        <v>69</v>
      </c>
      <c r="L1804" s="181"/>
      <c r="M1804" s="181"/>
      <c r="N1804" s="37"/>
      <c r="O1804" s="31"/>
      <c r="P1804" s="37"/>
      <c r="Q1804" s="181"/>
      <c r="R1804" s="181"/>
      <c r="S1804" s="181"/>
      <c r="T1804" s="181"/>
      <c r="U1804" s="181"/>
      <c r="V1804" s="37"/>
      <c r="W1804" s="181"/>
      <c r="X1804" s="38"/>
      <c r="Y1804" s="38"/>
      <c r="Z1804" s="38"/>
      <c r="AA1804" s="38"/>
      <c r="AB1804" s="248"/>
      <c r="AC1804" s="250"/>
      <c r="AD1804" s="181"/>
      <c r="AE1804" s="37"/>
      <c r="AF1804" s="37"/>
      <c r="AG1804" s="33"/>
      <c r="AH1804" s="37"/>
      <c r="AI1804" s="37"/>
      <c r="AJ1804" s="181"/>
      <c r="AK1804" s="37"/>
      <c r="AL1804" s="37"/>
      <c r="AM1804" s="181"/>
      <c r="AN1804" s="37"/>
      <c r="AO1804" s="37"/>
      <c r="AP1804" s="37"/>
      <c r="AQ1804" s="37"/>
      <c r="AR1804" s="37"/>
      <c r="AS1804" s="37"/>
      <c r="AT1804" s="37"/>
      <c r="AU1804" s="37"/>
      <c r="AV1804" s="37"/>
      <c r="AW1804" s="37"/>
      <c r="AX1804" s="37"/>
      <c r="AY1804" s="37"/>
      <c r="AZ1804" s="37"/>
    </row>
    <row r="1805" spans="1:52" ht="15.5" customHeight="1">
      <c r="A1805" s="360"/>
      <c r="B1805" s="340"/>
      <c r="C1805" s="181"/>
      <c r="D1805" s="30"/>
      <c r="E1805" s="30"/>
      <c r="F1805" s="30"/>
      <c r="G1805" s="37"/>
      <c r="H1805" s="37"/>
      <c r="I1805" s="37"/>
      <c r="J1805" s="37" t="s">
        <v>69</v>
      </c>
      <c r="K1805" s="325" t="s">
        <v>69</v>
      </c>
      <c r="L1805" s="181"/>
      <c r="M1805" s="181"/>
      <c r="N1805" s="37"/>
      <c r="O1805" s="31"/>
      <c r="P1805" s="37"/>
      <c r="Q1805" s="181"/>
      <c r="R1805" s="181"/>
      <c r="S1805" s="181"/>
      <c r="T1805" s="181"/>
      <c r="U1805" s="181"/>
      <c r="V1805" s="37"/>
      <c r="W1805" s="181"/>
      <c r="X1805" s="38"/>
      <c r="Y1805" s="38"/>
      <c r="Z1805" s="38"/>
      <c r="AA1805" s="38"/>
      <c r="AB1805" s="248"/>
      <c r="AC1805" s="250"/>
      <c r="AD1805" s="181"/>
      <c r="AE1805" s="37"/>
      <c r="AF1805" s="37"/>
      <c r="AG1805" s="33"/>
      <c r="AH1805" s="37"/>
      <c r="AI1805" s="37"/>
      <c r="AJ1805" s="181"/>
      <c r="AK1805" s="37"/>
      <c r="AL1805" s="37"/>
      <c r="AM1805" s="181"/>
      <c r="AN1805" s="37"/>
      <c r="AO1805" s="37"/>
      <c r="AP1805" s="37"/>
      <c r="AQ1805" s="37"/>
      <c r="AR1805" s="37"/>
      <c r="AS1805" s="37"/>
      <c r="AT1805" s="37"/>
      <c r="AU1805" s="37"/>
      <c r="AV1805" s="37"/>
      <c r="AW1805" s="37"/>
      <c r="AX1805" s="37"/>
      <c r="AY1805" s="37"/>
      <c r="AZ1805" s="37"/>
    </row>
    <row r="1806" spans="1:52" ht="15.5" customHeight="1">
      <c r="A1806" s="360"/>
      <c r="B1806" s="340"/>
      <c r="C1806" s="181"/>
      <c r="D1806" s="30"/>
      <c r="E1806" s="30"/>
      <c r="F1806" s="30"/>
      <c r="G1806" s="37"/>
      <c r="H1806" s="37"/>
      <c r="I1806" s="37"/>
      <c r="J1806" s="37" t="s">
        <v>69</v>
      </c>
      <c r="K1806" s="325" t="s">
        <v>69</v>
      </c>
      <c r="L1806" s="181"/>
      <c r="M1806" s="181"/>
      <c r="N1806" s="37"/>
      <c r="O1806" s="31"/>
      <c r="P1806" s="37"/>
      <c r="Q1806" s="181"/>
      <c r="R1806" s="181"/>
      <c r="S1806" s="181"/>
      <c r="T1806" s="181"/>
      <c r="U1806" s="181"/>
      <c r="V1806" s="37"/>
      <c r="W1806" s="181"/>
      <c r="X1806" s="38"/>
      <c r="Y1806" s="38"/>
      <c r="Z1806" s="38"/>
      <c r="AA1806" s="38"/>
      <c r="AB1806" s="248"/>
      <c r="AC1806" s="250"/>
      <c r="AD1806" s="181"/>
      <c r="AE1806" s="37"/>
      <c r="AF1806" s="37"/>
      <c r="AG1806" s="33"/>
      <c r="AH1806" s="37"/>
      <c r="AI1806" s="37"/>
      <c r="AJ1806" s="181"/>
      <c r="AK1806" s="37"/>
      <c r="AL1806" s="37"/>
      <c r="AM1806" s="181"/>
      <c r="AN1806" s="37"/>
      <c r="AO1806" s="37"/>
      <c r="AP1806" s="37"/>
      <c r="AQ1806" s="37"/>
      <c r="AR1806" s="37"/>
      <c r="AS1806" s="37"/>
      <c r="AT1806" s="37"/>
      <c r="AU1806" s="37"/>
      <c r="AV1806" s="37"/>
      <c r="AW1806" s="37"/>
      <c r="AX1806" s="37"/>
      <c r="AY1806" s="37"/>
      <c r="AZ1806" s="37"/>
    </row>
    <row r="1807" spans="1:52" ht="15.5" customHeight="1">
      <c r="A1807" s="360"/>
      <c r="B1807" s="340"/>
      <c r="C1807" s="181"/>
      <c r="D1807" s="30"/>
      <c r="E1807" s="30"/>
      <c r="F1807" s="30"/>
      <c r="G1807" s="37"/>
      <c r="H1807" s="37"/>
      <c r="I1807" s="37"/>
      <c r="J1807" s="37" t="s">
        <v>69</v>
      </c>
      <c r="K1807" s="325" t="s">
        <v>69</v>
      </c>
      <c r="L1807" s="181"/>
      <c r="M1807" s="181"/>
      <c r="N1807" s="37"/>
      <c r="O1807" s="31"/>
      <c r="P1807" s="37"/>
      <c r="Q1807" s="181"/>
      <c r="R1807" s="181"/>
      <c r="S1807" s="181"/>
      <c r="T1807" s="181"/>
      <c r="U1807" s="181"/>
      <c r="V1807" s="37"/>
      <c r="W1807" s="181"/>
      <c r="X1807" s="38"/>
      <c r="Y1807" s="38"/>
      <c r="Z1807" s="38"/>
      <c r="AA1807" s="38"/>
      <c r="AB1807" s="248"/>
      <c r="AC1807" s="250"/>
      <c r="AD1807" s="181"/>
      <c r="AE1807" s="37"/>
      <c r="AF1807" s="37"/>
      <c r="AG1807" s="33"/>
      <c r="AH1807" s="37"/>
      <c r="AI1807" s="37"/>
      <c r="AJ1807" s="181"/>
      <c r="AK1807" s="37"/>
      <c r="AL1807" s="37"/>
      <c r="AM1807" s="181"/>
      <c r="AN1807" s="37"/>
      <c r="AO1807" s="37"/>
      <c r="AP1807" s="37"/>
      <c r="AQ1807" s="37"/>
      <c r="AR1807" s="37"/>
      <c r="AS1807" s="37"/>
      <c r="AT1807" s="37"/>
      <c r="AU1807" s="37"/>
      <c r="AV1807" s="37"/>
      <c r="AW1807" s="37"/>
      <c r="AX1807" s="37"/>
      <c r="AY1807" s="37"/>
      <c r="AZ1807" s="37"/>
    </row>
    <row r="1808" spans="1:52" ht="15.5" customHeight="1">
      <c r="A1808" s="360"/>
      <c r="B1808" s="340"/>
      <c r="C1808" s="181"/>
      <c r="D1808" s="30"/>
      <c r="E1808" s="30"/>
      <c r="F1808" s="30"/>
      <c r="G1808" s="37"/>
      <c r="H1808" s="37"/>
      <c r="I1808" s="37"/>
      <c r="J1808" s="37" t="s">
        <v>69</v>
      </c>
      <c r="K1808" s="325" t="s">
        <v>69</v>
      </c>
      <c r="L1808" s="181"/>
      <c r="M1808" s="181"/>
      <c r="N1808" s="37"/>
      <c r="O1808" s="31"/>
      <c r="P1808" s="37"/>
      <c r="Q1808" s="181"/>
      <c r="R1808" s="181"/>
      <c r="S1808" s="181"/>
      <c r="T1808" s="181"/>
      <c r="U1808" s="181"/>
      <c r="V1808" s="37"/>
      <c r="W1808" s="181"/>
      <c r="X1808" s="38"/>
      <c r="Y1808" s="38"/>
      <c r="Z1808" s="38"/>
      <c r="AA1808" s="38"/>
      <c r="AB1808" s="248"/>
      <c r="AC1808" s="250"/>
      <c r="AD1808" s="181"/>
      <c r="AE1808" s="37"/>
      <c r="AF1808" s="37"/>
      <c r="AG1808" s="33"/>
      <c r="AH1808" s="37"/>
      <c r="AI1808" s="37"/>
      <c r="AJ1808" s="181"/>
      <c r="AK1808" s="37"/>
      <c r="AL1808" s="37"/>
      <c r="AM1808" s="181"/>
      <c r="AN1808" s="37"/>
      <c r="AO1808" s="37"/>
      <c r="AP1808" s="37"/>
      <c r="AQ1808" s="37"/>
      <c r="AR1808" s="37"/>
      <c r="AS1808" s="37"/>
      <c r="AT1808" s="37"/>
      <c r="AU1808" s="37"/>
      <c r="AV1808" s="37"/>
      <c r="AW1808" s="37"/>
      <c r="AX1808" s="37"/>
      <c r="AY1808" s="37"/>
      <c r="AZ1808" s="37"/>
    </row>
    <row r="1809" spans="1:52" ht="15.5" customHeight="1">
      <c r="A1809" s="360"/>
      <c r="B1809" s="340"/>
      <c r="C1809" s="181"/>
      <c r="D1809" s="30"/>
      <c r="E1809" s="30"/>
      <c r="F1809" s="30"/>
      <c r="G1809" s="37"/>
      <c r="H1809" s="37"/>
      <c r="I1809" s="37"/>
      <c r="J1809" s="37" t="s">
        <v>69</v>
      </c>
      <c r="K1809" s="325" t="s">
        <v>69</v>
      </c>
      <c r="L1809" s="181"/>
      <c r="M1809" s="181"/>
      <c r="N1809" s="37"/>
      <c r="O1809" s="31"/>
      <c r="P1809" s="37"/>
      <c r="Q1809" s="181"/>
      <c r="R1809" s="181"/>
      <c r="S1809" s="181"/>
      <c r="T1809" s="181"/>
      <c r="U1809" s="181"/>
      <c r="V1809" s="37"/>
      <c r="W1809" s="181"/>
      <c r="X1809" s="38"/>
      <c r="Y1809" s="38"/>
      <c r="Z1809" s="38"/>
      <c r="AA1809" s="38"/>
      <c r="AB1809" s="248"/>
      <c r="AC1809" s="250"/>
      <c r="AD1809" s="181"/>
      <c r="AE1809" s="37"/>
      <c r="AF1809" s="37"/>
      <c r="AG1809" s="33"/>
      <c r="AH1809" s="37"/>
      <c r="AI1809" s="37"/>
      <c r="AJ1809" s="181"/>
      <c r="AK1809" s="37"/>
      <c r="AL1809" s="37"/>
      <c r="AM1809" s="181"/>
      <c r="AN1809" s="37"/>
      <c r="AO1809" s="37"/>
      <c r="AP1809" s="37"/>
      <c r="AQ1809" s="37"/>
      <c r="AR1809" s="37"/>
      <c r="AS1809" s="37"/>
      <c r="AT1809" s="37"/>
      <c r="AU1809" s="37"/>
      <c r="AV1809" s="37"/>
      <c r="AW1809" s="37"/>
      <c r="AX1809" s="37"/>
      <c r="AY1809" s="37"/>
      <c r="AZ1809" s="37"/>
    </row>
    <row r="1810" spans="1:52" ht="15.5" customHeight="1">
      <c r="A1810" s="360"/>
      <c r="B1810" s="340"/>
      <c r="C1810" s="181"/>
      <c r="D1810" s="30"/>
      <c r="E1810" s="30"/>
      <c r="F1810" s="30"/>
      <c r="G1810" s="37"/>
      <c r="H1810" s="37"/>
      <c r="I1810" s="37"/>
      <c r="J1810" s="37" t="s">
        <v>69</v>
      </c>
      <c r="K1810" s="325" t="s">
        <v>69</v>
      </c>
      <c r="L1810" s="181"/>
      <c r="M1810" s="181"/>
      <c r="N1810" s="37"/>
      <c r="O1810" s="31"/>
      <c r="P1810" s="37"/>
      <c r="Q1810" s="181"/>
      <c r="R1810" s="181"/>
      <c r="S1810" s="181"/>
      <c r="T1810" s="181"/>
      <c r="U1810" s="181"/>
      <c r="V1810" s="37"/>
      <c r="W1810" s="181"/>
      <c r="X1810" s="38"/>
      <c r="Y1810" s="38"/>
      <c r="Z1810" s="38"/>
      <c r="AA1810" s="38"/>
      <c r="AB1810" s="248"/>
      <c r="AC1810" s="250"/>
      <c r="AD1810" s="181"/>
      <c r="AE1810" s="37"/>
      <c r="AF1810" s="37"/>
      <c r="AG1810" s="33"/>
      <c r="AH1810" s="37"/>
      <c r="AI1810" s="37"/>
      <c r="AJ1810" s="181"/>
      <c r="AK1810" s="37"/>
      <c r="AL1810" s="37"/>
      <c r="AM1810" s="181"/>
      <c r="AN1810" s="37"/>
      <c r="AO1810" s="37"/>
      <c r="AP1810" s="37"/>
      <c r="AQ1810" s="37"/>
      <c r="AR1810" s="37"/>
      <c r="AS1810" s="37"/>
      <c r="AT1810" s="37"/>
      <c r="AU1810" s="37"/>
      <c r="AV1810" s="37"/>
      <c r="AW1810" s="37"/>
      <c r="AX1810" s="37"/>
      <c r="AY1810" s="37"/>
      <c r="AZ1810" s="37"/>
    </row>
    <row r="1811" spans="1:52" ht="15.5" customHeight="1">
      <c r="A1811" s="360"/>
      <c r="B1811" s="340"/>
      <c r="C1811" s="181"/>
      <c r="D1811" s="30"/>
      <c r="E1811" s="30"/>
      <c r="F1811" s="30"/>
      <c r="G1811" s="37"/>
      <c r="H1811" s="37"/>
      <c r="I1811" s="37"/>
      <c r="J1811" s="37" t="s">
        <v>69</v>
      </c>
      <c r="K1811" s="325" t="s">
        <v>69</v>
      </c>
      <c r="L1811" s="181"/>
      <c r="M1811" s="181"/>
      <c r="N1811" s="37"/>
      <c r="O1811" s="31"/>
      <c r="P1811" s="37"/>
      <c r="Q1811" s="181"/>
      <c r="R1811" s="181"/>
      <c r="S1811" s="181"/>
      <c r="T1811" s="181"/>
      <c r="U1811" s="181"/>
      <c r="V1811" s="37"/>
      <c r="W1811" s="181"/>
      <c r="X1811" s="38"/>
      <c r="Y1811" s="38"/>
      <c r="Z1811" s="38"/>
      <c r="AA1811" s="38"/>
      <c r="AB1811" s="248"/>
      <c r="AC1811" s="250"/>
      <c r="AD1811" s="181"/>
      <c r="AE1811" s="37"/>
      <c r="AF1811" s="37"/>
      <c r="AG1811" s="33"/>
      <c r="AH1811" s="37"/>
      <c r="AI1811" s="37"/>
      <c r="AJ1811" s="181"/>
      <c r="AK1811" s="37"/>
      <c r="AL1811" s="37"/>
      <c r="AM1811" s="181"/>
      <c r="AN1811" s="37"/>
      <c r="AO1811" s="37"/>
      <c r="AP1811" s="37"/>
      <c r="AQ1811" s="37"/>
      <c r="AR1811" s="37"/>
      <c r="AS1811" s="37"/>
      <c r="AT1811" s="37"/>
      <c r="AU1811" s="37"/>
      <c r="AV1811" s="37"/>
      <c r="AW1811" s="37"/>
      <c r="AX1811" s="37"/>
      <c r="AY1811" s="37"/>
      <c r="AZ1811" s="37"/>
    </row>
    <row r="1812" spans="1:52" ht="15.5" customHeight="1">
      <c r="A1812" s="360"/>
      <c r="B1812" s="340"/>
      <c r="C1812" s="181"/>
      <c r="D1812" s="30"/>
      <c r="E1812" s="30"/>
      <c r="F1812" s="30"/>
      <c r="G1812" s="37"/>
      <c r="H1812" s="37"/>
      <c r="I1812" s="37"/>
      <c r="J1812" s="37" t="s">
        <v>69</v>
      </c>
      <c r="K1812" s="325" t="s">
        <v>69</v>
      </c>
      <c r="L1812" s="181"/>
      <c r="M1812" s="181"/>
      <c r="N1812" s="37"/>
      <c r="O1812" s="31"/>
      <c r="P1812" s="37"/>
      <c r="Q1812" s="181"/>
      <c r="R1812" s="181"/>
      <c r="S1812" s="181"/>
      <c r="T1812" s="181"/>
      <c r="U1812" s="181"/>
      <c r="V1812" s="37"/>
      <c r="W1812" s="181"/>
      <c r="X1812" s="38"/>
      <c r="Y1812" s="38"/>
      <c r="Z1812" s="38"/>
      <c r="AA1812" s="38"/>
      <c r="AB1812" s="248"/>
      <c r="AC1812" s="250"/>
      <c r="AD1812" s="181"/>
      <c r="AE1812" s="37"/>
      <c r="AF1812" s="37"/>
      <c r="AG1812" s="33"/>
      <c r="AH1812" s="37"/>
      <c r="AI1812" s="37"/>
      <c r="AJ1812" s="181"/>
      <c r="AK1812" s="37"/>
      <c r="AL1812" s="37"/>
      <c r="AM1812" s="181"/>
      <c r="AN1812" s="37"/>
      <c r="AO1812" s="37"/>
      <c r="AP1812" s="37"/>
      <c r="AQ1812" s="37"/>
      <c r="AR1812" s="37"/>
      <c r="AS1812" s="37"/>
      <c r="AT1812" s="37"/>
      <c r="AU1812" s="37"/>
      <c r="AV1812" s="37"/>
      <c r="AW1812" s="37"/>
      <c r="AX1812" s="37"/>
      <c r="AY1812" s="37"/>
      <c r="AZ1812" s="37"/>
    </row>
    <row r="1813" spans="1:52" ht="15.5" customHeight="1">
      <c r="A1813" s="360"/>
      <c r="B1813" s="340"/>
      <c r="C1813" s="181"/>
      <c r="D1813" s="30"/>
      <c r="E1813" s="30"/>
      <c r="F1813" s="30"/>
      <c r="G1813" s="37"/>
      <c r="H1813" s="37"/>
      <c r="I1813" s="37"/>
      <c r="J1813" s="37" t="s">
        <v>69</v>
      </c>
      <c r="K1813" s="325" t="s">
        <v>69</v>
      </c>
      <c r="L1813" s="181"/>
      <c r="M1813" s="181"/>
      <c r="N1813" s="37"/>
      <c r="O1813" s="31"/>
      <c r="P1813" s="37"/>
      <c r="Q1813" s="181"/>
      <c r="R1813" s="181"/>
      <c r="S1813" s="181"/>
      <c r="T1813" s="181"/>
      <c r="U1813" s="181"/>
      <c r="V1813" s="37"/>
      <c r="W1813" s="181"/>
      <c r="X1813" s="38"/>
      <c r="Y1813" s="38"/>
      <c r="Z1813" s="38"/>
      <c r="AA1813" s="38"/>
      <c r="AB1813" s="248"/>
      <c r="AC1813" s="250"/>
      <c r="AD1813" s="181"/>
      <c r="AE1813" s="37"/>
      <c r="AF1813" s="37"/>
      <c r="AG1813" s="33"/>
      <c r="AH1813" s="37"/>
      <c r="AI1813" s="37"/>
      <c r="AJ1813" s="181"/>
      <c r="AK1813" s="37"/>
      <c r="AL1813" s="37"/>
      <c r="AM1813" s="181"/>
      <c r="AN1813" s="37"/>
      <c r="AO1813" s="37"/>
      <c r="AP1813" s="37"/>
      <c r="AQ1813" s="37"/>
      <c r="AR1813" s="37"/>
      <c r="AS1813" s="37"/>
      <c r="AT1813" s="37"/>
      <c r="AU1813" s="37"/>
      <c r="AV1813" s="37"/>
      <c r="AW1813" s="37"/>
      <c r="AX1813" s="37"/>
      <c r="AY1813" s="37"/>
      <c r="AZ1813" s="37"/>
    </row>
    <row r="1814" spans="1:52" ht="15.5" customHeight="1">
      <c r="A1814" s="360"/>
      <c r="B1814" s="340"/>
      <c r="C1814" s="181"/>
      <c r="D1814" s="30"/>
      <c r="E1814" s="30"/>
      <c r="F1814" s="30"/>
      <c r="G1814" s="37"/>
      <c r="H1814" s="37"/>
      <c r="I1814" s="37"/>
      <c r="J1814" s="37" t="s">
        <v>69</v>
      </c>
      <c r="K1814" s="325" t="s">
        <v>69</v>
      </c>
      <c r="L1814" s="181"/>
      <c r="M1814" s="181"/>
      <c r="N1814" s="37"/>
      <c r="O1814" s="31"/>
      <c r="P1814" s="37"/>
      <c r="Q1814" s="181"/>
      <c r="R1814" s="181"/>
      <c r="S1814" s="181"/>
      <c r="T1814" s="181"/>
      <c r="U1814" s="181"/>
      <c r="V1814" s="37"/>
      <c r="W1814" s="181"/>
      <c r="X1814" s="38"/>
      <c r="Y1814" s="38"/>
      <c r="Z1814" s="38"/>
      <c r="AA1814" s="38"/>
      <c r="AB1814" s="248"/>
      <c r="AC1814" s="250"/>
      <c r="AD1814" s="181"/>
      <c r="AE1814" s="37"/>
      <c r="AF1814" s="37"/>
      <c r="AG1814" s="33"/>
      <c r="AH1814" s="37"/>
      <c r="AI1814" s="37"/>
      <c r="AJ1814" s="181"/>
      <c r="AK1814" s="37"/>
      <c r="AL1814" s="37"/>
      <c r="AM1814" s="181"/>
      <c r="AN1814" s="37"/>
      <c r="AO1814" s="37"/>
      <c r="AP1814" s="37"/>
      <c r="AQ1814" s="37"/>
      <c r="AR1814" s="37"/>
      <c r="AS1814" s="37"/>
      <c r="AT1814" s="37"/>
      <c r="AU1814" s="37"/>
      <c r="AV1814" s="37"/>
      <c r="AW1814" s="37"/>
      <c r="AX1814" s="37"/>
      <c r="AY1814" s="37"/>
      <c r="AZ1814" s="37"/>
    </row>
    <row r="1815" spans="1:52" ht="15.5" customHeight="1">
      <c r="A1815" s="360"/>
      <c r="B1815" s="340"/>
      <c r="C1815" s="181"/>
      <c r="D1815" s="30"/>
      <c r="E1815" s="30"/>
      <c r="F1815" s="30"/>
      <c r="G1815" s="37"/>
      <c r="H1815" s="37"/>
      <c r="I1815" s="37"/>
      <c r="J1815" s="37" t="s">
        <v>69</v>
      </c>
      <c r="K1815" s="325" t="s">
        <v>69</v>
      </c>
      <c r="L1815" s="181"/>
      <c r="M1815" s="181"/>
      <c r="N1815" s="37"/>
      <c r="O1815" s="31"/>
      <c r="P1815" s="37"/>
      <c r="Q1815" s="181"/>
      <c r="R1815" s="181"/>
      <c r="S1815" s="181"/>
      <c r="T1815" s="181"/>
      <c r="U1815" s="181"/>
      <c r="V1815" s="37"/>
      <c r="W1815" s="181"/>
      <c r="X1815" s="38"/>
      <c r="Y1815" s="38"/>
      <c r="Z1815" s="38"/>
      <c r="AA1815" s="38"/>
      <c r="AB1815" s="248"/>
      <c r="AC1815" s="250"/>
      <c r="AD1815" s="181"/>
      <c r="AE1815" s="37"/>
      <c r="AF1815" s="37"/>
      <c r="AG1815" s="33"/>
      <c r="AH1815" s="37"/>
      <c r="AI1815" s="37"/>
      <c r="AJ1815" s="181"/>
      <c r="AK1815" s="37"/>
      <c r="AL1815" s="37"/>
      <c r="AM1815" s="181"/>
      <c r="AN1815" s="37"/>
      <c r="AO1815" s="37"/>
      <c r="AP1815" s="37"/>
      <c r="AQ1815" s="37"/>
      <c r="AR1815" s="37"/>
      <c r="AS1815" s="37"/>
      <c r="AT1815" s="37"/>
      <c r="AU1815" s="37"/>
      <c r="AV1815" s="37"/>
      <c r="AW1815" s="37"/>
      <c r="AX1815" s="37"/>
      <c r="AY1815" s="37"/>
      <c r="AZ1815" s="37"/>
    </row>
    <row r="1816" spans="1:52" ht="15.5" customHeight="1">
      <c r="A1816" s="360"/>
      <c r="B1816" s="340"/>
      <c r="C1816" s="181"/>
      <c r="D1816" s="30"/>
      <c r="E1816" s="30"/>
      <c r="F1816" s="30"/>
      <c r="G1816" s="37"/>
      <c r="H1816" s="37"/>
      <c r="I1816" s="37"/>
      <c r="J1816" s="37" t="s">
        <v>69</v>
      </c>
      <c r="K1816" s="325" t="s">
        <v>69</v>
      </c>
      <c r="L1816" s="181"/>
      <c r="M1816" s="181"/>
      <c r="N1816" s="37"/>
      <c r="O1816" s="31"/>
      <c r="P1816" s="37"/>
      <c r="Q1816" s="181"/>
      <c r="R1816" s="181"/>
      <c r="S1816" s="181"/>
      <c r="T1816" s="181"/>
      <c r="U1816" s="181"/>
      <c r="V1816" s="37"/>
      <c r="W1816" s="181"/>
      <c r="X1816" s="38"/>
      <c r="Y1816" s="38"/>
      <c r="Z1816" s="38"/>
      <c r="AA1816" s="38"/>
      <c r="AB1816" s="248"/>
      <c r="AC1816" s="250"/>
      <c r="AD1816" s="181"/>
      <c r="AE1816" s="37"/>
      <c r="AF1816" s="37"/>
      <c r="AG1816" s="33"/>
      <c r="AH1816" s="37"/>
      <c r="AI1816" s="37"/>
      <c r="AJ1816" s="181"/>
      <c r="AK1816" s="37"/>
      <c r="AL1816" s="37"/>
      <c r="AM1816" s="181"/>
      <c r="AN1816" s="37"/>
      <c r="AO1816" s="37"/>
      <c r="AP1816" s="37"/>
      <c r="AQ1816" s="37"/>
      <c r="AR1816" s="37"/>
      <c r="AS1816" s="37"/>
      <c r="AT1816" s="37"/>
      <c r="AU1816" s="37"/>
      <c r="AV1816" s="37"/>
      <c r="AW1816" s="37"/>
      <c r="AX1816" s="37"/>
      <c r="AY1816" s="37"/>
      <c r="AZ1816" s="37"/>
    </row>
    <row r="1817" spans="1:52" ht="15.5" customHeight="1">
      <c r="A1817" s="360"/>
      <c r="B1817" s="340"/>
      <c r="C1817" s="181"/>
      <c r="D1817" s="30"/>
      <c r="E1817" s="30"/>
      <c r="F1817" s="30"/>
      <c r="G1817" s="37"/>
      <c r="H1817" s="37"/>
      <c r="I1817" s="37"/>
      <c r="J1817" s="37" t="s">
        <v>69</v>
      </c>
      <c r="K1817" s="325" t="s">
        <v>69</v>
      </c>
      <c r="L1817" s="181"/>
      <c r="M1817" s="181"/>
      <c r="N1817" s="37"/>
      <c r="O1817" s="31"/>
      <c r="P1817" s="37"/>
      <c r="Q1817" s="181"/>
      <c r="R1817" s="181"/>
      <c r="S1817" s="181"/>
      <c r="T1817" s="181"/>
      <c r="U1817" s="181"/>
      <c r="V1817" s="37"/>
      <c r="W1817" s="181"/>
      <c r="X1817" s="38"/>
      <c r="Y1817" s="38"/>
      <c r="Z1817" s="38"/>
      <c r="AA1817" s="38"/>
      <c r="AB1817" s="248"/>
      <c r="AC1817" s="250"/>
      <c r="AD1817" s="181"/>
      <c r="AE1817" s="37"/>
      <c r="AF1817" s="37"/>
      <c r="AG1817" s="33"/>
      <c r="AH1817" s="37"/>
      <c r="AI1817" s="37"/>
      <c r="AJ1817" s="181"/>
      <c r="AK1817" s="37"/>
      <c r="AL1817" s="37"/>
      <c r="AM1817" s="181"/>
      <c r="AN1817" s="37"/>
      <c r="AO1817" s="37"/>
      <c r="AP1817" s="37"/>
      <c r="AQ1817" s="37"/>
      <c r="AR1817" s="37"/>
      <c r="AS1817" s="37"/>
      <c r="AT1817" s="37"/>
      <c r="AU1817" s="37"/>
      <c r="AV1817" s="37"/>
      <c r="AW1817" s="37"/>
      <c r="AX1817" s="37"/>
      <c r="AY1817" s="37"/>
      <c r="AZ1817" s="37"/>
    </row>
    <row r="1818" spans="1:52" ht="15.5" customHeight="1">
      <c r="A1818" s="360"/>
      <c r="B1818" s="340"/>
      <c r="C1818" s="181"/>
      <c r="D1818" s="30"/>
      <c r="E1818" s="30"/>
      <c r="F1818" s="30"/>
      <c r="G1818" s="37"/>
      <c r="H1818" s="37"/>
      <c r="I1818" s="37"/>
      <c r="J1818" s="37" t="s">
        <v>69</v>
      </c>
      <c r="K1818" s="325" t="s">
        <v>69</v>
      </c>
      <c r="L1818" s="181"/>
      <c r="M1818" s="181"/>
      <c r="N1818" s="37"/>
      <c r="O1818" s="31"/>
      <c r="P1818" s="37"/>
      <c r="Q1818" s="181"/>
      <c r="R1818" s="181"/>
      <c r="S1818" s="181"/>
      <c r="T1818" s="181"/>
      <c r="U1818" s="181"/>
      <c r="V1818" s="37"/>
      <c r="W1818" s="181"/>
      <c r="X1818" s="38"/>
      <c r="Y1818" s="38"/>
      <c r="Z1818" s="38"/>
      <c r="AA1818" s="38"/>
      <c r="AB1818" s="248"/>
      <c r="AC1818" s="250"/>
      <c r="AD1818" s="181"/>
      <c r="AE1818" s="37"/>
      <c r="AF1818" s="37"/>
      <c r="AG1818" s="33"/>
      <c r="AH1818" s="37"/>
      <c r="AI1818" s="37"/>
      <c r="AJ1818" s="181"/>
      <c r="AK1818" s="37"/>
      <c r="AL1818" s="37"/>
      <c r="AM1818" s="181"/>
      <c r="AN1818" s="37"/>
      <c r="AO1818" s="37"/>
      <c r="AP1818" s="37"/>
      <c r="AQ1818" s="37"/>
      <c r="AR1818" s="37"/>
      <c r="AS1818" s="37"/>
      <c r="AT1818" s="37"/>
      <c r="AU1818" s="37"/>
      <c r="AV1818" s="37"/>
      <c r="AW1818" s="37"/>
      <c r="AX1818" s="37"/>
      <c r="AY1818" s="37"/>
      <c r="AZ1818" s="37"/>
    </row>
    <row r="1819" spans="1:52" ht="15.5" customHeight="1">
      <c r="A1819" s="360"/>
      <c r="B1819" s="340"/>
      <c r="C1819" s="181"/>
      <c r="D1819" s="30"/>
      <c r="E1819" s="30"/>
      <c r="F1819" s="30"/>
      <c r="G1819" s="37"/>
      <c r="H1819" s="37"/>
      <c r="I1819" s="37"/>
      <c r="J1819" s="37" t="s">
        <v>69</v>
      </c>
      <c r="K1819" s="325" t="s">
        <v>69</v>
      </c>
      <c r="L1819" s="181"/>
      <c r="M1819" s="181"/>
      <c r="N1819" s="37"/>
      <c r="O1819" s="31"/>
      <c r="P1819" s="37"/>
      <c r="Q1819" s="181"/>
      <c r="R1819" s="181"/>
      <c r="S1819" s="181"/>
      <c r="T1819" s="181"/>
      <c r="U1819" s="181"/>
      <c r="V1819" s="37"/>
      <c r="W1819" s="181"/>
      <c r="X1819" s="38"/>
      <c r="Y1819" s="38"/>
      <c r="Z1819" s="38"/>
      <c r="AA1819" s="38"/>
      <c r="AB1819" s="248"/>
      <c r="AC1819" s="250"/>
      <c r="AD1819" s="181"/>
      <c r="AE1819" s="37"/>
      <c r="AF1819" s="37"/>
      <c r="AG1819" s="33"/>
      <c r="AH1819" s="37"/>
      <c r="AI1819" s="37"/>
      <c r="AJ1819" s="181"/>
      <c r="AK1819" s="37"/>
      <c r="AL1819" s="37"/>
      <c r="AM1819" s="181"/>
      <c r="AN1819" s="37"/>
      <c r="AO1819" s="37"/>
      <c r="AP1819" s="37"/>
      <c r="AQ1819" s="37"/>
      <c r="AR1819" s="37"/>
      <c r="AS1819" s="37"/>
      <c r="AT1819" s="37"/>
      <c r="AU1819" s="37"/>
      <c r="AV1819" s="37"/>
      <c r="AW1819" s="37"/>
      <c r="AX1819" s="37"/>
      <c r="AY1819" s="37"/>
      <c r="AZ1819" s="37"/>
    </row>
    <row r="1820" spans="1:52" ht="15.5" customHeight="1">
      <c r="A1820" s="360"/>
      <c r="B1820" s="340"/>
      <c r="C1820" s="181"/>
      <c r="D1820" s="30"/>
      <c r="E1820" s="30"/>
      <c r="F1820" s="30"/>
      <c r="G1820" s="37"/>
      <c r="H1820" s="37"/>
      <c r="I1820" s="37"/>
      <c r="J1820" s="37" t="s">
        <v>69</v>
      </c>
      <c r="K1820" s="325" t="s">
        <v>69</v>
      </c>
      <c r="L1820" s="181"/>
      <c r="M1820" s="181"/>
      <c r="N1820" s="37"/>
      <c r="O1820" s="31"/>
      <c r="P1820" s="37"/>
      <c r="Q1820" s="181"/>
      <c r="R1820" s="181"/>
      <c r="S1820" s="181"/>
      <c r="T1820" s="181"/>
      <c r="U1820" s="181"/>
      <c r="V1820" s="37"/>
      <c r="W1820" s="181"/>
      <c r="X1820" s="38"/>
      <c r="Y1820" s="38"/>
      <c r="Z1820" s="38"/>
      <c r="AA1820" s="38"/>
      <c r="AB1820" s="248"/>
      <c r="AC1820" s="250"/>
      <c r="AD1820" s="181"/>
      <c r="AE1820" s="37"/>
      <c r="AF1820" s="37"/>
      <c r="AG1820" s="33"/>
      <c r="AH1820" s="37"/>
      <c r="AI1820" s="37"/>
      <c r="AJ1820" s="181"/>
      <c r="AK1820" s="37"/>
      <c r="AL1820" s="37"/>
      <c r="AM1820" s="181"/>
      <c r="AN1820" s="37"/>
      <c r="AO1820" s="37"/>
      <c r="AP1820" s="37"/>
      <c r="AQ1820" s="37"/>
      <c r="AR1820" s="37"/>
      <c r="AS1820" s="37"/>
      <c r="AT1820" s="37"/>
      <c r="AU1820" s="37"/>
      <c r="AV1820" s="37"/>
      <c r="AW1820" s="37"/>
      <c r="AX1820" s="37"/>
      <c r="AY1820" s="37"/>
      <c r="AZ1820" s="37"/>
    </row>
    <row r="1821" spans="1:52" ht="15.5" customHeight="1">
      <c r="A1821" s="360"/>
      <c r="B1821" s="340"/>
      <c r="C1821" s="181"/>
      <c r="D1821" s="30"/>
      <c r="E1821" s="30"/>
      <c r="F1821" s="30"/>
      <c r="G1821" s="37"/>
      <c r="H1821" s="37"/>
      <c r="I1821" s="37"/>
      <c r="J1821" s="37" t="s">
        <v>69</v>
      </c>
      <c r="K1821" s="325" t="s">
        <v>69</v>
      </c>
      <c r="L1821" s="181"/>
      <c r="M1821" s="181"/>
      <c r="N1821" s="37"/>
      <c r="O1821" s="31"/>
      <c r="P1821" s="37"/>
      <c r="Q1821" s="181"/>
      <c r="R1821" s="181"/>
      <c r="S1821" s="181"/>
      <c r="T1821" s="181"/>
      <c r="U1821" s="181"/>
      <c r="V1821" s="37"/>
      <c r="W1821" s="181"/>
      <c r="X1821" s="38"/>
      <c r="Y1821" s="38"/>
      <c r="Z1821" s="38"/>
      <c r="AA1821" s="38"/>
      <c r="AB1821" s="248"/>
      <c r="AC1821" s="250"/>
      <c r="AD1821" s="181"/>
      <c r="AE1821" s="37"/>
      <c r="AF1821" s="37"/>
      <c r="AG1821" s="33"/>
      <c r="AH1821" s="37"/>
      <c r="AI1821" s="37"/>
      <c r="AJ1821" s="181"/>
      <c r="AK1821" s="37"/>
      <c r="AL1821" s="37"/>
      <c r="AM1821" s="181"/>
      <c r="AN1821" s="37"/>
      <c r="AO1821" s="37"/>
      <c r="AP1821" s="37"/>
      <c r="AQ1821" s="37"/>
      <c r="AR1821" s="37"/>
      <c r="AS1821" s="37"/>
      <c r="AT1821" s="37"/>
      <c r="AU1821" s="37"/>
      <c r="AV1821" s="37"/>
      <c r="AW1821" s="37"/>
      <c r="AX1821" s="37"/>
      <c r="AY1821" s="37"/>
      <c r="AZ1821" s="37"/>
    </row>
    <row r="1822" spans="1:52" ht="15.5" customHeight="1">
      <c r="A1822" s="360"/>
      <c r="B1822" s="340"/>
      <c r="C1822" s="181"/>
      <c r="D1822" s="30"/>
      <c r="E1822" s="30"/>
      <c r="F1822" s="30"/>
      <c r="G1822" s="37"/>
      <c r="H1822" s="37"/>
      <c r="I1822" s="37"/>
      <c r="J1822" s="37" t="s">
        <v>69</v>
      </c>
      <c r="K1822" s="325" t="s">
        <v>69</v>
      </c>
      <c r="L1822" s="181"/>
      <c r="M1822" s="181"/>
      <c r="N1822" s="37"/>
      <c r="O1822" s="31"/>
      <c r="P1822" s="37"/>
      <c r="Q1822" s="181"/>
      <c r="R1822" s="181"/>
      <c r="S1822" s="181"/>
      <c r="T1822" s="181"/>
      <c r="U1822" s="181"/>
      <c r="V1822" s="37"/>
      <c r="W1822" s="181"/>
      <c r="X1822" s="38"/>
      <c r="Y1822" s="38"/>
      <c r="Z1822" s="38"/>
      <c r="AA1822" s="38"/>
      <c r="AB1822" s="248"/>
      <c r="AC1822" s="250"/>
      <c r="AD1822" s="181"/>
      <c r="AE1822" s="37"/>
      <c r="AF1822" s="37"/>
      <c r="AG1822" s="33"/>
      <c r="AH1822" s="37"/>
      <c r="AI1822" s="37"/>
      <c r="AJ1822" s="181"/>
      <c r="AK1822" s="37"/>
      <c r="AL1822" s="37"/>
      <c r="AM1822" s="181"/>
      <c r="AN1822" s="37"/>
      <c r="AO1822" s="37"/>
      <c r="AP1822" s="37"/>
      <c r="AQ1822" s="37"/>
      <c r="AR1822" s="37"/>
      <c r="AS1822" s="37"/>
      <c r="AT1822" s="37"/>
      <c r="AU1822" s="37"/>
      <c r="AV1822" s="37"/>
      <c r="AW1822" s="37"/>
      <c r="AX1822" s="37"/>
      <c r="AY1822" s="37"/>
      <c r="AZ1822" s="37"/>
    </row>
    <row r="1823" spans="1:52" ht="15.5" customHeight="1">
      <c r="A1823" s="360"/>
      <c r="B1823" s="340"/>
      <c r="C1823" s="181"/>
      <c r="D1823" s="30"/>
      <c r="E1823" s="30"/>
      <c r="F1823" s="30"/>
      <c r="G1823" s="37"/>
      <c r="H1823" s="37"/>
      <c r="I1823" s="37"/>
      <c r="J1823" s="37" t="s">
        <v>69</v>
      </c>
      <c r="K1823" s="325" t="s">
        <v>69</v>
      </c>
      <c r="L1823" s="181"/>
      <c r="M1823" s="181"/>
      <c r="N1823" s="37"/>
      <c r="O1823" s="31"/>
      <c r="P1823" s="37"/>
      <c r="Q1823" s="181"/>
      <c r="R1823" s="181"/>
      <c r="S1823" s="181"/>
      <c r="T1823" s="181"/>
      <c r="U1823" s="181"/>
      <c r="V1823" s="37"/>
      <c r="W1823" s="181"/>
      <c r="X1823" s="38"/>
      <c r="Y1823" s="38"/>
      <c r="Z1823" s="38"/>
      <c r="AA1823" s="38"/>
      <c r="AB1823" s="248"/>
      <c r="AC1823" s="250"/>
      <c r="AD1823" s="181"/>
      <c r="AE1823" s="37"/>
      <c r="AF1823" s="37"/>
      <c r="AG1823" s="33"/>
      <c r="AH1823" s="37"/>
      <c r="AI1823" s="37"/>
      <c r="AJ1823" s="181"/>
      <c r="AK1823" s="37"/>
      <c r="AL1823" s="37"/>
      <c r="AM1823" s="181"/>
      <c r="AN1823" s="37"/>
      <c r="AO1823" s="37"/>
      <c r="AP1823" s="37"/>
      <c r="AQ1823" s="37"/>
      <c r="AR1823" s="37"/>
      <c r="AS1823" s="37"/>
      <c r="AT1823" s="37"/>
      <c r="AU1823" s="37"/>
      <c r="AV1823" s="37"/>
      <c r="AW1823" s="37"/>
      <c r="AX1823" s="37"/>
      <c r="AY1823" s="37"/>
      <c r="AZ1823" s="37"/>
    </row>
    <row r="1824" spans="1:52" ht="15.5" customHeight="1">
      <c r="A1824" s="360"/>
      <c r="B1824" s="340"/>
      <c r="C1824" s="181"/>
      <c r="D1824" s="30"/>
      <c r="E1824" s="30"/>
      <c r="F1824" s="30"/>
      <c r="G1824" s="37"/>
      <c r="H1824" s="37"/>
      <c r="I1824" s="37"/>
      <c r="J1824" s="37" t="s">
        <v>69</v>
      </c>
      <c r="K1824" s="325" t="s">
        <v>69</v>
      </c>
      <c r="L1824" s="181"/>
      <c r="M1824" s="181"/>
      <c r="N1824" s="37"/>
      <c r="O1824" s="31"/>
      <c r="P1824" s="37"/>
      <c r="Q1824" s="181"/>
      <c r="R1824" s="181"/>
      <c r="S1824" s="181"/>
      <c r="T1824" s="181"/>
      <c r="U1824" s="181"/>
      <c r="V1824" s="37"/>
      <c r="W1824" s="181"/>
      <c r="X1824" s="38"/>
      <c r="Y1824" s="38"/>
      <c r="Z1824" s="38"/>
      <c r="AA1824" s="38"/>
      <c r="AB1824" s="248"/>
      <c r="AC1824" s="250"/>
      <c r="AD1824" s="181"/>
      <c r="AE1824" s="37"/>
      <c r="AF1824" s="37"/>
      <c r="AG1824" s="33"/>
      <c r="AH1824" s="37"/>
      <c r="AI1824" s="37"/>
      <c r="AJ1824" s="181"/>
      <c r="AK1824" s="37"/>
      <c r="AL1824" s="37"/>
      <c r="AM1824" s="181"/>
      <c r="AN1824" s="37"/>
      <c r="AO1824" s="37"/>
      <c r="AP1824" s="37"/>
      <c r="AQ1824" s="37"/>
      <c r="AR1824" s="37"/>
      <c r="AS1824" s="37"/>
      <c r="AT1824" s="37"/>
      <c r="AU1824" s="37"/>
      <c r="AV1824" s="37"/>
      <c r="AW1824" s="37"/>
      <c r="AX1824" s="37"/>
      <c r="AY1824" s="37"/>
      <c r="AZ1824" s="37"/>
    </row>
    <row r="1825" spans="1:52" ht="15.5" customHeight="1">
      <c r="A1825" s="360"/>
      <c r="B1825" s="340"/>
      <c r="C1825" s="181"/>
      <c r="D1825" s="30"/>
      <c r="E1825" s="30"/>
      <c r="F1825" s="30"/>
      <c r="G1825" s="37"/>
      <c r="H1825" s="37"/>
      <c r="I1825" s="37"/>
      <c r="J1825" s="37" t="s">
        <v>69</v>
      </c>
      <c r="K1825" s="325" t="s">
        <v>69</v>
      </c>
      <c r="L1825" s="181"/>
      <c r="M1825" s="181"/>
      <c r="N1825" s="37"/>
      <c r="O1825" s="31"/>
      <c r="P1825" s="37"/>
      <c r="Q1825" s="181"/>
      <c r="R1825" s="181"/>
      <c r="S1825" s="181"/>
      <c r="T1825" s="181"/>
      <c r="U1825" s="181"/>
      <c r="V1825" s="37"/>
      <c r="W1825" s="181"/>
      <c r="X1825" s="38"/>
      <c r="Y1825" s="38"/>
      <c r="Z1825" s="38"/>
      <c r="AA1825" s="38"/>
      <c r="AB1825" s="248"/>
      <c r="AC1825" s="250"/>
      <c r="AD1825" s="181"/>
      <c r="AE1825" s="37"/>
      <c r="AF1825" s="37"/>
      <c r="AG1825" s="33"/>
      <c r="AH1825" s="37"/>
      <c r="AI1825" s="37"/>
      <c r="AJ1825" s="181"/>
      <c r="AK1825" s="37"/>
      <c r="AL1825" s="37"/>
      <c r="AM1825" s="181"/>
      <c r="AN1825" s="37"/>
      <c r="AO1825" s="37"/>
      <c r="AP1825" s="37"/>
      <c r="AQ1825" s="37"/>
      <c r="AR1825" s="37"/>
      <c r="AS1825" s="37"/>
      <c r="AT1825" s="37"/>
      <c r="AU1825" s="37"/>
      <c r="AV1825" s="37"/>
      <c r="AW1825" s="37"/>
      <c r="AX1825" s="37"/>
      <c r="AY1825" s="37"/>
      <c r="AZ1825" s="37"/>
    </row>
    <row r="1826" spans="1:52" ht="15.5" customHeight="1">
      <c r="A1826" s="360"/>
      <c r="B1826" s="340"/>
      <c r="C1826" s="181"/>
      <c r="D1826" s="30"/>
      <c r="E1826" s="30"/>
      <c r="F1826" s="30"/>
      <c r="G1826" s="37"/>
      <c r="H1826" s="37"/>
      <c r="I1826" s="37"/>
      <c r="J1826" s="37" t="s">
        <v>69</v>
      </c>
      <c r="K1826" s="325" t="s">
        <v>69</v>
      </c>
      <c r="L1826" s="181"/>
      <c r="M1826" s="181"/>
      <c r="N1826" s="37"/>
      <c r="O1826" s="31"/>
      <c r="P1826" s="37"/>
      <c r="Q1826" s="181"/>
      <c r="R1826" s="181"/>
      <c r="S1826" s="181"/>
      <c r="T1826" s="181"/>
      <c r="U1826" s="181"/>
      <c r="V1826" s="37"/>
      <c r="W1826" s="181"/>
      <c r="X1826" s="38"/>
      <c r="Y1826" s="38"/>
      <c r="Z1826" s="38"/>
      <c r="AA1826" s="38"/>
      <c r="AB1826" s="248"/>
      <c r="AC1826" s="250"/>
      <c r="AD1826" s="181"/>
      <c r="AE1826" s="37"/>
      <c r="AF1826" s="37"/>
      <c r="AG1826" s="33"/>
      <c r="AH1826" s="37"/>
      <c r="AI1826" s="37"/>
      <c r="AJ1826" s="181"/>
      <c r="AK1826" s="37"/>
      <c r="AL1826" s="37"/>
      <c r="AM1826" s="181"/>
      <c r="AN1826" s="37"/>
      <c r="AO1826" s="37"/>
      <c r="AP1826" s="37"/>
      <c r="AQ1826" s="37"/>
      <c r="AR1826" s="37"/>
      <c r="AS1826" s="37"/>
      <c r="AT1826" s="37"/>
      <c r="AU1826" s="37"/>
      <c r="AV1826" s="37"/>
      <c r="AW1826" s="37"/>
      <c r="AX1826" s="37"/>
      <c r="AY1826" s="37"/>
      <c r="AZ1826" s="37"/>
    </row>
    <row r="1827" spans="1:52" ht="15.5" customHeight="1">
      <c r="A1827" s="360"/>
      <c r="B1827" s="340"/>
      <c r="C1827" s="181"/>
      <c r="D1827" s="30"/>
      <c r="E1827" s="30"/>
      <c r="F1827" s="30"/>
      <c r="G1827" s="37"/>
      <c r="H1827" s="37"/>
      <c r="I1827" s="37"/>
      <c r="J1827" s="37" t="s">
        <v>69</v>
      </c>
      <c r="K1827" s="325" t="s">
        <v>69</v>
      </c>
      <c r="L1827" s="181"/>
      <c r="M1827" s="181"/>
      <c r="N1827" s="37"/>
      <c r="O1827" s="31"/>
      <c r="P1827" s="37"/>
      <c r="Q1827" s="181"/>
      <c r="R1827" s="181"/>
      <c r="S1827" s="181"/>
      <c r="T1827" s="181"/>
      <c r="U1827" s="181"/>
      <c r="V1827" s="37"/>
      <c r="W1827" s="181"/>
      <c r="X1827" s="38"/>
      <c r="Y1827" s="38"/>
      <c r="Z1827" s="38"/>
      <c r="AA1827" s="38"/>
      <c r="AB1827" s="248"/>
      <c r="AC1827" s="250"/>
      <c r="AD1827" s="181"/>
      <c r="AE1827" s="37"/>
      <c r="AF1827" s="37"/>
      <c r="AG1827" s="33"/>
      <c r="AH1827" s="37"/>
      <c r="AI1827" s="37"/>
      <c r="AJ1827" s="181"/>
      <c r="AK1827" s="37"/>
      <c r="AL1827" s="37"/>
      <c r="AM1827" s="181"/>
      <c r="AN1827" s="37"/>
      <c r="AO1827" s="37"/>
      <c r="AP1827" s="37"/>
      <c r="AQ1827" s="37"/>
      <c r="AR1827" s="37"/>
      <c r="AS1827" s="37"/>
      <c r="AT1827" s="37"/>
      <c r="AU1827" s="37"/>
      <c r="AV1827" s="37"/>
      <c r="AW1827" s="37"/>
      <c r="AX1827" s="37"/>
      <c r="AY1827" s="37"/>
      <c r="AZ1827" s="37"/>
    </row>
    <row r="1828" spans="1:52" ht="15.5" customHeight="1">
      <c r="A1828" s="360"/>
      <c r="B1828" s="340"/>
      <c r="C1828" s="181"/>
      <c r="D1828" s="30"/>
      <c r="E1828" s="30"/>
      <c r="F1828" s="30"/>
      <c r="G1828" s="37"/>
      <c r="H1828" s="37"/>
      <c r="I1828" s="37"/>
      <c r="J1828" s="37" t="s">
        <v>69</v>
      </c>
      <c r="K1828" s="325" t="s">
        <v>69</v>
      </c>
      <c r="L1828" s="181"/>
      <c r="M1828" s="181"/>
      <c r="N1828" s="37"/>
      <c r="O1828" s="31"/>
      <c r="P1828" s="37"/>
      <c r="Q1828" s="181"/>
      <c r="R1828" s="181"/>
      <c r="S1828" s="181"/>
      <c r="T1828" s="181"/>
      <c r="U1828" s="181"/>
      <c r="V1828" s="37"/>
      <c r="W1828" s="181"/>
      <c r="X1828" s="38"/>
      <c r="Y1828" s="38"/>
      <c r="Z1828" s="38"/>
      <c r="AA1828" s="38"/>
      <c r="AB1828" s="248"/>
      <c r="AC1828" s="250"/>
      <c r="AD1828" s="181"/>
      <c r="AE1828" s="37"/>
      <c r="AF1828" s="37"/>
      <c r="AG1828" s="33"/>
      <c r="AH1828" s="37"/>
      <c r="AI1828" s="37"/>
      <c r="AJ1828" s="181"/>
      <c r="AK1828" s="37"/>
      <c r="AL1828" s="37"/>
      <c r="AM1828" s="181"/>
      <c r="AN1828" s="37"/>
      <c r="AO1828" s="37"/>
      <c r="AP1828" s="37"/>
      <c r="AQ1828" s="37"/>
      <c r="AR1828" s="37"/>
      <c r="AS1828" s="37"/>
      <c r="AT1828" s="37"/>
      <c r="AU1828" s="37"/>
      <c r="AV1828" s="37"/>
      <c r="AW1828" s="37"/>
      <c r="AX1828" s="37"/>
      <c r="AY1828" s="37"/>
      <c r="AZ1828" s="37"/>
    </row>
    <row r="1829" spans="1:52" ht="15.5" customHeight="1">
      <c r="A1829" s="360"/>
      <c r="B1829" s="340"/>
      <c r="C1829" s="181"/>
      <c r="D1829" s="30"/>
      <c r="E1829" s="30"/>
      <c r="F1829" s="30"/>
      <c r="G1829" s="37"/>
      <c r="H1829" s="37"/>
      <c r="I1829" s="37"/>
      <c r="J1829" s="37" t="s">
        <v>69</v>
      </c>
      <c r="K1829" s="325" t="s">
        <v>69</v>
      </c>
      <c r="L1829" s="181"/>
      <c r="M1829" s="181"/>
      <c r="N1829" s="37"/>
      <c r="O1829" s="31"/>
      <c r="P1829" s="37"/>
      <c r="Q1829" s="181"/>
      <c r="R1829" s="181"/>
      <c r="S1829" s="181"/>
      <c r="T1829" s="181"/>
      <c r="U1829" s="181"/>
      <c r="V1829" s="37"/>
      <c r="W1829" s="181"/>
      <c r="X1829" s="38"/>
      <c r="Y1829" s="38"/>
      <c r="Z1829" s="38"/>
      <c r="AA1829" s="38"/>
      <c r="AB1829" s="248"/>
      <c r="AC1829" s="250"/>
      <c r="AD1829" s="181"/>
      <c r="AE1829" s="37"/>
      <c r="AF1829" s="37"/>
      <c r="AG1829" s="33"/>
      <c r="AH1829" s="37"/>
      <c r="AI1829" s="37"/>
      <c r="AJ1829" s="181"/>
      <c r="AK1829" s="37"/>
      <c r="AL1829" s="37"/>
      <c r="AM1829" s="181"/>
      <c r="AN1829" s="37"/>
      <c r="AO1829" s="37"/>
      <c r="AP1829" s="37"/>
      <c r="AQ1829" s="37"/>
      <c r="AR1829" s="37"/>
      <c r="AS1829" s="37"/>
      <c r="AT1829" s="37"/>
      <c r="AU1829" s="37"/>
      <c r="AV1829" s="37"/>
      <c r="AW1829" s="37"/>
      <c r="AX1829" s="37"/>
      <c r="AY1829" s="37"/>
      <c r="AZ1829" s="37"/>
    </row>
    <row r="1830" spans="1:52" ht="15.5" customHeight="1">
      <c r="A1830" s="360"/>
      <c r="B1830" s="340"/>
      <c r="C1830" s="181"/>
      <c r="D1830" s="30"/>
      <c r="E1830" s="30"/>
      <c r="F1830" s="30"/>
      <c r="G1830" s="37"/>
      <c r="H1830" s="37"/>
      <c r="I1830" s="37"/>
      <c r="J1830" s="37" t="s">
        <v>69</v>
      </c>
      <c r="K1830" s="325" t="s">
        <v>69</v>
      </c>
      <c r="L1830" s="181"/>
      <c r="M1830" s="181"/>
      <c r="N1830" s="37"/>
      <c r="O1830" s="31"/>
      <c r="P1830" s="37"/>
      <c r="Q1830" s="181"/>
      <c r="R1830" s="181"/>
      <c r="S1830" s="181"/>
      <c r="T1830" s="181"/>
      <c r="U1830" s="181"/>
      <c r="V1830" s="37"/>
      <c r="W1830" s="181"/>
      <c r="X1830" s="38"/>
      <c r="Y1830" s="38"/>
      <c r="Z1830" s="38"/>
      <c r="AA1830" s="38"/>
      <c r="AB1830" s="248"/>
      <c r="AC1830" s="250"/>
      <c r="AD1830" s="181"/>
      <c r="AE1830" s="37"/>
      <c r="AF1830" s="37"/>
      <c r="AG1830" s="33"/>
      <c r="AH1830" s="37"/>
      <c r="AI1830" s="37"/>
      <c r="AJ1830" s="181"/>
      <c r="AK1830" s="37"/>
      <c r="AL1830" s="37"/>
      <c r="AM1830" s="181"/>
      <c r="AN1830" s="37"/>
      <c r="AO1830" s="37"/>
      <c r="AP1830" s="37"/>
      <c r="AQ1830" s="37"/>
      <c r="AR1830" s="37"/>
      <c r="AS1830" s="37"/>
      <c r="AT1830" s="37"/>
      <c r="AU1830" s="37"/>
      <c r="AV1830" s="37"/>
      <c r="AW1830" s="37"/>
      <c r="AX1830" s="37"/>
      <c r="AY1830" s="37"/>
      <c r="AZ1830" s="37"/>
    </row>
    <row r="1831" spans="1:52" ht="15.5" customHeight="1">
      <c r="A1831" s="360"/>
      <c r="B1831" s="340"/>
      <c r="C1831" s="181"/>
      <c r="D1831" s="30"/>
      <c r="E1831" s="30"/>
      <c r="F1831" s="30"/>
      <c r="G1831" s="37"/>
      <c r="H1831" s="37"/>
      <c r="I1831" s="37"/>
      <c r="J1831" s="37" t="s">
        <v>69</v>
      </c>
      <c r="K1831" s="325" t="s">
        <v>69</v>
      </c>
      <c r="L1831" s="181"/>
      <c r="M1831" s="181"/>
      <c r="N1831" s="37"/>
      <c r="O1831" s="31"/>
      <c r="P1831" s="37"/>
      <c r="Q1831" s="181"/>
      <c r="R1831" s="181"/>
      <c r="S1831" s="181"/>
      <c r="T1831" s="181"/>
      <c r="U1831" s="181"/>
      <c r="V1831" s="37"/>
      <c r="W1831" s="181"/>
      <c r="X1831" s="38"/>
      <c r="Y1831" s="38"/>
      <c r="Z1831" s="38"/>
      <c r="AA1831" s="38"/>
      <c r="AB1831" s="248"/>
      <c r="AC1831" s="250"/>
      <c r="AD1831" s="181"/>
      <c r="AE1831" s="37"/>
      <c r="AF1831" s="37"/>
      <c r="AG1831" s="33"/>
      <c r="AH1831" s="37"/>
      <c r="AI1831" s="37"/>
      <c r="AJ1831" s="181"/>
      <c r="AK1831" s="37"/>
      <c r="AL1831" s="37"/>
      <c r="AM1831" s="181"/>
      <c r="AN1831" s="37"/>
      <c r="AO1831" s="37"/>
      <c r="AP1831" s="37"/>
      <c r="AQ1831" s="37"/>
      <c r="AR1831" s="37"/>
      <c r="AS1831" s="37"/>
      <c r="AT1831" s="37"/>
      <c r="AU1831" s="37"/>
      <c r="AV1831" s="37"/>
      <c r="AW1831" s="37"/>
      <c r="AX1831" s="37"/>
      <c r="AY1831" s="37"/>
      <c r="AZ1831" s="37"/>
    </row>
    <row r="1832" spans="1:52" ht="15.5" customHeight="1">
      <c r="A1832" s="360"/>
      <c r="B1832" s="340"/>
      <c r="C1832" s="181"/>
      <c r="D1832" s="30"/>
      <c r="E1832" s="30"/>
      <c r="F1832" s="30"/>
      <c r="G1832" s="37"/>
      <c r="H1832" s="37"/>
      <c r="I1832" s="37"/>
      <c r="J1832" s="37" t="s">
        <v>69</v>
      </c>
      <c r="K1832" s="325" t="s">
        <v>69</v>
      </c>
      <c r="L1832" s="181"/>
      <c r="M1832" s="181"/>
      <c r="N1832" s="37"/>
      <c r="O1832" s="31"/>
      <c r="P1832" s="37"/>
      <c r="Q1832" s="181"/>
      <c r="R1832" s="181"/>
      <c r="S1832" s="181"/>
      <c r="T1832" s="181"/>
      <c r="U1832" s="181"/>
      <c r="V1832" s="37"/>
      <c r="W1832" s="181"/>
      <c r="X1832" s="38"/>
      <c r="Y1832" s="38"/>
      <c r="Z1832" s="38"/>
      <c r="AA1832" s="38"/>
      <c r="AB1832" s="248"/>
      <c r="AC1832" s="250"/>
      <c r="AD1832" s="181"/>
      <c r="AE1832" s="37"/>
      <c r="AF1832" s="37"/>
      <c r="AG1832" s="33"/>
      <c r="AH1832" s="37"/>
      <c r="AI1832" s="37"/>
      <c r="AJ1832" s="181"/>
      <c r="AK1832" s="37"/>
      <c r="AL1832" s="37"/>
      <c r="AM1832" s="181"/>
      <c r="AN1832" s="37"/>
      <c r="AO1832" s="37"/>
      <c r="AP1832" s="37"/>
      <c r="AQ1832" s="37"/>
      <c r="AR1832" s="37"/>
      <c r="AS1832" s="37"/>
      <c r="AT1832" s="37"/>
      <c r="AU1832" s="37"/>
      <c r="AV1832" s="37"/>
      <c r="AW1832" s="37"/>
      <c r="AX1832" s="37"/>
      <c r="AY1832" s="37"/>
      <c r="AZ1832" s="37"/>
    </row>
    <row r="1833" spans="1:52" ht="15.5" customHeight="1">
      <c r="A1833" s="360"/>
      <c r="B1833" s="340"/>
      <c r="C1833" s="181"/>
      <c r="D1833" s="30"/>
      <c r="E1833" s="30"/>
      <c r="F1833" s="30"/>
      <c r="G1833" s="37"/>
      <c r="H1833" s="37"/>
      <c r="I1833" s="37"/>
      <c r="J1833" s="37" t="s">
        <v>69</v>
      </c>
      <c r="K1833" s="325" t="s">
        <v>69</v>
      </c>
      <c r="L1833" s="181"/>
      <c r="M1833" s="181"/>
      <c r="N1833" s="37"/>
      <c r="O1833" s="31"/>
      <c r="P1833" s="37"/>
      <c r="Q1833" s="181"/>
      <c r="R1833" s="181"/>
      <c r="S1833" s="181"/>
      <c r="T1833" s="181"/>
      <c r="U1833" s="181"/>
      <c r="V1833" s="37"/>
      <c r="W1833" s="181"/>
      <c r="X1833" s="38"/>
      <c r="Y1833" s="38"/>
      <c r="Z1833" s="38"/>
      <c r="AA1833" s="38"/>
      <c r="AB1833" s="248"/>
      <c r="AC1833" s="250"/>
      <c r="AD1833" s="181"/>
      <c r="AE1833" s="37"/>
      <c r="AF1833" s="37"/>
      <c r="AG1833" s="33"/>
      <c r="AH1833" s="37"/>
      <c r="AI1833" s="37"/>
      <c r="AJ1833" s="181"/>
      <c r="AK1833" s="37"/>
      <c r="AL1833" s="37"/>
      <c r="AM1833" s="181"/>
      <c r="AN1833" s="37"/>
      <c r="AO1833" s="37"/>
      <c r="AP1833" s="37"/>
      <c r="AQ1833" s="37"/>
      <c r="AR1833" s="37"/>
      <c r="AS1833" s="37"/>
      <c r="AT1833" s="37"/>
      <c r="AU1833" s="37"/>
      <c r="AV1833" s="37"/>
      <c r="AW1833" s="37"/>
      <c r="AX1833" s="37"/>
      <c r="AY1833" s="37"/>
      <c r="AZ1833" s="37"/>
    </row>
    <row r="1834" spans="1:52" ht="15.5" customHeight="1">
      <c r="A1834" s="360"/>
      <c r="B1834" s="340"/>
      <c r="C1834" s="181"/>
      <c r="D1834" s="30"/>
      <c r="E1834" s="30"/>
      <c r="F1834" s="30"/>
      <c r="G1834" s="37"/>
      <c r="H1834" s="37"/>
      <c r="I1834" s="37"/>
      <c r="J1834" s="37" t="s">
        <v>69</v>
      </c>
      <c r="K1834" s="325" t="s">
        <v>69</v>
      </c>
      <c r="L1834" s="181"/>
      <c r="M1834" s="181"/>
      <c r="N1834" s="37"/>
      <c r="O1834" s="31"/>
      <c r="P1834" s="37"/>
      <c r="Q1834" s="181"/>
      <c r="R1834" s="181"/>
      <c r="S1834" s="181"/>
      <c r="T1834" s="181"/>
      <c r="U1834" s="181"/>
      <c r="V1834" s="37"/>
      <c r="W1834" s="181"/>
      <c r="X1834" s="38"/>
      <c r="Y1834" s="38"/>
      <c r="Z1834" s="38"/>
      <c r="AA1834" s="38"/>
      <c r="AB1834" s="248"/>
      <c r="AC1834" s="250"/>
      <c r="AD1834" s="181"/>
      <c r="AE1834" s="37"/>
      <c r="AF1834" s="37"/>
      <c r="AG1834" s="33"/>
      <c r="AH1834" s="37"/>
      <c r="AI1834" s="37"/>
      <c r="AJ1834" s="181"/>
      <c r="AK1834" s="37"/>
      <c r="AL1834" s="37"/>
      <c r="AM1834" s="181"/>
      <c r="AN1834" s="37"/>
      <c r="AO1834" s="37"/>
      <c r="AP1834" s="37"/>
      <c r="AQ1834" s="37"/>
      <c r="AR1834" s="37"/>
      <c r="AS1834" s="37"/>
      <c r="AT1834" s="37"/>
      <c r="AU1834" s="37"/>
      <c r="AV1834" s="37"/>
      <c r="AW1834" s="37"/>
      <c r="AX1834" s="37"/>
      <c r="AY1834" s="37"/>
      <c r="AZ1834" s="37"/>
    </row>
    <row r="1835" spans="1:52" ht="15.5" customHeight="1">
      <c r="A1835" s="360"/>
      <c r="B1835" s="340"/>
      <c r="C1835" s="181"/>
      <c r="D1835" s="30"/>
      <c r="E1835" s="30"/>
      <c r="F1835" s="30"/>
      <c r="G1835" s="37"/>
      <c r="H1835" s="37"/>
      <c r="I1835" s="37"/>
      <c r="J1835" s="37" t="s">
        <v>69</v>
      </c>
      <c r="K1835" s="325" t="s">
        <v>69</v>
      </c>
      <c r="L1835" s="181"/>
      <c r="M1835" s="181"/>
      <c r="N1835" s="37"/>
      <c r="O1835" s="31"/>
      <c r="P1835" s="37"/>
      <c r="Q1835" s="181"/>
      <c r="R1835" s="181"/>
      <c r="S1835" s="181"/>
      <c r="T1835" s="181"/>
      <c r="U1835" s="181"/>
      <c r="V1835" s="37"/>
      <c r="W1835" s="181"/>
      <c r="X1835" s="38"/>
      <c r="Y1835" s="38"/>
      <c r="Z1835" s="38"/>
      <c r="AA1835" s="38"/>
      <c r="AB1835" s="248"/>
      <c r="AC1835" s="250"/>
      <c r="AD1835" s="181"/>
      <c r="AE1835" s="37"/>
      <c r="AF1835" s="37"/>
      <c r="AG1835" s="33"/>
      <c r="AH1835" s="37"/>
      <c r="AI1835" s="37"/>
      <c r="AJ1835" s="181"/>
      <c r="AK1835" s="37"/>
      <c r="AL1835" s="37"/>
      <c r="AM1835" s="181"/>
      <c r="AN1835" s="37"/>
      <c r="AO1835" s="37"/>
      <c r="AP1835" s="37"/>
      <c r="AQ1835" s="37"/>
      <c r="AR1835" s="37"/>
      <c r="AS1835" s="37"/>
      <c r="AT1835" s="37"/>
      <c r="AU1835" s="37"/>
      <c r="AV1835" s="37"/>
      <c r="AW1835" s="37"/>
      <c r="AX1835" s="37"/>
      <c r="AY1835" s="37"/>
      <c r="AZ1835" s="37"/>
    </row>
    <row r="1836" spans="1:52" ht="15.5" customHeight="1">
      <c r="A1836" s="360"/>
      <c r="B1836" s="340"/>
      <c r="C1836" s="181"/>
      <c r="D1836" s="30"/>
      <c r="E1836" s="30"/>
      <c r="F1836" s="30"/>
      <c r="G1836" s="37"/>
      <c r="H1836" s="37"/>
      <c r="I1836" s="37"/>
      <c r="J1836" s="37" t="s">
        <v>69</v>
      </c>
      <c r="K1836" s="325" t="s">
        <v>69</v>
      </c>
      <c r="L1836" s="181"/>
      <c r="M1836" s="181"/>
      <c r="N1836" s="37"/>
      <c r="O1836" s="31"/>
      <c r="P1836" s="37"/>
      <c r="Q1836" s="181"/>
      <c r="R1836" s="181"/>
      <c r="S1836" s="181"/>
      <c r="T1836" s="181"/>
      <c r="U1836" s="181"/>
      <c r="V1836" s="37"/>
      <c r="W1836" s="181"/>
      <c r="X1836" s="38"/>
      <c r="Y1836" s="38"/>
      <c r="Z1836" s="38"/>
      <c r="AA1836" s="38"/>
      <c r="AB1836" s="248"/>
      <c r="AC1836" s="250"/>
      <c r="AD1836" s="181"/>
      <c r="AE1836" s="37"/>
      <c r="AF1836" s="37"/>
      <c r="AG1836" s="33"/>
      <c r="AH1836" s="37"/>
      <c r="AI1836" s="37"/>
      <c r="AJ1836" s="181"/>
      <c r="AK1836" s="37"/>
      <c r="AL1836" s="37"/>
      <c r="AM1836" s="181"/>
      <c r="AN1836" s="37"/>
      <c r="AO1836" s="37"/>
      <c r="AP1836" s="37"/>
      <c r="AQ1836" s="37"/>
      <c r="AR1836" s="37"/>
      <c r="AS1836" s="37"/>
      <c r="AT1836" s="37"/>
      <c r="AU1836" s="37"/>
      <c r="AV1836" s="37"/>
      <c r="AW1836" s="37"/>
      <c r="AX1836" s="37"/>
      <c r="AY1836" s="37"/>
      <c r="AZ1836" s="37"/>
    </row>
    <row r="1837" spans="1:52" ht="15.5" customHeight="1">
      <c r="A1837" s="360"/>
      <c r="B1837" s="340"/>
      <c r="C1837" s="181"/>
      <c r="D1837" s="30"/>
      <c r="E1837" s="30"/>
      <c r="F1837" s="30"/>
      <c r="G1837" s="37"/>
      <c r="H1837" s="37"/>
      <c r="I1837" s="37"/>
      <c r="J1837" s="37" t="s">
        <v>69</v>
      </c>
      <c r="K1837" s="325" t="s">
        <v>69</v>
      </c>
      <c r="L1837" s="181"/>
      <c r="M1837" s="181"/>
      <c r="N1837" s="37"/>
      <c r="O1837" s="31"/>
      <c r="P1837" s="37"/>
      <c r="Q1837" s="181"/>
      <c r="R1837" s="181"/>
      <c r="S1837" s="181"/>
      <c r="T1837" s="181"/>
      <c r="U1837" s="181"/>
      <c r="V1837" s="37"/>
      <c r="W1837" s="181"/>
      <c r="X1837" s="38"/>
      <c r="Y1837" s="38"/>
      <c r="Z1837" s="38"/>
      <c r="AA1837" s="38"/>
      <c r="AB1837" s="248"/>
      <c r="AC1837" s="250"/>
      <c r="AD1837" s="181"/>
      <c r="AE1837" s="37"/>
      <c r="AF1837" s="37"/>
      <c r="AG1837" s="33"/>
      <c r="AH1837" s="37"/>
      <c r="AI1837" s="37"/>
      <c r="AJ1837" s="181"/>
      <c r="AK1837" s="37"/>
      <c r="AL1837" s="37"/>
      <c r="AM1837" s="181"/>
      <c r="AN1837" s="37"/>
      <c r="AO1837" s="37"/>
      <c r="AP1837" s="37"/>
      <c r="AQ1837" s="37"/>
      <c r="AR1837" s="37"/>
      <c r="AS1837" s="37"/>
      <c r="AT1837" s="37"/>
      <c r="AU1837" s="37"/>
      <c r="AV1837" s="37"/>
      <c r="AW1837" s="37"/>
      <c r="AX1837" s="37"/>
      <c r="AY1837" s="37"/>
      <c r="AZ1837" s="37"/>
    </row>
    <row r="1838" spans="1:52" ht="15.5" customHeight="1">
      <c r="A1838" s="360"/>
      <c r="B1838" s="340"/>
      <c r="C1838" s="181"/>
      <c r="D1838" s="30"/>
      <c r="E1838" s="30"/>
      <c r="F1838" s="30"/>
      <c r="G1838" s="37"/>
      <c r="H1838" s="37"/>
      <c r="I1838" s="37"/>
      <c r="J1838" s="37" t="s">
        <v>69</v>
      </c>
      <c r="K1838" s="325" t="s">
        <v>69</v>
      </c>
      <c r="L1838" s="181"/>
      <c r="M1838" s="181"/>
      <c r="N1838" s="37"/>
      <c r="O1838" s="31"/>
      <c r="P1838" s="37"/>
      <c r="Q1838" s="181"/>
      <c r="R1838" s="181"/>
      <c r="S1838" s="181"/>
      <c r="T1838" s="181"/>
      <c r="U1838" s="181"/>
      <c r="V1838" s="37"/>
      <c r="W1838" s="181"/>
      <c r="X1838" s="38"/>
      <c r="Y1838" s="38"/>
      <c r="Z1838" s="38"/>
      <c r="AA1838" s="38"/>
      <c r="AB1838" s="248"/>
      <c r="AC1838" s="250"/>
      <c r="AD1838" s="181"/>
      <c r="AE1838" s="37"/>
      <c r="AF1838" s="37"/>
      <c r="AG1838" s="33"/>
      <c r="AH1838" s="37"/>
      <c r="AI1838" s="37"/>
      <c r="AJ1838" s="181"/>
      <c r="AK1838" s="37"/>
      <c r="AL1838" s="37"/>
      <c r="AM1838" s="181"/>
      <c r="AN1838" s="37"/>
      <c r="AO1838" s="37"/>
      <c r="AP1838" s="37"/>
      <c r="AQ1838" s="37"/>
      <c r="AR1838" s="37"/>
      <c r="AS1838" s="37"/>
      <c r="AT1838" s="37"/>
      <c r="AU1838" s="37"/>
      <c r="AV1838" s="37"/>
      <c r="AW1838" s="37"/>
      <c r="AX1838" s="37"/>
      <c r="AY1838" s="37"/>
      <c r="AZ1838" s="37"/>
    </row>
    <row r="1839" spans="1:52" ht="15.5" customHeight="1">
      <c r="A1839" s="360"/>
      <c r="B1839" s="340"/>
      <c r="C1839" s="181"/>
      <c r="D1839" s="30"/>
      <c r="E1839" s="30"/>
      <c r="F1839" s="30"/>
      <c r="G1839" s="37"/>
      <c r="H1839" s="37"/>
      <c r="I1839" s="37"/>
      <c r="J1839" s="37" t="s">
        <v>69</v>
      </c>
      <c r="K1839" s="325" t="s">
        <v>69</v>
      </c>
      <c r="L1839" s="181"/>
      <c r="M1839" s="181"/>
      <c r="N1839" s="37"/>
      <c r="O1839" s="31"/>
      <c r="P1839" s="37"/>
      <c r="Q1839" s="181"/>
      <c r="R1839" s="181"/>
      <c r="S1839" s="181"/>
      <c r="T1839" s="181"/>
      <c r="U1839" s="181"/>
      <c r="V1839" s="37"/>
      <c r="W1839" s="181"/>
      <c r="X1839" s="38"/>
      <c r="Y1839" s="38"/>
      <c r="Z1839" s="38"/>
      <c r="AA1839" s="38"/>
      <c r="AB1839" s="248"/>
      <c r="AC1839" s="250"/>
      <c r="AD1839" s="181"/>
      <c r="AE1839" s="37"/>
      <c r="AF1839" s="37"/>
      <c r="AG1839" s="33"/>
      <c r="AH1839" s="37"/>
      <c r="AI1839" s="37"/>
      <c r="AJ1839" s="181"/>
      <c r="AK1839" s="37"/>
      <c r="AL1839" s="37"/>
      <c r="AM1839" s="181"/>
      <c r="AN1839" s="37"/>
      <c r="AO1839" s="37"/>
      <c r="AP1839" s="37"/>
      <c r="AQ1839" s="37"/>
      <c r="AR1839" s="37"/>
      <c r="AS1839" s="37"/>
      <c r="AT1839" s="37"/>
      <c r="AU1839" s="37"/>
      <c r="AV1839" s="37"/>
      <c r="AW1839" s="37"/>
      <c r="AX1839" s="37"/>
      <c r="AY1839" s="37"/>
      <c r="AZ1839" s="37"/>
    </row>
    <row r="1840" spans="1:52" ht="15.5" customHeight="1">
      <c r="A1840" s="360"/>
      <c r="B1840" s="340"/>
      <c r="C1840" s="181"/>
      <c r="D1840" s="30"/>
      <c r="E1840" s="30"/>
      <c r="F1840" s="30"/>
      <c r="G1840" s="37"/>
      <c r="H1840" s="37"/>
      <c r="I1840" s="37"/>
      <c r="J1840" s="37" t="s">
        <v>69</v>
      </c>
      <c r="K1840" s="325" t="s">
        <v>69</v>
      </c>
      <c r="L1840" s="181"/>
      <c r="M1840" s="181"/>
      <c r="N1840" s="37"/>
      <c r="O1840" s="31"/>
      <c r="P1840" s="37"/>
      <c r="Q1840" s="181"/>
      <c r="R1840" s="181"/>
      <c r="S1840" s="181"/>
      <c r="T1840" s="181"/>
      <c r="U1840" s="181"/>
      <c r="V1840" s="37"/>
      <c r="W1840" s="181"/>
      <c r="X1840" s="38"/>
      <c r="Y1840" s="38"/>
      <c r="Z1840" s="38"/>
      <c r="AA1840" s="38"/>
      <c r="AB1840" s="248"/>
      <c r="AC1840" s="250"/>
      <c r="AD1840" s="181"/>
      <c r="AE1840" s="37"/>
      <c r="AF1840" s="37"/>
      <c r="AG1840" s="33"/>
      <c r="AH1840" s="37"/>
      <c r="AI1840" s="37"/>
      <c r="AJ1840" s="181"/>
      <c r="AK1840" s="37"/>
      <c r="AL1840" s="37"/>
      <c r="AM1840" s="181"/>
      <c r="AN1840" s="37"/>
      <c r="AO1840" s="37"/>
      <c r="AP1840" s="37"/>
      <c r="AQ1840" s="37"/>
      <c r="AR1840" s="37"/>
      <c r="AS1840" s="37"/>
      <c r="AT1840" s="37"/>
      <c r="AU1840" s="37"/>
      <c r="AV1840" s="37"/>
      <c r="AW1840" s="37"/>
      <c r="AX1840" s="37"/>
      <c r="AY1840" s="37"/>
      <c r="AZ1840" s="37"/>
    </row>
    <row r="1841" spans="1:52" ht="15.5" customHeight="1">
      <c r="A1841" s="360"/>
      <c r="B1841" s="340"/>
      <c r="C1841" s="181"/>
      <c r="D1841" s="30"/>
      <c r="E1841" s="30"/>
      <c r="F1841" s="30"/>
      <c r="G1841" s="37"/>
      <c r="H1841" s="37"/>
      <c r="I1841" s="37"/>
      <c r="J1841" s="37" t="s">
        <v>69</v>
      </c>
      <c r="K1841" s="325" t="s">
        <v>69</v>
      </c>
      <c r="L1841" s="181"/>
      <c r="M1841" s="181"/>
      <c r="N1841" s="37"/>
      <c r="O1841" s="31"/>
      <c r="P1841" s="37"/>
      <c r="Q1841" s="181"/>
      <c r="R1841" s="181"/>
      <c r="S1841" s="181"/>
      <c r="T1841" s="181"/>
      <c r="U1841" s="181"/>
      <c r="V1841" s="37"/>
      <c r="W1841" s="181"/>
      <c r="X1841" s="38"/>
      <c r="Y1841" s="38"/>
      <c r="Z1841" s="38"/>
      <c r="AA1841" s="38"/>
      <c r="AB1841" s="248"/>
      <c r="AC1841" s="250"/>
      <c r="AD1841" s="181"/>
      <c r="AE1841" s="37"/>
      <c r="AF1841" s="37"/>
      <c r="AG1841" s="33"/>
      <c r="AH1841" s="37"/>
      <c r="AI1841" s="37"/>
      <c r="AJ1841" s="181"/>
      <c r="AK1841" s="37"/>
      <c r="AL1841" s="37"/>
      <c r="AM1841" s="181"/>
      <c r="AN1841" s="37"/>
      <c r="AO1841" s="37"/>
      <c r="AP1841" s="37"/>
      <c r="AQ1841" s="37"/>
      <c r="AR1841" s="37"/>
      <c r="AS1841" s="37"/>
      <c r="AT1841" s="37"/>
      <c r="AU1841" s="37"/>
      <c r="AV1841" s="37"/>
      <c r="AW1841" s="37"/>
      <c r="AX1841" s="37"/>
      <c r="AY1841" s="37"/>
      <c r="AZ1841" s="37"/>
    </row>
    <row r="1842" spans="1:52" ht="15.5" customHeight="1">
      <c r="A1842" s="360"/>
      <c r="B1842" s="340"/>
      <c r="C1842" s="181"/>
      <c r="D1842" s="30"/>
      <c r="E1842" s="30"/>
      <c r="F1842" s="30"/>
      <c r="G1842" s="37"/>
      <c r="H1842" s="37"/>
      <c r="I1842" s="37"/>
      <c r="J1842" s="37" t="s">
        <v>69</v>
      </c>
      <c r="K1842" s="325" t="s">
        <v>69</v>
      </c>
      <c r="L1842" s="181"/>
      <c r="M1842" s="181"/>
      <c r="N1842" s="37"/>
      <c r="O1842" s="31"/>
      <c r="P1842" s="37"/>
      <c r="Q1842" s="181"/>
      <c r="R1842" s="181"/>
      <c r="S1842" s="181"/>
      <c r="T1842" s="181"/>
      <c r="U1842" s="181"/>
      <c r="V1842" s="37"/>
      <c r="W1842" s="181"/>
      <c r="X1842" s="38"/>
      <c r="Y1842" s="38"/>
      <c r="Z1842" s="38"/>
      <c r="AA1842" s="38"/>
      <c r="AB1842" s="248"/>
      <c r="AC1842" s="250"/>
      <c r="AD1842" s="181"/>
      <c r="AE1842" s="37"/>
      <c r="AF1842" s="37"/>
      <c r="AG1842" s="33"/>
      <c r="AH1842" s="37"/>
      <c r="AI1842" s="37"/>
      <c r="AJ1842" s="181"/>
      <c r="AK1842" s="37"/>
      <c r="AL1842" s="37"/>
      <c r="AM1842" s="181"/>
      <c r="AN1842" s="37"/>
      <c r="AO1842" s="37"/>
      <c r="AP1842" s="37"/>
      <c r="AQ1842" s="37"/>
      <c r="AR1842" s="37"/>
      <c r="AS1842" s="37"/>
      <c r="AT1842" s="37"/>
      <c r="AU1842" s="37"/>
      <c r="AV1842" s="37"/>
      <c r="AW1842" s="37"/>
      <c r="AX1842" s="37"/>
      <c r="AY1842" s="37"/>
      <c r="AZ1842" s="37"/>
    </row>
    <row r="1843" spans="1:52" ht="15.5" customHeight="1">
      <c r="A1843" s="360"/>
      <c r="B1843" s="340"/>
      <c r="C1843" s="181"/>
      <c r="D1843" s="30"/>
      <c r="E1843" s="30"/>
      <c r="F1843" s="30"/>
      <c r="G1843" s="37"/>
      <c r="H1843" s="37"/>
      <c r="I1843" s="37"/>
      <c r="J1843" s="37" t="s">
        <v>69</v>
      </c>
      <c r="K1843" s="325" t="s">
        <v>69</v>
      </c>
      <c r="L1843" s="181"/>
      <c r="M1843" s="181"/>
      <c r="N1843" s="37"/>
      <c r="O1843" s="31"/>
      <c r="P1843" s="37"/>
      <c r="Q1843" s="181"/>
      <c r="R1843" s="181"/>
      <c r="S1843" s="181"/>
      <c r="T1843" s="181"/>
      <c r="U1843" s="181"/>
      <c r="V1843" s="37"/>
      <c r="W1843" s="181"/>
      <c r="X1843" s="38"/>
      <c r="Y1843" s="38"/>
      <c r="Z1843" s="38"/>
      <c r="AA1843" s="38"/>
      <c r="AB1843" s="248"/>
      <c r="AC1843" s="250"/>
      <c r="AD1843" s="181"/>
      <c r="AE1843" s="37"/>
      <c r="AF1843" s="37"/>
      <c r="AG1843" s="33"/>
      <c r="AH1843" s="37"/>
      <c r="AI1843" s="37"/>
      <c r="AJ1843" s="181"/>
      <c r="AK1843" s="37"/>
      <c r="AL1843" s="37"/>
      <c r="AM1843" s="181"/>
      <c r="AN1843" s="37"/>
      <c r="AO1843" s="37"/>
      <c r="AP1843" s="37"/>
      <c r="AQ1843" s="37"/>
      <c r="AR1843" s="37"/>
      <c r="AS1843" s="37"/>
      <c r="AT1843" s="37"/>
      <c r="AU1843" s="37"/>
      <c r="AV1843" s="37"/>
      <c r="AW1843" s="37"/>
      <c r="AX1843" s="37"/>
      <c r="AY1843" s="37"/>
      <c r="AZ1843" s="37"/>
    </row>
    <row r="1844" spans="1:52" ht="15.5" customHeight="1">
      <c r="A1844" s="360"/>
      <c r="B1844" s="340"/>
      <c r="C1844" s="181"/>
      <c r="D1844" s="30"/>
      <c r="E1844" s="30"/>
      <c r="F1844" s="30"/>
      <c r="G1844" s="37"/>
      <c r="H1844" s="37"/>
      <c r="I1844" s="37"/>
      <c r="J1844" s="37" t="s">
        <v>69</v>
      </c>
      <c r="K1844" s="325" t="s">
        <v>69</v>
      </c>
      <c r="L1844" s="181"/>
      <c r="M1844" s="181"/>
      <c r="N1844" s="37"/>
      <c r="O1844" s="31"/>
      <c r="P1844" s="37"/>
      <c r="Q1844" s="181"/>
      <c r="R1844" s="181"/>
      <c r="S1844" s="181"/>
      <c r="T1844" s="181"/>
      <c r="U1844" s="181"/>
      <c r="V1844" s="37"/>
      <c r="W1844" s="181"/>
      <c r="X1844" s="38"/>
      <c r="Y1844" s="38"/>
      <c r="Z1844" s="38"/>
      <c r="AA1844" s="38"/>
      <c r="AB1844" s="248"/>
      <c r="AC1844" s="250"/>
      <c r="AD1844" s="181"/>
      <c r="AE1844" s="37"/>
      <c r="AF1844" s="37"/>
      <c r="AG1844" s="33"/>
      <c r="AH1844" s="37"/>
      <c r="AI1844" s="37"/>
      <c r="AJ1844" s="181"/>
      <c r="AK1844" s="37"/>
      <c r="AL1844" s="37"/>
      <c r="AM1844" s="181"/>
      <c r="AN1844" s="37"/>
      <c r="AO1844" s="37"/>
      <c r="AP1844" s="37"/>
      <c r="AQ1844" s="37"/>
      <c r="AR1844" s="37"/>
      <c r="AS1844" s="37"/>
      <c r="AT1844" s="37"/>
      <c r="AU1844" s="37"/>
      <c r="AV1844" s="37"/>
      <c r="AW1844" s="37"/>
      <c r="AX1844" s="37"/>
      <c r="AY1844" s="37"/>
      <c r="AZ1844" s="37"/>
    </row>
    <row r="1845" spans="1:52" ht="15.5" customHeight="1">
      <c r="A1845" s="360"/>
      <c r="B1845" s="340"/>
      <c r="C1845" s="181"/>
      <c r="D1845" s="30"/>
      <c r="E1845" s="30"/>
      <c r="F1845" s="30"/>
      <c r="G1845" s="37"/>
      <c r="H1845" s="37"/>
      <c r="I1845" s="37"/>
      <c r="J1845" s="37" t="s">
        <v>69</v>
      </c>
      <c r="K1845" s="325" t="s">
        <v>69</v>
      </c>
      <c r="L1845" s="181"/>
      <c r="M1845" s="181"/>
      <c r="N1845" s="37"/>
      <c r="O1845" s="31"/>
      <c r="P1845" s="37"/>
      <c r="Q1845" s="181"/>
      <c r="R1845" s="181"/>
      <c r="S1845" s="181"/>
      <c r="T1845" s="181"/>
      <c r="U1845" s="181"/>
      <c r="V1845" s="37"/>
      <c r="W1845" s="181"/>
      <c r="X1845" s="38"/>
      <c r="Y1845" s="38"/>
      <c r="Z1845" s="38"/>
      <c r="AA1845" s="38"/>
      <c r="AB1845" s="248"/>
      <c r="AC1845" s="250"/>
      <c r="AD1845" s="181"/>
      <c r="AE1845" s="37"/>
      <c r="AF1845" s="37"/>
      <c r="AG1845" s="33"/>
      <c r="AH1845" s="37"/>
      <c r="AI1845" s="37"/>
      <c r="AJ1845" s="181"/>
      <c r="AK1845" s="37"/>
      <c r="AL1845" s="37"/>
      <c r="AM1845" s="181"/>
      <c r="AN1845" s="37"/>
      <c r="AO1845" s="37"/>
      <c r="AP1845" s="37"/>
      <c r="AQ1845" s="37"/>
      <c r="AR1845" s="37"/>
      <c r="AS1845" s="37"/>
      <c r="AT1845" s="37"/>
      <c r="AU1845" s="37"/>
      <c r="AV1845" s="37"/>
      <c r="AW1845" s="37"/>
      <c r="AX1845" s="37"/>
      <c r="AY1845" s="37"/>
      <c r="AZ1845" s="37"/>
    </row>
    <row r="1846" spans="1:52" ht="15.5" customHeight="1">
      <c r="A1846" s="360"/>
      <c r="B1846" s="340"/>
      <c r="C1846" s="181"/>
      <c r="D1846" s="30"/>
      <c r="E1846" s="30"/>
      <c r="F1846" s="30"/>
      <c r="G1846" s="37"/>
      <c r="H1846" s="37"/>
      <c r="I1846" s="37"/>
      <c r="J1846" s="37" t="s">
        <v>69</v>
      </c>
      <c r="K1846" s="325" t="s">
        <v>69</v>
      </c>
      <c r="L1846" s="181"/>
      <c r="M1846" s="181"/>
      <c r="N1846" s="37"/>
      <c r="O1846" s="31"/>
      <c r="P1846" s="37"/>
      <c r="Q1846" s="181"/>
      <c r="R1846" s="181"/>
      <c r="S1846" s="181"/>
      <c r="T1846" s="181"/>
      <c r="U1846" s="181"/>
      <c r="V1846" s="37"/>
      <c r="W1846" s="181"/>
      <c r="X1846" s="38"/>
      <c r="Y1846" s="38"/>
      <c r="Z1846" s="38"/>
      <c r="AA1846" s="38"/>
      <c r="AB1846" s="248"/>
      <c r="AC1846" s="250"/>
      <c r="AD1846" s="181"/>
      <c r="AE1846" s="37"/>
      <c r="AF1846" s="37"/>
      <c r="AG1846" s="33"/>
      <c r="AH1846" s="37"/>
      <c r="AI1846" s="37"/>
      <c r="AJ1846" s="181"/>
      <c r="AK1846" s="37"/>
      <c r="AL1846" s="37"/>
      <c r="AM1846" s="181"/>
      <c r="AN1846" s="37"/>
      <c r="AO1846" s="37"/>
      <c r="AP1846" s="37"/>
      <c r="AQ1846" s="37"/>
      <c r="AR1846" s="37"/>
      <c r="AS1846" s="37"/>
      <c r="AT1846" s="37"/>
      <c r="AU1846" s="37"/>
      <c r="AV1846" s="37"/>
      <c r="AW1846" s="37"/>
      <c r="AX1846" s="37"/>
      <c r="AY1846" s="37"/>
      <c r="AZ1846" s="37"/>
    </row>
    <row r="1847" spans="1:52" ht="15.5" customHeight="1">
      <c r="A1847" s="360"/>
      <c r="B1847" s="340"/>
      <c r="C1847" s="181"/>
      <c r="D1847" s="30"/>
      <c r="E1847" s="30"/>
      <c r="F1847" s="30"/>
      <c r="G1847" s="37"/>
      <c r="H1847" s="37"/>
      <c r="I1847" s="37"/>
      <c r="J1847" s="37" t="s">
        <v>69</v>
      </c>
      <c r="K1847" s="325" t="s">
        <v>69</v>
      </c>
      <c r="L1847" s="181"/>
      <c r="M1847" s="181"/>
      <c r="N1847" s="37"/>
      <c r="O1847" s="31"/>
      <c r="P1847" s="37"/>
      <c r="Q1847" s="181"/>
      <c r="R1847" s="181"/>
      <c r="S1847" s="181"/>
      <c r="T1847" s="181"/>
      <c r="U1847" s="181"/>
      <c r="V1847" s="37"/>
      <c r="W1847" s="181"/>
      <c r="X1847" s="38"/>
      <c r="Y1847" s="38"/>
      <c r="Z1847" s="38"/>
      <c r="AA1847" s="38"/>
      <c r="AB1847" s="248"/>
      <c r="AC1847" s="250"/>
      <c r="AD1847" s="181"/>
      <c r="AE1847" s="37"/>
      <c r="AF1847" s="37"/>
      <c r="AG1847" s="33"/>
      <c r="AH1847" s="37"/>
      <c r="AI1847" s="37"/>
      <c r="AJ1847" s="181"/>
      <c r="AK1847" s="37"/>
      <c r="AL1847" s="37"/>
      <c r="AM1847" s="181"/>
      <c r="AN1847" s="37"/>
      <c r="AO1847" s="37"/>
      <c r="AP1847" s="37"/>
      <c r="AQ1847" s="37"/>
      <c r="AR1847" s="37"/>
      <c r="AS1847" s="37"/>
      <c r="AT1847" s="37"/>
      <c r="AU1847" s="37"/>
      <c r="AV1847" s="37"/>
      <c r="AW1847" s="37"/>
      <c r="AX1847" s="37"/>
      <c r="AY1847" s="37"/>
      <c r="AZ1847" s="37"/>
    </row>
    <row r="1848" spans="1:52" ht="15.5" customHeight="1">
      <c r="A1848" s="360"/>
      <c r="B1848" s="340"/>
      <c r="C1848" s="181"/>
      <c r="D1848" s="30"/>
      <c r="E1848" s="30"/>
      <c r="F1848" s="30"/>
      <c r="G1848" s="37"/>
      <c r="H1848" s="37"/>
      <c r="I1848" s="37"/>
      <c r="J1848" s="37" t="s">
        <v>69</v>
      </c>
      <c r="K1848" s="325" t="s">
        <v>69</v>
      </c>
      <c r="L1848" s="181"/>
      <c r="M1848" s="181"/>
      <c r="N1848" s="37"/>
      <c r="O1848" s="31"/>
      <c r="P1848" s="37"/>
      <c r="Q1848" s="181"/>
      <c r="R1848" s="181"/>
      <c r="S1848" s="181"/>
      <c r="T1848" s="181"/>
      <c r="U1848" s="181"/>
      <c r="V1848" s="37"/>
      <c r="W1848" s="181"/>
      <c r="X1848" s="38"/>
      <c r="Y1848" s="38"/>
      <c r="Z1848" s="38"/>
      <c r="AA1848" s="38"/>
      <c r="AB1848" s="248"/>
      <c r="AC1848" s="250"/>
      <c r="AD1848" s="181"/>
      <c r="AE1848" s="37"/>
      <c r="AF1848" s="37"/>
      <c r="AG1848" s="33"/>
      <c r="AH1848" s="37"/>
      <c r="AI1848" s="37"/>
      <c r="AJ1848" s="181"/>
      <c r="AK1848" s="37"/>
      <c r="AL1848" s="37"/>
      <c r="AM1848" s="181"/>
      <c r="AN1848" s="37"/>
      <c r="AO1848" s="37"/>
      <c r="AP1848" s="37"/>
      <c r="AQ1848" s="37"/>
      <c r="AR1848" s="37"/>
      <c r="AS1848" s="37"/>
      <c r="AT1848" s="37"/>
      <c r="AU1848" s="37"/>
      <c r="AV1848" s="37"/>
      <c r="AW1848" s="37"/>
      <c r="AX1848" s="37"/>
      <c r="AY1848" s="37"/>
      <c r="AZ1848" s="37"/>
    </row>
    <row r="1849" spans="1:52" ht="15.5" customHeight="1">
      <c r="A1849" s="360"/>
      <c r="B1849" s="340"/>
      <c r="C1849" s="181"/>
      <c r="D1849" s="30"/>
      <c r="E1849" s="30"/>
      <c r="F1849" s="30"/>
      <c r="G1849" s="37"/>
      <c r="H1849" s="37"/>
      <c r="I1849" s="37"/>
      <c r="J1849" s="37" t="s">
        <v>69</v>
      </c>
      <c r="K1849" s="325" t="s">
        <v>69</v>
      </c>
      <c r="L1849" s="181"/>
      <c r="M1849" s="181"/>
      <c r="N1849" s="37"/>
      <c r="O1849" s="31"/>
      <c r="P1849" s="37"/>
      <c r="Q1849" s="181"/>
      <c r="R1849" s="181"/>
      <c r="S1849" s="181"/>
      <c r="T1849" s="181"/>
      <c r="U1849" s="181"/>
      <c r="V1849" s="37"/>
      <c r="W1849" s="181"/>
      <c r="X1849" s="38"/>
      <c r="Y1849" s="38"/>
      <c r="Z1849" s="38"/>
      <c r="AA1849" s="38"/>
      <c r="AB1849" s="248"/>
      <c r="AC1849" s="250"/>
      <c r="AD1849" s="181"/>
      <c r="AE1849" s="37"/>
      <c r="AF1849" s="37"/>
      <c r="AG1849" s="33"/>
      <c r="AH1849" s="37"/>
      <c r="AI1849" s="37"/>
      <c r="AJ1849" s="181"/>
      <c r="AK1849" s="37"/>
      <c r="AL1849" s="37"/>
      <c r="AM1849" s="181"/>
      <c r="AN1849" s="37"/>
      <c r="AO1849" s="37"/>
      <c r="AP1849" s="37"/>
      <c r="AQ1849" s="37"/>
      <c r="AR1849" s="37"/>
      <c r="AS1849" s="37"/>
      <c r="AT1849" s="37"/>
      <c r="AU1849" s="37"/>
      <c r="AV1849" s="37"/>
      <c r="AW1849" s="37"/>
      <c r="AX1849" s="37"/>
      <c r="AY1849" s="37"/>
      <c r="AZ1849" s="37"/>
    </row>
    <row r="1850" spans="1:52" ht="15.5" customHeight="1">
      <c r="A1850" s="360"/>
      <c r="B1850" s="340"/>
      <c r="C1850" s="181"/>
      <c r="D1850" s="30"/>
      <c r="E1850" s="30"/>
      <c r="F1850" s="30"/>
      <c r="G1850" s="37"/>
      <c r="H1850" s="37"/>
      <c r="I1850" s="37"/>
      <c r="J1850" s="37" t="s">
        <v>69</v>
      </c>
      <c r="K1850" s="325" t="s">
        <v>69</v>
      </c>
      <c r="L1850" s="181"/>
      <c r="M1850" s="181"/>
      <c r="N1850" s="37"/>
      <c r="O1850" s="31"/>
      <c r="P1850" s="37"/>
      <c r="Q1850" s="181"/>
      <c r="R1850" s="181"/>
      <c r="S1850" s="181"/>
      <c r="T1850" s="181"/>
      <c r="U1850" s="181"/>
      <c r="V1850" s="37"/>
      <c r="W1850" s="181"/>
      <c r="X1850" s="38"/>
      <c r="Y1850" s="38"/>
      <c r="Z1850" s="38"/>
      <c r="AA1850" s="38"/>
      <c r="AB1850" s="248"/>
      <c r="AC1850" s="250"/>
      <c r="AD1850" s="181"/>
      <c r="AE1850" s="37"/>
      <c r="AF1850" s="37"/>
      <c r="AG1850" s="33"/>
      <c r="AH1850" s="37"/>
      <c r="AI1850" s="37"/>
      <c r="AJ1850" s="181"/>
      <c r="AK1850" s="37"/>
      <c r="AL1850" s="37"/>
      <c r="AM1850" s="181"/>
      <c r="AN1850" s="37"/>
      <c r="AO1850" s="37"/>
      <c r="AP1850" s="37"/>
      <c r="AQ1850" s="37"/>
      <c r="AR1850" s="37"/>
      <c r="AS1850" s="37"/>
      <c r="AT1850" s="37"/>
      <c r="AU1850" s="37"/>
      <c r="AV1850" s="37"/>
      <c r="AW1850" s="37"/>
      <c r="AX1850" s="37"/>
      <c r="AY1850" s="37"/>
      <c r="AZ1850" s="37"/>
    </row>
    <row r="1851" spans="1:52" ht="15.5" customHeight="1">
      <c r="A1851" s="360"/>
      <c r="B1851" s="340"/>
      <c r="C1851" s="181"/>
      <c r="D1851" s="30"/>
      <c r="E1851" s="30"/>
      <c r="F1851" s="30"/>
      <c r="G1851" s="37"/>
      <c r="H1851" s="37"/>
      <c r="I1851" s="37"/>
      <c r="J1851" s="37" t="s">
        <v>69</v>
      </c>
      <c r="K1851" s="325" t="s">
        <v>69</v>
      </c>
      <c r="L1851" s="181"/>
      <c r="M1851" s="181"/>
      <c r="N1851" s="37"/>
      <c r="O1851" s="31"/>
      <c r="P1851" s="37"/>
      <c r="Q1851" s="181"/>
      <c r="R1851" s="181"/>
      <c r="S1851" s="181"/>
      <c r="T1851" s="181"/>
      <c r="U1851" s="181"/>
      <c r="V1851" s="37"/>
      <c r="W1851" s="181"/>
      <c r="X1851" s="38"/>
      <c r="Y1851" s="38"/>
      <c r="Z1851" s="38"/>
      <c r="AA1851" s="38"/>
      <c r="AB1851" s="248"/>
      <c r="AC1851" s="250"/>
      <c r="AD1851" s="181"/>
      <c r="AE1851" s="37"/>
      <c r="AF1851" s="37"/>
      <c r="AG1851" s="33"/>
      <c r="AH1851" s="37"/>
      <c r="AI1851" s="37"/>
      <c r="AJ1851" s="181"/>
      <c r="AK1851" s="37"/>
      <c r="AL1851" s="37"/>
      <c r="AM1851" s="181"/>
      <c r="AN1851" s="37"/>
      <c r="AO1851" s="37"/>
      <c r="AP1851" s="37"/>
      <c r="AQ1851" s="37"/>
      <c r="AR1851" s="37"/>
      <c r="AS1851" s="37"/>
      <c r="AT1851" s="37"/>
      <c r="AU1851" s="37"/>
      <c r="AV1851" s="37"/>
      <c r="AW1851" s="37"/>
      <c r="AX1851" s="37"/>
      <c r="AY1851" s="37"/>
      <c r="AZ1851" s="37"/>
    </row>
    <row r="1852" spans="1:52" ht="15.5" customHeight="1">
      <c r="A1852" s="360"/>
      <c r="B1852" s="340"/>
      <c r="C1852" s="181"/>
      <c r="D1852" s="30"/>
      <c r="E1852" s="30"/>
      <c r="F1852" s="30"/>
      <c r="G1852" s="37"/>
      <c r="H1852" s="37"/>
      <c r="I1852" s="37"/>
      <c r="J1852" s="37" t="s">
        <v>69</v>
      </c>
      <c r="K1852" s="325" t="s">
        <v>69</v>
      </c>
      <c r="L1852" s="181"/>
      <c r="M1852" s="181"/>
      <c r="N1852" s="37"/>
      <c r="O1852" s="31"/>
      <c r="P1852" s="37"/>
      <c r="Q1852" s="181"/>
      <c r="R1852" s="181"/>
      <c r="S1852" s="181"/>
      <c r="T1852" s="181"/>
      <c r="U1852" s="181"/>
      <c r="V1852" s="37"/>
      <c r="W1852" s="181"/>
      <c r="X1852" s="38"/>
      <c r="Y1852" s="38"/>
      <c r="Z1852" s="38"/>
      <c r="AA1852" s="38"/>
      <c r="AB1852" s="248"/>
      <c r="AC1852" s="250"/>
      <c r="AD1852" s="181"/>
      <c r="AE1852" s="37"/>
      <c r="AF1852" s="37"/>
      <c r="AG1852" s="33"/>
      <c r="AH1852" s="37"/>
      <c r="AI1852" s="37"/>
      <c r="AJ1852" s="181"/>
      <c r="AK1852" s="37"/>
      <c r="AL1852" s="37"/>
      <c r="AM1852" s="181"/>
      <c r="AN1852" s="37"/>
      <c r="AO1852" s="37"/>
      <c r="AP1852" s="37"/>
      <c r="AQ1852" s="37"/>
      <c r="AR1852" s="37"/>
      <c r="AS1852" s="37"/>
      <c r="AT1852" s="37"/>
      <c r="AU1852" s="37"/>
      <c r="AV1852" s="37"/>
      <c r="AW1852" s="37"/>
      <c r="AX1852" s="37"/>
      <c r="AY1852" s="37"/>
      <c r="AZ1852" s="37"/>
    </row>
    <row r="1853" spans="1:52" ht="15.5" customHeight="1">
      <c r="A1853" s="360"/>
      <c r="B1853" s="340"/>
      <c r="C1853" s="181"/>
      <c r="D1853" s="30"/>
      <c r="E1853" s="30"/>
      <c r="F1853" s="30"/>
      <c r="G1853" s="37"/>
      <c r="H1853" s="37"/>
      <c r="I1853" s="37"/>
      <c r="J1853" s="37" t="s">
        <v>69</v>
      </c>
      <c r="K1853" s="325" t="s">
        <v>69</v>
      </c>
      <c r="L1853" s="181"/>
      <c r="M1853" s="181"/>
      <c r="N1853" s="37"/>
      <c r="O1853" s="31"/>
      <c r="P1853" s="37"/>
      <c r="Q1853" s="181"/>
      <c r="R1853" s="181"/>
      <c r="S1853" s="181"/>
      <c r="T1853" s="181"/>
      <c r="U1853" s="181"/>
      <c r="V1853" s="37"/>
      <c r="W1853" s="181"/>
      <c r="X1853" s="38"/>
      <c r="Y1853" s="38"/>
      <c r="Z1853" s="38"/>
      <c r="AA1853" s="38"/>
      <c r="AB1853" s="248"/>
      <c r="AC1853" s="250"/>
      <c r="AD1853" s="181"/>
      <c r="AE1853" s="37"/>
      <c r="AF1853" s="37"/>
      <c r="AG1853" s="33"/>
      <c r="AH1853" s="37"/>
      <c r="AI1853" s="37"/>
      <c r="AJ1853" s="181"/>
      <c r="AK1853" s="37"/>
      <c r="AL1853" s="37"/>
      <c r="AM1853" s="181"/>
      <c r="AN1853" s="37"/>
      <c r="AO1853" s="37"/>
      <c r="AP1853" s="37"/>
      <c r="AQ1853" s="37"/>
      <c r="AR1853" s="37"/>
      <c r="AS1853" s="37"/>
      <c r="AT1853" s="37"/>
      <c r="AU1853" s="37"/>
      <c r="AV1853" s="37"/>
      <c r="AW1853" s="37"/>
      <c r="AX1853" s="37"/>
      <c r="AY1853" s="37"/>
      <c r="AZ1853" s="37"/>
    </row>
    <row r="1854" spans="1:52" ht="15.5" customHeight="1">
      <c r="A1854" s="360"/>
      <c r="B1854" s="340"/>
      <c r="C1854" s="181"/>
      <c r="D1854" s="30"/>
      <c r="E1854" s="30"/>
      <c r="F1854" s="30"/>
      <c r="G1854" s="37"/>
      <c r="H1854" s="37"/>
      <c r="I1854" s="37"/>
      <c r="J1854" s="37" t="s">
        <v>69</v>
      </c>
      <c r="K1854" s="325" t="s">
        <v>69</v>
      </c>
      <c r="L1854" s="181"/>
      <c r="M1854" s="181"/>
      <c r="N1854" s="37"/>
      <c r="O1854" s="31"/>
      <c r="P1854" s="37"/>
      <c r="Q1854" s="181"/>
      <c r="R1854" s="181"/>
      <c r="S1854" s="181"/>
      <c r="T1854" s="181"/>
      <c r="U1854" s="181"/>
      <c r="V1854" s="37"/>
      <c r="W1854" s="181"/>
      <c r="X1854" s="38"/>
      <c r="Y1854" s="38"/>
      <c r="Z1854" s="38"/>
      <c r="AA1854" s="38"/>
      <c r="AB1854" s="248"/>
      <c r="AC1854" s="250"/>
      <c r="AD1854" s="181"/>
      <c r="AE1854" s="37"/>
      <c r="AF1854" s="37"/>
      <c r="AG1854" s="33"/>
      <c r="AH1854" s="37"/>
      <c r="AI1854" s="37"/>
      <c r="AJ1854" s="181"/>
      <c r="AK1854" s="37"/>
      <c r="AL1854" s="37"/>
      <c r="AM1854" s="181"/>
      <c r="AN1854" s="37"/>
      <c r="AO1854" s="37"/>
      <c r="AP1854" s="37"/>
      <c r="AQ1854" s="37"/>
      <c r="AR1854" s="37"/>
      <c r="AS1854" s="37"/>
      <c r="AT1854" s="37"/>
      <c r="AU1854" s="37"/>
      <c r="AV1854" s="37"/>
      <c r="AW1854" s="37"/>
      <c r="AX1854" s="37"/>
      <c r="AY1854" s="37"/>
      <c r="AZ1854" s="37"/>
    </row>
    <row r="1855" spans="1:52" ht="15.5" customHeight="1">
      <c r="A1855" s="360"/>
      <c r="B1855" s="340"/>
      <c r="C1855" s="181"/>
      <c r="D1855" s="30"/>
      <c r="E1855" s="30"/>
      <c r="F1855" s="30"/>
      <c r="G1855" s="37"/>
      <c r="H1855" s="37"/>
      <c r="I1855" s="37"/>
      <c r="J1855" s="37" t="s">
        <v>69</v>
      </c>
      <c r="K1855" s="325" t="s">
        <v>69</v>
      </c>
      <c r="L1855" s="181"/>
      <c r="M1855" s="181"/>
      <c r="N1855" s="37"/>
      <c r="O1855" s="31"/>
      <c r="P1855" s="37"/>
      <c r="Q1855" s="181"/>
      <c r="R1855" s="181"/>
      <c r="S1855" s="181"/>
      <c r="T1855" s="181"/>
      <c r="U1855" s="181"/>
      <c r="V1855" s="37"/>
      <c r="W1855" s="181"/>
      <c r="X1855" s="38"/>
      <c r="Y1855" s="38"/>
      <c r="Z1855" s="38"/>
      <c r="AA1855" s="38"/>
      <c r="AB1855" s="248"/>
      <c r="AC1855" s="250"/>
      <c r="AD1855" s="181"/>
      <c r="AE1855" s="37"/>
      <c r="AF1855" s="37"/>
      <c r="AG1855" s="33"/>
      <c r="AH1855" s="37"/>
      <c r="AI1855" s="37"/>
      <c r="AJ1855" s="181"/>
      <c r="AK1855" s="37"/>
      <c r="AL1855" s="37"/>
      <c r="AM1855" s="181"/>
      <c r="AN1855" s="37"/>
      <c r="AO1855" s="37"/>
      <c r="AP1855" s="37"/>
      <c r="AQ1855" s="37"/>
      <c r="AR1855" s="37"/>
      <c r="AS1855" s="37"/>
      <c r="AT1855" s="37"/>
      <c r="AU1855" s="37"/>
      <c r="AV1855" s="37"/>
      <c r="AW1855" s="37"/>
      <c r="AX1855" s="37"/>
      <c r="AY1855" s="37"/>
      <c r="AZ1855" s="37"/>
    </row>
    <row r="1856" spans="1:52" ht="15.5" customHeight="1">
      <c r="A1856" s="360"/>
      <c r="B1856" s="340"/>
      <c r="C1856" s="181"/>
      <c r="D1856" s="30"/>
      <c r="E1856" s="30"/>
      <c r="F1856" s="30"/>
      <c r="G1856" s="37"/>
      <c r="H1856" s="37"/>
      <c r="I1856" s="37"/>
      <c r="J1856" s="37" t="s">
        <v>69</v>
      </c>
      <c r="K1856" s="325" t="s">
        <v>69</v>
      </c>
      <c r="L1856" s="181"/>
      <c r="M1856" s="181"/>
      <c r="N1856" s="37"/>
      <c r="O1856" s="31"/>
      <c r="P1856" s="37"/>
      <c r="Q1856" s="181"/>
      <c r="R1856" s="181"/>
      <c r="S1856" s="181"/>
      <c r="T1856" s="181"/>
      <c r="U1856" s="181"/>
      <c r="V1856" s="37"/>
      <c r="W1856" s="181"/>
      <c r="X1856" s="38"/>
      <c r="Y1856" s="38"/>
      <c r="Z1856" s="38"/>
      <c r="AA1856" s="38"/>
      <c r="AB1856" s="248"/>
      <c r="AC1856" s="250"/>
      <c r="AD1856" s="181"/>
      <c r="AE1856" s="37"/>
      <c r="AF1856" s="37"/>
      <c r="AG1856" s="33"/>
      <c r="AH1856" s="37"/>
      <c r="AI1856" s="37"/>
      <c r="AJ1856" s="181"/>
      <c r="AK1856" s="37"/>
      <c r="AL1856" s="37"/>
      <c r="AM1856" s="181"/>
      <c r="AN1856" s="37"/>
      <c r="AO1856" s="37"/>
      <c r="AP1856" s="37"/>
      <c r="AQ1856" s="37"/>
      <c r="AR1856" s="37"/>
      <c r="AS1856" s="37"/>
      <c r="AT1856" s="37"/>
      <c r="AU1856" s="37"/>
      <c r="AV1856" s="37"/>
      <c r="AW1856" s="37"/>
      <c r="AX1856" s="37"/>
      <c r="AY1856" s="37"/>
      <c r="AZ1856" s="37"/>
    </row>
    <row r="1857" spans="1:52" ht="15.5" customHeight="1">
      <c r="A1857" s="360"/>
      <c r="B1857" s="340"/>
      <c r="C1857" s="181"/>
      <c r="D1857" s="30"/>
      <c r="E1857" s="30"/>
      <c r="F1857" s="30"/>
      <c r="G1857" s="37"/>
      <c r="H1857" s="37"/>
      <c r="I1857" s="37"/>
      <c r="J1857" s="37" t="s">
        <v>69</v>
      </c>
      <c r="K1857" s="325" t="s">
        <v>69</v>
      </c>
      <c r="L1857" s="181"/>
      <c r="M1857" s="181"/>
      <c r="N1857" s="37"/>
      <c r="O1857" s="31"/>
      <c r="P1857" s="37"/>
      <c r="Q1857" s="181"/>
      <c r="R1857" s="181"/>
      <c r="S1857" s="181"/>
      <c r="T1857" s="181"/>
      <c r="U1857" s="181"/>
      <c r="V1857" s="37"/>
      <c r="W1857" s="181"/>
      <c r="X1857" s="38"/>
      <c r="Y1857" s="38"/>
      <c r="Z1857" s="38"/>
      <c r="AA1857" s="38"/>
      <c r="AB1857" s="248"/>
      <c r="AC1857" s="250"/>
      <c r="AD1857" s="181"/>
      <c r="AE1857" s="37"/>
      <c r="AF1857" s="37"/>
      <c r="AG1857" s="33"/>
      <c r="AH1857" s="37"/>
      <c r="AI1857" s="37"/>
      <c r="AJ1857" s="181"/>
      <c r="AK1857" s="37"/>
      <c r="AL1857" s="37"/>
      <c r="AM1857" s="181"/>
      <c r="AN1857" s="37"/>
      <c r="AO1857" s="37"/>
      <c r="AP1857" s="37"/>
      <c r="AQ1857" s="37"/>
      <c r="AR1857" s="37"/>
      <c r="AS1857" s="37"/>
      <c r="AT1857" s="37"/>
      <c r="AU1857" s="37"/>
      <c r="AV1857" s="37"/>
      <c r="AW1857" s="37"/>
      <c r="AX1857" s="37"/>
      <c r="AY1857" s="37"/>
      <c r="AZ1857" s="37"/>
    </row>
    <row r="1858" spans="1:52" ht="15.5" customHeight="1">
      <c r="A1858" s="360"/>
      <c r="B1858" s="340"/>
      <c r="C1858" s="181"/>
      <c r="D1858" s="30"/>
      <c r="E1858" s="30"/>
      <c r="F1858" s="30"/>
      <c r="G1858" s="37"/>
      <c r="H1858" s="37"/>
      <c r="I1858" s="37"/>
      <c r="J1858" s="37" t="s">
        <v>69</v>
      </c>
      <c r="K1858" s="325" t="s">
        <v>69</v>
      </c>
      <c r="L1858" s="181"/>
      <c r="M1858" s="181"/>
      <c r="N1858" s="37"/>
      <c r="O1858" s="31"/>
      <c r="P1858" s="37"/>
      <c r="Q1858" s="181"/>
      <c r="R1858" s="181"/>
      <c r="S1858" s="181"/>
      <c r="T1858" s="181"/>
      <c r="U1858" s="181"/>
      <c r="V1858" s="37"/>
      <c r="W1858" s="181"/>
      <c r="X1858" s="38"/>
      <c r="Y1858" s="38"/>
      <c r="Z1858" s="38"/>
      <c r="AA1858" s="38"/>
      <c r="AB1858" s="248"/>
      <c r="AC1858" s="250"/>
      <c r="AD1858" s="181"/>
      <c r="AE1858" s="37"/>
      <c r="AF1858" s="37"/>
      <c r="AG1858" s="33"/>
      <c r="AH1858" s="37"/>
      <c r="AI1858" s="37"/>
      <c r="AJ1858" s="181"/>
      <c r="AK1858" s="37"/>
      <c r="AL1858" s="37"/>
      <c r="AM1858" s="181"/>
      <c r="AN1858" s="37"/>
      <c r="AO1858" s="37"/>
      <c r="AP1858" s="37"/>
      <c r="AQ1858" s="37"/>
      <c r="AR1858" s="37"/>
      <c r="AS1858" s="37"/>
      <c r="AT1858" s="37"/>
      <c r="AU1858" s="37"/>
      <c r="AV1858" s="37"/>
      <c r="AW1858" s="37"/>
      <c r="AX1858" s="37"/>
      <c r="AY1858" s="37"/>
      <c r="AZ1858" s="37"/>
    </row>
    <row r="1859" spans="1:52" ht="15.5" customHeight="1">
      <c r="A1859" s="360"/>
      <c r="B1859" s="340"/>
      <c r="C1859" s="181"/>
      <c r="D1859" s="30"/>
      <c r="E1859" s="30"/>
      <c r="F1859" s="30"/>
      <c r="G1859" s="37"/>
      <c r="H1859" s="37"/>
      <c r="I1859" s="37"/>
      <c r="J1859" s="37" t="s">
        <v>69</v>
      </c>
      <c r="K1859" s="325" t="s">
        <v>69</v>
      </c>
      <c r="L1859" s="181"/>
      <c r="M1859" s="181"/>
      <c r="N1859" s="37"/>
      <c r="O1859" s="31"/>
      <c r="P1859" s="37"/>
      <c r="Q1859" s="181"/>
      <c r="R1859" s="181"/>
      <c r="S1859" s="181"/>
      <c r="T1859" s="181"/>
      <c r="U1859" s="181"/>
      <c r="V1859" s="37"/>
      <c r="W1859" s="181"/>
      <c r="X1859" s="38"/>
      <c r="Y1859" s="38"/>
      <c r="Z1859" s="38"/>
      <c r="AA1859" s="38"/>
      <c r="AB1859" s="248"/>
      <c r="AC1859" s="250"/>
      <c r="AD1859" s="181"/>
      <c r="AE1859" s="37"/>
      <c r="AF1859" s="37"/>
      <c r="AG1859" s="33"/>
      <c r="AH1859" s="37"/>
      <c r="AI1859" s="37"/>
      <c r="AJ1859" s="181"/>
      <c r="AK1859" s="37"/>
      <c r="AL1859" s="37"/>
      <c r="AM1859" s="181"/>
      <c r="AN1859" s="37"/>
      <c r="AO1859" s="37"/>
      <c r="AP1859" s="37"/>
      <c r="AQ1859" s="37"/>
      <c r="AR1859" s="37"/>
      <c r="AS1859" s="37"/>
      <c r="AT1859" s="37"/>
      <c r="AU1859" s="37"/>
      <c r="AV1859" s="37"/>
      <c r="AW1859" s="37"/>
      <c r="AX1859" s="37"/>
      <c r="AY1859" s="37"/>
      <c r="AZ1859" s="37"/>
    </row>
    <row r="1860" spans="1:52" ht="15.5" customHeight="1">
      <c r="A1860" s="360"/>
      <c r="B1860" s="340"/>
      <c r="C1860" s="181"/>
      <c r="D1860" s="30"/>
      <c r="E1860" s="30"/>
      <c r="F1860" s="30"/>
      <c r="G1860" s="37"/>
      <c r="H1860" s="37"/>
      <c r="I1860" s="37"/>
      <c r="J1860" s="37" t="s">
        <v>69</v>
      </c>
      <c r="K1860" s="325" t="s">
        <v>69</v>
      </c>
      <c r="L1860" s="181"/>
      <c r="M1860" s="181"/>
      <c r="N1860" s="37"/>
      <c r="O1860" s="31"/>
      <c r="P1860" s="37"/>
      <c r="Q1860" s="181"/>
      <c r="R1860" s="181"/>
      <c r="S1860" s="181"/>
      <c r="T1860" s="181"/>
      <c r="U1860" s="181"/>
      <c r="V1860" s="37"/>
      <c r="W1860" s="181"/>
      <c r="X1860" s="38"/>
      <c r="Y1860" s="38"/>
      <c r="Z1860" s="38"/>
      <c r="AA1860" s="38"/>
      <c r="AB1860" s="248"/>
      <c r="AC1860" s="250"/>
      <c r="AD1860" s="181"/>
      <c r="AE1860" s="37"/>
      <c r="AF1860" s="37"/>
      <c r="AG1860" s="33"/>
      <c r="AH1860" s="37"/>
      <c r="AI1860" s="37"/>
      <c r="AJ1860" s="181"/>
      <c r="AK1860" s="37"/>
      <c r="AL1860" s="37"/>
      <c r="AM1860" s="181"/>
      <c r="AN1860" s="37"/>
      <c r="AO1860" s="37"/>
      <c r="AP1860" s="37"/>
      <c r="AQ1860" s="37"/>
      <c r="AR1860" s="37"/>
      <c r="AS1860" s="37"/>
      <c r="AT1860" s="37"/>
      <c r="AU1860" s="37"/>
      <c r="AV1860" s="37"/>
      <c r="AW1860" s="37"/>
      <c r="AX1860" s="37"/>
      <c r="AY1860" s="37"/>
      <c r="AZ1860" s="37"/>
    </row>
    <row r="1861" spans="1:52" ht="15.5" customHeight="1">
      <c r="A1861" s="360"/>
      <c r="B1861" s="340"/>
      <c r="C1861" s="181"/>
      <c r="D1861" s="30"/>
      <c r="E1861" s="30"/>
      <c r="F1861" s="30"/>
      <c r="G1861" s="37"/>
      <c r="H1861" s="37"/>
      <c r="I1861" s="37"/>
      <c r="J1861" s="37" t="s">
        <v>69</v>
      </c>
      <c r="K1861" s="325" t="s">
        <v>69</v>
      </c>
      <c r="L1861" s="181"/>
      <c r="M1861" s="181"/>
      <c r="N1861" s="37"/>
      <c r="O1861" s="31"/>
      <c r="P1861" s="37"/>
      <c r="Q1861" s="181"/>
      <c r="R1861" s="181"/>
      <c r="S1861" s="181"/>
      <c r="T1861" s="181"/>
      <c r="U1861" s="181"/>
      <c r="V1861" s="37"/>
      <c r="W1861" s="181"/>
      <c r="X1861" s="38"/>
      <c r="Y1861" s="38"/>
      <c r="Z1861" s="38"/>
      <c r="AA1861" s="38"/>
      <c r="AB1861" s="248"/>
      <c r="AC1861" s="250"/>
      <c r="AD1861" s="181"/>
      <c r="AE1861" s="37"/>
      <c r="AF1861" s="37"/>
      <c r="AG1861" s="33"/>
      <c r="AH1861" s="37"/>
      <c r="AI1861" s="37"/>
      <c r="AJ1861" s="181"/>
      <c r="AK1861" s="37"/>
      <c r="AL1861" s="37"/>
      <c r="AM1861" s="181"/>
      <c r="AN1861" s="37"/>
      <c r="AO1861" s="37"/>
      <c r="AP1861" s="37"/>
      <c r="AQ1861" s="37"/>
      <c r="AR1861" s="37"/>
      <c r="AS1861" s="37"/>
      <c r="AT1861" s="37"/>
      <c r="AU1861" s="37"/>
      <c r="AV1861" s="37"/>
      <c r="AW1861" s="37"/>
      <c r="AX1861" s="37"/>
      <c r="AY1861" s="37"/>
      <c r="AZ1861" s="37"/>
    </row>
    <row r="1862" spans="1:52" ht="15.5" customHeight="1">
      <c r="A1862" s="360"/>
      <c r="B1862" s="340"/>
      <c r="C1862" s="181"/>
      <c r="D1862" s="30"/>
      <c r="E1862" s="30"/>
      <c r="F1862" s="30"/>
      <c r="G1862" s="37"/>
      <c r="H1862" s="37"/>
      <c r="I1862" s="37"/>
      <c r="J1862" s="37" t="s">
        <v>69</v>
      </c>
      <c r="K1862" s="325" t="s">
        <v>69</v>
      </c>
      <c r="L1862" s="181"/>
      <c r="M1862" s="181"/>
      <c r="N1862" s="37"/>
      <c r="O1862" s="31"/>
      <c r="P1862" s="37"/>
      <c r="Q1862" s="181"/>
      <c r="R1862" s="181"/>
      <c r="S1862" s="181"/>
      <c r="T1862" s="181"/>
      <c r="U1862" s="181"/>
      <c r="V1862" s="37"/>
      <c r="W1862" s="181"/>
      <c r="X1862" s="38"/>
      <c r="Y1862" s="38"/>
      <c r="Z1862" s="38"/>
      <c r="AA1862" s="38"/>
      <c r="AB1862" s="248"/>
      <c r="AC1862" s="250"/>
      <c r="AD1862" s="181"/>
      <c r="AE1862" s="37"/>
      <c r="AF1862" s="37"/>
      <c r="AG1862" s="33"/>
      <c r="AH1862" s="37"/>
      <c r="AI1862" s="37"/>
      <c r="AJ1862" s="181"/>
      <c r="AK1862" s="37"/>
      <c r="AL1862" s="37"/>
      <c r="AM1862" s="181"/>
      <c r="AN1862" s="37"/>
      <c r="AO1862" s="37"/>
      <c r="AP1862" s="37"/>
      <c r="AQ1862" s="37"/>
      <c r="AR1862" s="37"/>
      <c r="AS1862" s="37"/>
      <c r="AT1862" s="37"/>
      <c r="AU1862" s="37"/>
      <c r="AV1862" s="37"/>
      <c r="AW1862" s="37"/>
      <c r="AX1862" s="37"/>
      <c r="AY1862" s="37"/>
      <c r="AZ1862" s="37"/>
    </row>
    <row r="1863" spans="1:52" ht="15.5" customHeight="1">
      <c r="A1863" s="360"/>
      <c r="B1863" s="340"/>
      <c r="C1863" s="181"/>
      <c r="D1863" s="30"/>
      <c r="E1863" s="30"/>
      <c r="F1863" s="30"/>
      <c r="G1863" s="37"/>
      <c r="H1863" s="37"/>
      <c r="I1863" s="37"/>
      <c r="J1863" s="37" t="s">
        <v>69</v>
      </c>
      <c r="K1863" s="325" t="s">
        <v>69</v>
      </c>
      <c r="L1863" s="181"/>
      <c r="M1863" s="181"/>
      <c r="N1863" s="37"/>
      <c r="O1863" s="31"/>
      <c r="P1863" s="37"/>
      <c r="Q1863" s="181"/>
      <c r="R1863" s="181"/>
      <c r="S1863" s="181"/>
      <c r="T1863" s="181"/>
      <c r="U1863" s="181"/>
      <c r="V1863" s="37"/>
      <c r="W1863" s="181"/>
      <c r="X1863" s="38"/>
      <c r="Y1863" s="38"/>
      <c r="Z1863" s="38"/>
      <c r="AA1863" s="38"/>
      <c r="AB1863" s="248"/>
      <c r="AC1863" s="250"/>
      <c r="AD1863" s="181"/>
      <c r="AE1863" s="37"/>
      <c r="AF1863" s="37"/>
      <c r="AG1863" s="33"/>
      <c r="AH1863" s="37"/>
      <c r="AI1863" s="37"/>
      <c r="AJ1863" s="181"/>
      <c r="AK1863" s="37"/>
      <c r="AL1863" s="37"/>
      <c r="AM1863" s="181"/>
      <c r="AN1863" s="37"/>
      <c r="AO1863" s="37"/>
      <c r="AP1863" s="37"/>
      <c r="AQ1863" s="37"/>
      <c r="AR1863" s="37"/>
      <c r="AS1863" s="37"/>
      <c r="AT1863" s="37"/>
      <c r="AU1863" s="37"/>
      <c r="AV1863" s="37"/>
      <c r="AW1863" s="37"/>
      <c r="AX1863" s="37"/>
      <c r="AY1863" s="37"/>
      <c r="AZ1863" s="37"/>
    </row>
    <row r="1864" spans="1:52" ht="15.5" customHeight="1">
      <c r="A1864" s="360"/>
      <c r="B1864" s="340"/>
      <c r="C1864" s="181"/>
      <c r="D1864" s="30"/>
      <c r="E1864" s="30"/>
      <c r="F1864" s="30"/>
      <c r="G1864" s="37"/>
      <c r="H1864" s="37"/>
      <c r="I1864" s="37"/>
      <c r="J1864" s="37" t="s">
        <v>69</v>
      </c>
      <c r="K1864" s="325" t="s">
        <v>69</v>
      </c>
      <c r="L1864" s="181"/>
      <c r="M1864" s="181"/>
      <c r="N1864" s="37"/>
      <c r="O1864" s="31"/>
      <c r="P1864" s="37"/>
      <c r="Q1864" s="181"/>
      <c r="R1864" s="181"/>
      <c r="S1864" s="181"/>
      <c r="T1864" s="181"/>
      <c r="U1864" s="181"/>
      <c r="V1864" s="37"/>
      <c r="W1864" s="181"/>
      <c r="X1864" s="38"/>
      <c r="Y1864" s="38"/>
      <c r="Z1864" s="38"/>
      <c r="AA1864" s="38"/>
      <c r="AB1864" s="248"/>
      <c r="AC1864" s="250"/>
      <c r="AD1864" s="181"/>
      <c r="AE1864" s="37"/>
      <c r="AF1864" s="37"/>
      <c r="AG1864" s="33"/>
      <c r="AH1864" s="37"/>
      <c r="AI1864" s="37"/>
      <c r="AJ1864" s="181"/>
      <c r="AK1864" s="37"/>
      <c r="AL1864" s="37"/>
      <c r="AM1864" s="181"/>
      <c r="AN1864" s="37"/>
      <c r="AO1864" s="37"/>
      <c r="AP1864" s="37"/>
      <c r="AQ1864" s="37"/>
      <c r="AR1864" s="37"/>
      <c r="AS1864" s="37"/>
      <c r="AT1864" s="37"/>
      <c r="AU1864" s="37"/>
      <c r="AV1864" s="37"/>
      <c r="AW1864" s="37"/>
      <c r="AX1864" s="37"/>
      <c r="AY1864" s="37"/>
      <c r="AZ1864" s="37"/>
    </row>
    <row r="1865" spans="1:52" ht="15.5" customHeight="1">
      <c r="A1865" s="360"/>
      <c r="B1865" s="340"/>
      <c r="C1865" s="181"/>
      <c r="D1865" s="30"/>
      <c r="E1865" s="30"/>
      <c r="F1865" s="30"/>
      <c r="G1865" s="37"/>
      <c r="H1865" s="37"/>
      <c r="I1865" s="37"/>
      <c r="J1865" s="37" t="s">
        <v>69</v>
      </c>
      <c r="K1865" s="325" t="s">
        <v>69</v>
      </c>
      <c r="L1865" s="181"/>
      <c r="M1865" s="181"/>
      <c r="N1865" s="37"/>
      <c r="O1865" s="31"/>
      <c r="P1865" s="37"/>
      <c r="Q1865" s="181"/>
      <c r="R1865" s="181"/>
      <c r="S1865" s="181"/>
      <c r="T1865" s="181"/>
      <c r="U1865" s="181"/>
      <c r="V1865" s="37"/>
      <c r="W1865" s="181"/>
      <c r="X1865" s="38"/>
      <c r="Y1865" s="38"/>
      <c r="Z1865" s="38"/>
      <c r="AA1865" s="38"/>
      <c r="AB1865" s="248"/>
      <c r="AC1865" s="250"/>
      <c r="AD1865" s="181"/>
      <c r="AE1865" s="37"/>
      <c r="AF1865" s="37"/>
      <c r="AG1865" s="33"/>
      <c r="AH1865" s="37"/>
      <c r="AI1865" s="37"/>
      <c r="AJ1865" s="181"/>
      <c r="AK1865" s="37"/>
      <c r="AL1865" s="37"/>
      <c r="AM1865" s="181"/>
      <c r="AN1865" s="37"/>
      <c r="AO1865" s="37"/>
      <c r="AP1865" s="37"/>
      <c r="AQ1865" s="37"/>
      <c r="AR1865" s="37"/>
      <c r="AS1865" s="37"/>
      <c r="AT1865" s="37"/>
      <c r="AU1865" s="37"/>
      <c r="AV1865" s="37"/>
      <c r="AW1865" s="37"/>
      <c r="AX1865" s="37"/>
      <c r="AY1865" s="37"/>
      <c r="AZ1865" s="37"/>
    </row>
    <row r="1866" spans="1:52" ht="15.5" customHeight="1">
      <c r="A1866" s="360"/>
      <c r="B1866" s="340"/>
      <c r="C1866" s="181"/>
      <c r="D1866" s="30"/>
      <c r="E1866" s="30"/>
      <c r="F1866" s="30"/>
      <c r="G1866" s="37"/>
      <c r="H1866" s="37"/>
      <c r="I1866" s="37"/>
      <c r="J1866" s="37" t="s">
        <v>69</v>
      </c>
      <c r="K1866" s="325" t="s">
        <v>69</v>
      </c>
      <c r="L1866" s="181"/>
      <c r="M1866" s="181"/>
      <c r="N1866" s="37"/>
      <c r="O1866" s="31"/>
      <c r="P1866" s="37"/>
      <c r="Q1866" s="181"/>
      <c r="R1866" s="181"/>
      <c r="S1866" s="181"/>
      <c r="T1866" s="181"/>
      <c r="U1866" s="181"/>
      <c r="V1866" s="37"/>
      <c r="W1866" s="181"/>
      <c r="X1866" s="38"/>
      <c r="Y1866" s="38"/>
      <c r="Z1866" s="38"/>
      <c r="AA1866" s="38"/>
      <c r="AB1866" s="248"/>
      <c r="AC1866" s="250"/>
      <c r="AD1866" s="181"/>
      <c r="AE1866" s="37"/>
      <c r="AF1866" s="37"/>
      <c r="AG1866" s="33"/>
      <c r="AH1866" s="37"/>
      <c r="AI1866" s="37"/>
      <c r="AJ1866" s="181"/>
      <c r="AK1866" s="37"/>
      <c r="AL1866" s="37"/>
      <c r="AM1866" s="181"/>
      <c r="AN1866" s="37"/>
      <c r="AO1866" s="37"/>
      <c r="AP1866" s="37"/>
      <c r="AQ1866" s="37"/>
      <c r="AR1866" s="37"/>
      <c r="AS1866" s="37"/>
      <c r="AT1866" s="37"/>
      <c r="AU1866" s="37"/>
      <c r="AV1866" s="37"/>
      <c r="AW1866" s="37"/>
      <c r="AX1866" s="37"/>
      <c r="AY1866" s="37"/>
      <c r="AZ1866" s="37"/>
    </row>
    <row r="1867" spans="1:52" ht="15.5" customHeight="1">
      <c r="A1867" s="360"/>
      <c r="B1867" s="340"/>
      <c r="C1867" s="181"/>
      <c r="D1867" s="30"/>
      <c r="E1867" s="30"/>
      <c r="F1867" s="30"/>
      <c r="G1867" s="37"/>
      <c r="H1867" s="37"/>
      <c r="I1867" s="37"/>
      <c r="J1867" s="37" t="s">
        <v>69</v>
      </c>
      <c r="K1867" s="325" t="s">
        <v>69</v>
      </c>
      <c r="L1867" s="181"/>
      <c r="M1867" s="181"/>
      <c r="N1867" s="37"/>
      <c r="O1867" s="31"/>
      <c r="P1867" s="37"/>
      <c r="Q1867" s="181"/>
      <c r="R1867" s="181"/>
      <c r="S1867" s="181"/>
      <c r="T1867" s="181"/>
      <c r="U1867" s="181"/>
      <c r="V1867" s="37"/>
      <c r="W1867" s="181"/>
      <c r="X1867" s="38"/>
      <c r="Y1867" s="38"/>
      <c r="Z1867" s="38"/>
      <c r="AA1867" s="38"/>
      <c r="AB1867" s="248"/>
      <c r="AC1867" s="250"/>
      <c r="AD1867" s="181"/>
      <c r="AE1867" s="37"/>
      <c r="AF1867" s="37"/>
      <c r="AG1867" s="33"/>
      <c r="AH1867" s="37"/>
      <c r="AI1867" s="37"/>
      <c r="AJ1867" s="181"/>
      <c r="AK1867" s="37"/>
      <c r="AL1867" s="37"/>
      <c r="AM1867" s="181"/>
      <c r="AN1867" s="37"/>
      <c r="AO1867" s="37"/>
      <c r="AP1867" s="37"/>
      <c r="AQ1867" s="37"/>
      <c r="AR1867" s="37"/>
      <c r="AS1867" s="37"/>
      <c r="AT1867" s="37"/>
      <c r="AU1867" s="37"/>
      <c r="AV1867" s="37"/>
      <c r="AW1867" s="37"/>
      <c r="AX1867" s="37"/>
      <c r="AY1867" s="37"/>
      <c r="AZ1867" s="37"/>
    </row>
    <row r="1868" spans="1:52" ht="15.5" customHeight="1">
      <c r="A1868" s="360"/>
      <c r="B1868" s="340"/>
      <c r="C1868" s="181"/>
      <c r="D1868" s="30"/>
      <c r="E1868" s="30"/>
      <c r="F1868" s="30"/>
      <c r="G1868" s="37"/>
      <c r="H1868" s="37"/>
      <c r="I1868" s="37"/>
      <c r="J1868" s="37" t="s">
        <v>69</v>
      </c>
      <c r="K1868" s="325" t="s">
        <v>69</v>
      </c>
      <c r="L1868" s="181"/>
      <c r="M1868" s="181"/>
      <c r="N1868" s="37"/>
      <c r="O1868" s="31"/>
      <c r="P1868" s="37"/>
      <c r="Q1868" s="181"/>
      <c r="R1868" s="181"/>
      <c r="S1868" s="181"/>
      <c r="T1868" s="181"/>
      <c r="U1868" s="181"/>
      <c r="V1868" s="37"/>
      <c r="W1868" s="181"/>
      <c r="X1868" s="38"/>
      <c r="Y1868" s="38"/>
      <c r="Z1868" s="38"/>
      <c r="AA1868" s="38"/>
      <c r="AB1868" s="248"/>
      <c r="AC1868" s="250"/>
      <c r="AD1868" s="181"/>
      <c r="AE1868" s="37"/>
      <c r="AF1868" s="37"/>
      <c r="AG1868" s="33"/>
      <c r="AH1868" s="37"/>
      <c r="AI1868" s="37"/>
      <c r="AJ1868" s="181"/>
      <c r="AK1868" s="37"/>
      <c r="AL1868" s="37"/>
      <c r="AM1868" s="181"/>
      <c r="AN1868" s="37"/>
      <c r="AO1868" s="37"/>
      <c r="AP1868" s="37"/>
      <c r="AQ1868" s="37"/>
      <c r="AR1868" s="37"/>
      <c r="AS1868" s="37"/>
      <c r="AT1868" s="37"/>
      <c r="AU1868" s="37"/>
      <c r="AV1868" s="37"/>
      <c r="AW1868" s="37"/>
      <c r="AX1868" s="37"/>
      <c r="AY1868" s="37"/>
      <c r="AZ1868" s="37"/>
    </row>
    <row r="1869" spans="1:52" ht="15.5" customHeight="1">
      <c r="A1869" s="360"/>
      <c r="B1869" s="340"/>
      <c r="C1869" s="181"/>
      <c r="D1869" s="30"/>
      <c r="E1869" s="30"/>
      <c r="F1869" s="30"/>
      <c r="G1869" s="37"/>
      <c r="H1869" s="37"/>
      <c r="I1869" s="37"/>
      <c r="J1869" s="37" t="s">
        <v>69</v>
      </c>
      <c r="K1869" s="325" t="s">
        <v>69</v>
      </c>
      <c r="L1869" s="181"/>
      <c r="M1869" s="181"/>
      <c r="N1869" s="37"/>
      <c r="O1869" s="31"/>
      <c r="P1869" s="37"/>
      <c r="Q1869" s="181"/>
      <c r="R1869" s="181"/>
      <c r="S1869" s="181"/>
      <c r="T1869" s="181"/>
      <c r="U1869" s="181"/>
      <c r="V1869" s="37"/>
      <c r="W1869" s="181"/>
      <c r="X1869" s="38"/>
      <c r="Y1869" s="38"/>
      <c r="Z1869" s="38"/>
      <c r="AA1869" s="38"/>
      <c r="AB1869" s="248"/>
      <c r="AC1869" s="250"/>
      <c r="AD1869" s="181"/>
      <c r="AE1869" s="37"/>
      <c r="AF1869" s="37"/>
      <c r="AG1869" s="33"/>
      <c r="AH1869" s="37"/>
      <c r="AI1869" s="37"/>
      <c r="AJ1869" s="181"/>
      <c r="AK1869" s="37"/>
      <c r="AL1869" s="37"/>
      <c r="AM1869" s="181"/>
      <c r="AN1869" s="37"/>
      <c r="AO1869" s="37"/>
      <c r="AP1869" s="37"/>
      <c r="AQ1869" s="37"/>
      <c r="AR1869" s="37"/>
      <c r="AS1869" s="37"/>
      <c r="AT1869" s="37"/>
      <c r="AU1869" s="37"/>
      <c r="AV1869" s="37"/>
      <c r="AW1869" s="37"/>
      <c r="AX1869" s="37"/>
      <c r="AY1869" s="37"/>
      <c r="AZ1869" s="37"/>
    </row>
    <row r="1870" spans="1:52" ht="15.5" customHeight="1">
      <c r="A1870" s="360"/>
      <c r="B1870" s="340"/>
      <c r="C1870" s="181"/>
      <c r="D1870" s="30"/>
      <c r="E1870" s="30"/>
      <c r="F1870" s="30"/>
      <c r="G1870" s="37"/>
      <c r="H1870" s="37"/>
      <c r="I1870" s="37"/>
      <c r="J1870" s="37" t="s">
        <v>69</v>
      </c>
      <c r="K1870" s="325" t="s">
        <v>69</v>
      </c>
      <c r="L1870" s="181"/>
      <c r="M1870" s="181"/>
      <c r="N1870" s="37"/>
      <c r="O1870" s="31"/>
      <c r="P1870" s="37"/>
      <c r="Q1870" s="181"/>
      <c r="R1870" s="181"/>
      <c r="S1870" s="181"/>
      <c r="T1870" s="181"/>
      <c r="U1870" s="181"/>
      <c r="V1870" s="37"/>
      <c r="W1870" s="181"/>
      <c r="X1870" s="38"/>
      <c r="Y1870" s="38"/>
      <c r="Z1870" s="38"/>
      <c r="AA1870" s="38"/>
      <c r="AB1870" s="248"/>
      <c r="AC1870" s="250"/>
      <c r="AD1870" s="181"/>
      <c r="AE1870" s="37"/>
      <c r="AF1870" s="37"/>
      <c r="AG1870" s="33"/>
      <c r="AH1870" s="37"/>
      <c r="AI1870" s="37"/>
      <c r="AJ1870" s="181"/>
      <c r="AK1870" s="37"/>
      <c r="AL1870" s="37"/>
      <c r="AM1870" s="181"/>
      <c r="AN1870" s="37"/>
      <c r="AO1870" s="37"/>
      <c r="AP1870" s="37"/>
      <c r="AQ1870" s="37"/>
      <c r="AR1870" s="37"/>
      <c r="AS1870" s="37"/>
      <c r="AT1870" s="37"/>
      <c r="AU1870" s="37"/>
      <c r="AV1870" s="37"/>
      <c r="AW1870" s="37"/>
      <c r="AX1870" s="37"/>
      <c r="AY1870" s="37"/>
      <c r="AZ1870" s="37"/>
    </row>
    <row r="1871" spans="1:52" ht="15.5" customHeight="1">
      <c r="A1871" s="360"/>
      <c r="B1871" s="340"/>
      <c r="C1871" s="181"/>
      <c r="D1871" s="30"/>
      <c r="E1871" s="30"/>
      <c r="F1871" s="30"/>
      <c r="G1871" s="37"/>
      <c r="H1871" s="37"/>
      <c r="I1871" s="37"/>
      <c r="J1871" s="37" t="s">
        <v>69</v>
      </c>
      <c r="K1871" s="325" t="s">
        <v>69</v>
      </c>
      <c r="L1871" s="181"/>
      <c r="M1871" s="181"/>
      <c r="N1871" s="37"/>
      <c r="O1871" s="31"/>
      <c r="P1871" s="37"/>
      <c r="Q1871" s="181"/>
      <c r="R1871" s="181"/>
      <c r="S1871" s="181"/>
      <c r="T1871" s="181"/>
      <c r="U1871" s="181"/>
      <c r="V1871" s="37"/>
      <c r="W1871" s="181"/>
      <c r="X1871" s="38"/>
      <c r="Y1871" s="38"/>
      <c r="Z1871" s="38"/>
      <c r="AA1871" s="38"/>
      <c r="AB1871" s="248"/>
      <c r="AC1871" s="250"/>
      <c r="AD1871" s="181"/>
      <c r="AE1871" s="37"/>
      <c r="AF1871" s="37"/>
      <c r="AG1871" s="33"/>
      <c r="AH1871" s="37"/>
      <c r="AI1871" s="37"/>
      <c r="AJ1871" s="181"/>
      <c r="AK1871" s="37"/>
      <c r="AL1871" s="37"/>
      <c r="AM1871" s="181"/>
      <c r="AN1871" s="37"/>
      <c r="AO1871" s="37"/>
      <c r="AP1871" s="37"/>
      <c r="AQ1871" s="37"/>
      <c r="AR1871" s="37"/>
      <c r="AS1871" s="37"/>
      <c r="AT1871" s="37"/>
      <c r="AU1871" s="37"/>
      <c r="AV1871" s="37"/>
      <c r="AW1871" s="37"/>
      <c r="AX1871" s="37"/>
      <c r="AY1871" s="37"/>
      <c r="AZ1871" s="37"/>
    </row>
    <row r="1872" spans="1:52" ht="15.5" customHeight="1">
      <c r="A1872" s="360"/>
      <c r="B1872" s="340"/>
      <c r="C1872" s="181"/>
      <c r="D1872" s="30"/>
      <c r="E1872" s="30"/>
      <c r="F1872" s="30"/>
      <c r="G1872" s="37"/>
      <c r="H1872" s="37"/>
      <c r="I1872" s="37"/>
      <c r="J1872" s="37" t="s">
        <v>69</v>
      </c>
      <c r="K1872" s="325" t="s">
        <v>69</v>
      </c>
      <c r="L1872" s="181"/>
      <c r="M1872" s="181"/>
      <c r="N1872" s="37"/>
      <c r="O1872" s="31"/>
      <c r="P1872" s="37"/>
      <c r="Q1872" s="181"/>
      <c r="R1872" s="181"/>
      <c r="S1872" s="181"/>
      <c r="T1872" s="181"/>
      <c r="U1872" s="181"/>
      <c r="V1872" s="37"/>
      <c r="W1872" s="181"/>
      <c r="X1872" s="38"/>
      <c r="Y1872" s="38"/>
      <c r="Z1872" s="38"/>
      <c r="AA1872" s="38"/>
      <c r="AB1872" s="248"/>
      <c r="AC1872" s="250"/>
      <c r="AD1872" s="181"/>
      <c r="AE1872" s="37"/>
      <c r="AF1872" s="37"/>
      <c r="AG1872" s="33"/>
      <c r="AH1872" s="37"/>
      <c r="AI1872" s="37"/>
      <c r="AJ1872" s="181"/>
      <c r="AK1872" s="37"/>
      <c r="AL1872" s="37"/>
      <c r="AM1872" s="181"/>
      <c r="AN1872" s="37"/>
      <c r="AO1872" s="37"/>
      <c r="AP1872" s="37"/>
      <c r="AQ1872" s="37"/>
      <c r="AR1872" s="37"/>
      <c r="AS1872" s="37"/>
      <c r="AT1872" s="37"/>
      <c r="AU1872" s="37"/>
      <c r="AV1872" s="37"/>
      <c r="AW1872" s="37"/>
      <c r="AX1872" s="37"/>
      <c r="AY1872" s="37"/>
      <c r="AZ1872" s="37"/>
    </row>
    <row r="1873" spans="1:52" ht="15.5" customHeight="1">
      <c r="A1873" s="360"/>
      <c r="B1873" s="340"/>
      <c r="C1873" s="181"/>
      <c r="D1873" s="30"/>
      <c r="E1873" s="30"/>
      <c r="F1873" s="30"/>
      <c r="G1873" s="37"/>
      <c r="H1873" s="37"/>
      <c r="I1873" s="37"/>
      <c r="J1873" s="37" t="s">
        <v>69</v>
      </c>
      <c r="K1873" s="325" t="s">
        <v>69</v>
      </c>
      <c r="L1873" s="181"/>
      <c r="M1873" s="181"/>
      <c r="N1873" s="37"/>
      <c r="O1873" s="31"/>
      <c r="P1873" s="37"/>
      <c r="Q1873" s="181"/>
      <c r="R1873" s="181"/>
      <c r="S1873" s="181"/>
      <c r="T1873" s="181"/>
      <c r="U1873" s="181"/>
      <c r="V1873" s="37"/>
      <c r="W1873" s="181"/>
      <c r="X1873" s="38"/>
      <c r="Y1873" s="38"/>
      <c r="Z1873" s="38"/>
      <c r="AA1873" s="38"/>
      <c r="AB1873" s="248"/>
      <c r="AC1873" s="250"/>
      <c r="AD1873" s="181"/>
      <c r="AE1873" s="37"/>
      <c r="AF1873" s="37"/>
      <c r="AG1873" s="33"/>
      <c r="AH1873" s="37"/>
      <c r="AI1873" s="37"/>
      <c r="AJ1873" s="181"/>
      <c r="AK1873" s="37"/>
      <c r="AL1873" s="37"/>
      <c r="AM1873" s="181"/>
      <c r="AN1873" s="37"/>
      <c r="AO1873" s="37"/>
      <c r="AP1873" s="37"/>
      <c r="AQ1873" s="37"/>
      <c r="AR1873" s="37"/>
      <c r="AS1873" s="37"/>
      <c r="AT1873" s="37"/>
      <c r="AU1873" s="37"/>
      <c r="AV1873" s="37"/>
      <c r="AW1873" s="37"/>
      <c r="AX1873" s="37"/>
      <c r="AY1873" s="37"/>
      <c r="AZ1873" s="37"/>
    </row>
    <row r="1874" spans="1:52" ht="15.5" customHeight="1">
      <c r="A1874" s="360"/>
      <c r="B1874" s="340"/>
      <c r="C1874" s="181"/>
      <c r="D1874" s="30"/>
      <c r="E1874" s="30"/>
      <c r="F1874" s="30"/>
      <c r="G1874" s="37"/>
      <c r="H1874" s="37"/>
      <c r="I1874" s="37"/>
      <c r="J1874" s="37" t="s">
        <v>69</v>
      </c>
      <c r="K1874" s="325" t="s">
        <v>69</v>
      </c>
      <c r="L1874" s="181"/>
      <c r="M1874" s="181"/>
      <c r="N1874" s="37"/>
      <c r="O1874" s="31"/>
      <c r="P1874" s="37"/>
      <c r="Q1874" s="181"/>
      <c r="R1874" s="181"/>
      <c r="S1874" s="181"/>
      <c r="T1874" s="181"/>
      <c r="U1874" s="181"/>
      <c r="V1874" s="37"/>
      <c r="W1874" s="181"/>
      <c r="X1874" s="38"/>
      <c r="Y1874" s="38"/>
      <c r="Z1874" s="38"/>
      <c r="AA1874" s="38"/>
      <c r="AB1874" s="248"/>
      <c r="AC1874" s="250"/>
      <c r="AD1874" s="181"/>
      <c r="AE1874" s="37"/>
      <c r="AF1874" s="37"/>
      <c r="AG1874" s="33"/>
      <c r="AH1874" s="37"/>
      <c r="AI1874" s="37"/>
      <c r="AJ1874" s="181"/>
      <c r="AK1874" s="37"/>
      <c r="AL1874" s="37"/>
      <c r="AM1874" s="181"/>
      <c r="AN1874" s="37"/>
      <c r="AO1874" s="37"/>
      <c r="AP1874" s="37"/>
      <c r="AQ1874" s="37"/>
      <c r="AR1874" s="37"/>
      <c r="AS1874" s="37"/>
      <c r="AT1874" s="37"/>
      <c r="AU1874" s="37"/>
      <c r="AV1874" s="37"/>
      <c r="AW1874" s="37"/>
      <c r="AX1874" s="37"/>
      <c r="AY1874" s="37"/>
      <c r="AZ1874" s="37"/>
    </row>
    <row r="1875" spans="1:52" ht="15.5" customHeight="1">
      <c r="A1875" s="360"/>
      <c r="B1875" s="340"/>
      <c r="C1875" s="181"/>
      <c r="D1875" s="30"/>
      <c r="E1875" s="30"/>
      <c r="F1875" s="30"/>
      <c r="G1875" s="37"/>
      <c r="H1875" s="37"/>
      <c r="I1875" s="37"/>
      <c r="J1875" s="37" t="s">
        <v>69</v>
      </c>
      <c r="K1875" s="325" t="s">
        <v>69</v>
      </c>
      <c r="L1875" s="181"/>
      <c r="M1875" s="181"/>
      <c r="N1875" s="37"/>
      <c r="O1875" s="31"/>
      <c r="P1875" s="37"/>
      <c r="Q1875" s="181"/>
      <c r="R1875" s="181"/>
      <c r="S1875" s="181"/>
      <c r="T1875" s="181"/>
      <c r="U1875" s="181"/>
      <c r="V1875" s="37"/>
      <c r="W1875" s="181"/>
      <c r="X1875" s="38"/>
      <c r="Y1875" s="38"/>
      <c r="Z1875" s="38"/>
      <c r="AA1875" s="38"/>
      <c r="AB1875" s="248"/>
      <c r="AC1875" s="250"/>
      <c r="AD1875" s="181"/>
      <c r="AE1875" s="37"/>
      <c r="AF1875" s="37"/>
      <c r="AG1875" s="33"/>
      <c r="AH1875" s="37"/>
      <c r="AI1875" s="37"/>
      <c r="AJ1875" s="181"/>
      <c r="AK1875" s="37"/>
      <c r="AL1875" s="37"/>
      <c r="AM1875" s="181"/>
      <c r="AN1875" s="37"/>
      <c r="AO1875" s="37"/>
      <c r="AP1875" s="37"/>
      <c r="AQ1875" s="37"/>
      <c r="AR1875" s="37"/>
      <c r="AS1875" s="37"/>
      <c r="AT1875" s="37"/>
      <c r="AU1875" s="37"/>
      <c r="AV1875" s="37"/>
      <c r="AW1875" s="37"/>
      <c r="AX1875" s="37"/>
      <c r="AY1875" s="37"/>
      <c r="AZ1875" s="37"/>
    </row>
    <row r="1876" spans="1:52" ht="15.5" customHeight="1">
      <c r="A1876" s="360"/>
      <c r="B1876" s="340"/>
      <c r="C1876" s="181"/>
      <c r="D1876" s="30"/>
      <c r="E1876" s="30"/>
      <c r="F1876" s="30"/>
      <c r="G1876" s="37"/>
      <c r="H1876" s="37"/>
      <c r="I1876" s="37"/>
      <c r="J1876" s="37" t="s">
        <v>69</v>
      </c>
      <c r="K1876" s="325" t="s">
        <v>69</v>
      </c>
      <c r="L1876" s="181"/>
      <c r="M1876" s="181"/>
      <c r="N1876" s="37"/>
      <c r="O1876" s="31"/>
      <c r="P1876" s="37"/>
      <c r="Q1876" s="181"/>
      <c r="R1876" s="181"/>
      <c r="S1876" s="181"/>
      <c r="T1876" s="181"/>
      <c r="U1876" s="181"/>
      <c r="V1876" s="37"/>
      <c r="W1876" s="181"/>
      <c r="X1876" s="38"/>
      <c r="Y1876" s="38"/>
      <c r="Z1876" s="38"/>
      <c r="AA1876" s="38"/>
      <c r="AB1876" s="248"/>
      <c r="AC1876" s="250"/>
      <c r="AD1876" s="181"/>
      <c r="AE1876" s="37"/>
      <c r="AF1876" s="37"/>
      <c r="AG1876" s="33"/>
      <c r="AH1876" s="37"/>
      <c r="AI1876" s="37"/>
      <c r="AJ1876" s="181"/>
      <c r="AK1876" s="37"/>
      <c r="AL1876" s="37"/>
      <c r="AM1876" s="181"/>
      <c r="AN1876" s="37"/>
      <c r="AO1876" s="37"/>
      <c r="AP1876" s="37"/>
      <c r="AQ1876" s="37"/>
      <c r="AR1876" s="37"/>
      <c r="AS1876" s="37"/>
      <c r="AT1876" s="37"/>
      <c r="AU1876" s="37"/>
      <c r="AV1876" s="37"/>
      <c r="AW1876" s="37"/>
      <c r="AX1876" s="37"/>
      <c r="AY1876" s="37"/>
      <c r="AZ1876" s="37"/>
    </row>
    <row r="1877" spans="1:52" ht="15.5" customHeight="1">
      <c r="A1877" s="360"/>
      <c r="B1877" s="340"/>
      <c r="C1877" s="181"/>
      <c r="D1877" s="30"/>
      <c r="E1877" s="30"/>
      <c r="F1877" s="30"/>
      <c r="G1877" s="37"/>
      <c r="H1877" s="37"/>
      <c r="I1877" s="37"/>
      <c r="J1877" s="37" t="s">
        <v>69</v>
      </c>
      <c r="K1877" s="325" t="s">
        <v>69</v>
      </c>
      <c r="L1877" s="181"/>
      <c r="M1877" s="181"/>
      <c r="N1877" s="37"/>
      <c r="O1877" s="31"/>
      <c r="P1877" s="37"/>
      <c r="Q1877" s="181"/>
      <c r="R1877" s="181"/>
      <c r="S1877" s="181"/>
      <c r="T1877" s="181"/>
      <c r="U1877" s="181"/>
      <c r="V1877" s="37"/>
      <c r="W1877" s="181"/>
      <c r="X1877" s="38"/>
      <c r="Y1877" s="38"/>
      <c r="Z1877" s="38"/>
      <c r="AA1877" s="38"/>
      <c r="AB1877" s="248"/>
      <c r="AC1877" s="250"/>
      <c r="AD1877" s="181"/>
      <c r="AE1877" s="37"/>
      <c r="AF1877" s="37"/>
      <c r="AG1877" s="33"/>
      <c r="AH1877" s="37"/>
      <c r="AI1877" s="37"/>
      <c r="AJ1877" s="181"/>
      <c r="AK1877" s="37"/>
      <c r="AL1877" s="37"/>
      <c r="AM1877" s="181"/>
      <c r="AN1877" s="37"/>
      <c r="AO1877" s="37"/>
      <c r="AP1877" s="37"/>
      <c r="AQ1877" s="37"/>
      <c r="AR1877" s="37"/>
      <c r="AS1877" s="37"/>
      <c r="AT1877" s="37"/>
      <c r="AU1877" s="37"/>
      <c r="AV1877" s="37"/>
      <c r="AW1877" s="37"/>
      <c r="AX1877" s="37"/>
      <c r="AY1877" s="37"/>
      <c r="AZ1877" s="37"/>
    </row>
    <row r="1878" spans="1:52" ht="15.5" customHeight="1">
      <c r="A1878" s="360"/>
      <c r="B1878" s="340"/>
      <c r="C1878" s="181"/>
      <c r="D1878" s="30"/>
      <c r="E1878" s="30"/>
      <c r="F1878" s="30"/>
      <c r="G1878" s="37"/>
      <c r="H1878" s="37"/>
      <c r="I1878" s="37"/>
      <c r="J1878" s="37" t="s">
        <v>69</v>
      </c>
      <c r="K1878" s="325" t="s">
        <v>69</v>
      </c>
      <c r="L1878" s="181"/>
      <c r="M1878" s="181"/>
      <c r="N1878" s="37"/>
      <c r="O1878" s="31"/>
      <c r="P1878" s="37"/>
      <c r="Q1878" s="181"/>
      <c r="R1878" s="181"/>
      <c r="S1878" s="181"/>
      <c r="T1878" s="181"/>
      <c r="U1878" s="181"/>
      <c r="V1878" s="37"/>
      <c r="W1878" s="181"/>
      <c r="X1878" s="38"/>
      <c r="Y1878" s="38"/>
      <c r="Z1878" s="38"/>
      <c r="AA1878" s="38"/>
      <c r="AB1878" s="248"/>
      <c r="AC1878" s="250"/>
      <c r="AD1878" s="181"/>
      <c r="AE1878" s="37"/>
      <c r="AF1878" s="37"/>
      <c r="AG1878" s="33"/>
      <c r="AH1878" s="37"/>
      <c r="AI1878" s="37"/>
      <c r="AJ1878" s="181"/>
      <c r="AK1878" s="37"/>
      <c r="AL1878" s="37"/>
      <c r="AM1878" s="181"/>
      <c r="AN1878" s="37"/>
      <c r="AO1878" s="37"/>
      <c r="AP1878" s="37"/>
      <c r="AQ1878" s="37"/>
      <c r="AR1878" s="37"/>
      <c r="AS1878" s="37"/>
      <c r="AT1878" s="37"/>
      <c r="AU1878" s="37"/>
      <c r="AV1878" s="37"/>
      <c r="AW1878" s="37"/>
      <c r="AX1878" s="37"/>
      <c r="AY1878" s="37"/>
      <c r="AZ1878" s="37"/>
    </row>
    <row r="1879" spans="1:52" ht="15.5" customHeight="1">
      <c r="A1879" s="360"/>
      <c r="B1879" s="340"/>
      <c r="C1879" s="181"/>
      <c r="D1879" s="30"/>
      <c r="E1879" s="30"/>
      <c r="F1879" s="30"/>
      <c r="G1879" s="37"/>
      <c r="H1879" s="37"/>
      <c r="I1879" s="37"/>
      <c r="J1879" s="37" t="s">
        <v>69</v>
      </c>
      <c r="K1879" s="325" t="s">
        <v>69</v>
      </c>
      <c r="L1879" s="181"/>
      <c r="M1879" s="181"/>
      <c r="N1879" s="37"/>
      <c r="O1879" s="31"/>
      <c r="P1879" s="37"/>
      <c r="Q1879" s="181"/>
      <c r="R1879" s="181"/>
      <c r="S1879" s="181"/>
      <c r="T1879" s="181"/>
      <c r="U1879" s="181"/>
      <c r="V1879" s="37"/>
      <c r="W1879" s="181"/>
      <c r="X1879" s="38"/>
      <c r="Y1879" s="38"/>
      <c r="Z1879" s="38"/>
      <c r="AA1879" s="38"/>
      <c r="AB1879" s="248"/>
      <c r="AC1879" s="250"/>
      <c r="AD1879" s="181"/>
      <c r="AE1879" s="37"/>
      <c r="AF1879" s="37"/>
      <c r="AG1879" s="33"/>
      <c r="AH1879" s="37"/>
      <c r="AI1879" s="37"/>
      <c r="AJ1879" s="181"/>
      <c r="AK1879" s="37"/>
      <c r="AL1879" s="37"/>
      <c r="AM1879" s="181"/>
      <c r="AN1879" s="37"/>
      <c r="AO1879" s="37"/>
      <c r="AP1879" s="37"/>
      <c r="AQ1879" s="37"/>
      <c r="AR1879" s="37"/>
      <c r="AS1879" s="37"/>
      <c r="AT1879" s="37"/>
      <c r="AU1879" s="37"/>
      <c r="AV1879" s="37"/>
      <c r="AW1879" s="37"/>
      <c r="AX1879" s="37"/>
      <c r="AY1879" s="37"/>
      <c r="AZ1879" s="37"/>
    </row>
    <row r="1880" spans="1:52" ht="15.5" customHeight="1">
      <c r="A1880" s="360"/>
      <c r="B1880" s="340"/>
      <c r="C1880" s="181"/>
      <c r="D1880" s="30"/>
      <c r="E1880" s="30"/>
      <c r="F1880" s="30"/>
      <c r="G1880" s="37"/>
      <c r="H1880" s="37"/>
      <c r="I1880" s="37"/>
      <c r="J1880" s="37" t="s">
        <v>69</v>
      </c>
      <c r="K1880" s="325" t="s">
        <v>69</v>
      </c>
      <c r="L1880" s="181"/>
      <c r="M1880" s="181"/>
      <c r="N1880" s="37"/>
      <c r="O1880" s="31"/>
      <c r="P1880" s="37"/>
      <c r="Q1880" s="181"/>
      <c r="R1880" s="181"/>
      <c r="S1880" s="181"/>
      <c r="T1880" s="181"/>
      <c r="U1880" s="181"/>
      <c r="V1880" s="37"/>
      <c r="W1880" s="181"/>
      <c r="X1880" s="38"/>
      <c r="Y1880" s="38"/>
      <c r="Z1880" s="38"/>
      <c r="AA1880" s="38"/>
      <c r="AB1880" s="248"/>
      <c r="AC1880" s="250"/>
      <c r="AD1880" s="181"/>
      <c r="AE1880" s="37"/>
      <c r="AF1880" s="37"/>
      <c r="AG1880" s="33"/>
      <c r="AH1880" s="37"/>
      <c r="AI1880" s="37"/>
      <c r="AJ1880" s="181"/>
      <c r="AK1880" s="37"/>
      <c r="AL1880" s="37"/>
      <c r="AM1880" s="181"/>
      <c r="AN1880" s="37"/>
      <c r="AO1880" s="37"/>
      <c r="AP1880" s="37"/>
      <c r="AQ1880" s="37"/>
      <c r="AR1880" s="37"/>
      <c r="AS1880" s="37"/>
      <c r="AT1880" s="37"/>
      <c r="AU1880" s="37"/>
      <c r="AV1880" s="37"/>
      <c r="AW1880" s="37"/>
      <c r="AX1880" s="37"/>
      <c r="AY1880" s="37"/>
      <c r="AZ1880" s="37"/>
    </row>
    <row r="1881" spans="1:52" ht="15.5" customHeight="1">
      <c r="A1881" s="360"/>
      <c r="B1881" s="340"/>
      <c r="C1881" s="181"/>
      <c r="D1881" s="30"/>
      <c r="E1881" s="30"/>
      <c r="F1881" s="30"/>
      <c r="G1881" s="37"/>
      <c r="H1881" s="37"/>
      <c r="I1881" s="37"/>
      <c r="J1881" s="37" t="s">
        <v>69</v>
      </c>
      <c r="K1881" s="325" t="s">
        <v>69</v>
      </c>
      <c r="L1881" s="181"/>
      <c r="M1881" s="181"/>
      <c r="N1881" s="37"/>
      <c r="O1881" s="31"/>
      <c r="P1881" s="37"/>
      <c r="Q1881" s="181"/>
      <c r="R1881" s="181"/>
      <c r="S1881" s="181"/>
      <c r="T1881" s="181"/>
      <c r="U1881" s="181"/>
      <c r="V1881" s="37"/>
      <c r="W1881" s="181"/>
      <c r="X1881" s="38"/>
      <c r="Y1881" s="38"/>
      <c r="Z1881" s="38"/>
      <c r="AA1881" s="38"/>
      <c r="AB1881" s="248"/>
      <c r="AC1881" s="250"/>
      <c r="AD1881" s="181"/>
      <c r="AE1881" s="37"/>
      <c r="AF1881" s="37"/>
      <c r="AG1881" s="33"/>
      <c r="AH1881" s="37"/>
      <c r="AI1881" s="37"/>
      <c r="AJ1881" s="181"/>
      <c r="AK1881" s="37"/>
      <c r="AL1881" s="37"/>
      <c r="AM1881" s="181"/>
      <c r="AN1881" s="37"/>
      <c r="AO1881" s="37"/>
      <c r="AP1881" s="37"/>
      <c r="AQ1881" s="37"/>
      <c r="AR1881" s="37"/>
      <c r="AS1881" s="37"/>
      <c r="AT1881" s="37"/>
      <c r="AU1881" s="37"/>
      <c r="AV1881" s="37"/>
      <c r="AW1881" s="37"/>
      <c r="AX1881" s="37"/>
      <c r="AY1881" s="37"/>
      <c r="AZ1881" s="37"/>
    </row>
    <row r="1882" spans="1:52" ht="15.5" customHeight="1">
      <c r="A1882" s="360"/>
      <c r="B1882" s="340"/>
      <c r="C1882" s="181"/>
      <c r="D1882" s="30"/>
      <c r="E1882" s="30"/>
      <c r="F1882" s="30"/>
      <c r="G1882" s="37"/>
      <c r="H1882" s="37"/>
      <c r="I1882" s="37"/>
      <c r="J1882" s="37" t="s">
        <v>69</v>
      </c>
      <c r="K1882" s="325" t="s">
        <v>69</v>
      </c>
      <c r="L1882" s="181"/>
      <c r="M1882" s="181"/>
      <c r="N1882" s="37"/>
      <c r="O1882" s="31"/>
      <c r="P1882" s="37"/>
      <c r="Q1882" s="181"/>
      <c r="R1882" s="181"/>
      <c r="S1882" s="181"/>
      <c r="T1882" s="181"/>
      <c r="U1882" s="181"/>
      <c r="V1882" s="37"/>
      <c r="W1882" s="181"/>
      <c r="X1882" s="38"/>
      <c r="Y1882" s="38"/>
      <c r="Z1882" s="38"/>
      <c r="AA1882" s="38"/>
      <c r="AB1882" s="248"/>
      <c r="AC1882" s="250"/>
      <c r="AD1882" s="181"/>
      <c r="AE1882" s="37"/>
      <c r="AF1882" s="37"/>
      <c r="AG1882" s="33"/>
      <c r="AH1882" s="37"/>
      <c r="AI1882" s="37"/>
      <c r="AJ1882" s="181"/>
      <c r="AK1882" s="37"/>
      <c r="AL1882" s="37"/>
      <c r="AM1882" s="181"/>
      <c r="AN1882" s="37"/>
      <c r="AO1882" s="37"/>
      <c r="AP1882" s="37"/>
      <c r="AQ1882" s="37"/>
      <c r="AR1882" s="37"/>
      <c r="AS1882" s="37"/>
      <c r="AT1882" s="37"/>
      <c r="AU1882" s="37"/>
      <c r="AV1882" s="37"/>
      <c r="AW1882" s="37"/>
      <c r="AX1882" s="37"/>
      <c r="AY1882" s="37"/>
      <c r="AZ1882" s="37"/>
    </row>
    <row r="1883" spans="1:52" ht="15.5" customHeight="1">
      <c r="A1883" s="360"/>
      <c r="B1883" s="340"/>
      <c r="C1883" s="181"/>
      <c r="D1883" s="30"/>
      <c r="E1883" s="30"/>
      <c r="F1883" s="30"/>
      <c r="G1883" s="37"/>
      <c r="H1883" s="37"/>
      <c r="I1883" s="37"/>
      <c r="J1883" s="37" t="s">
        <v>69</v>
      </c>
      <c r="K1883" s="325" t="s">
        <v>69</v>
      </c>
      <c r="L1883" s="181"/>
      <c r="M1883" s="181"/>
      <c r="N1883" s="37"/>
      <c r="O1883" s="31"/>
      <c r="P1883" s="37"/>
      <c r="Q1883" s="181"/>
      <c r="R1883" s="181"/>
      <c r="S1883" s="181"/>
      <c r="T1883" s="181"/>
      <c r="U1883" s="181"/>
      <c r="V1883" s="37"/>
      <c r="W1883" s="181"/>
      <c r="X1883" s="38"/>
      <c r="Y1883" s="38"/>
      <c r="Z1883" s="38"/>
      <c r="AA1883" s="38"/>
      <c r="AB1883" s="248"/>
      <c r="AC1883" s="250"/>
      <c r="AD1883" s="181"/>
      <c r="AE1883" s="37"/>
      <c r="AF1883" s="37"/>
      <c r="AG1883" s="33"/>
      <c r="AH1883" s="37"/>
      <c r="AI1883" s="37"/>
      <c r="AJ1883" s="181"/>
      <c r="AK1883" s="37"/>
      <c r="AL1883" s="37"/>
      <c r="AM1883" s="181"/>
      <c r="AN1883" s="37"/>
      <c r="AO1883" s="37"/>
      <c r="AP1883" s="37"/>
      <c r="AQ1883" s="37"/>
      <c r="AR1883" s="37"/>
      <c r="AS1883" s="37"/>
      <c r="AT1883" s="37"/>
      <c r="AU1883" s="37"/>
      <c r="AV1883" s="37"/>
      <c r="AW1883" s="37"/>
      <c r="AX1883" s="37"/>
      <c r="AY1883" s="37"/>
      <c r="AZ1883" s="37"/>
    </row>
    <row r="1884" spans="1:52" ht="15.5" customHeight="1">
      <c r="A1884" s="360"/>
      <c r="B1884" s="340"/>
      <c r="C1884" s="181"/>
      <c r="D1884" s="30"/>
      <c r="E1884" s="30"/>
      <c r="F1884" s="30"/>
      <c r="G1884" s="37"/>
      <c r="H1884" s="37"/>
      <c r="I1884" s="37"/>
      <c r="J1884" s="37" t="s">
        <v>69</v>
      </c>
      <c r="K1884" s="325" t="s">
        <v>69</v>
      </c>
      <c r="L1884" s="181"/>
      <c r="M1884" s="181"/>
      <c r="N1884" s="37"/>
      <c r="O1884" s="31"/>
      <c r="P1884" s="37"/>
      <c r="Q1884" s="181"/>
      <c r="R1884" s="181"/>
      <c r="S1884" s="181"/>
      <c r="T1884" s="181"/>
      <c r="U1884" s="181"/>
      <c r="V1884" s="37"/>
      <c r="W1884" s="181"/>
      <c r="X1884" s="38"/>
      <c r="Y1884" s="38"/>
      <c r="Z1884" s="38"/>
      <c r="AA1884" s="38"/>
      <c r="AB1884" s="248"/>
      <c r="AC1884" s="250"/>
      <c r="AD1884" s="181"/>
      <c r="AE1884" s="37"/>
      <c r="AF1884" s="37"/>
      <c r="AG1884" s="33"/>
      <c r="AH1884" s="37"/>
      <c r="AI1884" s="37"/>
      <c r="AJ1884" s="181"/>
      <c r="AK1884" s="37"/>
      <c r="AL1884" s="37"/>
      <c r="AM1884" s="181"/>
      <c r="AN1884" s="37"/>
      <c r="AO1884" s="37"/>
      <c r="AP1884" s="37"/>
      <c r="AQ1884" s="37"/>
      <c r="AR1884" s="37"/>
      <c r="AS1884" s="37"/>
      <c r="AT1884" s="37"/>
      <c r="AU1884" s="37"/>
      <c r="AV1884" s="37"/>
      <c r="AW1884" s="37"/>
      <c r="AX1884" s="37"/>
      <c r="AY1884" s="37"/>
      <c r="AZ1884" s="37"/>
    </row>
    <row r="1885" spans="1:52" ht="15.5" customHeight="1">
      <c r="A1885" s="360"/>
      <c r="B1885" s="340"/>
      <c r="C1885" s="181"/>
      <c r="D1885" s="30"/>
      <c r="E1885" s="30"/>
      <c r="F1885" s="30"/>
      <c r="G1885" s="37"/>
      <c r="H1885" s="37"/>
      <c r="I1885" s="37"/>
      <c r="J1885" s="37" t="s">
        <v>69</v>
      </c>
      <c r="K1885" s="325" t="s">
        <v>69</v>
      </c>
      <c r="L1885" s="181"/>
      <c r="M1885" s="181"/>
      <c r="N1885" s="37"/>
      <c r="O1885" s="31"/>
      <c r="P1885" s="37"/>
      <c r="Q1885" s="181"/>
      <c r="R1885" s="181"/>
      <c r="S1885" s="181"/>
      <c r="T1885" s="181"/>
      <c r="U1885" s="181"/>
      <c r="V1885" s="37"/>
      <c r="W1885" s="181"/>
      <c r="X1885" s="38"/>
      <c r="Y1885" s="38"/>
      <c r="Z1885" s="38"/>
      <c r="AA1885" s="38"/>
      <c r="AB1885" s="248"/>
      <c r="AC1885" s="250"/>
      <c r="AD1885" s="181"/>
      <c r="AE1885" s="37"/>
      <c r="AF1885" s="37"/>
      <c r="AG1885" s="33"/>
      <c r="AH1885" s="37"/>
      <c r="AI1885" s="37"/>
      <c r="AJ1885" s="181"/>
      <c r="AK1885" s="37"/>
      <c r="AL1885" s="37"/>
      <c r="AM1885" s="181"/>
      <c r="AN1885" s="37"/>
      <c r="AO1885" s="37"/>
      <c r="AP1885" s="37"/>
      <c r="AQ1885" s="37"/>
      <c r="AR1885" s="37"/>
      <c r="AS1885" s="37"/>
      <c r="AT1885" s="37"/>
      <c r="AU1885" s="37"/>
      <c r="AV1885" s="37"/>
      <c r="AW1885" s="37"/>
      <c r="AX1885" s="37"/>
      <c r="AY1885" s="37"/>
      <c r="AZ1885" s="37"/>
    </row>
    <row r="1886" spans="1:52" ht="15.5" customHeight="1">
      <c r="A1886" s="360"/>
      <c r="B1886" s="340"/>
      <c r="C1886" s="181"/>
      <c r="D1886" s="30"/>
      <c r="E1886" s="30"/>
      <c r="F1886" s="30"/>
      <c r="G1886" s="37"/>
      <c r="H1886" s="37"/>
      <c r="I1886" s="37"/>
      <c r="J1886" s="37" t="s">
        <v>69</v>
      </c>
      <c r="K1886" s="325" t="s">
        <v>69</v>
      </c>
      <c r="L1886" s="181"/>
      <c r="M1886" s="181"/>
      <c r="N1886" s="37"/>
      <c r="O1886" s="31"/>
      <c r="P1886" s="37"/>
      <c r="Q1886" s="181"/>
      <c r="R1886" s="181"/>
      <c r="S1886" s="181"/>
      <c r="T1886" s="181"/>
      <c r="U1886" s="181"/>
      <c r="V1886" s="37"/>
      <c r="W1886" s="181"/>
      <c r="X1886" s="38"/>
      <c r="Y1886" s="38"/>
      <c r="Z1886" s="38"/>
      <c r="AA1886" s="38"/>
      <c r="AB1886" s="248"/>
      <c r="AC1886" s="250"/>
      <c r="AD1886" s="181"/>
      <c r="AE1886" s="37"/>
      <c r="AF1886" s="37"/>
      <c r="AG1886" s="33"/>
      <c r="AH1886" s="37"/>
      <c r="AI1886" s="37"/>
      <c r="AJ1886" s="181"/>
      <c r="AK1886" s="37"/>
      <c r="AL1886" s="37"/>
      <c r="AM1886" s="181"/>
      <c r="AN1886" s="37"/>
      <c r="AO1886" s="37"/>
      <c r="AP1886" s="37"/>
      <c r="AQ1886" s="37"/>
      <c r="AR1886" s="37"/>
      <c r="AS1886" s="37"/>
      <c r="AT1886" s="37"/>
      <c r="AU1886" s="37"/>
      <c r="AV1886" s="37"/>
      <c r="AW1886" s="37"/>
      <c r="AX1886" s="37"/>
      <c r="AY1886" s="37"/>
      <c r="AZ1886" s="37"/>
    </row>
    <row r="1887" spans="1:52" ht="15.5" customHeight="1">
      <c r="A1887" s="360"/>
      <c r="B1887" s="340"/>
      <c r="C1887" s="181"/>
      <c r="D1887" s="30"/>
      <c r="E1887" s="30"/>
      <c r="F1887" s="30"/>
      <c r="G1887" s="37"/>
      <c r="H1887" s="37"/>
      <c r="I1887" s="37"/>
      <c r="J1887" s="37" t="s">
        <v>69</v>
      </c>
      <c r="K1887" s="325" t="s">
        <v>69</v>
      </c>
      <c r="L1887" s="181"/>
      <c r="M1887" s="181"/>
      <c r="N1887" s="37"/>
      <c r="O1887" s="31"/>
      <c r="P1887" s="37"/>
      <c r="Q1887" s="181"/>
      <c r="R1887" s="181"/>
      <c r="S1887" s="181"/>
      <c r="T1887" s="181"/>
      <c r="U1887" s="181"/>
      <c r="V1887" s="37"/>
      <c r="W1887" s="181"/>
      <c r="X1887" s="38"/>
      <c r="Y1887" s="38"/>
      <c r="Z1887" s="38"/>
      <c r="AA1887" s="38"/>
      <c r="AB1887" s="248"/>
      <c r="AC1887" s="250"/>
      <c r="AD1887" s="181"/>
      <c r="AE1887" s="37"/>
      <c r="AF1887" s="37"/>
      <c r="AG1887" s="33"/>
      <c r="AH1887" s="37"/>
      <c r="AI1887" s="37"/>
      <c r="AJ1887" s="181"/>
      <c r="AK1887" s="37"/>
      <c r="AL1887" s="37"/>
      <c r="AM1887" s="181"/>
      <c r="AN1887" s="37"/>
      <c r="AO1887" s="37"/>
      <c r="AP1887" s="37"/>
      <c r="AQ1887" s="37"/>
      <c r="AR1887" s="37"/>
      <c r="AS1887" s="37"/>
      <c r="AT1887" s="37"/>
      <c r="AU1887" s="37"/>
      <c r="AV1887" s="37"/>
      <c r="AW1887" s="37"/>
      <c r="AX1887" s="37"/>
      <c r="AY1887" s="37"/>
      <c r="AZ1887" s="37"/>
    </row>
    <row r="1888" spans="1:52" ht="15.5" customHeight="1">
      <c r="A1888" s="360"/>
      <c r="B1888" s="340"/>
      <c r="C1888" s="181"/>
      <c r="D1888" s="30"/>
      <c r="E1888" s="30"/>
      <c r="F1888" s="30"/>
      <c r="G1888" s="37"/>
      <c r="H1888" s="37"/>
      <c r="I1888" s="37"/>
      <c r="J1888" s="37" t="s">
        <v>69</v>
      </c>
      <c r="K1888" s="325" t="s">
        <v>69</v>
      </c>
      <c r="L1888" s="181"/>
      <c r="M1888" s="181"/>
      <c r="N1888" s="37"/>
      <c r="O1888" s="31"/>
      <c r="P1888" s="37"/>
      <c r="Q1888" s="181"/>
      <c r="R1888" s="181"/>
      <c r="S1888" s="181"/>
      <c r="T1888" s="181"/>
      <c r="U1888" s="181"/>
      <c r="V1888" s="37"/>
      <c r="W1888" s="181"/>
      <c r="X1888" s="38"/>
      <c r="Y1888" s="38"/>
      <c r="Z1888" s="38"/>
      <c r="AA1888" s="38"/>
      <c r="AB1888" s="248"/>
      <c r="AC1888" s="250"/>
      <c r="AD1888" s="181"/>
      <c r="AE1888" s="37"/>
      <c r="AF1888" s="37"/>
      <c r="AG1888" s="33"/>
      <c r="AH1888" s="37"/>
      <c r="AI1888" s="37"/>
      <c r="AJ1888" s="181"/>
      <c r="AK1888" s="37"/>
      <c r="AL1888" s="37"/>
      <c r="AM1888" s="181"/>
      <c r="AN1888" s="37"/>
      <c r="AO1888" s="37"/>
      <c r="AP1888" s="37"/>
      <c r="AQ1888" s="37"/>
      <c r="AR1888" s="37"/>
      <c r="AS1888" s="37"/>
      <c r="AT1888" s="37"/>
      <c r="AU1888" s="37"/>
      <c r="AV1888" s="37"/>
      <c r="AW1888" s="37"/>
      <c r="AX1888" s="37"/>
      <c r="AY1888" s="37"/>
      <c r="AZ1888" s="37"/>
    </row>
    <row r="1889" spans="1:52" ht="15.5" customHeight="1">
      <c r="A1889" s="360"/>
      <c r="B1889" s="340"/>
      <c r="C1889" s="181"/>
      <c r="D1889" s="30"/>
      <c r="E1889" s="30"/>
      <c r="F1889" s="30"/>
      <c r="G1889" s="37"/>
      <c r="H1889" s="37"/>
      <c r="I1889" s="37"/>
      <c r="J1889" s="37" t="s">
        <v>69</v>
      </c>
      <c r="K1889" s="325" t="s">
        <v>69</v>
      </c>
      <c r="L1889" s="181"/>
      <c r="M1889" s="181"/>
      <c r="N1889" s="37"/>
      <c r="O1889" s="31"/>
      <c r="P1889" s="37"/>
      <c r="Q1889" s="181"/>
      <c r="R1889" s="181"/>
      <c r="S1889" s="181"/>
      <c r="T1889" s="181"/>
      <c r="U1889" s="181"/>
      <c r="V1889" s="37"/>
      <c r="W1889" s="181"/>
      <c r="X1889" s="38"/>
      <c r="Y1889" s="38"/>
      <c r="Z1889" s="38"/>
      <c r="AA1889" s="38"/>
      <c r="AB1889" s="248"/>
      <c r="AC1889" s="250"/>
      <c r="AD1889" s="181"/>
      <c r="AE1889" s="37"/>
      <c r="AF1889" s="37"/>
      <c r="AG1889" s="33"/>
      <c r="AH1889" s="37"/>
      <c r="AI1889" s="37"/>
      <c r="AJ1889" s="181"/>
      <c r="AK1889" s="37"/>
      <c r="AL1889" s="37"/>
      <c r="AM1889" s="181"/>
      <c r="AN1889" s="37"/>
      <c r="AO1889" s="37"/>
      <c r="AP1889" s="37"/>
      <c r="AQ1889" s="37"/>
      <c r="AR1889" s="37"/>
      <c r="AS1889" s="37"/>
      <c r="AT1889" s="37"/>
      <c r="AU1889" s="37"/>
      <c r="AV1889" s="37"/>
      <c r="AW1889" s="37"/>
      <c r="AX1889" s="37"/>
      <c r="AY1889" s="37"/>
      <c r="AZ1889" s="37"/>
    </row>
    <row r="1890" spans="1:52" ht="15.5" customHeight="1">
      <c r="A1890" s="360"/>
      <c r="B1890" s="340"/>
      <c r="C1890" s="181"/>
      <c r="D1890" s="30"/>
      <c r="E1890" s="30"/>
      <c r="F1890" s="30"/>
      <c r="G1890" s="37"/>
      <c r="H1890" s="37"/>
      <c r="I1890" s="37"/>
      <c r="J1890" s="37" t="s">
        <v>69</v>
      </c>
      <c r="K1890" s="325" t="s">
        <v>69</v>
      </c>
      <c r="L1890" s="181"/>
      <c r="M1890" s="181"/>
      <c r="N1890" s="37"/>
      <c r="O1890" s="31"/>
      <c r="P1890" s="37"/>
      <c r="Q1890" s="181"/>
      <c r="R1890" s="181"/>
      <c r="S1890" s="181"/>
      <c r="T1890" s="181"/>
      <c r="U1890" s="181"/>
      <c r="V1890" s="37"/>
      <c r="W1890" s="181"/>
      <c r="X1890" s="38"/>
      <c r="Y1890" s="38"/>
      <c r="Z1890" s="38"/>
      <c r="AA1890" s="38"/>
      <c r="AB1890" s="248"/>
      <c r="AC1890" s="250"/>
      <c r="AD1890" s="181"/>
      <c r="AE1890" s="37"/>
      <c r="AF1890" s="37"/>
      <c r="AG1890" s="33"/>
      <c r="AH1890" s="37"/>
      <c r="AI1890" s="37"/>
      <c r="AJ1890" s="181"/>
      <c r="AK1890" s="37"/>
      <c r="AL1890" s="37"/>
      <c r="AM1890" s="181"/>
      <c r="AN1890" s="37"/>
      <c r="AO1890" s="37"/>
      <c r="AP1890" s="37"/>
      <c r="AQ1890" s="37"/>
      <c r="AR1890" s="37"/>
      <c r="AS1890" s="37"/>
      <c r="AT1890" s="37"/>
      <c r="AU1890" s="37"/>
      <c r="AV1890" s="37"/>
      <c r="AW1890" s="37"/>
      <c r="AX1890" s="37"/>
      <c r="AY1890" s="37"/>
      <c r="AZ1890" s="37"/>
    </row>
    <row r="1891" spans="1:52" ht="15.5" customHeight="1">
      <c r="A1891" s="360"/>
      <c r="B1891" s="340"/>
      <c r="C1891" s="181"/>
      <c r="D1891" s="30"/>
      <c r="E1891" s="30"/>
      <c r="F1891" s="30"/>
      <c r="G1891" s="37"/>
      <c r="H1891" s="37"/>
      <c r="I1891" s="37"/>
      <c r="J1891" s="37" t="s">
        <v>69</v>
      </c>
      <c r="K1891" s="325" t="s">
        <v>69</v>
      </c>
      <c r="L1891" s="181"/>
      <c r="M1891" s="181"/>
      <c r="N1891" s="37"/>
      <c r="O1891" s="31"/>
      <c r="P1891" s="37"/>
      <c r="Q1891" s="181"/>
      <c r="R1891" s="181"/>
      <c r="S1891" s="181"/>
      <c r="T1891" s="181"/>
      <c r="U1891" s="181"/>
      <c r="V1891" s="37"/>
      <c r="W1891" s="181"/>
      <c r="X1891" s="38"/>
      <c r="Y1891" s="38"/>
      <c r="Z1891" s="38"/>
      <c r="AA1891" s="38"/>
      <c r="AB1891" s="248"/>
      <c r="AC1891" s="250"/>
      <c r="AD1891" s="181"/>
      <c r="AE1891" s="37"/>
      <c r="AF1891" s="37"/>
      <c r="AG1891" s="33"/>
      <c r="AH1891" s="37"/>
      <c r="AI1891" s="37"/>
      <c r="AJ1891" s="181"/>
      <c r="AK1891" s="37"/>
      <c r="AL1891" s="37"/>
      <c r="AM1891" s="181"/>
      <c r="AN1891" s="37"/>
      <c r="AO1891" s="37"/>
      <c r="AP1891" s="37"/>
      <c r="AQ1891" s="37"/>
      <c r="AR1891" s="37"/>
      <c r="AS1891" s="37"/>
      <c r="AT1891" s="37"/>
      <c r="AU1891" s="37"/>
      <c r="AV1891" s="37"/>
      <c r="AW1891" s="37"/>
      <c r="AX1891" s="37"/>
      <c r="AY1891" s="37"/>
      <c r="AZ1891" s="37"/>
    </row>
    <row r="1892" spans="1:52" ht="15.5" customHeight="1">
      <c r="A1892" s="360"/>
      <c r="B1892" s="340"/>
      <c r="C1892" s="181"/>
      <c r="D1892" s="30"/>
      <c r="E1892" s="30"/>
      <c r="F1892" s="30"/>
      <c r="G1892" s="37"/>
      <c r="H1892" s="37"/>
      <c r="I1892" s="37"/>
      <c r="J1892" s="37" t="s">
        <v>69</v>
      </c>
      <c r="K1892" s="325" t="s">
        <v>69</v>
      </c>
      <c r="L1892" s="181"/>
      <c r="M1892" s="181"/>
      <c r="N1892" s="37"/>
      <c r="O1892" s="31"/>
      <c r="P1892" s="37"/>
      <c r="Q1892" s="181"/>
      <c r="R1892" s="181"/>
      <c r="S1892" s="181"/>
      <c r="T1892" s="181"/>
      <c r="U1892" s="181"/>
      <c r="V1892" s="37"/>
      <c r="W1892" s="181"/>
      <c r="X1892" s="38"/>
      <c r="Y1892" s="38"/>
      <c r="Z1892" s="38"/>
      <c r="AA1892" s="38"/>
      <c r="AB1892" s="248"/>
      <c r="AC1892" s="250"/>
      <c r="AD1892" s="181"/>
      <c r="AE1892" s="37"/>
      <c r="AF1892" s="37"/>
      <c r="AG1892" s="33"/>
      <c r="AH1892" s="37"/>
      <c r="AI1892" s="37"/>
      <c r="AJ1892" s="181"/>
      <c r="AK1892" s="37"/>
      <c r="AL1892" s="37"/>
      <c r="AM1892" s="181"/>
      <c r="AN1892" s="37"/>
      <c r="AO1892" s="37"/>
      <c r="AP1892" s="37"/>
      <c r="AQ1892" s="37"/>
      <c r="AR1892" s="37"/>
      <c r="AS1892" s="37"/>
      <c r="AT1892" s="37"/>
      <c r="AU1892" s="37"/>
      <c r="AV1892" s="37"/>
      <c r="AW1892" s="37"/>
      <c r="AX1892" s="37"/>
      <c r="AY1892" s="37"/>
      <c r="AZ1892" s="37"/>
    </row>
    <row r="1893" spans="1:52" ht="15.5" customHeight="1">
      <c r="A1893" s="360"/>
      <c r="B1893" s="340"/>
      <c r="C1893" s="181"/>
      <c r="D1893" s="30"/>
      <c r="E1893" s="30"/>
      <c r="F1893" s="30"/>
      <c r="G1893" s="37"/>
      <c r="H1893" s="37"/>
      <c r="I1893" s="37"/>
      <c r="J1893" s="37" t="s">
        <v>69</v>
      </c>
      <c r="K1893" s="325" t="s">
        <v>69</v>
      </c>
      <c r="L1893" s="181"/>
      <c r="M1893" s="181"/>
      <c r="N1893" s="37"/>
      <c r="O1893" s="31"/>
      <c r="P1893" s="37"/>
      <c r="Q1893" s="181"/>
      <c r="R1893" s="181"/>
      <c r="S1893" s="181"/>
      <c r="T1893" s="181"/>
      <c r="U1893" s="181"/>
      <c r="V1893" s="37"/>
      <c r="W1893" s="181"/>
      <c r="X1893" s="38"/>
      <c r="Y1893" s="38"/>
      <c r="Z1893" s="38"/>
      <c r="AA1893" s="38"/>
      <c r="AB1893" s="248"/>
      <c r="AC1893" s="250"/>
      <c r="AD1893" s="181"/>
      <c r="AE1893" s="37"/>
      <c r="AF1893" s="37"/>
      <c r="AG1893" s="33"/>
      <c r="AH1893" s="37"/>
      <c r="AI1893" s="37"/>
      <c r="AJ1893" s="181"/>
      <c r="AK1893" s="37"/>
      <c r="AL1893" s="37"/>
      <c r="AM1893" s="181"/>
      <c r="AN1893" s="37"/>
      <c r="AO1893" s="37"/>
      <c r="AP1893" s="37"/>
      <c r="AQ1893" s="37"/>
      <c r="AR1893" s="37"/>
      <c r="AS1893" s="37"/>
      <c r="AT1893" s="37"/>
      <c r="AU1893" s="37"/>
      <c r="AV1893" s="37"/>
      <c r="AW1893" s="37"/>
      <c r="AX1893" s="37"/>
      <c r="AY1893" s="37"/>
      <c r="AZ1893" s="37"/>
    </row>
    <row r="1894" spans="1:52" ht="15.5" customHeight="1">
      <c r="A1894" s="360"/>
      <c r="B1894" s="340"/>
      <c r="C1894" s="181"/>
      <c r="D1894" s="30"/>
      <c r="E1894" s="30"/>
      <c r="F1894" s="30"/>
      <c r="G1894" s="37"/>
      <c r="H1894" s="37"/>
      <c r="I1894" s="37"/>
      <c r="J1894" s="37" t="s">
        <v>69</v>
      </c>
      <c r="K1894" s="325" t="s">
        <v>69</v>
      </c>
      <c r="L1894" s="181"/>
      <c r="M1894" s="181"/>
      <c r="N1894" s="37"/>
      <c r="O1894" s="31"/>
      <c r="P1894" s="37"/>
      <c r="Q1894" s="181"/>
      <c r="R1894" s="181"/>
      <c r="S1894" s="181"/>
      <c r="T1894" s="181"/>
      <c r="U1894" s="181"/>
      <c r="V1894" s="37"/>
      <c r="W1894" s="181"/>
      <c r="X1894" s="38"/>
      <c r="Y1894" s="38"/>
      <c r="Z1894" s="38"/>
      <c r="AA1894" s="38"/>
      <c r="AB1894" s="248"/>
      <c r="AC1894" s="250"/>
      <c r="AD1894" s="181"/>
      <c r="AE1894" s="37"/>
      <c r="AF1894" s="37"/>
      <c r="AG1894" s="33"/>
      <c r="AH1894" s="37"/>
      <c r="AI1894" s="37"/>
      <c r="AJ1894" s="181"/>
      <c r="AK1894" s="37"/>
      <c r="AL1894" s="37"/>
      <c r="AM1894" s="181"/>
      <c r="AN1894" s="37"/>
      <c r="AO1894" s="37"/>
      <c r="AP1894" s="37"/>
      <c r="AQ1894" s="37"/>
      <c r="AR1894" s="37"/>
      <c r="AS1894" s="37"/>
      <c r="AT1894" s="37"/>
      <c r="AU1894" s="37"/>
      <c r="AV1894" s="37"/>
      <c r="AW1894" s="37"/>
      <c r="AX1894" s="37"/>
      <c r="AY1894" s="37"/>
      <c r="AZ1894" s="37"/>
    </row>
    <row r="1895" spans="1:52" ht="15.5" customHeight="1">
      <c r="A1895" s="360"/>
      <c r="B1895" s="340"/>
      <c r="C1895" s="181"/>
      <c r="D1895" s="30"/>
      <c r="E1895" s="30"/>
      <c r="F1895" s="30"/>
      <c r="G1895" s="37"/>
      <c r="H1895" s="37"/>
      <c r="I1895" s="37"/>
      <c r="J1895" s="37" t="s">
        <v>69</v>
      </c>
      <c r="K1895" s="325" t="s">
        <v>69</v>
      </c>
      <c r="L1895" s="181"/>
      <c r="M1895" s="181"/>
      <c r="N1895" s="37"/>
      <c r="O1895" s="31"/>
      <c r="P1895" s="37"/>
      <c r="Q1895" s="181"/>
      <c r="R1895" s="181"/>
      <c r="S1895" s="181"/>
      <c r="T1895" s="181"/>
      <c r="U1895" s="181"/>
      <c r="V1895" s="37"/>
      <c r="W1895" s="181"/>
      <c r="X1895" s="38"/>
      <c r="Y1895" s="38"/>
      <c r="Z1895" s="38"/>
      <c r="AA1895" s="38"/>
      <c r="AB1895" s="248"/>
      <c r="AC1895" s="250"/>
      <c r="AD1895" s="181"/>
      <c r="AE1895" s="37"/>
      <c r="AF1895" s="37"/>
      <c r="AG1895" s="33"/>
      <c r="AH1895" s="37"/>
      <c r="AI1895" s="37"/>
      <c r="AJ1895" s="181"/>
      <c r="AK1895" s="37"/>
      <c r="AL1895" s="37"/>
      <c r="AM1895" s="181"/>
      <c r="AN1895" s="37"/>
      <c r="AO1895" s="37"/>
      <c r="AP1895" s="37"/>
      <c r="AQ1895" s="37"/>
      <c r="AR1895" s="37"/>
      <c r="AS1895" s="37"/>
      <c r="AT1895" s="37"/>
      <c r="AU1895" s="37"/>
      <c r="AV1895" s="37"/>
      <c r="AW1895" s="37"/>
      <c r="AX1895" s="37"/>
      <c r="AY1895" s="37"/>
      <c r="AZ1895" s="37"/>
    </row>
    <row r="1896" spans="1:52" ht="15.5" customHeight="1">
      <c r="A1896" s="360"/>
      <c r="B1896" s="340"/>
      <c r="C1896" s="181"/>
      <c r="D1896" s="30"/>
      <c r="E1896" s="30"/>
      <c r="F1896" s="30"/>
      <c r="G1896" s="37"/>
      <c r="H1896" s="37"/>
      <c r="I1896" s="37"/>
      <c r="J1896" s="37" t="s">
        <v>69</v>
      </c>
      <c r="K1896" s="325" t="s">
        <v>69</v>
      </c>
      <c r="L1896" s="181"/>
      <c r="M1896" s="181"/>
      <c r="N1896" s="37"/>
      <c r="O1896" s="31"/>
      <c r="P1896" s="37"/>
      <c r="Q1896" s="181"/>
      <c r="R1896" s="181"/>
      <c r="S1896" s="181"/>
      <c r="T1896" s="181"/>
      <c r="U1896" s="181"/>
      <c r="V1896" s="37"/>
      <c r="W1896" s="181"/>
      <c r="X1896" s="38"/>
      <c r="Y1896" s="38"/>
      <c r="Z1896" s="38"/>
      <c r="AA1896" s="38"/>
      <c r="AB1896" s="248"/>
      <c r="AC1896" s="250"/>
      <c r="AD1896" s="181"/>
      <c r="AE1896" s="37"/>
      <c r="AF1896" s="37"/>
      <c r="AG1896" s="33"/>
      <c r="AH1896" s="37"/>
      <c r="AI1896" s="37"/>
      <c r="AJ1896" s="181"/>
      <c r="AK1896" s="37"/>
      <c r="AL1896" s="37"/>
      <c r="AM1896" s="181"/>
      <c r="AN1896" s="37"/>
      <c r="AO1896" s="37"/>
      <c r="AP1896" s="37"/>
      <c r="AQ1896" s="37"/>
      <c r="AR1896" s="37"/>
      <c r="AS1896" s="37"/>
      <c r="AT1896" s="37"/>
      <c r="AU1896" s="37"/>
      <c r="AV1896" s="37"/>
      <c r="AW1896" s="37"/>
      <c r="AX1896" s="37"/>
      <c r="AY1896" s="37"/>
      <c r="AZ1896" s="37"/>
    </row>
    <row r="1897" spans="1:52" ht="15.5" customHeight="1">
      <c r="A1897" s="360"/>
      <c r="B1897" s="340"/>
      <c r="C1897" s="181"/>
      <c r="D1897" s="30"/>
      <c r="E1897" s="30"/>
      <c r="F1897" s="30"/>
      <c r="G1897" s="37"/>
      <c r="H1897" s="37"/>
      <c r="I1897" s="37"/>
      <c r="J1897" s="37" t="s">
        <v>69</v>
      </c>
      <c r="K1897" s="325" t="s">
        <v>69</v>
      </c>
      <c r="L1897" s="181"/>
      <c r="M1897" s="181"/>
      <c r="N1897" s="37"/>
      <c r="O1897" s="31"/>
      <c r="P1897" s="37"/>
      <c r="Q1897" s="181"/>
      <c r="R1897" s="181"/>
      <c r="S1897" s="181"/>
      <c r="T1897" s="181"/>
      <c r="U1897" s="181"/>
      <c r="V1897" s="37"/>
      <c r="W1897" s="181"/>
      <c r="X1897" s="38"/>
      <c r="Y1897" s="38"/>
      <c r="Z1897" s="38"/>
      <c r="AA1897" s="38"/>
      <c r="AB1897" s="248"/>
      <c r="AC1897" s="250"/>
      <c r="AD1897" s="181"/>
      <c r="AE1897" s="37"/>
      <c r="AF1897" s="37"/>
      <c r="AG1897" s="33"/>
      <c r="AH1897" s="37"/>
      <c r="AI1897" s="37"/>
      <c r="AJ1897" s="181"/>
      <c r="AK1897" s="37"/>
      <c r="AL1897" s="37"/>
      <c r="AM1897" s="181"/>
      <c r="AN1897" s="37"/>
      <c r="AO1897" s="37"/>
      <c r="AP1897" s="37"/>
      <c r="AQ1897" s="37"/>
      <c r="AR1897" s="37"/>
      <c r="AS1897" s="37"/>
      <c r="AT1897" s="37"/>
      <c r="AU1897" s="37"/>
      <c r="AV1897" s="37"/>
      <c r="AW1897" s="37"/>
      <c r="AX1897" s="37"/>
      <c r="AY1897" s="37"/>
      <c r="AZ1897" s="37"/>
    </row>
    <row r="1898" spans="1:52" ht="15.5" customHeight="1">
      <c r="A1898" s="360"/>
      <c r="B1898" s="340"/>
      <c r="C1898" s="181"/>
      <c r="D1898" s="30"/>
      <c r="E1898" s="30"/>
      <c r="F1898" s="30"/>
      <c r="G1898" s="37"/>
      <c r="H1898" s="37"/>
      <c r="I1898" s="37"/>
      <c r="J1898" s="37" t="s">
        <v>69</v>
      </c>
      <c r="K1898" s="325" t="s">
        <v>69</v>
      </c>
      <c r="L1898" s="181"/>
      <c r="M1898" s="181"/>
      <c r="N1898" s="37"/>
      <c r="O1898" s="31"/>
      <c r="P1898" s="37"/>
      <c r="Q1898" s="181"/>
      <c r="R1898" s="181"/>
      <c r="S1898" s="181"/>
      <c r="T1898" s="181"/>
      <c r="U1898" s="181"/>
      <c r="V1898" s="37"/>
      <c r="W1898" s="181"/>
      <c r="X1898" s="38"/>
      <c r="Y1898" s="38"/>
      <c r="Z1898" s="38"/>
      <c r="AA1898" s="38"/>
      <c r="AB1898" s="248"/>
      <c r="AC1898" s="250"/>
      <c r="AD1898" s="181"/>
      <c r="AE1898" s="37"/>
      <c r="AF1898" s="37"/>
      <c r="AG1898" s="33"/>
      <c r="AH1898" s="37"/>
      <c r="AI1898" s="37"/>
      <c r="AJ1898" s="181"/>
      <c r="AK1898" s="37"/>
      <c r="AL1898" s="37"/>
      <c r="AM1898" s="181"/>
      <c r="AN1898" s="37"/>
      <c r="AO1898" s="37"/>
      <c r="AP1898" s="37"/>
      <c r="AQ1898" s="37"/>
      <c r="AR1898" s="37"/>
      <c r="AS1898" s="37"/>
      <c r="AT1898" s="37"/>
      <c r="AU1898" s="37"/>
      <c r="AV1898" s="37"/>
      <c r="AW1898" s="37"/>
      <c r="AX1898" s="37"/>
      <c r="AY1898" s="37"/>
      <c r="AZ1898" s="37"/>
    </row>
    <row r="1899" spans="1:52" ht="15.5" customHeight="1">
      <c r="A1899" s="360"/>
      <c r="B1899" s="340"/>
      <c r="C1899" s="181"/>
      <c r="D1899" s="30"/>
      <c r="E1899" s="30"/>
      <c r="F1899" s="30"/>
      <c r="G1899" s="37"/>
      <c r="H1899" s="37"/>
      <c r="I1899" s="37"/>
      <c r="J1899" s="37" t="s">
        <v>69</v>
      </c>
      <c r="K1899" s="325" t="s">
        <v>69</v>
      </c>
      <c r="L1899" s="181"/>
      <c r="M1899" s="181"/>
      <c r="N1899" s="37"/>
      <c r="O1899" s="31"/>
      <c r="P1899" s="37"/>
      <c r="Q1899" s="181"/>
      <c r="R1899" s="181"/>
      <c r="S1899" s="181"/>
      <c r="T1899" s="181"/>
      <c r="U1899" s="181"/>
      <c r="V1899" s="37"/>
      <c r="W1899" s="181"/>
      <c r="X1899" s="38"/>
      <c r="Y1899" s="38"/>
      <c r="Z1899" s="38"/>
      <c r="AA1899" s="38"/>
      <c r="AB1899" s="248"/>
      <c r="AC1899" s="250"/>
      <c r="AD1899" s="181"/>
      <c r="AE1899" s="37"/>
      <c r="AF1899" s="37"/>
      <c r="AG1899" s="33"/>
      <c r="AH1899" s="37"/>
      <c r="AI1899" s="37"/>
      <c r="AJ1899" s="181"/>
      <c r="AK1899" s="37"/>
      <c r="AL1899" s="37"/>
      <c r="AM1899" s="181"/>
      <c r="AN1899" s="37"/>
      <c r="AO1899" s="37"/>
      <c r="AP1899" s="37"/>
      <c r="AQ1899" s="37"/>
      <c r="AR1899" s="37"/>
      <c r="AS1899" s="37"/>
      <c r="AT1899" s="37"/>
      <c r="AU1899" s="37"/>
      <c r="AV1899" s="37"/>
      <c r="AW1899" s="37"/>
      <c r="AX1899" s="37"/>
      <c r="AY1899" s="37"/>
      <c r="AZ1899" s="37"/>
    </row>
    <row r="1900" spans="1:52" ht="15.5" customHeight="1">
      <c r="A1900" s="360"/>
      <c r="B1900" s="340"/>
      <c r="C1900" s="181"/>
      <c r="D1900" s="30"/>
      <c r="E1900" s="30"/>
      <c r="F1900" s="30"/>
      <c r="G1900" s="37"/>
      <c r="H1900" s="37"/>
      <c r="I1900" s="37"/>
      <c r="J1900" s="37" t="s">
        <v>69</v>
      </c>
      <c r="K1900" s="325" t="s">
        <v>69</v>
      </c>
      <c r="L1900" s="181"/>
      <c r="M1900" s="181"/>
      <c r="N1900" s="37"/>
      <c r="O1900" s="31"/>
      <c r="P1900" s="37"/>
      <c r="Q1900" s="181"/>
      <c r="R1900" s="181"/>
      <c r="S1900" s="181"/>
      <c r="T1900" s="181"/>
      <c r="U1900" s="181"/>
      <c r="V1900" s="37"/>
      <c r="W1900" s="181"/>
      <c r="X1900" s="38"/>
      <c r="Y1900" s="38"/>
      <c r="Z1900" s="38"/>
      <c r="AA1900" s="38"/>
      <c r="AB1900" s="248"/>
      <c r="AC1900" s="250"/>
      <c r="AD1900" s="181"/>
      <c r="AE1900" s="37"/>
      <c r="AF1900" s="37"/>
      <c r="AG1900" s="33"/>
      <c r="AH1900" s="37"/>
      <c r="AI1900" s="37"/>
      <c r="AJ1900" s="181"/>
      <c r="AK1900" s="37"/>
      <c r="AL1900" s="37"/>
      <c r="AM1900" s="181"/>
      <c r="AN1900" s="37"/>
      <c r="AO1900" s="37"/>
      <c r="AP1900" s="37"/>
      <c r="AQ1900" s="37"/>
      <c r="AR1900" s="37"/>
      <c r="AS1900" s="37"/>
      <c r="AT1900" s="37"/>
      <c r="AU1900" s="37"/>
      <c r="AV1900" s="37"/>
      <c r="AW1900" s="37"/>
      <c r="AX1900" s="37"/>
      <c r="AY1900" s="37"/>
      <c r="AZ1900" s="37"/>
    </row>
    <row r="1901" spans="1:52" ht="15.5" customHeight="1">
      <c r="A1901" s="360"/>
      <c r="B1901" s="340"/>
      <c r="C1901" s="181"/>
      <c r="D1901" s="30"/>
      <c r="E1901" s="30"/>
      <c r="F1901" s="30"/>
      <c r="G1901" s="37"/>
      <c r="H1901" s="37"/>
      <c r="I1901" s="37"/>
      <c r="J1901" s="37" t="s">
        <v>69</v>
      </c>
      <c r="K1901" s="325" t="s">
        <v>69</v>
      </c>
      <c r="L1901" s="181"/>
      <c r="M1901" s="181"/>
      <c r="N1901" s="37"/>
      <c r="O1901" s="31"/>
      <c r="P1901" s="37"/>
      <c r="Q1901" s="181"/>
      <c r="R1901" s="181"/>
      <c r="S1901" s="181"/>
      <c r="T1901" s="181"/>
      <c r="U1901" s="181"/>
      <c r="V1901" s="37"/>
      <c r="W1901" s="181"/>
      <c r="X1901" s="38"/>
      <c r="Y1901" s="38"/>
      <c r="Z1901" s="38"/>
      <c r="AA1901" s="38"/>
      <c r="AB1901" s="248"/>
      <c r="AC1901" s="250"/>
      <c r="AD1901" s="181"/>
      <c r="AE1901" s="37"/>
      <c r="AF1901" s="37"/>
      <c r="AG1901" s="33"/>
      <c r="AH1901" s="37"/>
      <c r="AI1901" s="37"/>
      <c r="AJ1901" s="181"/>
      <c r="AK1901" s="37"/>
      <c r="AL1901" s="37"/>
      <c r="AM1901" s="181"/>
      <c r="AN1901" s="37"/>
      <c r="AO1901" s="37"/>
      <c r="AP1901" s="37"/>
      <c r="AQ1901" s="37"/>
      <c r="AR1901" s="37"/>
      <c r="AS1901" s="37"/>
      <c r="AT1901" s="37"/>
      <c r="AU1901" s="37"/>
      <c r="AV1901" s="37"/>
      <c r="AW1901" s="37"/>
      <c r="AX1901" s="37"/>
      <c r="AY1901" s="37"/>
      <c r="AZ1901" s="37"/>
    </row>
    <row r="1902" spans="1:52" ht="15.5" customHeight="1">
      <c r="A1902" s="360"/>
      <c r="B1902" s="340"/>
      <c r="C1902" s="181"/>
      <c r="D1902" s="30"/>
      <c r="E1902" s="30"/>
      <c r="F1902" s="30"/>
      <c r="G1902" s="37"/>
      <c r="H1902" s="37"/>
      <c r="I1902" s="37"/>
      <c r="J1902" s="37" t="s">
        <v>69</v>
      </c>
      <c r="K1902" s="325" t="s">
        <v>69</v>
      </c>
      <c r="L1902" s="181"/>
      <c r="M1902" s="181"/>
      <c r="N1902" s="37"/>
      <c r="O1902" s="31"/>
      <c r="P1902" s="37"/>
      <c r="Q1902" s="181"/>
      <c r="R1902" s="181"/>
      <c r="S1902" s="181"/>
      <c r="T1902" s="181"/>
      <c r="U1902" s="181"/>
      <c r="V1902" s="37"/>
      <c r="W1902" s="181"/>
      <c r="X1902" s="38"/>
      <c r="Y1902" s="38"/>
      <c r="Z1902" s="38"/>
      <c r="AA1902" s="38"/>
      <c r="AB1902" s="248"/>
      <c r="AC1902" s="250"/>
      <c r="AD1902" s="181"/>
      <c r="AE1902" s="37"/>
      <c r="AF1902" s="37"/>
      <c r="AG1902" s="33"/>
      <c r="AH1902" s="37"/>
      <c r="AI1902" s="37"/>
      <c r="AJ1902" s="181"/>
      <c r="AK1902" s="37"/>
      <c r="AL1902" s="37"/>
      <c r="AM1902" s="181"/>
      <c r="AN1902" s="37"/>
      <c r="AO1902" s="37"/>
      <c r="AP1902" s="37"/>
      <c r="AQ1902" s="37"/>
      <c r="AR1902" s="37"/>
      <c r="AS1902" s="37"/>
      <c r="AT1902" s="37"/>
      <c r="AU1902" s="37"/>
      <c r="AV1902" s="37"/>
      <c r="AW1902" s="37"/>
      <c r="AX1902" s="37"/>
      <c r="AY1902" s="37"/>
      <c r="AZ1902" s="37"/>
    </row>
    <row r="1903" spans="1:52" ht="15.5" customHeight="1">
      <c r="A1903" s="360"/>
      <c r="B1903" s="340"/>
      <c r="C1903" s="181"/>
      <c r="D1903" s="30"/>
      <c r="E1903" s="30"/>
      <c r="F1903" s="30"/>
      <c r="G1903" s="37"/>
      <c r="H1903" s="37"/>
      <c r="I1903" s="37"/>
      <c r="J1903" s="37" t="s">
        <v>69</v>
      </c>
      <c r="K1903" s="325" t="s">
        <v>69</v>
      </c>
      <c r="L1903" s="181"/>
      <c r="M1903" s="181"/>
      <c r="N1903" s="37"/>
      <c r="O1903" s="31"/>
      <c r="P1903" s="37"/>
      <c r="Q1903" s="181"/>
      <c r="R1903" s="181"/>
      <c r="S1903" s="181"/>
      <c r="T1903" s="181"/>
      <c r="U1903" s="181"/>
      <c r="V1903" s="37"/>
      <c r="W1903" s="181"/>
      <c r="X1903" s="38"/>
      <c r="Y1903" s="38"/>
      <c r="Z1903" s="38"/>
      <c r="AA1903" s="38"/>
      <c r="AB1903" s="248"/>
      <c r="AC1903" s="250"/>
      <c r="AD1903" s="181"/>
      <c r="AE1903" s="37"/>
      <c r="AF1903" s="37"/>
      <c r="AG1903" s="33"/>
      <c r="AH1903" s="37"/>
      <c r="AI1903" s="37"/>
      <c r="AJ1903" s="181"/>
      <c r="AK1903" s="37"/>
      <c r="AL1903" s="37"/>
      <c r="AM1903" s="181"/>
      <c r="AN1903" s="37"/>
      <c r="AO1903" s="37"/>
      <c r="AP1903" s="37"/>
      <c r="AQ1903" s="37"/>
      <c r="AR1903" s="37"/>
      <c r="AS1903" s="37"/>
      <c r="AT1903" s="37"/>
      <c r="AU1903" s="37"/>
      <c r="AV1903" s="37"/>
      <c r="AW1903" s="37"/>
      <c r="AX1903" s="37"/>
      <c r="AY1903" s="37"/>
      <c r="AZ1903" s="37"/>
    </row>
    <row r="1904" spans="1:52" ht="15.5" customHeight="1">
      <c r="A1904" s="360"/>
      <c r="B1904" s="340"/>
      <c r="C1904" s="181"/>
      <c r="D1904" s="30"/>
      <c r="E1904" s="30"/>
      <c r="F1904" s="30"/>
      <c r="G1904" s="37"/>
      <c r="H1904" s="37"/>
      <c r="I1904" s="37"/>
      <c r="J1904" s="37" t="s">
        <v>69</v>
      </c>
      <c r="K1904" s="325" t="s">
        <v>69</v>
      </c>
      <c r="L1904" s="181"/>
      <c r="M1904" s="181"/>
      <c r="N1904" s="37"/>
      <c r="O1904" s="31"/>
      <c r="P1904" s="37"/>
      <c r="Q1904" s="181"/>
      <c r="R1904" s="181"/>
      <c r="S1904" s="181"/>
      <c r="T1904" s="181"/>
      <c r="U1904" s="181"/>
      <c r="V1904" s="37"/>
      <c r="W1904" s="181"/>
      <c r="X1904" s="38"/>
      <c r="Y1904" s="38"/>
      <c r="Z1904" s="38"/>
      <c r="AA1904" s="38"/>
      <c r="AB1904" s="248"/>
      <c r="AC1904" s="250"/>
      <c r="AD1904" s="181"/>
      <c r="AE1904" s="37"/>
      <c r="AF1904" s="37"/>
      <c r="AG1904" s="33"/>
      <c r="AH1904" s="37"/>
      <c r="AI1904" s="37"/>
      <c r="AJ1904" s="181"/>
      <c r="AK1904" s="37"/>
      <c r="AL1904" s="37"/>
      <c r="AM1904" s="181"/>
      <c r="AN1904" s="37"/>
      <c r="AO1904" s="37"/>
      <c r="AP1904" s="37"/>
      <c r="AQ1904" s="37"/>
      <c r="AR1904" s="37"/>
      <c r="AS1904" s="37"/>
      <c r="AT1904" s="37"/>
      <c r="AU1904" s="37"/>
      <c r="AV1904" s="37"/>
      <c r="AW1904" s="37"/>
      <c r="AX1904" s="37"/>
      <c r="AY1904" s="37"/>
      <c r="AZ1904" s="37"/>
    </row>
    <row r="1905" spans="1:52" ht="15.5" customHeight="1">
      <c r="A1905" s="360"/>
      <c r="B1905" s="340"/>
      <c r="C1905" s="181"/>
      <c r="D1905" s="30"/>
      <c r="E1905" s="30"/>
      <c r="F1905" s="30"/>
      <c r="G1905" s="37"/>
      <c r="H1905" s="37"/>
      <c r="I1905" s="37"/>
      <c r="J1905" s="37" t="s">
        <v>69</v>
      </c>
      <c r="K1905" s="325" t="s">
        <v>69</v>
      </c>
      <c r="L1905" s="181"/>
      <c r="M1905" s="181"/>
      <c r="N1905" s="37"/>
      <c r="O1905" s="31"/>
      <c r="P1905" s="37"/>
      <c r="Q1905" s="181"/>
      <c r="R1905" s="181"/>
      <c r="S1905" s="181"/>
      <c r="T1905" s="181"/>
      <c r="U1905" s="181"/>
      <c r="V1905" s="37"/>
      <c r="W1905" s="181"/>
      <c r="X1905" s="38"/>
      <c r="Y1905" s="38"/>
      <c r="Z1905" s="38"/>
      <c r="AA1905" s="38"/>
      <c r="AB1905" s="248"/>
      <c r="AC1905" s="250"/>
      <c r="AD1905" s="181"/>
      <c r="AE1905" s="37"/>
      <c r="AF1905" s="37"/>
      <c r="AG1905" s="33"/>
      <c r="AH1905" s="37"/>
      <c r="AI1905" s="37"/>
      <c r="AJ1905" s="181"/>
      <c r="AK1905" s="37"/>
      <c r="AL1905" s="37"/>
      <c r="AM1905" s="181"/>
      <c r="AN1905" s="37"/>
      <c r="AO1905" s="37"/>
      <c r="AP1905" s="37"/>
      <c r="AQ1905" s="37"/>
      <c r="AR1905" s="37"/>
      <c r="AS1905" s="37"/>
      <c r="AT1905" s="37"/>
      <c r="AU1905" s="37"/>
      <c r="AV1905" s="37"/>
      <c r="AW1905" s="37"/>
      <c r="AX1905" s="37"/>
      <c r="AY1905" s="37"/>
      <c r="AZ1905" s="37"/>
    </row>
    <row r="1906" spans="1:52" ht="15.5" customHeight="1">
      <c r="A1906" s="360"/>
      <c r="B1906" s="340"/>
      <c r="C1906" s="181"/>
      <c r="D1906" s="30"/>
      <c r="E1906" s="30"/>
      <c r="F1906" s="30"/>
      <c r="G1906" s="37"/>
      <c r="H1906" s="37"/>
      <c r="I1906" s="37"/>
      <c r="J1906" s="37" t="s">
        <v>69</v>
      </c>
      <c r="K1906" s="325" t="s">
        <v>69</v>
      </c>
      <c r="L1906" s="181"/>
      <c r="M1906" s="181"/>
      <c r="N1906" s="37"/>
      <c r="O1906" s="31"/>
      <c r="P1906" s="37"/>
      <c r="Q1906" s="181"/>
      <c r="R1906" s="181"/>
      <c r="S1906" s="181"/>
      <c r="T1906" s="181"/>
      <c r="U1906" s="181"/>
      <c r="V1906" s="37"/>
      <c r="W1906" s="181"/>
      <c r="X1906" s="38"/>
      <c r="Y1906" s="38"/>
      <c r="Z1906" s="38"/>
      <c r="AA1906" s="38"/>
      <c r="AB1906" s="248"/>
      <c r="AC1906" s="250"/>
      <c r="AD1906" s="181"/>
      <c r="AE1906" s="37"/>
      <c r="AF1906" s="37"/>
      <c r="AG1906" s="33"/>
      <c r="AH1906" s="37"/>
      <c r="AI1906" s="37"/>
      <c r="AJ1906" s="181"/>
      <c r="AK1906" s="37"/>
      <c r="AL1906" s="37"/>
      <c r="AM1906" s="181"/>
      <c r="AN1906" s="37"/>
      <c r="AO1906" s="37"/>
      <c r="AP1906" s="37"/>
      <c r="AQ1906" s="37"/>
      <c r="AR1906" s="37"/>
      <c r="AS1906" s="37"/>
      <c r="AT1906" s="37"/>
      <c r="AU1906" s="37"/>
      <c r="AV1906" s="37"/>
      <c r="AW1906" s="37"/>
      <c r="AX1906" s="37"/>
      <c r="AY1906" s="37"/>
      <c r="AZ1906" s="37"/>
    </row>
    <row r="1907" spans="1:52" ht="15.5" customHeight="1">
      <c r="A1907" s="360"/>
      <c r="B1907" s="340"/>
      <c r="C1907" s="181"/>
      <c r="D1907" s="30"/>
      <c r="E1907" s="30"/>
      <c r="F1907" s="30"/>
      <c r="G1907" s="37"/>
      <c r="H1907" s="37"/>
      <c r="I1907" s="37"/>
      <c r="J1907" s="37" t="s">
        <v>69</v>
      </c>
      <c r="K1907" s="325" t="s">
        <v>69</v>
      </c>
      <c r="L1907" s="181"/>
      <c r="M1907" s="181"/>
      <c r="N1907" s="37"/>
      <c r="O1907" s="31"/>
      <c r="P1907" s="37"/>
      <c r="Q1907" s="181"/>
      <c r="R1907" s="181"/>
      <c r="S1907" s="181"/>
      <c r="T1907" s="181"/>
      <c r="U1907" s="181"/>
      <c r="V1907" s="37"/>
      <c r="W1907" s="181"/>
      <c r="X1907" s="38"/>
      <c r="Y1907" s="38"/>
      <c r="Z1907" s="38"/>
      <c r="AA1907" s="38"/>
      <c r="AB1907" s="248"/>
      <c r="AC1907" s="250"/>
      <c r="AD1907" s="181"/>
      <c r="AE1907" s="37"/>
      <c r="AF1907" s="37"/>
      <c r="AG1907" s="33"/>
      <c r="AH1907" s="37"/>
      <c r="AI1907" s="37"/>
      <c r="AJ1907" s="181"/>
      <c r="AK1907" s="37"/>
      <c r="AL1907" s="37"/>
      <c r="AM1907" s="181"/>
      <c r="AN1907" s="37"/>
      <c r="AO1907" s="37"/>
      <c r="AP1907" s="37"/>
      <c r="AQ1907" s="37"/>
      <c r="AR1907" s="37"/>
      <c r="AS1907" s="37"/>
      <c r="AT1907" s="37"/>
      <c r="AU1907" s="37"/>
      <c r="AV1907" s="37"/>
      <c r="AW1907" s="37"/>
      <c r="AX1907" s="37"/>
      <c r="AY1907" s="37"/>
      <c r="AZ1907" s="37"/>
    </row>
    <row r="1908" spans="1:52" ht="15.5" customHeight="1">
      <c r="A1908" s="360"/>
      <c r="B1908" s="340"/>
      <c r="C1908" s="181"/>
      <c r="D1908" s="30"/>
      <c r="E1908" s="30"/>
      <c r="F1908" s="30"/>
      <c r="G1908" s="37"/>
      <c r="H1908" s="37"/>
      <c r="I1908" s="37"/>
      <c r="J1908" s="37" t="s">
        <v>69</v>
      </c>
      <c r="K1908" s="325" t="s">
        <v>69</v>
      </c>
      <c r="L1908" s="181"/>
      <c r="M1908" s="181"/>
      <c r="N1908" s="37"/>
      <c r="O1908" s="31"/>
      <c r="P1908" s="37"/>
      <c r="Q1908" s="181"/>
      <c r="R1908" s="181"/>
      <c r="S1908" s="181"/>
      <c r="T1908" s="181"/>
      <c r="U1908" s="181"/>
      <c r="V1908" s="37"/>
      <c r="W1908" s="181"/>
      <c r="X1908" s="38"/>
      <c r="Y1908" s="38"/>
      <c r="Z1908" s="38"/>
      <c r="AA1908" s="38"/>
      <c r="AB1908" s="248"/>
      <c r="AC1908" s="250"/>
      <c r="AD1908" s="181"/>
      <c r="AE1908" s="37"/>
      <c r="AF1908" s="37"/>
      <c r="AG1908" s="33"/>
      <c r="AH1908" s="37"/>
      <c r="AI1908" s="37"/>
      <c r="AJ1908" s="181"/>
      <c r="AK1908" s="37"/>
      <c r="AL1908" s="37"/>
      <c r="AM1908" s="181"/>
      <c r="AN1908" s="37"/>
      <c r="AO1908" s="37"/>
      <c r="AP1908" s="37"/>
      <c r="AQ1908" s="37"/>
      <c r="AR1908" s="37"/>
      <c r="AS1908" s="37"/>
      <c r="AT1908" s="37"/>
      <c r="AU1908" s="37"/>
      <c r="AV1908" s="37"/>
      <c r="AW1908" s="37"/>
      <c r="AX1908" s="37"/>
      <c r="AY1908" s="37"/>
      <c r="AZ1908" s="37"/>
    </row>
    <row r="1909" spans="1:52" ht="15.5" customHeight="1">
      <c r="A1909" s="360"/>
      <c r="B1909" s="340"/>
      <c r="C1909" s="181"/>
      <c r="D1909" s="30"/>
      <c r="E1909" s="30"/>
      <c r="F1909" s="30"/>
      <c r="G1909" s="37"/>
      <c r="H1909" s="37"/>
      <c r="I1909" s="37"/>
      <c r="J1909" s="37" t="s">
        <v>69</v>
      </c>
      <c r="K1909" s="325" t="s">
        <v>69</v>
      </c>
      <c r="L1909" s="181"/>
      <c r="M1909" s="181"/>
      <c r="N1909" s="37"/>
      <c r="O1909" s="31"/>
      <c r="P1909" s="37"/>
      <c r="Q1909" s="181"/>
      <c r="R1909" s="181"/>
      <c r="S1909" s="181"/>
      <c r="T1909" s="181"/>
      <c r="U1909" s="181"/>
      <c r="V1909" s="37"/>
      <c r="W1909" s="181"/>
      <c r="X1909" s="38"/>
      <c r="Y1909" s="38"/>
      <c r="Z1909" s="38"/>
      <c r="AA1909" s="38"/>
      <c r="AB1909" s="248"/>
      <c r="AC1909" s="250"/>
      <c r="AD1909" s="181"/>
      <c r="AE1909" s="37"/>
      <c r="AF1909" s="37"/>
      <c r="AG1909" s="33"/>
      <c r="AH1909" s="37"/>
      <c r="AI1909" s="37"/>
      <c r="AJ1909" s="181"/>
      <c r="AK1909" s="37"/>
      <c r="AL1909" s="37"/>
      <c r="AM1909" s="181"/>
      <c r="AN1909" s="37"/>
      <c r="AO1909" s="37"/>
      <c r="AP1909" s="37"/>
      <c r="AQ1909" s="37"/>
      <c r="AR1909" s="37"/>
      <c r="AS1909" s="37"/>
      <c r="AT1909" s="37"/>
      <c r="AU1909" s="37"/>
      <c r="AV1909" s="37"/>
      <c r="AW1909" s="37"/>
      <c r="AX1909" s="37"/>
      <c r="AY1909" s="37"/>
      <c r="AZ1909" s="37"/>
    </row>
    <row r="1910" spans="1:52" ht="15.5" customHeight="1">
      <c r="A1910" s="360"/>
      <c r="B1910" s="340"/>
      <c r="C1910" s="181"/>
      <c r="D1910" s="30"/>
      <c r="E1910" s="30"/>
      <c r="F1910" s="30"/>
      <c r="G1910" s="37"/>
      <c r="H1910" s="37"/>
      <c r="I1910" s="37"/>
      <c r="J1910" s="37" t="s">
        <v>69</v>
      </c>
      <c r="K1910" s="325" t="s">
        <v>69</v>
      </c>
      <c r="L1910" s="181"/>
      <c r="M1910" s="181"/>
      <c r="N1910" s="37"/>
      <c r="O1910" s="31"/>
      <c r="P1910" s="37"/>
      <c r="Q1910" s="181"/>
      <c r="R1910" s="181"/>
      <c r="S1910" s="181"/>
      <c r="T1910" s="181"/>
      <c r="U1910" s="181"/>
      <c r="V1910" s="37"/>
      <c r="W1910" s="181"/>
      <c r="X1910" s="38"/>
      <c r="Y1910" s="38"/>
      <c r="Z1910" s="38"/>
      <c r="AA1910" s="38"/>
      <c r="AB1910" s="248"/>
      <c r="AC1910" s="250"/>
      <c r="AD1910" s="181"/>
      <c r="AE1910" s="37"/>
      <c r="AF1910" s="37"/>
      <c r="AG1910" s="33"/>
      <c r="AH1910" s="37"/>
      <c r="AI1910" s="37"/>
      <c r="AJ1910" s="181"/>
      <c r="AK1910" s="37"/>
      <c r="AL1910" s="37"/>
      <c r="AM1910" s="181"/>
      <c r="AN1910" s="37"/>
      <c r="AO1910" s="37"/>
      <c r="AP1910" s="37"/>
      <c r="AQ1910" s="37"/>
      <c r="AR1910" s="37"/>
      <c r="AS1910" s="37"/>
      <c r="AT1910" s="37"/>
      <c r="AU1910" s="37"/>
      <c r="AV1910" s="37"/>
      <c r="AW1910" s="37"/>
      <c r="AX1910" s="37"/>
      <c r="AY1910" s="37"/>
      <c r="AZ1910" s="37"/>
    </row>
    <row r="1911" spans="1:52" ht="15.5" customHeight="1">
      <c r="A1911" s="360"/>
      <c r="B1911" s="340"/>
      <c r="C1911" s="181"/>
      <c r="D1911" s="30"/>
      <c r="E1911" s="30"/>
      <c r="F1911" s="30"/>
      <c r="G1911" s="37"/>
      <c r="H1911" s="37"/>
      <c r="I1911" s="37"/>
      <c r="J1911" s="37" t="s">
        <v>69</v>
      </c>
      <c r="K1911" s="325" t="s">
        <v>69</v>
      </c>
      <c r="L1911" s="181"/>
      <c r="M1911" s="181"/>
      <c r="N1911" s="37"/>
      <c r="O1911" s="31"/>
      <c r="P1911" s="37"/>
      <c r="Q1911" s="181"/>
      <c r="R1911" s="181"/>
      <c r="S1911" s="181"/>
      <c r="T1911" s="181"/>
      <c r="U1911" s="181"/>
      <c r="V1911" s="37"/>
      <c r="W1911" s="181"/>
      <c r="X1911" s="38"/>
      <c r="Y1911" s="38"/>
      <c r="Z1911" s="38"/>
      <c r="AA1911" s="38"/>
      <c r="AB1911" s="248"/>
      <c r="AC1911" s="250"/>
      <c r="AD1911" s="181"/>
      <c r="AE1911" s="37"/>
      <c r="AF1911" s="37"/>
      <c r="AG1911" s="33"/>
      <c r="AH1911" s="37"/>
      <c r="AI1911" s="37"/>
      <c r="AJ1911" s="181"/>
      <c r="AK1911" s="37"/>
      <c r="AL1911" s="37"/>
      <c r="AM1911" s="181"/>
      <c r="AN1911" s="37"/>
      <c r="AO1911" s="37"/>
      <c r="AP1911" s="37"/>
      <c r="AQ1911" s="37"/>
      <c r="AR1911" s="37"/>
      <c r="AS1911" s="37"/>
      <c r="AT1911" s="37"/>
      <c r="AU1911" s="37"/>
      <c r="AV1911" s="37"/>
      <c r="AW1911" s="37"/>
      <c r="AX1911" s="37"/>
      <c r="AY1911" s="37"/>
      <c r="AZ1911" s="37"/>
    </row>
    <row r="1912" spans="1:52" ht="15.5" customHeight="1">
      <c r="A1912" s="360"/>
      <c r="B1912" s="340"/>
      <c r="C1912" s="181"/>
      <c r="D1912" s="30"/>
      <c r="E1912" s="30"/>
      <c r="F1912" s="30"/>
      <c r="G1912" s="37"/>
      <c r="H1912" s="37"/>
      <c r="I1912" s="37"/>
      <c r="J1912" s="37" t="s">
        <v>69</v>
      </c>
      <c r="K1912" s="325" t="s">
        <v>69</v>
      </c>
      <c r="L1912" s="181"/>
      <c r="M1912" s="181"/>
      <c r="N1912" s="37"/>
      <c r="O1912" s="31"/>
      <c r="P1912" s="37"/>
      <c r="Q1912" s="181"/>
      <c r="R1912" s="181"/>
      <c r="S1912" s="181"/>
      <c r="T1912" s="181"/>
      <c r="U1912" s="181"/>
      <c r="V1912" s="37"/>
      <c r="W1912" s="181"/>
      <c r="X1912" s="38"/>
      <c r="Y1912" s="38"/>
      <c r="Z1912" s="38"/>
      <c r="AA1912" s="38"/>
      <c r="AB1912" s="248"/>
      <c r="AC1912" s="250"/>
      <c r="AD1912" s="181"/>
      <c r="AE1912" s="37"/>
      <c r="AF1912" s="37"/>
      <c r="AG1912" s="33"/>
      <c r="AH1912" s="37"/>
      <c r="AI1912" s="37"/>
      <c r="AJ1912" s="181"/>
      <c r="AK1912" s="37"/>
      <c r="AL1912" s="37"/>
      <c r="AM1912" s="181"/>
      <c r="AN1912" s="37"/>
      <c r="AO1912" s="37"/>
      <c r="AP1912" s="37"/>
      <c r="AQ1912" s="37"/>
      <c r="AR1912" s="37"/>
      <c r="AS1912" s="37"/>
      <c r="AT1912" s="37"/>
      <c r="AU1912" s="37"/>
      <c r="AV1912" s="37"/>
      <c r="AW1912" s="37"/>
      <c r="AX1912" s="37"/>
      <c r="AY1912" s="37"/>
      <c r="AZ1912" s="37"/>
    </row>
    <row r="1913" spans="1:52" ht="15.5" customHeight="1">
      <c r="A1913" s="360"/>
      <c r="B1913" s="340"/>
      <c r="C1913" s="181"/>
      <c r="D1913" s="30"/>
      <c r="E1913" s="30"/>
      <c r="F1913" s="30"/>
      <c r="G1913" s="37"/>
      <c r="H1913" s="37"/>
      <c r="I1913" s="37"/>
      <c r="J1913" s="37" t="s">
        <v>69</v>
      </c>
      <c r="K1913" s="325" t="s">
        <v>69</v>
      </c>
      <c r="L1913" s="181"/>
      <c r="M1913" s="181"/>
      <c r="N1913" s="37"/>
      <c r="O1913" s="31"/>
      <c r="P1913" s="37"/>
      <c r="Q1913" s="181"/>
      <c r="R1913" s="181"/>
      <c r="S1913" s="181"/>
      <c r="T1913" s="181"/>
      <c r="U1913" s="181"/>
      <c r="V1913" s="37"/>
      <c r="W1913" s="181"/>
      <c r="X1913" s="38"/>
      <c r="Y1913" s="38"/>
      <c r="Z1913" s="38"/>
      <c r="AA1913" s="38"/>
      <c r="AB1913" s="248"/>
      <c r="AC1913" s="250"/>
      <c r="AD1913" s="181"/>
      <c r="AE1913" s="37"/>
      <c r="AF1913" s="37"/>
      <c r="AG1913" s="33"/>
      <c r="AH1913" s="37"/>
      <c r="AI1913" s="37"/>
      <c r="AJ1913" s="181"/>
      <c r="AK1913" s="37"/>
      <c r="AL1913" s="37"/>
      <c r="AM1913" s="181"/>
      <c r="AN1913" s="37"/>
      <c r="AO1913" s="37"/>
      <c r="AP1913" s="37"/>
      <c r="AQ1913" s="37"/>
      <c r="AR1913" s="37"/>
      <c r="AS1913" s="37"/>
      <c r="AT1913" s="37"/>
      <c r="AU1913" s="37"/>
      <c r="AV1913" s="37"/>
      <c r="AW1913" s="37"/>
      <c r="AX1913" s="37"/>
      <c r="AY1913" s="37"/>
      <c r="AZ1913" s="37"/>
    </row>
    <row r="1914" spans="1:52" ht="15.5" customHeight="1">
      <c r="A1914" s="360"/>
      <c r="B1914" s="340"/>
      <c r="C1914" s="181"/>
      <c r="D1914" s="30"/>
      <c r="E1914" s="30"/>
      <c r="F1914" s="30"/>
      <c r="G1914" s="37"/>
      <c r="H1914" s="37"/>
      <c r="I1914" s="37"/>
      <c r="J1914" s="37" t="s">
        <v>69</v>
      </c>
      <c r="K1914" s="325" t="s">
        <v>69</v>
      </c>
      <c r="L1914" s="181"/>
      <c r="M1914" s="181"/>
      <c r="N1914" s="37"/>
      <c r="O1914" s="31"/>
      <c r="P1914" s="37"/>
      <c r="Q1914" s="181"/>
      <c r="R1914" s="181"/>
      <c r="S1914" s="181"/>
      <c r="T1914" s="181"/>
      <c r="U1914" s="181"/>
      <c r="V1914" s="37"/>
      <c r="W1914" s="181"/>
      <c r="X1914" s="38"/>
      <c r="Y1914" s="38"/>
      <c r="Z1914" s="38"/>
      <c r="AA1914" s="38"/>
      <c r="AB1914" s="248"/>
      <c r="AC1914" s="250"/>
      <c r="AD1914" s="181"/>
      <c r="AE1914" s="37"/>
      <c r="AF1914" s="37"/>
      <c r="AG1914" s="33"/>
      <c r="AH1914" s="37"/>
      <c r="AI1914" s="37"/>
      <c r="AJ1914" s="181"/>
      <c r="AK1914" s="37"/>
      <c r="AL1914" s="37"/>
      <c r="AM1914" s="181"/>
      <c r="AN1914" s="37"/>
      <c r="AO1914" s="37"/>
      <c r="AP1914" s="37"/>
      <c r="AQ1914" s="37"/>
      <c r="AR1914" s="37"/>
      <c r="AS1914" s="37"/>
      <c r="AT1914" s="37"/>
      <c r="AU1914" s="37"/>
      <c r="AV1914" s="37"/>
      <c r="AW1914" s="37"/>
      <c r="AX1914" s="37"/>
      <c r="AY1914" s="37"/>
      <c r="AZ1914" s="37"/>
    </row>
    <row r="1915" spans="1:52" ht="15.5" customHeight="1">
      <c r="A1915" s="360"/>
      <c r="B1915" s="340"/>
      <c r="C1915" s="181"/>
      <c r="D1915" s="30"/>
      <c r="E1915" s="30"/>
      <c r="F1915" s="30"/>
      <c r="G1915" s="37"/>
      <c r="H1915" s="37"/>
      <c r="I1915" s="37"/>
      <c r="J1915" s="37" t="s">
        <v>69</v>
      </c>
      <c r="K1915" s="325" t="s">
        <v>69</v>
      </c>
      <c r="L1915" s="181"/>
      <c r="M1915" s="181"/>
      <c r="N1915" s="37"/>
      <c r="O1915" s="31"/>
      <c r="P1915" s="37"/>
      <c r="Q1915" s="181"/>
      <c r="R1915" s="181"/>
      <c r="S1915" s="181"/>
      <c r="T1915" s="181"/>
      <c r="U1915" s="181"/>
      <c r="V1915" s="37"/>
      <c r="W1915" s="181"/>
      <c r="X1915" s="38"/>
      <c r="Y1915" s="38"/>
      <c r="Z1915" s="38"/>
      <c r="AA1915" s="38"/>
      <c r="AB1915" s="248"/>
      <c r="AC1915" s="250"/>
      <c r="AD1915" s="181"/>
      <c r="AE1915" s="37"/>
      <c r="AF1915" s="37"/>
      <c r="AG1915" s="33"/>
      <c r="AH1915" s="37"/>
      <c r="AI1915" s="37"/>
      <c r="AJ1915" s="181"/>
      <c r="AK1915" s="37"/>
      <c r="AL1915" s="37"/>
      <c r="AM1915" s="181"/>
      <c r="AN1915" s="37"/>
      <c r="AO1915" s="37"/>
      <c r="AP1915" s="37"/>
      <c r="AQ1915" s="37"/>
      <c r="AR1915" s="37"/>
      <c r="AS1915" s="37"/>
      <c r="AT1915" s="37"/>
      <c r="AU1915" s="37"/>
      <c r="AV1915" s="37"/>
      <c r="AW1915" s="37"/>
      <c r="AX1915" s="37"/>
      <c r="AY1915" s="37"/>
      <c r="AZ1915" s="37"/>
    </row>
    <row r="1916" spans="1:52" ht="15.5" customHeight="1">
      <c r="A1916" s="360"/>
      <c r="B1916" s="340"/>
      <c r="C1916" s="181"/>
      <c r="D1916" s="30"/>
      <c r="E1916" s="30"/>
      <c r="F1916" s="30"/>
      <c r="G1916" s="37"/>
      <c r="H1916" s="37"/>
      <c r="I1916" s="37"/>
      <c r="J1916" s="37" t="s">
        <v>69</v>
      </c>
      <c r="K1916" s="325" t="s">
        <v>69</v>
      </c>
      <c r="L1916" s="181"/>
      <c r="M1916" s="181"/>
      <c r="N1916" s="37"/>
      <c r="O1916" s="31"/>
      <c r="P1916" s="37"/>
      <c r="Q1916" s="181"/>
      <c r="R1916" s="181"/>
      <c r="S1916" s="181"/>
      <c r="T1916" s="181"/>
      <c r="U1916" s="181"/>
      <c r="V1916" s="37"/>
      <c r="W1916" s="181"/>
      <c r="X1916" s="38"/>
      <c r="Y1916" s="38"/>
      <c r="Z1916" s="38"/>
      <c r="AA1916" s="38"/>
      <c r="AB1916" s="248"/>
      <c r="AC1916" s="250"/>
      <c r="AD1916" s="181"/>
      <c r="AE1916" s="37"/>
      <c r="AF1916" s="37"/>
      <c r="AG1916" s="33"/>
      <c r="AH1916" s="37"/>
      <c r="AI1916" s="37"/>
      <c r="AJ1916" s="181"/>
      <c r="AK1916" s="37"/>
      <c r="AL1916" s="37"/>
      <c r="AM1916" s="181"/>
      <c r="AN1916" s="37"/>
      <c r="AO1916" s="37"/>
      <c r="AP1916" s="37"/>
      <c r="AQ1916" s="37"/>
      <c r="AR1916" s="37"/>
      <c r="AS1916" s="37"/>
      <c r="AT1916" s="37"/>
      <c r="AU1916" s="37"/>
      <c r="AV1916" s="37"/>
      <c r="AW1916" s="37"/>
      <c r="AX1916" s="37"/>
      <c r="AY1916" s="37"/>
      <c r="AZ1916" s="37"/>
    </row>
    <row r="1917" spans="1:52" ht="15.5" customHeight="1">
      <c r="A1917" s="360"/>
      <c r="B1917" s="340"/>
      <c r="C1917" s="181"/>
      <c r="D1917" s="30"/>
      <c r="E1917" s="30"/>
      <c r="F1917" s="30"/>
      <c r="G1917" s="37"/>
      <c r="H1917" s="37"/>
      <c r="I1917" s="37"/>
      <c r="J1917" s="37" t="s">
        <v>69</v>
      </c>
      <c r="K1917" s="325" t="s">
        <v>69</v>
      </c>
      <c r="L1917" s="181"/>
      <c r="M1917" s="181"/>
      <c r="N1917" s="37"/>
      <c r="O1917" s="31"/>
      <c r="P1917" s="37"/>
      <c r="Q1917" s="181"/>
      <c r="R1917" s="181"/>
      <c r="S1917" s="181"/>
      <c r="T1917" s="181"/>
      <c r="U1917" s="181"/>
      <c r="V1917" s="37"/>
      <c r="W1917" s="181"/>
      <c r="X1917" s="38"/>
      <c r="Y1917" s="38"/>
      <c r="Z1917" s="38"/>
      <c r="AA1917" s="38"/>
      <c r="AB1917" s="248"/>
      <c r="AC1917" s="250"/>
      <c r="AD1917" s="181"/>
      <c r="AE1917" s="37"/>
      <c r="AF1917" s="37"/>
      <c r="AG1917" s="33"/>
      <c r="AH1917" s="37"/>
      <c r="AI1917" s="37"/>
      <c r="AJ1917" s="181"/>
      <c r="AK1917" s="37"/>
      <c r="AL1917" s="37"/>
      <c r="AM1917" s="181"/>
      <c r="AN1917" s="37"/>
      <c r="AO1917" s="37"/>
      <c r="AP1917" s="37"/>
      <c r="AQ1917" s="37"/>
      <c r="AR1917" s="37"/>
      <c r="AS1917" s="37"/>
      <c r="AT1917" s="37"/>
      <c r="AU1917" s="37"/>
      <c r="AV1917" s="37"/>
      <c r="AW1917" s="37"/>
      <c r="AX1917" s="37"/>
      <c r="AY1917" s="37"/>
      <c r="AZ1917" s="37"/>
    </row>
    <row r="1918" spans="1:52" ht="15.5" customHeight="1">
      <c r="A1918" s="360"/>
      <c r="B1918" s="340"/>
      <c r="C1918" s="181"/>
      <c r="D1918" s="30"/>
      <c r="E1918" s="30"/>
      <c r="F1918" s="30"/>
      <c r="G1918" s="37"/>
      <c r="H1918" s="37"/>
      <c r="I1918" s="37"/>
      <c r="J1918" s="37" t="s">
        <v>69</v>
      </c>
      <c r="K1918" s="325" t="s">
        <v>69</v>
      </c>
      <c r="L1918" s="181"/>
      <c r="M1918" s="181"/>
      <c r="N1918" s="37"/>
      <c r="O1918" s="31"/>
      <c r="P1918" s="37"/>
      <c r="Q1918" s="181"/>
      <c r="R1918" s="181"/>
      <c r="S1918" s="181"/>
      <c r="T1918" s="181"/>
      <c r="U1918" s="181"/>
      <c r="V1918" s="37"/>
      <c r="W1918" s="181"/>
      <c r="X1918" s="38"/>
      <c r="Y1918" s="38"/>
      <c r="Z1918" s="38"/>
      <c r="AA1918" s="38"/>
      <c r="AB1918" s="248"/>
      <c r="AC1918" s="250"/>
      <c r="AD1918" s="181"/>
      <c r="AE1918" s="37"/>
      <c r="AF1918" s="37"/>
      <c r="AG1918" s="33"/>
      <c r="AH1918" s="37"/>
      <c r="AI1918" s="37"/>
      <c r="AJ1918" s="181"/>
      <c r="AK1918" s="37"/>
      <c r="AL1918" s="37"/>
      <c r="AM1918" s="181"/>
      <c r="AN1918" s="37"/>
      <c r="AO1918" s="37"/>
      <c r="AP1918" s="37"/>
      <c r="AQ1918" s="37"/>
      <c r="AR1918" s="37"/>
      <c r="AS1918" s="37"/>
      <c r="AT1918" s="37"/>
      <c r="AU1918" s="37"/>
      <c r="AV1918" s="37"/>
      <c r="AW1918" s="37"/>
      <c r="AX1918" s="37"/>
      <c r="AY1918" s="37"/>
      <c r="AZ1918" s="37"/>
    </row>
    <row r="1919" spans="1:52" ht="15.5" customHeight="1">
      <c r="A1919" s="360"/>
      <c r="B1919" s="340"/>
      <c r="C1919" s="181"/>
      <c r="D1919" s="30"/>
      <c r="E1919" s="30"/>
      <c r="F1919" s="30"/>
      <c r="G1919" s="37"/>
      <c r="H1919" s="37"/>
      <c r="I1919" s="37"/>
      <c r="J1919" s="37" t="s">
        <v>69</v>
      </c>
      <c r="K1919" s="325" t="s">
        <v>69</v>
      </c>
      <c r="L1919" s="181"/>
      <c r="M1919" s="181"/>
      <c r="N1919" s="37"/>
      <c r="O1919" s="31"/>
      <c r="P1919" s="37"/>
      <c r="Q1919" s="181"/>
      <c r="R1919" s="181"/>
      <c r="S1919" s="181"/>
      <c r="T1919" s="181"/>
      <c r="U1919" s="181"/>
      <c r="V1919" s="37"/>
      <c r="W1919" s="181"/>
      <c r="X1919" s="38"/>
      <c r="Y1919" s="38"/>
      <c r="Z1919" s="38"/>
      <c r="AA1919" s="38"/>
      <c r="AB1919" s="248"/>
      <c r="AC1919" s="250"/>
      <c r="AD1919" s="181"/>
      <c r="AE1919" s="37"/>
      <c r="AF1919" s="37"/>
      <c r="AG1919" s="33"/>
      <c r="AH1919" s="37"/>
      <c r="AI1919" s="37"/>
      <c r="AJ1919" s="181"/>
      <c r="AK1919" s="37"/>
      <c r="AL1919" s="37"/>
      <c r="AM1919" s="181"/>
      <c r="AN1919" s="37"/>
      <c r="AO1919" s="37"/>
      <c r="AP1919" s="37"/>
      <c r="AQ1919" s="37"/>
      <c r="AR1919" s="37"/>
      <c r="AS1919" s="37"/>
      <c r="AT1919" s="37"/>
      <c r="AU1919" s="37"/>
      <c r="AV1919" s="37"/>
      <c r="AW1919" s="37"/>
      <c r="AX1919" s="37"/>
      <c r="AY1919" s="37"/>
      <c r="AZ1919" s="37"/>
    </row>
    <row r="1920" spans="1:52" ht="15.5" customHeight="1">
      <c r="A1920" s="360"/>
      <c r="B1920" s="340"/>
      <c r="C1920" s="181"/>
      <c r="D1920" s="30"/>
      <c r="E1920" s="30"/>
      <c r="F1920" s="30"/>
      <c r="G1920" s="37"/>
      <c r="H1920" s="37"/>
      <c r="I1920" s="37"/>
      <c r="J1920" s="37" t="s">
        <v>69</v>
      </c>
      <c r="K1920" s="325" t="s">
        <v>69</v>
      </c>
      <c r="L1920" s="181"/>
      <c r="M1920" s="181"/>
      <c r="N1920" s="37"/>
      <c r="O1920" s="31"/>
      <c r="P1920" s="37"/>
      <c r="Q1920" s="181"/>
      <c r="R1920" s="181"/>
      <c r="S1920" s="181"/>
      <c r="T1920" s="181"/>
      <c r="U1920" s="181"/>
      <c r="V1920" s="37"/>
      <c r="W1920" s="181"/>
      <c r="X1920" s="38"/>
      <c r="Y1920" s="38"/>
      <c r="Z1920" s="38"/>
      <c r="AA1920" s="38"/>
      <c r="AB1920" s="248"/>
      <c r="AC1920" s="250"/>
      <c r="AD1920" s="181"/>
      <c r="AE1920" s="37"/>
      <c r="AF1920" s="37"/>
      <c r="AG1920" s="33"/>
      <c r="AH1920" s="37"/>
      <c r="AI1920" s="37"/>
      <c r="AJ1920" s="181"/>
      <c r="AK1920" s="37"/>
      <c r="AL1920" s="37"/>
      <c r="AM1920" s="181"/>
      <c r="AN1920" s="37"/>
      <c r="AO1920" s="37"/>
      <c r="AP1920" s="37"/>
      <c r="AQ1920" s="37"/>
      <c r="AR1920" s="37"/>
      <c r="AS1920" s="37"/>
      <c r="AT1920" s="37"/>
      <c r="AU1920" s="37"/>
      <c r="AV1920" s="37"/>
      <c r="AW1920" s="37"/>
      <c r="AX1920" s="37"/>
      <c r="AY1920" s="37"/>
      <c r="AZ1920" s="37"/>
    </row>
    <row r="1921" spans="1:52" ht="15.5" customHeight="1">
      <c r="A1921" s="360"/>
      <c r="B1921" s="340"/>
      <c r="C1921" s="181"/>
      <c r="D1921" s="30"/>
      <c r="E1921" s="30"/>
      <c r="F1921" s="30"/>
      <c r="G1921" s="37"/>
      <c r="H1921" s="37"/>
      <c r="I1921" s="37"/>
      <c r="J1921" s="37" t="s">
        <v>69</v>
      </c>
      <c r="K1921" s="325" t="s">
        <v>69</v>
      </c>
      <c r="L1921" s="181"/>
      <c r="M1921" s="181"/>
      <c r="N1921" s="37"/>
      <c r="O1921" s="31"/>
      <c r="P1921" s="37"/>
      <c r="Q1921" s="181"/>
      <c r="R1921" s="181"/>
      <c r="S1921" s="181"/>
      <c r="T1921" s="181"/>
      <c r="U1921" s="181"/>
      <c r="V1921" s="37"/>
      <c r="W1921" s="181"/>
      <c r="X1921" s="38"/>
      <c r="Y1921" s="38"/>
      <c r="Z1921" s="38"/>
      <c r="AA1921" s="38"/>
      <c r="AB1921" s="248"/>
      <c r="AC1921" s="250"/>
      <c r="AD1921" s="181"/>
      <c r="AE1921" s="37"/>
      <c r="AF1921" s="37"/>
      <c r="AG1921" s="33"/>
      <c r="AH1921" s="37"/>
      <c r="AI1921" s="37"/>
      <c r="AJ1921" s="181"/>
      <c r="AK1921" s="37"/>
      <c r="AL1921" s="37"/>
      <c r="AM1921" s="181"/>
      <c r="AN1921" s="37"/>
      <c r="AO1921" s="37"/>
      <c r="AP1921" s="37"/>
      <c r="AQ1921" s="37"/>
      <c r="AR1921" s="37"/>
      <c r="AS1921" s="37"/>
      <c r="AT1921" s="37"/>
      <c r="AU1921" s="37"/>
      <c r="AV1921" s="37"/>
      <c r="AW1921" s="37"/>
      <c r="AX1921" s="37"/>
      <c r="AY1921" s="37"/>
      <c r="AZ1921" s="37"/>
    </row>
    <row r="1922" spans="1:52" ht="15.5" customHeight="1">
      <c r="A1922" s="360"/>
      <c r="B1922" s="340"/>
      <c r="C1922" s="181"/>
      <c r="D1922" s="30"/>
      <c r="E1922" s="30"/>
      <c r="F1922" s="30"/>
      <c r="G1922" s="37"/>
      <c r="H1922" s="37"/>
      <c r="I1922" s="37"/>
      <c r="J1922" s="37" t="s">
        <v>69</v>
      </c>
      <c r="K1922" s="325" t="s">
        <v>69</v>
      </c>
      <c r="L1922" s="181"/>
      <c r="M1922" s="181"/>
      <c r="N1922" s="37"/>
      <c r="O1922" s="31"/>
      <c r="P1922" s="37"/>
      <c r="Q1922" s="181"/>
      <c r="R1922" s="181"/>
      <c r="S1922" s="181"/>
      <c r="T1922" s="181"/>
      <c r="U1922" s="181"/>
      <c r="V1922" s="37"/>
      <c r="W1922" s="181"/>
      <c r="X1922" s="38"/>
      <c r="Y1922" s="38"/>
      <c r="Z1922" s="38"/>
      <c r="AA1922" s="38"/>
      <c r="AB1922" s="248"/>
      <c r="AC1922" s="250"/>
      <c r="AD1922" s="181"/>
      <c r="AE1922" s="37"/>
      <c r="AF1922" s="37"/>
      <c r="AG1922" s="33"/>
      <c r="AH1922" s="37"/>
      <c r="AI1922" s="37"/>
      <c r="AJ1922" s="181"/>
      <c r="AK1922" s="37"/>
      <c r="AL1922" s="37"/>
      <c r="AM1922" s="181"/>
      <c r="AN1922" s="37"/>
      <c r="AO1922" s="37"/>
      <c r="AP1922" s="37"/>
      <c r="AQ1922" s="37"/>
      <c r="AR1922" s="37"/>
      <c r="AS1922" s="37"/>
      <c r="AT1922" s="37"/>
      <c r="AU1922" s="37"/>
      <c r="AV1922" s="37"/>
      <c r="AW1922" s="37"/>
      <c r="AX1922" s="37"/>
      <c r="AY1922" s="37"/>
      <c r="AZ1922" s="37"/>
    </row>
    <row r="1923" spans="1:52" ht="15.5" customHeight="1">
      <c r="A1923" s="360"/>
      <c r="B1923" s="340"/>
      <c r="C1923" s="181"/>
      <c r="D1923" s="30"/>
      <c r="E1923" s="30"/>
      <c r="F1923" s="30"/>
      <c r="G1923" s="37"/>
      <c r="H1923" s="37"/>
      <c r="I1923" s="37"/>
      <c r="J1923" s="37" t="s">
        <v>69</v>
      </c>
      <c r="K1923" s="325" t="s">
        <v>69</v>
      </c>
      <c r="L1923" s="181"/>
      <c r="M1923" s="181"/>
      <c r="N1923" s="37"/>
      <c r="O1923" s="31"/>
      <c r="P1923" s="37"/>
      <c r="Q1923" s="181"/>
      <c r="R1923" s="181"/>
      <c r="S1923" s="181"/>
      <c r="T1923" s="181"/>
      <c r="U1923" s="181"/>
      <c r="V1923" s="37"/>
      <c r="W1923" s="181"/>
      <c r="X1923" s="38"/>
      <c r="Y1923" s="38"/>
      <c r="Z1923" s="38"/>
      <c r="AA1923" s="38"/>
      <c r="AB1923" s="248"/>
      <c r="AC1923" s="250"/>
      <c r="AD1923" s="181"/>
      <c r="AE1923" s="37"/>
      <c r="AF1923" s="37"/>
      <c r="AG1923" s="33"/>
      <c r="AH1923" s="37"/>
      <c r="AI1923" s="37"/>
      <c r="AJ1923" s="181"/>
      <c r="AK1923" s="37"/>
      <c r="AL1923" s="37"/>
      <c r="AM1923" s="181"/>
      <c r="AN1923" s="37"/>
      <c r="AO1923" s="37"/>
      <c r="AP1923" s="37"/>
      <c r="AQ1923" s="37"/>
      <c r="AR1923" s="37"/>
      <c r="AS1923" s="37"/>
      <c r="AT1923" s="37"/>
      <c r="AU1923" s="37"/>
      <c r="AV1923" s="37"/>
      <c r="AW1923" s="37"/>
      <c r="AX1923" s="37"/>
      <c r="AY1923" s="37"/>
      <c r="AZ1923" s="37"/>
    </row>
    <row r="1924" spans="1:52" ht="15.5" customHeight="1">
      <c r="A1924" s="360"/>
      <c r="B1924" s="340"/>
      <c r="C1924" s="181"/>
      <c r="D1924" s="30"/>
      <c r="E1924" s="30"/>
      <c r="F1924" s="30"/>
      <c r="G1924" s="37"/>
      <c r="H1924" s="37"/>
      <c r="I1924" s="37"/>
      <c r="J1924" s="37" t="s">
        <v>69</v>
      </c>
      <c r="K1924" s="325" t="s">
        <v>69</v>
      </c>
      <c r="L1924" s="181"/>
      <c r="M1924" s="181"/>
      <c r="N1924" s="37"/>
      <c r="O1924" s="31"/>
      <c r="P1924" s="37"/>
      <c r="Q1924" s="181"/>
      <c r="R1924" s="181"/>
      <c r="S1924" s="181"/>
      <c r="T1924" s="181"/>
      <c r="U1924" s="181"/>
      <c r="V1924" s="37"/>
      <c r="W1924" s="181"/>
      <c r="X1924" s="38"/>
      <c r="Y1924" s="38"/>
      <c r="Z1924" s="38"/>
      <c r="AA1924" s="38"/>
      <c r="AB1924" s="248"/>
      <c r="AC1924" s="250"/>
      <c r="AD1924" s="181"/>
      <c r="AE1924" s="37"/>
      <c r="AF1924" s="37"/>
      <c r="AG1924" s="33"/>
      <c r="AH1924" s="37"/>
      <c r="AI1924" s="37"/>
      <c r="AJ1924" s="181"/>
      <c r="AK1924" s="37"/>
      <c r="AL1924" s="37"/>
      <c r="AM1924" s="181"/>
      <c r="AN1924" s="37"/>
      <c r="AO1924" s="37"/>
      <c r="AP1924" s="37"/>
      <c r="AQ1924" s="37"/>
      <c r="AR1924" s="37"/>
      <c r="AS1924" s="37"/>
      <c r="AT1924" s="37"/>
      <c r="AU1924" s="37"/>
      <c r="AV1924" s="37"/>
      <c r="AW1924" s="37"/>
      <c r="AX1924" s="37"/>
      <c r="AY1924" s="37"/>
      <c r="AZ1924" s="37"/>
    </row>
    <row r="1925" spans="1:52" ht="15.5" customHeight="1">
      <c r="A1925" s="360"/>
      <c r="B1925" s="340"/>
      <c r="C1925" s="181"/>
      <c r="D1925" s="30"/>
      <c r="E1925" s="30"/>
      <c r="F1925" s="30"/>
      <c r="G1925" s="37"/>
      <c r="H1925" s="37"/>
      <c r="I1925" s="37"/>
      <c r="J1925" s="37" t="s">
        <v>69</v>
      </c>
      <c r="K1925" s="325" t="s">
        <v>69</v>
      </c>
      <c r="L1925" s="181"/>
      <c r="M1925" s="181"/>
      <c r="N1925" s="37"/>
      <c r="O1925" s="31"/>
      <c r="P1925" s="37"/>
      <c r="Q1925" s="181"/>
      <c r="R1925" s="181"/>
      <c r="S1925" s="181"/>
      <c r="T1925" s="181"/>
      <c r="U1925" s="181"/>
      <c r="V1925" s="37"/>
      <c r="W1925" s="181"/>
      <c r="X1925" s="38"/>
      <c r="Y1925" s="38"/>
      <c r="Z1925" s="38"/>
      <c r="AA1925" s="38"/>
      <c r="AB1925" s="248"/>
      <c r="AC1925" s="250"/>
      <c r="AD1925" s="181"/>
      <c r="AE1925" s="37"/>
      <c r="AF1925" s="37"/>
      <c r="AG1925" s="33"/>
      <c r="AH1925" s="37"/>
      <c r="AI1925" s="37"/>
      <c r="AJ1925" s="181"/>
      <c r="AK1925" s="37"/>
      <c r="AL1925" s="37"/>
      <c r="AM1925" s="181"/>
      <c r="AN1925" s="37"/>
      <c r="AO1925" s="37"/>
      <c r="AP1925" s="37"/>
      <c r="AQ1925" s="37"/>
      <c r="AR1925" s="37"/>
      <c r="AS1925" s="37"/>
      <c r="AT1925" s="37"/>
      <c r="AU1925" s="37"/>
      <c r="AV1925" s="37"/>
      <c r="AW1925" s="37"/>
      <c r="AX1925" s="37"/>
      <c r="AY1925" s="37"/>
      <c r="AZ1925" s="37"/>
    </row>
    <row r="1926" spans="1:52" ht="15.5" customHeight="1">
      <c r="A1926" s="360"/>
      <c r="B1926" s="340"/>
      <c r="C1926" s="181"/>
      <c r="D1926" s="30"/>
      <c r="E1926" s="30"/>
      <c r="F1926" s="30"/>
      <c r="G1926" s="37"/>
      <c r="H1926" s="37"/>
      <c r="I1926" s="37"/>
      <c r="J1926" s="37" t="s">
        <v>69</v>
      </c>
      <c r="K1926" s="325" t="s">
        <v>69</v>
      </c>
      <c r="L1926" s="181"/>
      <c r="M1926" s="181"/>
      <c r="N1926" s="37"/>
      <c r="O1926" s="31"/>
      <c r="P1926" s="37"/>
      <c r="Q1926" s="181"/>
      <c r="R1926" s="181"/>
      <c r="S1926" s="181"/>
      <c r="T1926" s="181"/>
      <c r="U1926" s="181"/>
      <c r="V1926" s="37"/>
      <c r="W1926" s="181"/>
      <c r="X1926" s="38"/>
      <c r="Y1926" s="38"/>
      <c r="Z1926" s="38"/>
      <c r="AA1926" s="38"/>
      <c r="AB1926" s="248"/>
      <c r="AC1926" s="250"/>
      <c r="AD1926" s="181"/>
      <c r="AE1926" s="37"/>
      <c r="AF1926" s="37"/>
      <c r="AG1926" s="33"/>
      <c r="AH1926" s="37"/>
      <c r="AI1926" s="37"/>
      <c r="AJ1926" s="181"/>
      <c r="AK1926" s="37"/>
      <c r="AL1926" s="37"/>
      <c r="AM1926" s="181"/>
      <c r="AN1926" s="37"/>
      <c r="AO1926" s="37"/>
      <c r="AP1926" s="37"/>
      <c r="AQ1926" s="37"/>
      <c r="AR1926" s="37"/>
      <c r="AS1926" s="37"/>
      <c r="AT1926" s="37"/>
      <c r="AU1926" s="37"/>
      <c r="AV1926" s="37"/>
      <c r="AW1926" s="37"/>
      <c r="AX1926" s="37"/>
      <c r="AY1926" s="37"/>
      <c r="AZ1926" s="37"/>
    </row>
    <row r="1927" spans="1:52" ht="15.5" customHeight="1">
      <c r="A1927" s="360"/>
      <c r="B1927" s="340"/>
      <c r="C1927" s="181"/>
      <c r="D1927" s="30"/>
      <c r="E1927" s="30"/>
      <c r="F1927" s="30"/>
      <c r="G1927" s="37"/>
      <c r="H1927" s="37"/>
      <c r="I1927" s="37"/>
      <c r="J1927" s="37" t="s">
        <v>69</v>
      </c>
      <c r="K1927" s="325" t="s">
        <v>69</v>
      </c>
      <c r="L1927" s="181"/>
      <c r="M1927" s="181"/>
      <c r="N1927" s="37"/>
      <c r="O1927" s="31"/>
      <c r="P1927" s="37"/>
      <c r="Q1927" s="181"/>
      <c r="R1927" s="181"/>
      <c r="S1927" s="181"/>
      <c r="T1927" s="181"/>
      <c r="U1927" s="181"/>
      <c r="V1927" s="37"/>
      <c r="W1927" s="181"/>
      <c r="X1927" s="38"/>
      <c r="Y1927" s="38"/>
      <c r="Z1927" s="38"/>
      <c r="AA1927" s="38"/>
      <c r="AB1927" s="248"/>
      <c r="AC1927" s="250"/>
      <c r="AD1927" s="181"/>
      <c r="AE1927" s="37"/>
      <c r="AF1927" s="37"/>
      <c r="AG1927" s="33"/>
      <c r="AH1927" s="37"/>
      <c r="AI1927" s="37"/>
      <c r="AJ1927" s="181"/>
      <c r="AK1927" s="37"/>
      <c r="AL1927" s="37"/>
      <c r="AM1927" s="181"/>
      <c r="AN1927" s="37"/>
      <c r="AO1927" s="37"/>
      <c r="AP1927" s="37"/>
      <c r="AQ1927" s="37"/>
      <c r="AR1927" s="37"/>
      <c r="AS1927" s="37"/>
      <c r="AT1927" s="37"/>
      <c r="AU1927" s="37"/>
      <c r="AV1927" s="37"/>
      <c r="AW1927" s="37"/>
      <c r="AX1927" s="37"/>
      <c r="AY1927" s="37"/>
      <c r="AZ1927" s="37"/>
    </row>
    <row r="1928" spans="1:52" ht="15.5" customHeight="1">
      <c r="A1928" s="360"/>
      <c r="B1928" s="340"/>
      <c r="C1928" s="181"/>
      <c r="D1928" s="30"/>
      <c r="E1928" s="30"/>
      <c r="F1928" s="30"/>
      <c r="G1928" s="37"/>
      <c r="H1928" s="37"/>
      <c r="I1928" s="37"/>
      <c r="J1928" s="37" t="s">
        <v>69</v>
      </c>
      <c r="K1928" s="325" t="s">
        <v>69</v>
      </c>
      <c r="L1928" s="181"/>
      <c r="M1928" s="181"/>
      <c r="N1928" s="37"/>
      <c r="O1928" s="31"/>
      <c r="P1928" s="37"/>
      <c r="Q1928" s="181"/>
      <c r="R1928" s="181"/>
      <c r="S1928" s="181"/>
      <c r="T1928" s="181"/>
      <c r="U1928" s="181"/>
      <c r="V1928" s="37"/>
      <c r="W1928" s="181"/>
      <c r="X1928" s="38"/>
      <c r="Y1928" s="38"/>
      <c r="Z1928" s="38"/>
      <c r="AA1928" s="38"/>
      <c r="AB1928" s="248"/>
      <c r="AC1928" s="250"/>
      <c r="AD1928" s="181"/>
      <c r="AE1928" s="37"/>
      <c r="AF1928" s="37"/>
      <c r="AG1928" s="33"/>
      <c r="AH1928" s="37"/>
      <c r="AI1928" s="37"/>
      <c r="AJ1928" s="181"/>
      <c r="AK1928" s="37"/>
      <c r="AL1928" s="37"/>
      <c r="AM1928" s="181"/>
      <c r="AN1928" s="37"/>
      <c r="AO1928" s="37"/>
      <c r="AP1928" s="37"/>
      <c r="AQ1928" s="37"/>
      <c r="AR1928" s="37"/>
      <c r="AS1928" s="37"/>
      <c r="AT1928" s="37"/>
      <c r="AU1928" s="37"/>
      <c r="AV1928" s="37"/>
      <c r="AW1928" s="37"/>
      <c r="AX1928" s="37"/>
      <c r="AY1928" s="37"/>
      <c r="AZ1928" s="37"/>
    </row>
    <row r="1929" spans="1:52" ht="15.5" customHeight="1">
      <c r="A1929" s="360"/>
      <c r="B1929" s="340"/>
      <c r="C1929" s="181"/>
      <c r="D1929" s="30"/>
      <c r="E1929" s="30"/>
      <c r="F1929" s="30"/>
      <c r="G1929" s="37"/>
      <c r="H1929" s="37"/>
      <c r="I1929" s="37"/>
      <c r="J1929" s="37" t="s">
        <v>69</v>
      </c>
      <c r="K1929" s="325" t="s">
        <v>69</v>
      </c>
      <c r="L1929" s="181"/>
      <c r="M1929" s="181"/>
      <c r="N1929" s="37"/>
      <c r="O1929" s="31"/>
      <c r="P1929" s="37"/>
      <c r="Q1929" s="181"/>
      <c r="R1929" s="181"/>
      <c r="S1929" s="181"/>
      <c r="T1929" s="181"/>
      <c r="U1929" s="181"/>
      <c r="V1929" s="37"/>
      <c r="W1929" s="181"/>
      <c r="X1929" s="38"/>
      <c r="Y1929" s="38"/>
      <c r="Z1929" s="38"/>
      <c r="AA1929" s="38"/>
      <c r="AB1929" s="248"/>
      <c r="AC1929" s="250"/>
      <c r="AD1929" s="181"/>
      <c r="AE1929" s="37"/>
      <c r="AF1929" s="37"/>
      <c r="AG1929" s="33"/>
      <c r="AH1929" s="37"/>
      <c r="AI1929" s="37"/>
      <c r="AJ1929" s="181"/>
      <c r="AK1929" s="37"/>
      <c r="AL1929" s="37"/>
      <c r="AM1929" s="181"/>
      <c r="AN1929" s="37"/>
      <c r="AO1929" s="37"/>
      <c r="AP1929" s="37"/>
      <c r="AQ1929" s="37"/>
      <c r="AR1929" s="37"/>
      <c r="AS1929" s="37"/>
      <c r="AT1929" s="37"/>
      <c r="AU1929" s="37"/>
      <c r="AV1929" s="37"/>
      <c r="AW1929" s="37"/>
      <c r="AX1929" s="37"/>
      <c r="AY1929" s="37"/>
      <c r="AZ1929" s="37"/>
    </row>
    <row r="1930" spans="1:52" ht="15.5" customHeight="1">
      <c r="A1930" s="360"/>
      <c r="B1930" s="340"/>
      <c r="C1930" s="181"/>
      <c r="D1930" s="30"/>
      <c r="E1930" s="30"/>
      <c r="F1930" s="30"/>
      <c r="G1930" s="37"/>
      <c r="H1930" s="37"/>
      <c r="I1930" s="37"/>
      <c r="J1930" s="37" t="s">
        <v>69</v>
      </c>
      <c r="K1930" s="325" t="s">
        <v>69</v>
      </c>
      <c r="L1930" s="181"/>
      <c r="M1930" s="181"/>
      <c r="N1930" s="37"/>
      <c r="O1930" s="31"/>
      <c r="P1930" s="37"/>
      <c r="Q1930" s="181"/>
      <c r="R1930" s="181"/>
      <c r="S1930" s="181"/>
      <c r="T1930" s="181"/>
      <c r="U1930" s="181"/>
      <c r="V1930" s="37"/>
      <c r="W1930" s="181"/>
      <c r="X1930" s="38"/>
      <c r="Y1930" s="38"/>
      <c r="Z1930" s="38"/>
      <c r="AA1930" s="38"/>
      <c r="AB1930" s="248"/>
      <c r="AC1930" s="250"/>
      <c r="AD1930" s="181"/>
      <c r="AE1930" s="37"/>
      <c r="AF1930" s="37"/>
      <c r="AG1930" s="33"/>
      <c r="AH1930" s="37"/>
      <c r="AI1930" s="37"/>
      <c r="AJ1930" s="181"/>
      <c r="AK1930" s="37"/>
      <c r="AL1930" s="37"/>
      <c r="AM1930" s="181"/>
      <c r="AN1930" s="37"/>
      <c r="AO1930" s="37"/>
      <c r="AP1930" s="37"/>
      <c r="AQ1930" s="37"/>
      <c r="AR1930" s="37"/>
      <c r="AS1930" s="37"/>
      <c r="AT1930" s="37"/>
      <c r="AU1930" s="37"/>
      <c r="AV1930" s="37"/>
      <c r="AW1930" s="37"/>
      <c r="AX1930" s="37"/>
      <c r="AY1930" s="37"/>
      <c r="AZ1930" s="37"/>
    </row>
    <row r="1931" spans="1:52" ht="15.5" customHeight="1">
      <c r="A1931" s="360"/>
      <c r="B1931" s="340"/>
      <c r="C1931" s="181"/>
      <c r="D1931" s="30"/>
      <c r="E1931" s="30"/>
      <c r="F1931" s="30"/>
      <c r="G1931" s="37"/>
      <c r="H1931" s="37"/>
      <c r="I1931" s="37"/>
      <c r="J1931" s="37" t="s">
        <v>69</v>
      </c>
      <c r="K1931" s="325" t="s">
        <v>69</v>
      </c>
      <c r="L1931" s="181"/>
      <c r="M1931" s="181"/>
      <c r="N1931" s="37"/>
      <c r="O1931" s="31"/>
      <c r="P1931" s="37"/>
      <c r="Q1931" s="181"/>
      <c r="R1931" s="181"/>
      <c r="S1931" s="181"/>
      <c r="T1931" s="181"/>
      <c r="U1931" s="181"/>
      <c r="V1931" s="37"/>
      <c r="W1931" s="181"/>
      <c r="X1931" s="38"/>
      <c r="Y1931" s="38"/>
      <c r="Z1931" s="38"/>
      <c r="AA1931" s="38"/>
      <c r="AB1931" s="248"/>
      <c r="AC1931" s="250"/>
      <c r="AD1931" s="181"/>
      <c r="AE1931" s="37"/>
      <c r="AF1931" s="37"/>
      <c r="AG1931" s="33"/>
      <c r="AH1931" s="37"/>
      <c r="AI1931" s="37"/>
      <c r="AJ1931" s="181"/>
      <c r="AK1931" s="37"/>
      <c r="AL1931" s="37"/>
      <c r="AM1931" s="181"/>
      <c r="AN1931" s="37"/>
      <c r="AO1931" s="37"/>
      <c r="AP1931" s="37"/>
      <c r="AQ1931" s="37"/>
      <c r="AR1931" s="37"/>
      <c r="AS1931" s="37"/>
      <c r="AT1931" s="37"/>
      <c r="AU1931" s="37"/>
      <c r="AV1931" s="37"/>
      <c r="AW1931" s="37"/>
      <c r="AX1931" s="37"/>
      <c r="AY1931" s="37"/>
      <c r="AZ1931" s="37"/>
    </row>
    <row r="1932" spans="1:52" ht="15.5" customHeight="1">
      <c r="A1932" s="360"/>
      <c r="B1932" s="340"/>
      <c r="C1932" s="181"/>
      <c r="D1932" s="30"/>
      <c r="E1932" s="30"/>
      <c r="F1932" s="30"/>
      <c r="G1932" s="37"/>
      <c r="H1932" s="37"/>
      <c r="I1932" s="37"/>
      <c r="J1932" s="37" t="s">
        <v>69</v>
      </c>
      <c r="K1932" s="325" t="s">
        <v>69</v>
      </c>
      <c r="L1932" s="181"/>
      <c r="M1932" s="181"/>
      <c r="N1932" s="37"/>
      <c r="O1932" s="31"/>
      <c r="P1932" s="37"/>
      <c r="Q1932" s="181"/>
      <c r="R1932" s="181"/>
      <c r="S1932" s="181"/>
      <c r="T1932" s="181"/>
      <c r="U1932" s="181"/>
      <c r="V1932" s="37"/>
      <c r="W1932" s="181"/>
      <c r="X1932" s="38"/>
      <c r="Y1932" s="38"/>
      <c r="Z1932" s="38"/>
      <c r="AA1932" s="38"/>
      <c r="AB1932" s="248"/>
      <c r="AC1932" s="250"/>
      <c r="AD1932" s="181"/>
      <c r="AE1932" s="37"/>
      <c r="AF1932" s="37"/>
      <c r="AG1932" s="33"/>
      <c r="AH1932" s="37"/>
      <c r="AI1932" s="37"/>
      <c r="AJ1932" s="181"/>
      <c r="AK1932" s="37"/>
      <c r="AL1932" s="37"/>
      <c r="AM1932" s="181"/>
      <c r="AN1932" s="37"/>
      <c r="AO1932" s="37"/>
      <c r="AP1932" s="37"/>
      <c r="AQ1932" s="37"/>
      <c r="AR1932" s="37"/>
      <c r="AS1932" s="37"/>
      <c r="AT1932" s="37"/>
      <c r="AU1932" s="37"/>
      <c r="AV1932" s="37"/>
      <c r="AW1932" s="37"/>
      <c r="AX1932" s="37"/>
      <c r="AY1932" s="37"/>
      <c r="AZ1932" s="37"/>
    </row>
    <row r="1933" spans="1:52" ht="15.5" customHeight="1">
      <c r="A1933" s="360"/>
      <c r="B1933" s="340"/>
      <c r="C1933" s="181"/>
      <c r="D1933" s="30"/>
      <c r="E1933" s="30"/>
      <c r="F1933" s="30"/>
      <c r="G1933" s="37"/>
      <c r="H1933" s="37"/>
      <c r="I1933" s="37"/>
      <c r="J1933" s="37" t="s">
        <v>69</v>
      </c>
      <c r="K1933" s="325" t="s">
        <v>69</v>
      </c>
      <c r="L1933" s="181"/>
      <c r="M1933" s="181"/>
      <c r="N1933" s="37"/>
      <c r="O1933" s="31"/>
      <c r="P1933" s="37"/>
      <c r="Q1933" s="181"/>
      <c r="R1933" s="181"/>
      <c r="S1933" s="181"/>
      <c r="T1933" s="181"/>
      <c r="U1933" s="181"/>
      <c r="V1933" s="37"/>
      <c r="W1933" s="181"/>
      <c r="X1933" s="38"/>
      <c r="Y1933" s="38"/>
      <c r="Z1933" s="38"/>
      <c r="AA1933" s="38"/>
      <c r="AB1933" s="248"/>
      <c r="AC1933" s="250"/>
      <c r="AD1933" s="181"/>
      <c r="AE1933" s="37"/>
      <c r="AF1933" s="37"/>
      <c r="AG1933" s="33"/>
      <c r="AH1933" s="37"/>
      <c r="AI1933" s="37"/>
      <c r="AJ1933" s="181"/>
      <c r="AK1933" s="37"/>
      <c r="AL1933" s="37"/>
      <c r="AM1933" s="181"/>
      <c r="AN1933" s="37"/>
      <c r="AO1933" s="37"/>
      <c r="AP1933" s="37"/>
      <c r="AQ1933" s="37"/>
      <c r="AR1933" s="37"/>
      <c r="AS1933" s="37"/>
      <c r="AT1933" s="37"/>
      <c r="AU1933" s="37"/>
      <c r="AV1933" s="37"/>
      <c r="AW1933" s="37"/>
      <c r="AX1933" s="37"/>
      <c r="AY1933" s="37"/>
      <c r="AZ1933" s="37"/>
    </row>
    <row r="1934" spans="1:52" ht="15.5" customHeight="1">
      <c r="A1934" s="360"/>
      <c r="B1934" s="340"/>
      <c r="C1934" s="181"/>
      <c r="D1934" s="30"/>
      <c r="E1934" s="30"/>
      <c r="F1934" s="30"/>
      <c r="G1934" s="37"/>
      <c r="H1934" s="37"/>
      <c r="I1934" s="37"/>
      <c r="J1934" s="37" t="s">
        <v>69</v>
      </c>
      <c r="K1934" s="325" t="s">
        <v>69</v>
      </c>
      <c r="L1934" s="181"/>
      <c r="M1934" s="181"/>
      <c r="N1934" s="37"/>
      <c r="O1934" s="31"/>
      <c r="P1934" s="37"/>
      <c r="Q1934" s="181"/>
      <c r="R1934" s="181"/>
      <c r="S1934" s="181"/>
      <c r="T1934" s="181"/>
      <c r="U1934" s="181"/>
      <c r="V1934" s="37"/>
      <c r="W1934" s="181"/>
      <c r="X1934" s="38"/>
      <c r="Y1934" s="38"/>
      <c r="Z1934" s="38"/>
      <c r="AA1934" s="38"/>
      <c r="AB1934" s="248"/>
      <c r="AC1934" s="250"/>
      <c r="AD1934" s="181"/>
      <c r="AE1934" s="37"/>
      <c r="AF1934" s="37"/>
      <c r="AG1934" s="33"/>
      <c r="AH1934" s="37"/>
      <c r="AI1934" s="37"/>
      <c r="AJ1934" s="181"/>
      <c r="AK1934" s="37"/>
      <c r="AL1934" s="37"/>
      <c r="AM1934" s="181"/>
      <c r="AN1934" s="37"/>
      <c r="AO1934" s="37"/>
      <c r="AP1934" s="37"/>
      <c r="AQ1934" s="37"/>
      <c r="AR1934" s="37"/>
      <c r="AS1934" s="37"/>
      <c r="AT1934" s="37"/>
      <c r="AU1934" s="37"/>
      <c r="AV1934" s="37"/>
      <c r="AW1934" s="37"/>
      <c r="AX1934" s="37"/>
      <c r="AY1934" s="37"/>
      <c r="AZ1934" s="37"/>
    </row>
    <row r="1935" spans="1:52" ht="15.5" customHeight="1">
      <c r="A1935" s="360"/>
      <c r="B1935" s="340"/>
      <c r="C1935" s="181"/>
      <c r="D1935" s="30"/>
      <c r="E1935" s="30"/>
      <c r="F1935" s="30"/>
      <c r="G1935" s="37"/>
      <c r="H1935" s="37"/>
      <c r="I1935" s="37"/>
      <c r="J1935" s="37" t="s">
        <v>69</v>
      </c>
      <c r="K1935" s="325" t="s">
        <v>69</v>
      </c>
      <c r="L1935" s="181"/>
      <c r="M1935" s="181"/>
      <c r="N1935" s="37"/>
      <c r="O1935" s="31"/>
      <c r="P1935" s="37"/>
      <c r="Q1935" s="181"/>
      <c r="R1935" s="181"/>
      <c r="S1935" s="181"/>
      <c r="T1935" s="181"/>
      <c r="U1935" s="181"/>
      <c r="V1935" s="37"/>
      <c r="W1935" s="181"/>
      <c r="X1935" s="38"/>
      <c r="Y1935" s="38"/>
      <c r="Z1935" s="38"/>
      <c r="AA1935" s="38"/>
      <c r="AB1935" s="248"/>
      <c r="AC1935" s="250"/>
      <c r="AD1935" s="181"/>
      <c r="AE1935" s="37"/>
      <c r="AF1935" s="37"/>
      <c r="AG1935" s="33"/>
      <c r="AH1935" s="37"/>
      <c r="AI1935" s="37"/>
      <c r="AJ1935" s="181"/>
      <c r="AK1935" s="37"/>
      <c r="AL1935" s="37"/>
      <c r="AM1935" s="181"/>
      <c r="AN1935" s="37"/>
      <c r="AO1935" s="37"/>
      <c r="AP1935" s="37"/>
      <c r="AQ1935" s="37"/>
      <c r="AR1935" s="37"/>
      <c r="AS1935" s="37"/>
      <c r="AT1935" s="37"/>
      <c r="AU1935" s="37"/>
      <c r="AV1935" s="37"/>
      <c r="AW1935" s="37"/>
      <c r="AX1935" s="37"/>
      <c r="AY1935" s="37"/>
      <c r="AZ1935" s="37"/>
    </row>
    <row r="1936" spans="1:52" ht="15.5" customHeight="1">
      <c r="A1936" s="360"/>
      <c r="B1936" s="340"/>
      <c r="C1936" s="181"/>
      <c r="D1936" s="30"/>
      <c r="E1936" s="30"/>
      <c r="F1936" s="30"/>
      <c r="G1936" s="37"/>
      <c r="H1936" s="37"/>
      <c r="I1936" s="37"/>
      <c r="J1936" s="37" t="s">
        <v>69</v>
      </c>
      <c r="K1936" s="325" t="s">
        <v>69</v>
      </c>
      <c r="L1936" s="181"/>
      <c r="M1936" s="181"/>
      <c r="N1936" s="37"/>
      <c r="O1936" s="31"/>
      <c r="P1936" s="37"/>
      <c r="Q1936" s="181"/>
      <c r="R1936" s="181"/>
      <c r="S1936" s="181"/>
      <c r="T1936" s="181"/>
      <c r="U1936" s="181"/>
      <c r="V1936" s="37"/>
      <c r="W1936" s="181"/>
      <c r="X1936" s="38"/>
      <c r="Y1936" s="38"/>
      <c r="Z1936" s="38"/>
      <c r="AA1936" s="38"/>
      <c r="AB1936" s="248"/>
      <c r="AC1936" s="250"/>
      <c r="AD1936" s="181"/>
      <c r="AE1936" s="37"/>
      <c r="AF1936" s="37"/>
      <c r="AG1936" s="33"/>
      <c r="AH1936" s="37"/>
      <c r="AI1936" s="37"/>
      <c r="AJ1936" s="181"/>
      <c r="AK1936" s="37"/>
      <c r="AL1936" s="37"/>
      <c r="AM1936" s="181"/>
      <c r="AN1936" s="37"/>
      <c r="AO1936" s="37"/>
      <c r="AP1936" s="37"/>
      <c r="AQ1936" s="37"/>
      <c r="AR1936" s="37"/>
      <c r="AS1936" s="37"/>
      <c r="AT1936" s="37"/>
      <c r="AU1936" s="37"/>
      <c r="AV1936" s="37"/>
      <c r="AW1936" s="37"/>
      <c r="AX1936" s="37"/>
      <c r="AY1936" s="37"/>
      <c r="AZ1936" s="37"/>
    </row>
    <row r="1937" spans="1:52" ht="15.5" customHeight="1">
      <c r="A1937" s="360"/>
      <c r="B1937" s="340"/>
      <c r="C1937" s="181"/>
      <c r="D1937" s="30"/>
      <c r="E1937" s="30"/>
      <c r="F1937" s="30"/>
      <c r="G1937" s="37"/>
      <c r="H1937" s="37"/>
      <c r="I1937" s="37"/>
      <c r="J1937" s="37" t="s">
        <v>69</v>
      </c>
      <c r="K1937" s="325" t="s">
        <v>69</v>
      </c>
      <c r="L1937" s="181"/>
      <c r="M1937" s="181"/>
      <c r="N1937" s="37"/>
      <c r="O1937" s="31"/>
      <c r="P1937" s="37"/>
      <c r="Q1937" s="181"/>
      <c r="R1937" s="181"/>
      <c r="S1937" s="181"/>
      <c r="T1937" s="181"/>
      <c r="U1937" s="181"/>
      <c r="V1937" s="37"/>
      <c r="W1937" s="181"/>
      <c r="X1937" s="38"/>
      <c r="Y1937" s="38"/>
      <c r="Z1937" s="38"/>
      <c r="AA1937" s="38"/>
      <c r="AB1937" s="248"/>
      <c r="AC1937" s="250"/>
      <c r="AD1937" s="181"/>
      <c r="AE1937" s="37"/>
      <c r="AF1937" s="37"/>
      <c r="AG1937" s="33"/>
      <c r="AH1937" s="37"/>
      <c r="AI1937" s="37"/>
      <c r="AJ1937" s="181"/>
      <c r="AK1937" s="37"/>
      <c r="AL1937" s="37"/>
      <c r="AM1937" s="181"/>
      <c r="AN1937" s="37"/>
      <c r="AO1937" s="37"/>
      <c r="AP1937" s="37"/>
      <c r="AQ1937" s="37"/>
      <c r="AR1937" s="37"/>
      <c r="AS1937" s="37"/>
      <c r="AT1937" s="37"/>
      <c r="AU1937" s="37"/>
      <c r="AV1937" s="37"/>
      <c r="AW1937" s="37"/>
      <c r="AX1937" s="37"/>
      <c r="AY1937" s="37"/>
      <c r="AZ1937" s="37"/>
    </row>
    <row r="1938" spans="1:52" ht="15.5" customHeight="1">
      <c r="A1938" s="360"/>
      <c r="B1938" s="340"/>
      <c r="C1938" s="181"/>
      <c r="D1938" s="30"/>
      <c r="E1938" s="30"/>
      <c r="F1938" s="30"/>
      <c r="G1938" s="37"/>
      <c r="H1938" s="37"/>
      <c r="I1938" s="37"/>
      <c r="J1938" s="37" t="s">
        <v>69</v>
      </c>
      <c r="K1938" s="325" t="s">
        <v>69</v>
      </c>
      <c r="L1938" s="181"/>
      <c r="M1938" s="181"/>
      <c r="N1938" s="37"/>
      <c r="O1938" s="31"/>
      <c r="P1938" s="37"/>
      <c r="Q1938" s="181"/>
      <c r="R1938" s="181"/>
      <c r="S1938" s="181"/>
      <c r="T1938" s="181"/>
      <c r="U1938" s="181"/>
      <c r="V1938" s="37"/>
      <c r="W1938" s="181"/>
      <c r="X1938" s="38"/>
      <c r="Y1938" s="38"/>
      <c r="Z1938" s="38"/>
      <c r="AA1938" s="38"/>
      <c r="AB1938" s="248"/>
      <c r="AC1938" s="250"/>
      <c r="AD1938" s="181"/>
      <c r="AE1938" s="37"/>
      <c r="AF1938" s="37"/>
      <c r="AG1938" s="33"/>
      <c r="AH1938" s="37"/>
      <c r="AI1938" s="37"/>
      <c r="AJ1938" s="181"/>
      <c r="AK1938" s="37"/>
      <c r="AL1938" s="37"/>
      <c r="AM1938" s="181"/>
      <c r="AN1938" s="37"/>
      <c r="AO1938" s="37"/>
      <c r="AP1938" s="37"/>
      <c r="AQ1938" s="37"/>
      <c r="AR1938" s="37"/>
      <c r="AS1938" s="37"/>
      <c r="AT1938" s="37"/>
      <c r="AU1938" s="37"/>
      <c r="AV1938" s="37"/>
      <c r="AW1938" s="37"/>
      <c r="AX1938" s="37"/>
      <c r="AY1938" s="37"/>
      <c r="AZ1938" s="37"/>
    </row>
    <row r="1939" spans="1:52" ht="15.5" customHeight="1">
      <c r="A1939" s="360"/>
      <c r="B1939" s="340"/>
      <c r="C1939" s="181"/>
      <c r="D1939" s="30"/>
      <c r="E1939" s="30"/>
      <c r="F1939" s="30"/>
      <c r="G1939" s="37"/>
      <c r="H1939" s="37"/>
      <c r="I1939" s="37"/>
      <c r="J1939" s="37" t="s">
        <v>69</v>
      </c>
      <c r="K1939" s="325" t="s">
        <v>69</v>
      </c>
      <c r="L1939" s="181"/>
      <c r="M1939" s="181"/>
      <c r="N1939" s="37"/>
      <c r="O1939" s="31"/>
      <c r="P1939" s="37"/>
      <c r="Q1939" s="181"/>
      <c r="R1939" s="181"/>
      <c r="S1939" s="181"/>
      <c r="T1939" s="181"/>
      <c r="U1939" s="181"/>
      <c r="V1939" s="37"/>
      <c r="W1939" s="181"/>
      <c r="X1939" s="38"/>
      <c r="Y1939" s="38"/>
      <c r="Z1939" s="38"/>
      <c r="AA1939" s="38"/>
      <c r="AB1939" s="248"/>
      <c r="AC1939" s="250"/>
      <c r="AD1939" s="181"/>
      <c r="AE1939" s="37"/>
      <c r="AF1939" s="37"/>
      <c r="AG1939" s="33"/>
      <c r="AH1939" s="37"/>
      <c r="AI1939" s="37"/>
      <c r="AJ1939" s="181"/>
      <c r="AK1939" s="37"/>
      <c r="AL1939" s="37"/>
      <c r="AM1939" s="181"/>
      <c r="AN1939" s="37"/>
      <c r="AO1939" s="37"/>
      <c r="AP1939" s="37"/>
      <c r="AQ1939" s="37"/>
      <c r="AR1939" s="37"/>
      <c r="AS1939" s="37"/>
      <c r="AT1939" s="37"/>
      <c r="AU1939" s="37"/>
      <c r="AV1939" s="37"/>
      <c r="AW1939" s="37"/>
      <c r="AX1939" s="37"/>
      <c r="AY1939" s="37"/>
      <c r="AZ1939" s="37"/>
    </row>
    <row r="1940" spans="1:52" ht="15.5" customHeight="1">
      <c r="A1940" s="360"/>
      <c r="B1940" s="340"/>
      <c r="C1940" s="181"/>
      <c r="D1940" s="30"/>
      <c r="E1940" s="30"/>
      <c r="F1940" s="30"/>
      <c r="G1940" s="37"/>
      <c r="H1940" s="37"/>
      <c r="I1940" s="37"/>
      <c r="J1940" s="37" t="s">
        <v>69</v>
      </c>
      <c r="K1940" s="325" t="s">
        <v>69</v>
      </c>
      <c r="L1940" s="181"/>
      <c r="M1940" s="181"/>
      <c r="N1940" s="37"/>
      <c r="O1940" s="31"/>
      <c r="P1940" s="37"/>
      <c r="Q1940" s="181"/>
      <c r="R1940" s="181"/>
      <c r="S1940" s="181"/>
      <c r="T1940" s="181"/>
      <c r="U1940" s="181"/>
      <c r="V1940" s="37"/>
      <c r="W1940" s="181"/>
      <c r="X1940" s="38"/>
      <c r="Y1940" s="38"/>
      <c r="Z1940" s="38"/>
      <c r="AA1940" s="38"/>
      <c r="AB1940" s="248"/>
      <c r="AC1940" s="250"/>
      <c r="AD1940" s="181"/>
      <c r="AE1940" s="37"/>
      <c r="AF1940" s="37"/>
      <c r="AG1940" s="33"/>
      <c r="AH1940" s="37"/>
      <c r="AI1940" s="37"/>
      <c r="AJ1940" s="181"/>
      <c r="AK1940" s="37"/>
      <c r="AL1940" s="37"/>
      <c r="AM1940" s="181"/>
      <c r="AN1940" s="37"/>
      <c r="AO1940" s="37"/>
      <c r="AP1940" s="37"/>
      <c r="AQ1940" s="37"/>
      <c r="AR1940" s="37"/>
      <c r="AS1940" s="37"/>
      <c r="AT1940" s="37"/>
      <c r="AU1940" s="37"/>
      <c r="AV1940" s="37"/>
      <c r="AW1940" s="37"/>
      <c r="AX1940" s="37"/>
      <c r="AY1940" s="37"/>
      <c r="AZ1940" s="37"/>
    </row>
    <row r="1941" spans="1:52" ht="15.5" customHeight="1">
      <c r="A1941" s="360"/>
      <c r="B1941" s="340"/>
      <c r="C1941" s="181"/>
      <c r="D1941" s="30"/>
      <c r="E1941" s="30"/>
      <c r="F1941" s="30"/>
      <c r="G1941" s="37"/>
      <c r="H1941" s="37"/>
      <c r="I1941" s="37"/>
      <c r="J1941" s="37" t="s">
        <v>69</v>
      </c>
      <c r="K1941" s="325" t="s">
        <v>69</v>
      </c>
      <c r="L1941" s="181"/>
      <c r="M1941" s="181"/>
      <c r="N1941" s="37"/>
      <c r="O1941" s="31"/>
      <c r="P1941" s="37"/>
      <c r="Q1941" s="181"/>
      <c r="R1941" s="181"/>
      <c r="S1941" s="181"/>
      <c r="T1941" s="181"/>
      <c r="U1941" s="181"/>
      <c r="V1941" s="37"/>
      <c r="W1941" s="181"/>
      <c r="X1941" s="38"/>
      <c r="Y1941" s="38"/>
      <c r="Z1941" s="38"/>
      <c r="AA1941" s="38"/>
      <c r="AB1941" s="248"/>
      <c r="AC1941" s="250"/>
      <c r="AD1941" s="181"/>
      <c r="AE1941" s="37"/>
      <c r="AF1941" s="37"/>
      <c r="AG1941" s="33"/>
      <c r="AH1941" s="37"/>
      <c r="AI1941" s="37"/>
      <c r="AJ1941" s="181"/>
      <c r="AK1941" s="37"/>
      <c r="AL1941" s="37"/>
      <c r="AM1941" s="181"/>
      <c r="AN1941" s="37"/>
      <c r="AO1941" s="37"/>
      <c r="AP1941" s="37"/>
      <c r="AQ1941" s="37"/>
      <c r="AR1941" s="37"/>
      <c r="AS1941" s="37"/>
      <c r="AT1941" s="37"/>
      <c r="AU1941" s="37"/>
      <c r="AV1941" s="37"/>
      <c r="AW1941" s="37"/>
      <c r="AX1941" s="37"/>
      <c r="AY1941" s="37"/>
      <c r="AZ1941" s="37"/>
    </row>
    <row r="1942" spans="1:52" ht="15.5" customHeight="1">
      <c r="A1942" s="360"/>
      <c r="B1942" s="340"/>
      <c r="C1942" s="181"/>
      <c r="D1942" s="30"/>
      <c r="E1942" s="30"/>
      <c r="F1942" s="30"/>
      <c r="G1942" s="37"/>
      <c r="H1942" s="37"/>
      <c r="I1942" s="37"/>
      <c r="J1942" s="37" t="s">
        <v>69</v>
      </c>
      <c r="K1942" s="325" t="s">
        <v>69</v>
      </c>
      <c r="L1942" s="181"/>
      <c r="M1942" s="181"/>
      <c r="N1942" s="37"/>
      <c r="O1942" s="31"/>
      <c r="P1942" s="37"/>
      <c r="Q1942" s="181"/>
      <c r="R1942" s="181"/>
      <c r="S1942" s="181"/>
      <c r="T1942" s="181"/>
      <c r="U1942" s="181"/>
      <c r="V1942" s="37"/>
      <c r="W1942" s="181"/>
      <c r="X1942" s="38"/>
      <c r="Y1942" s="38"/>
      <c r="Z1942" s="38"/>
      <c r="AA1942" s="38"/>
      <c r="AB1942" s="248"/>
      <c r="AC1942" s="250"/>
      <c r="AD1942" s="181"/>
      <c r="AE1942" s="37"/>
      <c r="AF1942" s="37"/>
      <c r="AG1942" s="33"/>
      <c r="AH1942" s="37"/>
      <c r="AI1942" s="37"/>
      <c r="AJ1942" s="181"/>
      <c r="AK1942" s="37"/>
      <c r="AL1942" s="37"/>
      <c r="AM1942" s="181"/>
      <c r="AN1942" s="37"/>
      <c r="AO1942" s="37"/>
      <c r="AP1942" s="37"/>
      <c r="AQ1942" s="37"/>
      <c r="AR1942" s="37"/>
      <c r="AS1942" s="37"/>
      <c r="AT1942" s="37"/>
      <c r="AU1942" s="37"/>
      <c r="AV1942" s="37"/>
      <c r="AW1942" s="37"/>
      <c r="AX1942" s="37"/>
      <c r="AY1942" s="37"/>
      <c r="AZ1942" s="37"/>
    </row>
    <row r="1943" spans="1:52" ht="15.5" customHeight="1">
      <c r="A1943" s="360"/>
      <c r="B1943" s="340"/>
      <c r="C1943" s="181"/>
      <c r="D1943" s="30"/>
      <c r="E1943" s="30"/>
      <c r="F1943" s="30"/>
      <c r="G1943" s="37"/>
      <c r="H1943" s="37"/>
      <c r="I1943" s="37"/>
      <c r="J1943" s="37" t="s">
        <v>69</v>
      </c>
      <c r="K1943" s="325" t="s">
        <v>69</v>
      </c>
      <c r="L1943" s="181"/>
      <c r="M1943" s="181"/>
      <c r="N1943" s="37"/>
      <c r="O1943" s="31"/>
      <c r="P1943" s="37"/>
      <c r="Q1943" s="181"/>
      <c r="R1943" s="181"/>
      <c r="S1943" s="181"/>
      <c r="T1943" s="181"/>
      <c r="U1943" s="181"/>
      <c r="V1943" s="37"/>
      <c r="W1943" s="181"/>
      <c r="X1943" s="38"/>
      <c r="Y1943" s="38"/>
      <c r="Z1943" s="38"/>
      <c r="AA1943" s="38"/>
      <c r="AB1943" s="248"/>
      <c r="AC1943" s="250"/>
      <c r="AD1943" s="181"/>
      <c r="AE1943" s="37"/>
      <c r="AF1943" s="37"/>
      <c r="AG1943" s="33"/>
      <c r="AH1943" s="37"/>
      <c r="AI1943" s="37"/>
      <c r="AJ1943" s="181"/>
      <c r="AK1943" s="37"/>
      <c r="AL1943" s="37"/>
      <c r="AM1943" s="181"/>
      <c r="AN1943" s="37"/>
      <c r="AO1943" s="37"/>
      <c r="AP1943" s="37"/>
      <c r="AQ1943" s="37"/>
      <c r="AR1943" s="37"/>
      <c r="AS1943" s="37"/>
      <c r="AT1943" s="37"/>
      <c r="AU1943" s="37"/>
      <c r="AV1943" s="37"/>
      <c r="AW1943" s="37"/>
      <c r="AX1943" s="37"/>
      <c r="AY1943" s="37"/>
      <c r="AZ1943" s="37"/>
    </row>
    <row r="1944" spans="1:52" ht="15.5" customHeight="1">
      <c r="A1944" s="360"/>
      <c r="B1944" s="340"/>
      <c r="C1944" s="181"/>
      <c r="D1944" s="30"/>
      <c r="E1944" s="30"/>
      <c r="F1944" s="30"/>
      <c r="G1944" s="37"/>
      <c r="H1944" s="37"/>
      <c r="I1944" s="37"/>
      <c r="J1944" s="37" t="s">
        <v>69</v>
      </c>
      <c r="K1944" s="325" t="s">
        <v>69</v>
      </c>
      <c r="L1944" s="181"/>
      <c r="M1944" s="181"/>
      <c r="N1944" s="37"/>
      <c r="O1944" s="31"/>
      <c r="P1944" s="37"/>
      <c r="Q1944" s="181"/>
      <c r="R1944" s="181"/>
      <c r="S1944" s="181"/>
      <c r="T1944" s="181"/>
      <c r="U1944" s="181"/>
      <c r="V1944" s="37"/>
      <c r="W1944" s="181"/>
      <c r="X1944" s="38"/>
      <c r="Y1944" s="38"/>
      <c r="Z1944" s="38"/>
      <c r="AA1944" s="38"/>
      <c r="AB1944" s="248"/>
      <c r="AC1944" s="250"/>
      <c r="AD1944" s="181"/>
      <c r="AE1944" s="37"/>
      <c r="AF1944" s="37"/>
      <c r="AG1944" s="33"/>
      <c r="AH1944" s="37"/>
      <c r="AI1944" s="37"/>
      <c r="AJ1944" s="181"/>
      <c r="AK1944" s="37"/>
      <c r="AL1944" s="37"/>
      <c r="AM1944" s="181"/>
      <c r="AN1944" s="37"/>
      <c r="AO1944" s="37"/>
      <c r="AP1944" s="37"/>
      <c r="AQ1944" s="37"/>
      <c r="AR1944" s="37"/>
      <c r="AS1944" s="37"/>
      <c r="AT1944" s="37"/>
      <c r="AU1944" s="37"/>
      <c r="AV1944" s="37"/>
      <c r="AW1944" s="37"/>
      <c r="AX1944" s="37"/>
      <c r="AY1944" s="37"/>
      <c r="AZ1944" s="37"/>
    </row>
    <row r="1945" spans="1:52" ht="15.5" customHeight="1">
      <c r="A1945" s="360"/>
      <c r="B1945" s="340"/>
      <c r="C1945" s="181"/>
      <c r="D1945" s="30"/>
      <c r="E1945" s="30"/>
      <c r="F1945" s="30"/>
      <c r="G1945" s="37"/>
      <c r="H1945" s="37"/>
      <c r="I1945" s="37"/>
      <c r="J1945" s="37" t="s">
        <v>69</v>
      </c>
      <c r="K1945" s="325" t="s">
        <v>69</v>
      </c>
      <c r="L1945" s="181"/>
      <c r="M1945" s="181"/>
      <c r="N1945" s="37"/>
      <c r="O1945" s="31"/>
      <c r="P1945" s="37"/>
      <c r="Q1945" s="181"/>
      <c r="R1945" s="181"/>
      <c r="S1945" s="181"/>
      <c r="T1945" s="181"/>
      <c r="U1945" s="181"/>
      <c r="V1945" s="37"/>
      <c r="W1945" s="181"/>
      <c r="X1945" s="38"/>
      <c r="Y1945" s="38"/>
      <c r="Z1945" s="38"/>
      <c r="AA1945" s="38"/>
      <c r="AB1945" s="248"/>
      <c r="AC1945" s="250"/>
      <c r="AD1945" s="181"/>
      <c r="AE1945" s="37"/>
      <c r="AF1945" s="37"/>
      <c r="AG1945" s="33"/>
      <c r="AH1945" s="37"/>
      <c r="AI1945" s="37"/>
      <c r="AJ1945" s="181"/>
      <c r="AK1945" s="37"/>
      <c r="AL1945" s="37"/>
      <c r="AM1945" s="181"/>
      <c r="AN1945" s="37"/>
      <c r="AO1945" s="37"/>
      <c r="AP1945" s="37"/>
      <c r="AQ1945" s="37"/>
      <c r="AR1945" s="37"/>
      <c r="AS1945" s="37"/>
      <c r="AT1945" s="37"/>
      <c r="AU1945" s="37"/>
      <c r="AV1945" s="37"/>
      <c r="AW1945" s="37"/>
      <c r="AX1945" s="37"/>
      <c r="AY1945" s="37"/>
      <c r="AZ1945" s="37"/>
    </row>
    <row r="1946" spans="1:52" ht="15.5" customHeight="1">
      <c r="A1946" s="360"/>
      <c r="B1946" s="340"/>
      <c r="C1946" s="181"/>
      <c r="D1946" s="30"/>
      <c r="E1946" s="30"/>
      <c r="F1946" s="30"/>
      <c r="G1946" s="37"/>
      <c r="H1946" s="37"/>
      <c r="I1946" s="37"/>
      <c r="J1946" s="37" t="s">
        <v>69</v>
      </c>
      <c r="K1946" s="325" t="s">
        <v>69</v>
      </c>
      <c r="L1946" s="181"/>
      <c r="M1946" s="181"/>
      <c r="N1946" s="37"/>
      <c r="O1946" s="31"/>
      <c r="P1946" s="37"/>
      <c r="Q1946" s="181"/>
      <c r="R1946" s="181"/>
      <c r="S1946" s="181"/>
      <c r="T1946" s="181"/>
      <c r="U1946" s="181"/>
      <c r="V1946" s="37"/>
      <c r="W1946" s="181"/>
      <c r="X1946" s="38"/>
      <c r="Y1946" s="38"/>
      <c r="Z1946" s="38"/>
      <c r="AA1946" s="38"/>
      <c r="AB1946" s="248"/>
      <c r="AC1946" s="250"/>
      <c r="AD1946" s="181"/>
      <c r="AE1946" s="37"/>
      <c r="AF1946" s="37"/>
      <c r="AG1946" s="33"/>
      <c r="AH1946" s="37"/>
      <c r="AI1946" s="37"/>
      <c r="AJ1946" s="181"/>
      <c r="AK1946" s="37"/>
      <c r="AL1946" s="37"/>
      <c r="AM1946" s="181"/>
      <c r="AN1946" s="37"/>
      <c r="AO1946" s="37"/>
      <c r="AP1946" s="37"/>
      <c r="AQ1946" s="37"/>
      <c r="AR1946" s="37"/>
      <c r="AS1946" s="37"/>
      <c r="AT1946" s="37"/>
      <c r="AU1946" s="37"/>
      <c r="AV1946" s="37"/>
      <c r="AW1946" s="37"/>
      <c r="AX1946" s="37"/>
      <c r="AY1946" s="37"/>
      <c r="AZ1946" s="37"/>
    </row>
    <row r="1947" spans="1:52" ht="15.5" customHeight="1">
      <c r="A1947" s="360"/>
      <c r="B1947" s="340"/>
      <c r="C1947" s="181"/>
      <c r="D1947" s="30"/>
      <c r="E1947" s="30"/>
      <c r="F1947" s="30"/>
      <c r="G1947" s="37"/>
      <c r="H1947" s="37"/>
      <c r="I1947" s="37"/>
      <c r="J1947" s="37" t="s">
        <v>69</v>
      </c>
      <c r="K1947" s="325" t="s">
        <v>69</v>
      </c>
      <c r="L1947" s="181"/>
      <c r="M1947" s="181"/>
      <c r="N1947" s="37"/>
      <c r="O1947" s="31"/>
      <c r="P1947" s="37"/>
      <c r="Q1947" s="181"/>
      <c r="R1947" s="181"/>
      <c r="S1947" s="181"/>
      <c r="T1947" s="181"/>
      <c r="U1947" s="181"/>
      <c r="V1947" s="37"/>
      <c r="W1947" s="181"/>
      <c r="X1947" s="38"/>
      <c r="Y1947" s="38"/>
      <c r="Z1947" s="38"/>
      <c r="AA1947" s="38"/>
      <c r="AB1947" s="248"/>
      <c r="AC1947" s="250"/>
      <c r="AD1947" s="181"/>
      <c r="AE1947" s="37"/>
      <c r="AF1947" s="37"/>
      <c r="AG1947" s="33"/>
      <c r="AH1947" s="37"/>
      <c r="AI1947" s="37"/>
      <c r="AJ1947" s="181"/>
      <c r="AK1947" s="37"/>
      <c r="AL1947" s="37"/>
      <c r="AM1947" s="181"/>
      <c r="AN1947" s="37"/>
      <c r="AO1947" s="37"/>
      <c r="AP1947" s="37"/>
      <c r="AQ1947" s="37"/>
      <c r="AR1947" s="37"/>
      <c r="AS1947" s="37"/>
      <c r="AT1947" s="37"/>
      <c r="AU1947" s="37"/>
      <c r="AV1947" s="37"/>
      <c r="AW1947" s="37"/>
      <c r="AX1947" s="37"/>
      <c r="AY1947" s="37"/>
      <c r="AZ1947" s="37"/>
    </row>
    <row r="1948" spans="1:52" ht="15.5" customHeight="1">
      <c r="A1948" s="360"/>
      <c r="B1948" s="340"/>
      <c r="C1948" s="181"/>
      <c r="D1948" s="30"/>
      <c r="E1948" s="30"/>
      <c r="F1948" s="30"/>
      <c r="G1948" s="37"/>
      <c r="H1948" s="37"/>
      <c r="I1948" s="37"/>
      <c r="J1948" s="37" t="s">
        <v>69</v>
      </c>
      <c r="K1948" s="325" t="s">
        <v>69</v>
      </c>
      <c r="L1948" s="181"/>
      <c r="M1948" s="181"/>
      <c r="N1948" s="37"/>
      <c r="O1948" s="31"/>
      <c r="P1948" s="37"/>
      <c r="Q1948" s="181"/>
      <c r="R1948" s="181"/>
      <c r="S1948" s="181"/>
      <c r="T1948" s="181"/>
      <c r="U1948" s="181"/>
      <c r="V1948" s="37"/>
      <c r="W1948" s="181"/>
      <c r="X1948" s="38"/>
      <c r="Y1948" s="38"/>
      <c r="Z1948" s="38"/>
      <c r="AA1948" s="38"/>
      <c r="AB1948" s="248"/>
      <c r="AC1948" s="250"/>
      <c r="AD1948" s="181"/>
      <c r="AE1948" s="37"/>
      <c r="AF1948" s="37"/>
      <c r="AG1948" s="33"/>
      <c r="AH1948" s="37"/>
      <c r="AI1948" s="37"/>
      <c r="AJ1948" s="181"/>
      <c r="AK1948" s="37"/>
      <c r="AL1948" s="37"/>
      <c r="AM1948" s="181"/>
      <c r="AN1948" s="37"/>
      <c r="AO1948" s="37"/>
      <c r="AP1948" s="37"/>
      <c r="AQ1948" s="37"/>
      <c r="AR1948" s="37"/>
      <c r="AS1948" s="37"/>
      <c r="AT1948" s="37"/>
      <c r="AU1948" s="37"/>
      <c r="AV1948" s="37"/>
      <c r="AW1948" s="37"/>
      <c r="AX1948" s="37"/>
      <c r="AY1948" s="37"/>
      <c r="AZ1948" s="37"/>
    </row>
    <row r="1949" spans="1:52" ht="15.5" customHeight="1">
      <c r="A1949" s="360"/>
      <c r="B1949" s="340"/>
      <c r="C1949" s="181"/>
      <c r="D1949" s="30"/>
      <c r="E1949" s="30"/>
      <c r="F1949" s="30"/>
      <c r="G1949" s="37"/>
      <c r="H1949" s="37"/>
      <c r="I1949" s="37"/>
      <c r="J1949" s="37" t="s">
        <v>69</v>
      </c>
      <c r="K1949" s="325" t="s">
        <v>69</v>
      </c>
      <c r="L1949" s="181"/>
      <c r="M1949" s="181"/>
      <c r="N1949" s="37"/>
      <c r="O1949" s="31"/>
      <c r="P1949" s="37"/>
      <c r="Q1949" s="181"/>
      <c r="R1949" s="181"/>
      <c r="S1949" s="181"/>
      <c r="T1949" s="181"/>
      <c r="U1949" s="181"/>
      <c r="V1949" s="37"/>
      <c r="W1949" s="181"/>
      <c r="X1949" s="38"/>
      <c r="Y1949" s="38"/>
      <c r="Z1949" s="38"/>
      <c r="AA1949" s="38"/>
      <c r="AB1949" s="248"/>
      <c r="AC1949" s="250"/>
      <c r="AD1949" s="181"/>
      <c r="AE1949" s="37"/>
      <c r="AF1949" s="37"/>
      <c r="AG1949" s="33"/>
      <c r="AH1949" s="37"/>
      <c r="AI1949" s="37"/>
      <c r="AJ1949" s="181"/>
      <c r="AK1949" s="37"/>
      <c r="AL1949" s="37"/>
      <c r="AM1949" s="181"/>
      <c r="AN1949" s="37"/>
      <c r="AO1949" s="37"/>
      <c r="AP1949" s="37"/>
      <c r="AQ1949" s="37"/>
      <c r="AR1949" s="37"/>
      <c r="AS1949" s="37"/>
      <c r="AT1949" s="37"/>
      <c r="AU1949" s="37"/>
      <c r="AV1949" s="37"/>
      <c r="AW1949" s="37"/>
      <c r="AX1949" s="37"/>
      <c r="AY1949" s="37"/>
      <c r="AZ1949" s="37"/>
    </row>
    <row r="1950" spans="1:52" ht="15.5" customHeight="1">
      <c r="A1950" s="360"/>
      <c r="B1950" s="340"/>
      <c r="C1950" s="181"/>
      <c r="D1950" s="30"/>
      <c r="E1950" s="30"/>
      <c r="F1950" s="30"/>
      <c r="G1950" s="37"/>
      <c r="H1950" s="37"/>
      <c r="I1950" s="37"/>
      <c r="J1950" s="37" t="s">
        <v>69</v>
      </c>
      <c r="K1950" s="325" t="s">
        <v>69</v>
      </c>
      <c r="L1950" s="181"/>
      <c r="M1950" s="181"/>
      <c r="N1950" s="37"/>
      <c r="O1950" s="31"/>
      <c r="P1950" s="37"/>
      <c r="Q1950" s="181"/>
      <c r="R1950" s="181"/>
      <c r="S1950" s="181"/>
      <c r="T1950" s="181"/>
      <c r="U1950" s="181"/>
      <c r="V1950" s="37"/>
      <c r="W1950" s="181"/>
      <c r="X1950" s="38"/>
      <c r="Y1950" s="38"/>
      <c r="Z1950" s="38"/>
      <c r="AA1950" s="38"/>
      <c r="AB1950" s="248"/>
      <c r="AC1950" s="250"/>
      <c r="AD1950" s="181"/>
      <c r="AE1950" s="37"/>
      <c r="AF1950" s="37"/>
      <c r="AG1950" s="33"/>
      <c r="AH1950" s="37"/>
      <c r="AI1950" s="37"/>
      <c r="AJ1950" s="181"/>
      <c r="AK1950" s="37"/>
      <c r="AL1950" s="37"/>
      <c r="AM1950" s="181"/>
      <c r="AN1950" s="37"/>
      <c r="AO1950" s="37"/>
      <c r="AP1950" s="37"/>
      <c r="AQ1950" s="37"/>
      <c r="AR1950" s="37"/>
      <c r="AS1950" s="37"/>
      <c r="AT1950" s="37"/>
      <c r="AU1950" s="37"/>
      <c r="AV1950" s="37"/>
      <c r="AW1950" s="37"/>
      <c r="AX1950" s="37"/>
      <c r="AY1950" s="37"/>
      <c r="AZ1950" s="37"/>
    </row>
    <row r="1951" spans="1:52" ht="15.5" customHeight="1">
      <c r="A1951" s="360"/>
      <c r="B1951" s="340"/>
      <c r="C1951" s="181"/>
      <c r="D1951" s="30"/>
      <c r="E1951" s="30"/>
      <c r="F1951" s="30"/>
      <c r="G1951" s="37"/>
      <c r="H1951" s="37"/>
      <c r="I1951" s="37"/>
      <c r="J1951" s="37" t="s">
        <v>69</v>
      </c>
      <c r="K1951" s="325" t="s">
        <v>69</v>
      </c>
      <c r="L1951" s="181"/>
      <c r="M1951" s="181"/>
      <c r="N1951" s="37"/>
      <c r="O1951" s="31"/>
      <c r="P1951" s="37"/>
      <c r="Q1951" s="181"/>
      <c r="R1951" s="181"/>
      <c r="S1951" s="181"/>
      <c r="T1951" s="181"/>
      <c r="U1951" s="181"/>
      <c r="V1951" s="37"/>
      <c r="W1951" s="181"/>
      <c r="X1951" s="38"/>
      <c r="Y1951" s="38"/>
      <c r="Z1951" s="38"/>
      <c r="AA1951" s="38"/>
      <c r="AB1951" s="248"/>
      <c r="AC1951" s="250"/>
      <c r="AD1951" s="181"/>
      <c r="AE1951" s="37"/>
      <c r="AF1951" s="37"/>
      <c r="AG1951" s="33"/>
      <c r="AH1951" s="37"/>
      <c r="AI1951" s="37"/>
      <c r="AJ1951" s="181"/>
      <c r="AK1951" s="37"/>
      <c r="AL1951" s="37"/>
      <c r="AM1951" s="181"/>
      <c r="AN1951" s="37"/>
      <c r="AO1951" s="37"/>
      <c r="AP1951" s="37"/>
      <c r="AQ1951" s="37"/>
      <c r="AR1951" s="37"/>
      <c r="AS1951" s="37"/>
      <c r="AT1951" s="37"/>
      <c r="AU1951" s="37"/>
      <c r="AV1951" s="37"/>
      <c r="AW1951" s="37"/>
      <c r="AX1951" s="37"/>
      <c r="AY1951" s="37"/>
      <c r="AZ1951" s="37"/>
    </row>
    <row r="1952" spans="1:52" ht="15.5" customHeight="1">
      <c r="A1952" s="360"/>
      <c r="B1952" s="340"/>
      <c r="C1952" s="181"/>
      <c r="D1952" s="30"/>
      <c r="E1952" s="30"/>
      <c r="F1952" s="30"/>
      <c r="G1952" s="37"/>
      <c r="H1952" s="37"/>
      <c r="I1952" s="37"/>
      <c r="J1952" s="37" t="s">
        <v>69</v>
      </c>
      <c r="K1952" s="325" t="s">
        <v>69</v>
      </c>
      <c r="L1952" s="181"/>
      <c r="M1952" s="181"/>
      <c r="N1952" s="37"/>
      <c r="O1952" s="31"/>
      <c r="P1952" s="37"/>
      <c r="Q1952" s="181"/>
      <c r="R1952" s="181"/>
      <c r="S1952" s="181"/>
      <c r="T1952" s="181"/>
      <c r="U1952" s="181"/>
      <c r="V1952" s="37"/>
      <c r="W1952" s="181"/>
      <c r="X1952" s="38"/>
      <c r="Y1952" s="38"/>
      <c r="Z1952" s="38"/>
      <c r="AA1952" s="38"/>
      <c r="AB1952" s="248"/>
      <c r="AC1952" s="250"/>
      <c r="AD1952" s="181"/>
      <c r="AE1952" s="37"/>
      <c r="AF1952" s="37"/>
      <c r="AG1952" s="33"/>
      <c r="AH1952" s="37"/>
      <c r="AI1952" s="37"/>
      <c r="AJ1952" s="181"/>
      <c r="AK1952" s="37"/>
      <c r="AL1952" s="37"/>
      <c r="AM1952" s="181"/>
      <c r="AN1952" s="37"/>
      <c r="AO1952" s="37"/>
      <c r="AP1952" s="37"/>
      <c r="AQ1952" s="37"/>
      <c r="AR1952" s="37"/>
      <c r="AS1952" s="37"/>
      <c r="AT1952" s="37"/>
      <c r="AU1952" s="37"/>
      <c r="AV1952" s="37"/>
      <c r="AW1952" s="37"/>
      <c r="AX1952" s="37"/>
      <c r="AY1952" s="37"/>
      <c r="AZ1952" s="37"/>
    </row>
    <row r="1953" spans="1:52" ht="15.5" customHeight="1">
      <c r="A1953" s="360"/>
      <c r="B1953" s="340"/>
      <c r="C1953" s="181"/>
      <c r="D1953" s="30"/>
      <c r="E1953" s="30"/>
      <c r="F1953" s="30"/>
      <c r="G1953" s="37"/>
      <c r="H1953" s="37"/>
      <c r="I1953" s="37"/>
      <c r="J1953" s="37" t="s">
        <v>69</v>
      </c>
      <c r="K1953" s="325" t="s">
        <v>69</v>
      </c>
      <c r="L1953" s="181"/>
      <c r="M1953" s="181"/>
      <c r="N1953" s="37"/>
      <c r="O1953" s="31"/>
      <c r="P1953" s="37"/>
      <c r="Q1953" s="181"/>
      <c r="R1953" s="181"/>
      <c r="S1953" s="181"/>
      <c r="T1953" s="181"/>
      <c r="U1953" s="181"/>
      <c r="V1953" s="37"/>
      <c r="W1953" s="181"/>
      <c r="X1953" s="38"/>
      <c r="Y1953" s="38"/>
      <c r="Z1953" s="38"/>
      <c r="AA1953" s="38"/>
      <c r="AB1953" s="248"/>
      <c r="AC1953" s="250"/>
      <c r="AD1953" s="181"/>
      <c r="AE1953" s="37"/>
      <c r="AF1953" s="37"/>
      <c r="AG1953" s="33"/>
      <c r="AH1953" s="37"/>
      <c r="AI1953" s="37"/>
      <c r="AJ1953" s="181"/>
      <c r="AK1953" s="37"/>
      <c r="AL1953" s="37"/>
      <c r="AM1953" s="181"/>
      <c r="AN1953" s="37"/>
      <c r="AO1953" s="37"/>
      <c r="AP1953" s="37"/>
      <c r="AQ1953" s="37"/>
      <c r="AR1953" s="37"/>
      <c r="AS1953" s="37"/>
      <c r="AT1953" s="37"/>
      <c r="AU1953" s="37"/>
      <c r="AV1953" s="37"/>
      <c r="AW1953" s="37"/>
      <c r="AX1953" s="37"/>
      <c r="AY1953" s="37"/>
      <c r="AZ1953" s="37"/>
    </row>
    <row r="1954" spans="1:52" ht="15.5" customHeight="1">
      <c r="A1954" s="360"/>
      <c r="B1954" s="340"/>
      <c r="C1954" s="181"/>
      <c r="D1954" s="30"/>
      <c r="E1954" s="30"/>
      <c r="F1954" s="30"/>
      <c r="G1954" s="37"/>
      <c r="H1954" s="37"/>
      <c r="I1954" s="37"/>
      <c r="J1954" s="37" t="s">
        <v>69</v>
      </c>
      <c r="K1954" s="325" t="s">
        <v>69</v>
      </c>
      <c r="L1954" s="181"/>
      <c r="M1954" s="181"/>
      <c r="N1954" s="37"/>
      <c r="O1954" s="31"/>
      <c r="P1954" s="37"/>
      <c r="Q1954" s="181"/>
      <c r="R1954" s="181"/>
      <c r="S1954" s="181"/>
      <c r="T1954" s="181"/>
      <c r="U1954" s="181"/>
      <c r="V1954" s="37"/>
      <c r="W1954" s="181"/>
      <c r="X1954" s="38"/>
      <c r="Y1954" s="38"/>
      <c r="Z1954" s="38"/>
      <c r="AA1954" s="38"/>
      <c r="AB1954" s="248"/>
      <c r="AC1954" s="250"/>
      <c r="AD1954" s="181"/>
      <c r="AE1954" s="37"/>
      <c r="AF1954" s="37"/>
      <c r="AG1954" s="33"/>
      <c r="AH1954" s="37"/>
      <c r="AI1954" s="37"/>
      <c r="AJ1954" s="181"/>
      <c r="AK1954" s="37"/>
      <c r="AL1954" s="37"/>
      <c r="AM1954" s="181"/>
      <c r="AN1954" s="37"/>
      <c r="AO1954" s="37"/>
      <c r="AP1954" s="37"/>
      <c r="AQ1954" s="37"/>
      <c r="AR1954" s="37"/>
      <c r="AS1954" s="37"/>
      <c r="AT1954" s="37"/>
      <c r="AU1954" s="37"/>
      <c r="AV1954" s="37"/>
      <c r="AW1954" s="37"/>
      <c r="AX1954" s="37"/>
      <c r="AY1954" s="37"/>
      <c r="AZ1954" s="37"/>
    </row>
    <row r="1955" spans="1:52" ht="15.5" customHeight="1">
      <c r="A1955" s="360"/>
      <c r="B1955" s="340"/>
      <c r="C1955" s="181"/>
      <c r="D1955" s="30"/>
      <c r="E1955" s="30"/>
      <c r="F1955" s="30"/>
      <c r="G1955" s="37"/>
      <c r="H1955" s="37"/>
      <c r="I1955" s="37"/>
      <c r="J1955" s="37" t="s">
        <v>69</v>
      </c>
      <c r="K1955" s="325" t="s">
        <v>69</v>
      </c>
      <c r="L1955" s="181"/>
      <c r="M1955" s="181"/>
      <c r="N1955" s="37"/>
      <c r="O1955" s="31"/>
      <c r="P1955" s="37"/>
      <c r="Q1955" s="181"/>
      <c r="R1955" s="181"/>
      <c r="S1955" s="181"/>
      <c r="T1955" s="181"/>
      <c r="U1955" s="181"/>
      <c r="V1955" s="37"/>
      <c r="W1955" s="181"/>
      <c r="X1955" s="38"/>
      <c r="Y1955" s="38"/>
      <c r="Z1955" s="38"/>
      <c r="AA1955" s="38"/>
      <c r="AB1955" s="248"/>
      <c r="AC1955" s="250"/>
      <c r="AD1955" s="181"/>
      <c r="AE1955" s="37"/>
      <c r="AF1955" s="37"/>
      <c r="AG1955" s="33"/>
      <c r="AH1955" s="37"/>
      <c r="AI1955" s="37"/>
      <c r="AJ1955" s="181"/>
      <c r="AK1955" s="37"/>
      <c r="AL1955" s="37"/>
      <c r="AM1955" s="181"/>
      <c r="AN1955" s="37"/>
      <c r="AO1955" s="37"/>
      <c r="AP1955" s="37"/>
      <c r="AQ1955" s="37"/>
      <c r="AR1955" s="37"/>
      <c r="AS1955" s="37"/>
      <c r="AT1955" s="37"/>
      <c r="AU1955" s="37"/>
      <c r="AV1955" s="37"/>
      <c r="AW1955" s="37"/>
      <c r="AX1955" s="37"/>
      <c r="AY1955" s="37"/>
      <c r="AZ1955" s="37"/>
    </row>
    <row r="1956" spans="1:52" ht="15.5" customHeight="1">
      <c r="A1956" s="360"/>
      <c r="B1956" s="340"/>
      <c r="C1956" s="181"/>
      <c r="D1956" s="30"/>
      <c r="E1956" s="30"/>
      <c r="F1956" s="30"/>
      <c r="G1956" s="37"/>
      <c r="H1956" s="37"/>
      <c r="I1956" s="37"/>
      <c r="J1956" s="37" t="s">
        <v>69</v>
      </c>
      <c r="K1956" s="325" t="s">
        <v>69</v>
      </c>
      <c r="L1956" s="181"/>
      <c r="M1956" s="181"/>
      <c r="N1956" s="37"/>
      <c r="O1956" s="31"/>
      <c r="P1956" s="37"/>
      <c r="Q1956" s="181"/>
      <c r="R1956" s="181"/>
      <c r="S1956" s="181"/>
      <c r="T1956" s="181"/>
      <c r="U1956" s="181"/>
      <c r="V1956" s="37"/>
      <c r="W1956" s="181"/>
      <c r="X1956" s="38"/>
      <c r="Y1956" s="38"/>
      <c r="Z1956" s="38"/>
      <c r="AA1956" s="38"/>
      <c r="AB1956" s="248"/>
      <c r="AC1956" s="250"/>
      <c r="AD1956" s="181"/>
      <c r="AE1956" s="37"/>
      <c r="AF1956" s="37"/>
      <c r="AG1956" s="33"/>
      <c r="AH1956" s="37"/>
      <c r="AI1956" s="37"/>
      <c r="AJ1956" s="181"/>
      <c r="AK1956" s="37"/>
      <c r="AL1956" s="37"/>
      <c r="AM1956" s="181"/>
      <c r="AN1956" s="37"/>
      <c r="AO1956" s="37"/>
      <c r="AP1956" s="37"/>
      <c r="AQ1956" s="37"/>
      <c r="AR1956" s="37"/>
      <c r="AS1956" s="37"/>
      <c r="AT1956" s="37"/>
      <c r="AU1956" s="37"/>
      <c r="AV1956" s="37"/>
      <c r="AW1956" s="37"/>
      <c r="AX1956" s="37"/>
      <c r="AY1956" s="37"/>
      <c r="AZ1956" s="37"/>
    </row>
    <row r="1957" spans="1:52" ht="15.5" customHeight="1">
      <c r="A1957" s="360"/>
      <c r="B1957" s="340"/>
      <c r="C1957" s="181"/>
      <c r="D1957" s="30"/>
      <c r="E1957" s="30"/>
      <c r="F1957" s="30"/>
      <c r="G1957" s="37"/>
      <c r="H1957" s="37"/>
      <c r="I1957" s="37"/>
      <c r="J1957" s="37" t="s">
        <v>69</v>
      </c>
      <c r="K1957" s="325" t="s">
        <v>69</v>
      </c>
      <c r="L1957" s="181"/>
      <c r="M1957" s="181"/>
      <c r="N1957" s="37"/>
      <c r="O1957" s="31"/>
      <c r="P1957" s="37"/>
      <c r="Q1957" s="181"/>
      <c r="R1957" s="181"/>
      <c r="S1957" s="181"/>
      <c r="T1957" s="181"/>
      <c r="U1957" s="181"/>
      <c r="V1957" s="37"/>
      <c r="W1957" s="181"/>
      <c r="X1957" s="38"/>
      <c r="Y1957" s="38"/>
      <c r="Z1957" s="38"/>
      <c r="AA1957" s="38"/>
      <c r="AB1957" s="248"/>
      <c r="AC1957" s="250"/>
      <c r="AD1957" s="181"/>
      <c r="AE1957" s="37"/>
      <c r="AF1957" s="37"/>
      <c r="AG1957" s="33"/>
      <c r="AH1957" s="37"/>
      <c r="AI1957" s="37"/>
      <c r="AJ1957" s="181"/>
      <c r="AK1957" s="37"/>
      <c r="AL1957" s="37"/>
      <c r="AM1957" s="181"/>
      <c r="AN1957" s="37"/>
      <c r="AO1957" s="37"/>
      <c r="AP1957" s="37"/>
      <c r="AQ1957" s="37"/>
      <c r="AR1957" s="37"/>
      <c r="AS1957" s="37"/>
      <c r="AT1957" s="37"/>
      <c r="AU1957" s="37"/>
      <c r="AV1957" s="37"/>
      <c r="AW1957" s="37"/>
      <c r="AX1957" s="37"/>
      <c r="AY1957" s="37"/>
      <c r="AZ1957" s="37"/>
    </row>
    <row r="1958" spans="1:52" ht="15.5" customHeight="1">
      <c r="A1958" s="360"/>
      <c r="B1958" s="340"/>
      <c r="C1958" s="181"/>
      <c r="D1958" s="30"/>
      <c r="E1958" s="30"/>
      <c r="F1958" s="30"/>
      <c r="G1958" s="37"/>
      <c r="H1958" s="37"/>
      <c r="I1958" s="37"/>
      <c r="J1958" s="37" t="s">
        <v>69</v>
      </c>
      <c r="K1958" s="325" t="s">
        <v>69</v>
      </c>
      <c r="L1958" s="181"/>
      <c r="M1958" s="181"/>
      <c r="N1958" s="37"/>
      <c r="O1958" s="31"/>
      <c r="P1958" s="37"/>
      <c r="Q1958" s="181"/>
      <c r="R1958" s="181"/>
      <c r="S1958" s="181"/>
      <c r="T1958" s="181"/>
      <c r="U1958" s="181"/>
      <c r="V1958" s="37"/>
      <c r="W1958" s="181"/>
      <c r="X1958" s="38"/>
      <c r="Y1958" s="38"/>
      <c r="Z1958" s="38"/>
      <c r="AA1958" s="38"/>
      <c r="AB1958" s="248"/>
      <c r="AC1958" s="250"/>
      <c r="AD1958" s="181"/>
      <c r="AE1958" s="37"/>
      <c r="AF1958" s="37"/>
      <c r="AG1958" s="33"/>
      <c r="AH1958" s="37"/>
      <c r="AI1958" s="37"/>
      <c r="AJ1958" s="181"/>
      <c r="AK1958" s="37"/>
      <c r="AL1958" s="37"/>
      <c r="AM1958" s="181"/>
      <c r="AN1958" s="37"/>
      <c r="AO1958" s="37"/>
      <c r="AP1958" s="37"/>
      <c r="AQ1958" s="37"/>
      <c r="AR1958" s="37"/>
      <c r="AS1958" s="37"/>
      <c r="AT1958" s="37"/>
      <c r="AU1958" s="37"/>
      <c r="AV1958" s="37"/>
      <c r="AW1958" s="37"/>
      <c r="AX1958" s="37"/>
      <c r="AY1958" s="37"/>
      <c r="AZ1958" s="37"/>
    </row>
    <row r="1959" spans="1:52" ht="15.5" customHeight="1">
      <c r="A1959" s="360"/>
      <c r="B1959" s="340"/>
      <c r="C1959" s="181"/>
      <c r="D1959" s="30"/>
      <c r="E1959" s="30"/>
      <c r="F1959" s="30"/>
      <c r="G1959" s="37"/>
      <c r="H1959" s="37"/>
      <c r="I1959" s="37"/>
      <c r="J1959" s="37" t="s">
        <v>69</v>
      </c>
      <c r="K1959" s="325" t="s">
        <v>69</v>
      </c>
      <c r="L1959" s="181"/>
      <c r="M1959" s="181"/>
      <c r="N1959" s="37"/>
      <c r="O1959" s="31"/>
      <c r="P1959" s="37"/>
      <c r="Q1959" s="181"/>
      <c r="R1959" s="181"/>
      <c r="S1959" s="181"/>
      <c r="T1959" s="181"/>
      <c r="U1959" s="181"/>
      <c r="V1959" s="37"/>
      <c r="W1959" s="181"/>
      <c r="X1959" s="38"/>
      <c r="Y1959" s="38"/>
      <c r="Z1959" s="38"/>
      <c r="AA1959" s="38"/>
      <c r="AB1959" s="248"/>
      <c r="AC1959" s="250"/>
      <c r="AD1959" s="181"/>
      <c r="AE1959" s="37"/>
      <c r="AF1959" s="37"/>
      <c r="AG1959" s="33"/>
      <c r="AH1959" s="37"/>
      <c r="AI1959" s="37"/>
      <c r="AJ1959" s="181"/>
      <c r="AK1959" s="37"/>
      <c r="AL1959" s="37"/>
      <c r="AM1959" s="181"/>
      <c r="AN1959" s="37"/>
      <c r="AO1959" s="37"/>
      <c r="AP1959" s="37"/>
      <c r="AQ1959" s="37"/>
      <c r="AR1959" s="37"/>
      <c r="AS1959" s="37"/>
      <c r="AT1959" s="37"/>
      <c r="AU1959" s="37"/>
      <c r="AV1959" s="37"/>
      <c r="AW1959" s="37"/>
      <c r="AX1959" s="37"/>
      <c r="AY1959" s="37"/>
      <c r="AZ1959" s="37"/>
    </row>
    <row r="1960" spans="1:52" ht="15.5" customHeight="1">
      <c r="A1960" s="360"/>
      <c r="B1960" s="340"/>
      <c r="C1960" s="181"/>
      <c r="D1960" s="30"/>
      <c r="E1960" s="30"/>
      <c r="F1960" s="30"/>
      <c r="G1960" s="37"/>
      <c r="H1960" s="37"/>
      <c r="I1960" s="37"/>
      <c r="J1960" s="37" t="s">
        <v>69</v>
      </c>
      <c r="K1960" s="325" t="s">
        <v>69</v>
      </c>
      <c r="L1960" s="181"/>
      <c r="M1960" s="181"/>
      <c r="N1960" s="37"/>
      <c r="O1960" s="31"/>
      <c r="P1960" s="37"/>
      <c r="Q1960" s="181"/>
      <c r="R1960" s="181"/>
      <c r="S1960" s="181"/>
      <c r="T1960" s="181"/>
      <c r="U1960" s="181"/>
      <c r="V1960" s="37"/>
      <c r="W1960" s="181"/>
      <c r="X1960" s="38"/>
      <c r="Y1960" s="38"/>
      <c r="Z1960" s="38"/>
      <c r="AA1960" s="38"/>
      <c r="AB1960" s="248"/>
      <c r="AC1960" s="250"/>
      <c r="AD1960" s="181"/>
      <c r="AE1960" s="37"/>
      <c r="AF1960" s="37"/>
      <c r="AG1960" s="33"/>
      <c r="AH1960" s="37"/>
      <c r="AI1960" s="37"/>
      <c r="AJ1960" s="181"/>
      <c r="AK1960" s="37"/>
      <c r="AL1960" s="37"/>
      <c r="AM1960" s="181"/>
      <c r="AN1960" s="37"/>
      <c r="AO1960" s="37"/>
      <c r="AP1960" s="37"/>
      <c r="AQ1960" s="37"/>
      <c r="AR1960" s="37"/>
      <c r="AS1960" s="37"/>
      <c r="AT1960" s="37"/>
      <c r="AU1960" s="37"/>
      <c r="AV1960" s="37"/>
      <c r="AW1960" s="37"/>
      <c r="AX1960" s="37"/>
      <c r="AY1960" s="37"/>
      <c r="AZ1960" s="37"/>
    </row>
    <row r="1961" spans="1:52" ht="15.5" customHeight="1">
      <c r="A1961" s="360"/>
      <c r="B1961" s="340"/>
      <c r="C1961" s="181"/>
      <c r="D1961" s="30"/>
      <c r="E1961" s="30"/>
      <c r="F1961" s="30"/>
      <c r="G1961" s="37"/>
      <c r="H1961" s="37"/>
      <c r="I1961" s="37"/>
      <c r="J1961" s="37" t="s">
        <v>69</v>
      </c>
      <c r="K1961" s="325" t="s">
        <v>69</v>
      </c>
      <c r="L1961" s="181"/>
      <c r="M1961" s="181"/>
      <c r="N1961" s="37"/>
      <c r="O1961" s="31"/>
      <c r="P1961" s="37"/>
      <c r="Q1961" s="181"/>
      <c r="R1961" s="181"/>
      <c r="S1961" s="181"/>
      <c r="T1961" s="181"/>
      <c r="U1961" s="181"/>
      <c r="V1961" s="37"/>
      <c r="W1961" s="181"/>
      <c r="X1961" s="38"/>
      <c r="Y1961" s="38"/>
      <c r="Z1961" s="38"/>
      <c r="AA1961" s="38"/>
      <c r="AB1961" s="248"/>
      <c r="AC1961" s="250"/>
      <c r="AD1961" s="181"/>
      <c r="AE1961" s="37"/>
      <c r="AF1961" s="37"/>
      <c r="AG1961" s="33"/>
      <c r="AH1961" s="37"/>
      <c r="AI1961" s="37"/>
      <c r="AJ1961" s="181"/>
      <c r="AK1961" s="37"/>
      <c r="AL1961" s="37"/>
      <c r="AM1961" s="181"/>
      <c r="AN1961" s="37"/>
      <c r="AO1961" s="37"/>
      <c r="AP1961" s="37"/>
      <c r="AQ1961" s="37"/>
      <c r="AR1961" s="37"/>
      <c r="AS1961" s="37"/>
      <c r="AT1961" s="37"/>
      <c r="AU1961" s="37"/>
      <c r="AV1961" s="37"/>
      <c r="AW1961" s="37"/>
      <c r="AX1961" s="37"/>
      <c r="AY1961" s="37"/>
      <c r="AZ1961" s="37"/>
    </row>
    <row r="1962" spans="1:52" ht="15.5" customHeight="1">
      <c r="A1962" s="360"/>
      <c r="B1962" s="340"/>
      <c r="C1962" s="181"/>
      <c r="D1962" s="30"/>
      <c r="E1962" s="30"/>
      <c r="F1962" s="30"/>
      <c r="G1962" s="37"/>
      <c r="H1962" s="37"/>
      <c r="I1962" s="37"/>
      <c r="J1962" s="37" t="s">
        <v>69</v>
      </c>
      <c r="K1962" s="325" t="s">
        <v>69</v>
      </c>
      <c r="L1962" s="181"/>
      <c r="M1962" s="181"/>
      <c r="N1962" s="37"/>
      <c r="O1962" s="31"/>
      <c r="P1962" s="37"/>
      <c r="Q1962" s="181"/>
      <c r="R1962" s="181"/>
      <c r="S1962" s="181"/>
      <c r="T1962" s="181"/>
      <c r="U1962" s="181"/>
      <c r="V1962" s="37"/>
      <c r="W1962" s="181"/>
      <c r="X1962" s="38"/>
      <c r="Y1962" s="38"/>
      <c r="Z1962" s="38"/>
      <c r="AA1962" s="38"/>
      <c r="AB1962" s="248"/>
      <c r="AC1962" s="250"/>
      <c r="AD1962" s="181"/>
      <c r="AE1962" s="37"/>
      <c r="AF1962" s="37"/>
      <c r="AG1962" s="33"/>
      <c r="AH1962" s="37"/>
      <c r="AI1962" s="37"/>
      <c r="AJ1962" s="181"/>
      <c r="AK1962" s="37"/>
      <c r="AL1962" s="37"/>
      <c r="AM1962" s="181"/>
      <c r="AN1962" s="37"/>
      <c r="AO1962" s="37"/>
      <c r="AP1962" s="37"/>
      <c r="AQ1962" s="37"/>
      <c r="AR1962" s="37"/>
      <c r="AS1962" s="37"/>
      <c r="AT1962" s="37"/>
      <c r="AU1962" s="37"/>
      <c r="AV1962" s="37"/>
      <c r="AW1962" s="37"/>
      <c r="AX1962" s="37"/>
      <c r="AY1962" s="37"/>
      <c r="AZ1962" s="37"/>
    </row>
    <row r="1963" spans="1:52" ht="15.5" customHeight="1">
      <c r="A1963" s="360"/>
      <c r="B1963" s="340"/>
      <c r="C1963" s="181"/>
      <c r="D1963" s="30"/>
      <c r="E1963" s="30"/>
      <c r="F1963" s="30"/>
      <c r="G1963" s="37"/>
      <c r="H1963" s="37"/>
      <c r="I1963" s="37"/>
      <c r="J1963" s="37" t="s">
        <v>69</v>
      </c>
      <c r="K1963" s="325" t="s">
        <v>69</v>
      </c>
      <c r="L1963" s="181"/>
      <c r="M1963" s="181"/>
      <c r="N1963" s="37"/>
      <c r="O1963" s="31"/>
      <c r="P1963" s="37"/>
      <c r="Q1963" s="181"/>
      <c r="R1963" s="181"/>
      <c r="S1963" s="181"/>
      <c r="T1963" s="181"/>
      <c r="U1963" s="181"/>
      <c r="V1963" s="37"/>
      <c r="W1963" s="181"/>
      <c r="X1963" s="38"/>
      <c r="Y1963" s="38"/>
      <c r="Z1963" s="38"/>
      <c r="AA1963" s="38"/>
      <c r="AB1963" s="248"/>
      <c r="AC1963" s="250"/>
      <c r="AD1963" s="181"/>
      <c r="AE1963" s="37"/>
      <c r="AF1963" s="37"/>
      <c r="AG1963" s="33"/>
      <c r="AH1963" s="37"/>
      <c r="AI1963" s="37"/>
      <c r="AJ1963" s="181"/>
      <c r="AK1963" s="37"/>
      <c r="AL1963" s="37"/>
      <c r="AM1963" s="181"/>
      <c r="AN1963" s="37"/>
      <c r="AO1963" s="37"/>
      <c r="AP1963" s="37"/>
      <c r="AQ1963" s="37"/>
      <c r="AR1963" s="37"/>
      <c r="AS1963" s="37"/>
      <c r="AT1963" s="37"/>
      <c r="AU1963" s="37"/>
      <c r="AV1963" s="37"/>
      <c r="AW1963" s="37"/>
      <c r="AX1963" s="37"/>
      <c r="AY1963" s="37"/>
      <c r="AZ1963" s="37"/>
    </row>
    <row r="1964" spans="1:52" ht="15.5" customHeight="1">
      <c r="A1964" s="360"/>
      <c r="B1964" s="340"/>
      <c r="C1964" s="181"/>
      <c r="D1964" s="30"/>
      <c r="E1964" s="30"/>
      <c r="F1964" s="30"/>
      <c r="G1964" s="37"/>
      <c r="H1964" s="37"/>
      <c r="I1964" s="37"/>
      <c r="J1964" s="37" t="s">
        <v>69</v>
      </c>
      <c r="K1964" s="325" t="s">
        <v>69</v>
      </c>
      <c r="L1964" s="181"/>
      <c r="M1964" s="181"/>
      <c r="N1964" s="37"/>
      <c r="O1964" s="31"/>
      <c r="P1964" s="37"/>
      <c r="Q1964" s="181"/>
      <c r="R1964" s="181"/>
      <c r="S1964" s="181"/>
      <c r="T1964" s="181"/>
      <c r="U1964" s="181"/>
      <c r="V1964" s="37"/>
      <c r="W1964" s="181"/>
      <c r="X1964" s="38"/>
      <c r="Y1964" s="38"/>
      <c r="Z1964" s="38"/>
      <c r="AA1964" s="38"/>
      <c r="AB1964" s="248"/>
      <c r="AC1964" s="250"/>
      <c r="AD1964" s="181"/>
      <c r="AE1964" s="37"/>
      <c r="AF1964" s="37"/>
      <c r="AG1964" s="33"/>
      <c r="AH1964" s="37"/>
      <c r="AI1964" s="37"/>
      <c r="AJ1964" s="181"/>
      <c r="AK1964" s="37"/>
      <c r="AL1964" s="37"/>
      <c r="AM1964" s="181"/>
      <c r="AN1964" s="37"/>
      <c r="AO1964" s="37"/>
      <c r="AP1964" s="37"/>
      <c r="AQ1964" s="37"/>
      <c r="AR1964" s="37"/>
      <c r="AS1964" s="37"/>
      <c r="AT1964" s="37"/>
      <c r="AU1964" s="37"/>
      <c r="AV1964" s="37"/>
      <c r="AW1964" s="37"/>
      <c r="AX1964" s="37"/>
      <c r="AY1964" s="37"/>
      <c r="AZ1964" s="37"/>
    </row>
    <row r="1965" spans="1:52" ht="15.5" customHeight="1">
      <c r="A1965" s="360"/>
      <c r="B1965" s="340"/>
      <c r="C1965" s="181"/>
      <c r="D1965" s="30"/>
      <c r="E1965" s="30"/>
      <c r="F1965" s="30"/>
      <c r="G1965" s="37"/>
      <c r="H1965" s="37"/>
      <c r="I1965" s="37"/>
      <c r="J1965" s="37" t="s">
        <v>69</v>
      </c>
      <c r="K1965" s="325" t="s">
        <v>69</v>
      </c>
      <c r="L1965" s="181"/>
      <c r="M1965" s="181"/>
      <c r="N1965" s="37"/>
      <c r="O1965" s="31"/>
      <c r="P1965" s="37"/>
      <c r="Q1965" s="181"/>
      <c r="R1965" s="181"/>
      <c r="S1965" s="181"/>
      <c r="T1965" s="181"/>
      <c r="U1965" s="181"/>
      <c r="V1965" s="37"/>
      <c r="W1965" s="181"/>
      <c r="X1965" s="38"/>
      <c r="Y1965" s="38"/>
      <c r="Z1965" s="38"/>
      <c r="AA1965" s="38"/>
      <c r="AB1965" s="248"/>
      <c r="AC1965" s="250"/>
      <c r="AD1965" s="181"/>
      <c r="AE1965" s="37"/>
      <c r="AF1965" s="37"/>
      <c r="AG1965" s="33"/>
      <c r="AH1965" s="37"/>
      <c r="AI1965" s="37"/>
      <c r="AJ1965" s="181"/>
      <c r="AK1965" s="37"/>
      <c r="AL1965" s="37"/>
      <c r="AM1965" s="181"/>
      <c r="AN1965" s="37"/>
      <c r="AO1965" s="37"/>
      <c r="AP1965" s="37"/>
      <c r="AQ1965" s="37"/>
      <c r="AR1965" s="37"/>
      <c r="AS1965" s="37"/>
      <c r="AT1965" s="37"/>
      <c r="AU1965" s="37"/>
      <c r="AV1965" s="37"/>
      <c r="AW1965" s="37"/>
      <c r="AX1965" s="37"/>
      <c r="AY1965" s="37"/>
      <c r="AZ1965" s="37"/>
    </row>
    <row r="1966" spans="1:52" ht="15.5" customHeight="1">
      <c r="A1966" s="360"/>
      <c r="B1966" s="340"/>
      <c r="C1966" s="181"/>
      <c r="D1966" s="30"/>
      <c r="E1966" s="30"/>
      <c r="F1966" s="30"/>
      <c r="G1966" s="37"/>
      <c r="H1966" s="37"/>
      <c r="I1966" s="37"/>
      <c r="J1966" s="37" t="s">
        <v>69</v>
      </c>
      <c r="K1966" s="325" t="s">
        <v>69</v>
      </c>
      <c r="L1966" s="181"/>
      <c r="M1966" s="181"/>
      <c r="N1966" s="37"/>
      <c r="O1966" s="31"/>
      <c r="P1966" s="37"/>
      <c r="Q1966" s="181"/>
      <c r="R1966" s="181"/>
      <c r="S1966" s="181"/>
      <c r="T1966" s="181"/>
      <c r="U1966" s="181"/>
      <c r="V1966" s="37"/>
      <c r="W1966" s="181"/>
      <c r="X1966" s="38"/>
      <c r="Y1966" s="38"/>
      <c r="Z1966" s="38"/>
      <c r="AA1966" s="38"/>
      <c r="AB1966" s="248"/>
      <c r="AC1966" s="250"/>
      <c r="AD1966" s="181"/>
      <c r="AE1966" s="37"/>
      <c r="AF1966" s="37"/>
      <c r="AG1966" s="33"/>
      <c r="AH1966" s="37"/>
      <c r="AI1966" s="37"/>
      <c r="AJ1966" s="181"/>
      <c r="AK1966" s="37"/>
      <c r="AL1966" s="37"/>
      <c r="AM1966" s="181"/>
      <c r="AN1966" s="37"/>
      <c r="AO1966" s="37"/>
      <c r="AP1966" s="37"/>
      <c r="AQ1966" s="37"/>
      <c r="AR1966" s="37"/>
      <c r="AS1966" s="37"/>
      <c r="AT1966" s="37"/>
      <c r="AU1966" s="37"/>
      <c r="AV1966" s="37"/>
      <c r="AW1966" s="37"/>
      <c r="AX1966" s="37"/>
      <c r="AY1966" s="37"/>
      <c r="AZ1966" s="37"/>
    </row>
    <row r="1967" spans="1:52" ht="15.5" customHeight="1">
      <c r="A1967" s="360"/>
      <c r="B1967" s="340"/>
      <c r="C1967" s="181"/>
      <c r="D1967" s="30"/>
      <c r="E1967" s="30"/>
      <c r="F1967" s="30"/>
      <c r="G1967" s="37"/>
      <c r="H1967" s="37"/>
      <c r="I1967" s="37"/>
      <c r="J1967" s="37" t="s">
        <v>69</v>
      </c>
      <c r="K1967" s="325" t="s">
        <v>69</v>
      </c>
      <c r="L1967" s="181"/>
      <c r="M1967" s="181"/>
      <c r="N1967" s="37"/>
      <c r="O1967" s="31"/>
      <c r="P1967" s="37"/>
      <c r="Q1967" s="181"/>
      <c r="R1967" s="181"/>
      <c r="S1967" s="181"/>
      <c r="T1967" s="181"/>
      <c r="U1967" s="181"/>
      <c r="V1967" s="37"/>
      <c r="W1967" s="181"/>
      <c r="X1967" s="38"/>
      <c r="Y1967" s="38"/>
      <c r="Z1967" s="38"/>
      <c r="AA1967" s="38"/>
      <c r="AB1967" s="248"/>
      <c r="AC1967" s="250"/>
      <c r="AD1967" s="181"/>
      <c r="AE1967" s="37"/>
      <c r="AF1967" s="37"/>
      <c r="AG1967" s="33"/>
      <c r="AH1967" s="37"/>
      <c r="AI1967" s="37"/>
      <c r="AJ1967" s="181"/>
      <c r="AK1967" s="37"/>
      <c r="AL1967" s="37"/>
      <c r="AM1967" s="181"/>
      <c r="AN1967" s="37"/>
      <c r="AO1967" s="37"/>
      <c r="AP1967" s="37"/>
      <c r="AQ1967" s="37"/>
      <c r="AR1967" s="37"/>
      <c r="AS1967" s="37"/>
      <c r="AT1967" s="37"/>
      <c r="AU1967" s="37"/>
      <c r="AV1967" s="37"/>
      <c r="AW1967" s="37"/>
      <c r="AX1967" s="37"/>
      <c r="AY1967" s="37"/>
      <c r="AZ1967" s="37"/>
    </row>
    <row r="1968" spans="1:52" ht="15.5" customHeight="1">
      <c r="A1968" s="360"/>
      <c r="B1968" s="340"/>
      <c r="C1968" s="181"/>
      <c r="D1968" s="30"/>
      <c r="E1968" s="30"/>
      <c r="F1968" s="30"/>
      <c r="G1968" s="37"/>
      <c r="H1968" s="37"/>
      <c r="I1968" s="37"/>
      <c r="J1968" s="37" t="s">
        <v>69</v>
      </c>
      <c r="K1968" s="325" t="s">
        <v>69</v>
      </c>
      <c r="L1968" s="181"/>
      <c r="M1968" s="181"/>
      <c r="N1968" s="37"/>
      <c r="O1968" s="31"/>
      <c r="P1968" s="37"/>
      <c r="Q1968" s="181"/>
      <c r="R1968" s="181"/>
      <c r="S1968" s="181"/>
      <c r="T1968" s="181"/>
      <c r="U1968" s="181"/>
      <c r="V1968" s="37"/>
      <c r="W1968" s="181"/>
      <c r="X1968" s="38"/>
      <c r="Y1968" s="38"/>
      <c r="Z1968" s="38"/>
      <c r="AA1968" s="38"/>
      <c r="AB1968" s="248"/>
      <c r="AC1968" s="250"/>
      <c r="AD1968" s="181"/>
      <c r="AE1968" s="37"/>
      <c r="AF1968" s="37"/>
      <c r="AG1968" s="33"/>
      <c r="AH1968" s="37"/>
      <c r="AI1968" s="37"/>
      <c r="AJ1968" s="181"/>
      <c r="AK1968" s="37"/>
      <c r="AL1968" s="37"/>
      <c r="AM1968" s="181"/>
      <c r="AN1968" s="37"/>
      <c r="AO1968" s="37"/>
      <c r="AP1968" s="37"/>
      <c r="AQ1968" s="37"/>
      <c r="AR1968" s="37"/>
      <c r="AS1968" s="37"/>
      <c r="AT1968" s="37"/>
      <c r="AU1968" s="37"/>
      <c r="AV1968" s="37"/>
      <c r="AW1968" s="37"/>
      <c r="AX1968" s="37"/>
      <c r="AY1968" s="37"/>
      <c r="AZ1968" s="37"/>
    </row>
    <row r="1969" spans="1:52" ht="15.5" customHeight="1">
      <c r="A1969" s="360"/>
      <c r="B1969" s="340"/>
      <c r="C1969" s="181"/>
      <c r="D1969" s="30"/>
      <c r="E1969" s="30"/>
      <c r="F1969" s="30"/>
      <c r="G1969" s="37"/>
      <c r="H1969" s="37"/>
      <c r="I1969" s="37"/>
      <c r="J1969" s="37" t="s">
        <v>69</v>
      </c>
      <c r="K1969" s="325" t="s">
        <v>69</v>
      </c>
      <c r="L1969" s="181"/>
      <c r="M1969" s="181"/>
      <c r="N1969" s="37"/>
      <c r="O1969" s="31"/>
      <c r="P1969" s="37"/>
      <c r="Q1969" s="181"/>
      <c r="R1969" s="181"/>
      <c r="S1969" s="181"/>
      <c r="T1969" s="181"/>
      <c r="U1969" s="181"/>
      <c r="V1969" s="37"/>
      <c r="W1969" s="181"/>
      <c r="X1969" s="38"/>
      <c r="Y1969" s="38"/>
      <c r="Z1969" s="38"/>
      <c r="AA1969" s="38"/>
      <c r="AB1969" s="248"/>
      <c r="AC1969" s="250"/>
      <c r="AD1969" s="181"/>
      <c r="AE1969" s="37"/>
      <c r="AF1969" s="37"/>
      <c r="AG1969" s="33"/>
      <c r="AH1969" s="37"/>
      <c r="AI1969" s="37"/>
      <c r="AJ1969" s="181"/>
      <c r="AK1969" s="37"/>
      <c r="AL1969" s="37"/>
      <c r="AM1969" s="181"/>
      <c r="AN1969" s="37"/>
      <c r="AO1969" s="37"/>
      <c r="AP1969" s="37"/>
      <c r="AQ1969" s="37"/>
      <c r="AR1969" s="37"/>
      <c r="AS1969" s="37"/>
      <c r="AT1969" s="37"/>
      <c r="AU1969" s="37"/>
      <c r="AV1969" s="37"/>
      <c r="AW1969" s="37"/>
      <c r="AX1969" s="37"/>
      <c r="AY1969" s="37"/>
      <c r="AZ1969" s="37"/>
    </row>
    <row r="1970" spans="1:52" ht="15.5" customHeight="1">
      <c r="A1970" s="360"/>
      <c r="B1970" s="340"/>
      <c r="C1970" s="181"/>
      <c r="D1970" s="30"/>
      <c r="E1970" s="30"/>
      <c r="F1970" s="30"/>
      <c r="G1970" s="37"/>
      <c r="H1970" s="37"/>
      <c r="I1970" s="37"/>
      <c r="J1970" s="37" t="s">
        <v>69</v>
      </c>
      <c r="K1970" s="325" t="s">
        <v>69</v>
      </c>
      <c r="L1970" s="181"/>
      <c r="M1970" s="181"/>
      <c r="N1970" s="37"/>
      <c r="O1970" s="31"/>
      <c r="P1970" s="37"/>
      <c r="Q1970" s="181"/>
      <c r="R1970" s="181"/>
      <c r="S1970" s="181"/>
      <c r="T1970" s="181"/>
      <c r="U1970" s="181"/>
      <c r="V1970" s="37"/>
      <c r="W1970" s="181"/>
      <c r="X1970" s="38"/>
      <c r="Y1970" s="38"/>
      <c r="Z1970" s="38"/>
      <c r="AA1970" s="38"/>
      <c r="AB1970" s="248"/>
      <c r="AC1970" s="250"/>
      <c r="AD1970" s="181"/>
      <c r="AE1970" s="37"/>
      <c r="AF1970" s="37"/>
      <c r="AG1970" s="33"/>
      <c r="AH1970" s="37"/>
      <c r="AI1970" s="37"/>
      <c r="AJ1970" s="181"/>
      <c r="AK1970" s="37"/>
      <c r="AL1970" s="37"/>
      <c r="AM1970" s="181"/>
      <c r="AN1970" s="37"/>
      <c r="AO1970" s="37"/>
      <c r="AP1970" s="37"/>
      <c r="AQ1970" s="37"/>
      <c r="AR1970" s="37"/>
      <c r="AS1970" s="37"/>
      <c r="AT1970" s="37"/>
      <c r="AU1970" s="37"/>
      <c r="AV1970" s="37"/>
      <c r="AW1970" s="37"/>
      <c r="AX1970" s="37"/>
      <c r="AY1970" s="37"/>
      <c r="AZ1970" s="37"/>
    </row>
    <row r="1971" spans="1:52" ht="15.5" customHeight="1">
      <c r="A1971" s="360"/>
      <c r="B1971" s="340"/>
      <c r="C1971" s="181"/>
      <c r="D1971" s="30"/>
      <c r="E1971" s="30"/>
      <c r="F1971" s="30"/>
      <c r="G1971" s="37"/>
      <c r="H1971" s="37"/>
      <c r="I1971" s="37"/>
      <c r="J1971" s="37" t="s">
        <v>69</v>
      </c>
      <c r="K1971" s="325" t="s">
        <v>69</v>
      </c>
      <c r="L1971" s="181"/>
      <c r="M1971" s="181"/>
      <c r="N1971" s="37"/>
      <c r="O1971" s="31"/>
      <c r="P1971" s="37"/>
      <c r="Q1971" s="181"/>
      <c r="R1971" s="181"/>
      <c r="S1971" s="181"/>
      <c r="T1971" s="181"/>
      <c r="U1971" s="181"/>
      <c r="V1971" s="37"/>
      <c r="W1971" s="181"/>
      <c r="X1971" s="38"/>
      <c r="Y1971" s="38"/>
      <c r="Z1971" s="38"/>
      <c r="AA1971" s="38"/>
      <c r="AB1971" s="248"/>
      <c r="AC1971" s="250"/>
      <c r="AD1971" s="181"/>
      <c r="AE1971" s="37"/>
      <c r="AF1971" s="37"/>
      <c r="AG1971" s="33"/>
      <c r="AH1971" s="37"/>
      <c r="AI1971" s="37"/>
      <c r="AJ1971" s="181"/>
      <c r="AK1971" s="37"/>
      <c r="AL1971" s="37"/>
      <c r="AM1971" s="181"/>
      <c r="AN1971" s="37"/>
      <c r="AO1971" s="37"/>
      <c r="AP1971" s="37"/>
      <c r="AQ1971" s="37"/>
      <c r="AR1971" s="37"/>
      <c r="AS1971" s="37"/>
      <c r="AT1971" s="37"/>
      <c r="AU1971" s="37"/>
      <c r="AV1971" s="37"/>
      <c r="AW1971" s="37"/>
      <c r="AX1971" s="37"/>
      <c r="AY1971" s="37"/>
      <c r="AZ1971" s="37"/>
    </row>
    <row r="1972" spans="1:52" ht="15.5" customHeight="1">
      <c r="A1972" s="360"/>
      <c r="B1972" s="340"/>
      <c r="C1972" s="181"/>
      <c r="D1972" s="30"/>
      <c r="E1972" s="30"/>
      <c r="F1972" s="30"/>
      <c r="G1972" s="37"/>
      <c r="H1972" s="37"/>
      <c r="I1972" s="37"/>
      <c r="J1972" s="37" t="s">
        <v>69</v>
      </c>
      <c r="K1972" s="325" t="s">
        <v>69</v>
      </c>
      <c r="L1972" s="181"/>
      <c r="M1972" s="181"/>
      <c r="N1972" s="37"/>
      <c r="O1972" s="31"/>
      <c r="P1972" s="37"/>
      <c r="Q1972" s="181"/>
      <c r="R1972" s="181"/>
      <c r="S1972" s="181"/>
      <c r="T1972" s="181"/>
      <c r="U1972" s="181"/>
      <c r="V1972" s="37"/>
      <c r="W1972" s="181"/>
      <c r="X1972" s="38"/>
      <c r="Y1972" s="38"/>
      <c r="Z1972" s="38"/>
      <c r="AA1972" s="38"/>
      <c r="AB1972" s="248"/>
      <c r="AC1972" s="250"/>
      <c r="AD1972" s="181"/>
      <c r="AE1972" s="37"/>
      <c r="AF1972" s="37"/>
      <c r="AG1972" s="33"/>
      <c r="AH1972" s="37"/>
      <c r="AI1972" s="37"/>
      <c r="AJ1972" s="181"/>
      <c r="AK1972" s="37"/>
      <c r="AL1972" s="37"/>
      <c r="AM1972" s="181"/>
      <c r="AN1972" s="37"/>
      <c r="AO1972" s="37"/>
      <c r="AP1972" s="37"/>
      <c r="AQ1972" s="37"/>
      <c r="AR1972" s="37"/>
      <c r="AS1972" s="37"/>
      <c r="AT1972" s="37"/>
      <c r="AU1972" s="37"/>
      <c r="AV1972" s="37"/>
      <c r="AW1972" s="37"/>
      <c r="AX1972" s="37"/>
      <c r="AY1972" s="37"/>
      <c r="AZ1972" s="37"/>
    </row>
    <row r="1973" spans="1:52" ht="15.5" customHeight="1">
      <c r="A1973" s="360"/>
      <c r="B1973" s="340"/>
      <c r="C1973" s="181"/>
      <c r="D1973" s="30"/>
      <c r="E1973" s="30"/>
      <c r="F1973" s="30"/>
      <c r="G1973" s="37"/>
      <c r="H1973" s="37"/>
      <c r="I1973" s="37"/>
      <c r="J1973" s="37" t="s">
        <v>69</v>
      </c>
      <c r="K1973" s="325" t="s">
        <v>69</v>
      </c>
      <c r="L1973" s="181"/>
      <c r="M1973" s="181"/>
      <c r="N1973" s="37"/>
      <c r="O1973" s="31"/>
      <c r="P1973" s="37"/>
      <c r="Q1973" s="181"/>
      <c r="R1973" s="181"/>
      <c r="S1973" s="181"/>
      <c r="T1973" s="181"/>
      <c r="U1973" s="181"/>
      <c r="V1973" s="37"/>
      <c r="W1973" s="181"/>
      <c r="X1973" s="38"/>
      <c r="Y1973" s="38"/>
      <c r="Z1973" s="38"/>
      <c r="AA1973" s="38"/>
      <c r="AB1973" s="248"/>
      <c r="AC1973" s="250"/>
      <c r="AD1973" s="181"/>
      <c r="AE1973" s="37"/>
      <c r="AF1973" s="37"/>
      <c r="AG1973" s="33"/>
      <c r="AH1973" s="37"/>
      <c r="AI1973" s="37"/>
      <c r="AJ1973" s="181"/>
      <c r="AK1973" s="37"/>
      <c r="AL1973" s="37"/>
      <c r="AM1973" s="181"/>
      <c r="AN1973" s="37"/>
      <c r="AO1973" s="37"/>
      <c r="AP1973" s="37"/>
      <c r="AQ1973" s="37"/>
      <c r="AR1973" s="37"/>
      <c r="AS1973" s="37"/>
      <c r="AT1973" s="37"/>
      <c r="AU1973" s="37"/>
      <c r="AV1973" s="37"/>
      <c r="AW1973" s="37"/>
      <c r="AX1973" s="37"/>
      <c r="AY1973" s="37"/>
      <c r="AZ1973" s="37"/>
    </row>
    <row r="1974" spans="1:52" ht="15.5" customHeight="1">
      <c r="A1974" s="360"/>
      <c r="B1974" s="340"/>
      <c r="C1974" s="181"/>
      <c r="D1974" s="30"/>
      <c r="E1974" s="30"/>
      <c r="F1974" s="30"/>
      <c r="G1974" s="37"/>
      <c r="H1974" s="37"/>
      <c r="I1974" s="37"/>
      <c r="J1974" s="37" t="s">
        <v>69</v>
      </c>
      <c r="K1974" s="325" t="s">
        <v>69</v>
      </c>
      <c r="L1974" s="181"/>
      <c r="M1974" s="181"/>
      <c r="N1974" s="37"/>
      <c r="O1974" s="31"/>
      <c r="P1974" s="37"/>
      <c r="Q1974" s="181"/>
      <c r="R1974" s="181"/>
      <c r="S1974" s="181"/>
      <c r="T1974" s="181"/>
      <c r="U1974" s="181"/>
      <c r="V1974" s="37"/>
      <c r="W1974" s="181"/>
      <c r="X1974" s="38"/>
      <c r="Y1974" s="38"/>
      <c r="Z1974" s="38"/>
      <c r="AA1974" s="38"/>
      <c r="AB1974" s="248"/>
      <c r="AC1974" s="250"/>
      <c r="AD1974" s="181"/>
      <c r="AE1974" s="37"/>
      <c r="AF1974" s="37"/>
      <c r="AG1974" s="33"/>
      <c r="AH1974" s="37"/>
      <c r="AI1974" s="37"/>
      <c r="AJ1974" s="181"/>
      <c r="AK1974" s="37"/>
      <c r="AL1974" s="37"/>
      <c r="AM1974" s="181"/>
      <c r="AN1974" s="37"/>
      <c r="AO1974" s="37"/>
      <c r="AP1974" s="37"/>
      <c r="AQ1974" s="37"/>
      <c r="AR1974" s="37"/>
      <c r="AS1974" s="37"/>
      <c r="AT1974" s="37"/>
      <c r="AU1974" s="37"/>
      <c r="AV1974" s="37"/>
      <c r="AW1974" s="37"/>
      <c r="AX1974" s="37"/>
      <c r="AY1974" s="37"/>
      <c r="AZ1974" s="37"/>
    </row>
    <row r="1975" spans="1:52" ht="15.5" customHeight="1">
      <c r="A1975" s="360"/>
      <c r="B1975" s="340"/>
      <c r="C1975" s="181"/>
      <c r="D1975" s="30"/>
      <c r="E1975" s="30"/>
      <c r="F1975" s="30"/>
      <c r="G1975" s="37"/>
      <c r="H1975" s="37"/>
      <c r="I1975" s="37"/>
      <c r="J1975" s="37" t="s">
        <v>69</v>
      </c>
      <c r="K1975" s="325" t="s">
        <v>69</v>
      </c>
      <c r="L1975" s="181"/>
      <c r="M1975" s="181"/>
      <c r="N1975" s="37"/>
      <c r="O1975" s="31"/>
      <c r="P1975" s="37"/>
      <c r="Q1975" s="181"/>
      <c r="R1975" s="181"/>
      <c r="S1975" s="181"/>
      <c r="T1975" s="181"/>
      <c r="U1975" s="181"/>
      <c r="V1975" s="37"/>
      <c r="W1975" s="181"/>
      <c r="X1975" s="38"/>
      <c r="Y1975" s="38"/>
      <c r="Z1975" s="38"/>
      <c r="AA1975" s="38"/>
      <c r="AB1975" s="248"/>
      <c r="AC1975" s="250"/>
      <c r="AD1975" s="181"/>
      <c r="AE1975" s="37"/>
      <c r="AF1975" s="37"/>
      <c r="AG1975" s="33"/>
      <c r="AH1975" s="37"/>
      <c r="AI1975" s="37"/>
      <c r="AJ1975" s="181"/>
      <c r="AK1975" s="37"/>
      <c r="AL1975" s="37"/>
      <c r="AM1975" s="181"/>
      <c r="AN1975" s="37"/>
      <c r="AO1975" s="37"/>
      <c r="AP1975" s="37"/>
      <c r="AQ1975" s="37"/>
      <c r="AR1975" s="37"/>
      <c r="AS1975" s="37"/>
      <c r="AT1975" s="37"/>
      <c r="AU1975" s="37"/>
      <c r="AV1975" s="37"/>
      <c r="AW1975" s="37"/>
      <c r="AX1975" s="37"/>
      <c r="AY1975" s="37"/>
      <c r="AZ1975" s="37"/>
    </row>
    <row r="1976" spans="1:52" ht="15.5" customHeight="1">
      <c r="A1976" s="360"/>
      <c r="B1976" s="340"/>
      <c r="C1976" s="181"/>
      <c r="D1976" s="30"/>
      <c r="E1976" s="30"/>
      <c r="F1976" s="30"/>
      <c r="G1976" s="37"/>
      <c r="H1976" s="37"/>
      <c r="I1976" s="37"/>
      <c r="J1976" s="37" t="s">
        <v>69</v>
      </c>
      <c r="K1976" s="325" t="s">
        <v>69</v>
      </c>
      <c r="L1976" s="181"/>
      <c r="M1976" s="181"/>
      <c r="N1976" s="37"/>
      <c r="O1976" s="31"/>
      <c r="P1976" s="37"/>
      <c r="Q1976" s="181"/>
      <c r="R1976" s="181"/>
      <c r="S1976" s="181"/>
      <c r="T1976" s="181"/>
      <c r="U1976" s="181"/>
      <c r="V1976" s="37"/>
      <c r="W1976" s="181"/>
      <c r="X1976" s="38"/>
      <c r="Y1976" s="38"/>
      <c r="Z1976" s="38"/>
      <c r="AA1976" s="38"/>
      <c r="AB1976" s="248"/>
      <c r="AC1976" s="250"/>
      <c r="AD1976" s="181"/>
      <c r="AE1976" s="37"/>
      <c r="AF1976" s="37"/>
      <c r="AG1976" s="33"/>
      <c r="AH1976" s="37"/>
      <c r="AI1976" s="37"/>
      <c r="AJ1976" s="181"/>
      <c r="AK1976" s="37"/>
      <c r="AL1976" s="37"/>
      <c r="AM1976" s="181"/>
      <c r="AN1976" s="37"/>
      <c r="AO1976" s="37"/>
      <c r="AP1976" s="37"/>
      <c r="AQ1976" s="37"/>
      <c r="AR1976" s="37"/>
      <c r="AS1976" s="37"/>
      <c r="AT1976" s="37"/>
      <c r="AU1976" s="37"/>
      <c r="AV1976" s="37"/>
      <c r="AW1976" s="37"/>
      <c r="AX1976" s="37"/>
      <c r="AY1976" s="37"/>
      <c r="AZ1976" s="37"/>
    </row>
    <row r="1977" spans="1:52" ht="15.5" customHeight="1">
      <c r="A1977" s="360"/>
      <c r="B1977" s="340"/>
      <c r="C1977" s="181"/>
      <c r="D1977" s="30"/>
      <c r="E1977" s="30"/>
      <c r="F1977" s="30"/>
      <c r="G1977" s="37"/>
      <c r="H1977" s="37"/>
      <c r="I1977" s="37"/>
      <c r="J1977" s="37" t="s">
        <v>69</v>
      </c>
      <c r="K1977" s="325" t="s">
        <v>69</v>
      </c>
      <c r="L1977" s="181"/>
      <c r="M1977" s="181"/>
      <c r="N1977" s="37"/>
      <c r="O1977" s="31"/>
      <c r="P1977" s="37"/>
      <c r="Q1977" s="181"/>
      <c r="R1977" s="181"/>
      <c r="S1977" s="181"/>
      <c r="T1977" s="181"/>
      <c r="U1977" s="181"/>
      <c r="V1977" s="37"/>
      <c r="W1977" s="181"/>
      <c r="X1977" s="38"/>
      <c r="Y1977" s="38"/>
      <c r="Z1977" s="38"/>
      <c r="AA1977" s="38"/>
      <c r="AB1977" s="248"/>
      <c r="AC1977" s="250"/>
      <c r="AD1977" s="181"/>
      <c r="AE1977" s="37"/>
      <c r="AF1977" s="37"/>
      <c r="AG1977" s="33"/>
      <c r="AH1977" s="37"/>
      <c r="AI1977" s="37"/>
      <c r="AJ1977" s="181"/>
      <c r="AK1977" s="37"/>
      <c r="AL1977" s="37"/>
      <c r="AM1977" s="181"/>
      <c r="AN1977" s="37"/>
      <c r="AO1977" s="37"/>
      <c r="AP1977" s="37"/>
      <c r="AQ1977" s="37"/>
      <c r="AR1977" s="37"/>
      <c r="AS1977" s="37"/>
      <c r="AT1977" s="37"/>
      <c r="AU1977" s="37"/>
      <c r="AV1977" s="37"/>
      <c r="AW1977" s="37"/>
      <c r="AX1977" s="37"/>
      <c r="AY1977" s="37"/>
      <c r="AZ1977" s="37"/>
    </row>
    <row r="1978" spans="1:52" ht="15.5" customHeight="1">
      <c r="A1978" s="360"/>
      <c r="B1978" s="340"/>
      <c r="C1978" s="181"/>
      <c r="D1978" s="30"/>
      <c r="E1978" s="30"/>
      <c r="F1978" s="30"/>
      <c r="G1978" s="37"/>
      <c r="H1978" s="37"/>
      <c r="I1978" s="37"/>
      <c r="J1978" s="37" t="s">
        <v>69</v>
      </c>
      <c r="K1978" s="325" t="s">
        <v>69</v>
      </c>
      <c r="L1978" s="181"/>
      <c r="M1978" s="181"/>
      <c r="N1978" s="37"/>
      <c r="O1978" s="31"/>
      <c r="P1978" s="37"/>
      <c r="Q1978" s="181"/>
      <c r="R1978" s="181"/>
      <c r="S1978" s="181"/>
      <c r="T1978" s="181"/>
      <c r="U1978" s="181"/>
      <c r="V1978" s="37"/>
      <c r="W1978" s="181"/>
      <c r="X1978" s="38"/>
      <c r="Y1978" s="38"/>
      <c r="Z1978" s="38"/>
      <c r="AA1978" s="38"/>
      <c r="AB1978" s="248"/>
      <c r="AC1978" s="250"/>
      <c r="AD1978" s="181"/>
      <c r="AE1978" s="37"/>
      <c r="AF1978" s="37"/>
      <c r="AG1978" s="33"/>
      <c r="AH1978" s="37"/>
      <c r="AI1978" s="37"/>
      <c r="AJ1978" s="181"/>
      <c r="AK1978" s="37"/>
      <c r="AL1978" s="37"/>
      <c r="AM1978" s="181"/>
      <c r="AN1978" s="37"/>
      <c r="AO1978" s="37"/>
      <c r="AP1978" s="37"/>
      <c r="AQ1978" s="37"/>
      <c r="AR1978" s="37"/>
      <c r="AS1978" s="37"/>
      <c r="AT1978" s="37"/>
      <c r="AU1978" s="37"/>
      <c r="AV1978" s="37"/>
      <c r="AW1978" s="37"/>
      <c r="AX1978" s="37"/>
      <c r="AY1978" s="37"/>
      <c r="AZ1978" s="37"/>
    </row>
    <row r="1979" spans="1:52" ht="15.5" customHeight="1">
      <c r="A1979" s="360"/>
      <c r="B1979" s="340"/>
      <c r="C1979" s="181"/>
      <c r="D1979" s="30"/>
      <c r="E1979" s="30"/>
      <c r="F1979" s="30"/>
      <c r="G1979" s="37"/>
      <c r="H1979" s="37"/>
      <c r="I1979" s="37"/>
      <c r="J1979" s="37" t="s">
        <v>69</v>
      </c>
      <c r="K1979" s="325" t="s">
        <v>69</v>
      </c>
      <c r="L1979" s="181"/>
      <c r="M1979" s="181"/>
      <c r="N1979" s="37"/>
      <c r="O1979" s="31"/>
      <c r="P1979" s="37"/>
      <c r="Q1979" s="181"/>
      <c r="R1979" s="181"/>
      <c r="S1979" s="181"/>
      <c r="T1979" s="181"/>
      <c r="U1979" s="181"/>
      <c r="V1979" s="37"/>
      <c r="W1979" s="181"/>
      <c r="X1979" s="38"/>
      <c r="Y1979" s="38"/>
      <c r="Z1979" s="38"/>
      <c r="AA1979" s="38"/>
      <c r="AB1979" s="248"/>
      <c r="AC1979" s="250"/>
      <c r="AD1979" s="181"/>
      <c r="AE1979" s="37"/>
      <c r="AF1979" s="37"/>
      <c r="AG1979" s="33"/>
      <c r="AH1979" s="37"/>
      <c r="AI1979" s="37"/>
      <c r="AJ1979" s="181"/>
      <c r="AK1979" s="37"/>
      <c r="AL1979" s="37"/>
      <c r="AM1979" s="181"/>
      <c r="AN1979" s="37"/>
      <c r="AO1979" s="37"/>
      <c r="AP1979" s="37"/>
      <c r="AQ1979" s="37"/>
      <c r="AR1979" s="37"/>
      <c r="AS1979" s="37"/>
      <c r="AT1979" s="37"/>
      <c r="AU1979" s="37"/>
      <c r="AV1979" s="37"/>
      <c r="AW1979" s="37"/>
      <c r="AX1979" s="37"/>
      <c r="AY1979" s="37"/>
      <c r="AZ1979" s="37"/>
    </row>
    <row r="1980" spans="1:52" ht="15.5" customHeight="1">
      <c r="A1980" s="360"/>
      <c r="B1980" s="340"/>
      <c r="C1980" s="181"/>
      <c r="D1980" s="30"/>
      <c r="E1980" s="30"/>
      <c r="F1980" s="30"/>
      <c r="G1980" s="37"/>
      <c r="H1980" s="37"/>
      <c r="I1980" s="37"/>
      <c r="J1980" s="37" t="s">
        <v>69</v>
      </c>
      <c r="K1980" s="325" t="s">
        <v>69</v>
      </c>
      <c r="L1980" s="181"/>
      <c r="M1980" s="181"/>
      <c r="N1980" s="37"/>
      <c r="O1980" s="31"/>
      <c r="P1980" s="37"/>
      <c r="Q1980" s="181"/>
      <c r="R1980" s="181"/>
      <c r="S1980" s="181"/>
      <c r="T1980" s="181"/>
      <c r="U1980" s="181"/>
      <c r="V1980" s="37"/>
      <c r="W1980" s="181"/>
      <c r="X1980" s="38"/>
      <c r="Y1980" s="38"/>
      <c r="Z1980" s="38"/>
      <c r="AA1980" s="38"/>
      <c r="AB1980" s="248"/>
      <c r="AC1980" s="250"/>
      <c r="AD1980" s="181"/>
      <c r="AE1980" s="37"/>
      <c r="AF1980" s="37"/>
      <c r="AG1980" s="33"/>
      <c r="AH1980" s="37"/>
      <c r="AI1980" s="37"/>
      <c r="AJ1980" s="181"/>
      <c r="AK1980" s="37"/>
      <c r="AL1980" s="37"/>
      <c r="AM1980" s="181"/>
      <c r="AN1980" s="37"/>
      <c r="AO1980" s="37"/>
      <c r="AP1980" s="37"/>
      <c r="AQ1980" s="37"/>
      <c r="AR1980" s="37"/>
      <c r="AS1980" s="37"/>
      <c r="AT1980" s="37"/>
      <c r="AU1980" s="37"/>
      <c r="AV1980" s="37"/>
      <c r="AW1980" s="37"/>
      <c r="AX1980" s="37"/>
      <c r="AY1980" s="37"/>
      <c r="AZ1980" s="37"/>
    </row>
    <row r="1981" spans="1:52" ht="15.5" customHeight="1">
      <c r="A1981" s="360"/>
      <c r="B1981" s="340"/>
      <c r="C1981" s="181"/>
      <c r="D1981" s="30"/>
      <c r="E1981" s="30"/>
      <c r="F1981" s="30"/>
      <c r="G1981" s="37"/>
      <c r="H1981" s="37"/>
      <c r="I1981" s="37"/>
      <c r="J1981" s="37" t="s">
        <v>69</v>
      </c>
      <c r="K1981" s="325" t="s">
        <v>69</v>
      </c>
      <c r="L1981" s="181"/>
      <c r="M1981" s="181"/>
      <c r="N1981" s="37"/>
      <c r="O1981" s="31"/>
      <c r="P1981" s="37"/>
      <c r="Q1981" s="181"/>
      <c r="R1981" s="181"/>
      <c r="S1981" s="181"/>
      <c r="T1981" s="181"/>
      <c r="U1981" s="181"/>
      <c r="V1981" s="37"/>
      <c r="W1981" s="181"/>
      <c r="X1981" s="38"/>
      <c r="Y1981" s="38"/>
      <c r="Z1981" s="38"/>
      <c r="AA1981" s="38"/>
      <c r="AB1981" s="248"/>
      <c r="AC1981" s="250"/>
      <c r="AD1981" s="181"/>
      <c r="AE1981" s="37"/>
      <c r="AF1981" s="37"/>
      <c r="AG1981" s="33"/>
      <c r="AH1981" s="37"/>
      <c r="AI1981" s="37"/>
      <c r="AJ1981" s="181"/>
      <c r="AK1981" s="37"/>
      <c r="AL1981" s="37"/>
      <c r="AM1981" s="181"/>
      <c r="AN1981" s="37"/>
      <c r="AO1981" s="37"/>
      <c r="AP1981" s="37"/>
      <c r="AQ1981" s="37"/>
      <c r="AR1981" s="37"/>
      <c r="AS1981" s="37"/>
      <c r="AT1981" s="37"/>
      <c r="AU1981" s="37"/>
      <c r="AV1981" s="37"/>
      <c r="AW1981" s="37"/>
      <c r="AX1981" s="37"/>
      <c r="AY1981" s="37"/>
      <c r="AZ1981" s="37"/>
    </row>
    <row r="1982" spans="1:52" ht="15.5" customHeight="1">
      <c r="A1982" s="360"/>
      <c r="B1982" s="340"/>
      <c r="C1982" s="181"/>
      <c r="D1982" s="30"/>
      <c r="E1982" s="30"/>
      <c r="F1982" s="30"/>
      <c r="G1982" s="37"/>
      <c r="H1982" s="37"/>
      <c r="I1982" s="37"/>
      <c r="J1982" s="37" t="s">
        <v>69</v>
      </c>
      <c r="K1982" s="325" t="s">
        <v>69</v>
      </c>
      <c r="L1982" s="181"/>
      <c r="M1982" s="181"/>
      <c r="N1982" s="37"/>
      <c r="O1982" s="31"/>
      <c r="P1982" s="37"/>
      <c r="Q1982" s="181"/>
      <c r="R1982" s="181"/>
      <c r="S1982" s="181"/>
      <c r="T1982" s="181"/>
      <c r="U1982" s="181"/>
      <c r="V1982" s="37"/>
      <c r="W1982" s="181"/>
      <c r="X1982" s="38"/>
      <c r="Y1982" s="38"/>
      <c r="Z1982" s="38"/>
      <c r="AA1982" s="38"/>
      <c r="AB1982" s="248"/>
      <c r="AC1982" s="250"/>
      <c r="AD1982" s="181"/>
      <c r="AE1982" s="37"/>
      <c r="AF1982" s="37"/>
      <c r="AG1982" s="33"/>
      <c r="AH1982" s="37"/>
      <c r="AI1982" s="37"/>
      <c r="AJ1982" s="181"/>
      <c r="AK1982" s="37"/>
      <c r="AL1982" s="37"/>
      <c r="AM1982" s="181"/>
      <c r="AN1982" s="37"/>
      <c r="AO1982" s="37"/>
      <c r="AP1982" s="37"/>
      <c r="AQ1982" s="37"/>
      <c r="AR1982" s="37"/>
      <c r="AS1982" s="37"/>
      <c r="AT1982" s="37"/>
      <c r="AU1982" s="37"/>
      <c r="AV1982" s="37"/>
      <c r="AW1982" s="37"/>
      <c r="AX1982" s="37"/>
      <c r="AY1982" s="37"/>
      <c r="AZ1982" s="37"/>
    </row>
    <row r="1983" spans="1:52" ht="15.5" customHeight="1">
      <c r="A1983" s="360"/>
      <c r="B1983" s="340"/>
      <c r="C1983" s="181"/>
      <c r="D1983" s="30"/>
      <c r="E1983" s="30"/>
      <c r="F1983" s="30"/>
      <c r="G1983" s="37"/>
      <c r="H1983" s="37"/>
      <c r="I1983" s="37"/>
      <c r="J1983" s="37" t="s">
        <v>69</v>
      </c>
      <c r="K1983" s="325" t="s">
        <v>69</v>
      </c>
      <c r="L1983" s="181"/>
      <c r="M1983" s="181"/>
      <c r="N1983" s="37"/>
      <c r="O1983" s="31"/>
      <c r="P1983" s="37"/>
      <c r="Q1983" s="181"/>
      <c r="R1983" s="181"/>
      <c r="S1983" s="181"/>
      <c r="T1983" s="181"/>
      <c r="U1983" s="181"/>
      <c r="V1983" s="37"/>
      <c r="W1983" s="181"/>
      <c r="X1983" s="38"/>
      <c r="Y1983" s="38"/>
      <c r="Z1983" s="38"/>
      <c r="AA1983" s="38"/>
      <c r="AB1983" s="248"/>
      <c r="AC1983" s="250"/>
      <c r="AD1983" s="181"/>
      <c r="AE1983" s="37"/>
      <c r="AF1983" s="37"/>
      <c r="AG1983" s="33"/>
      <c r="AH1983" s="37"/>
      <c r="AI1983" s="37"/>
      <c r="AJ1983" s="181"/>
      <c r="AK1983" s="37"/>
      <c r="AL1983" s="37"/>
      <c r="AM1983" s="181"/>
      <c r="AN1983" s="37"/>
      <c r="AO1983" s="37"/>
      <c r="AP1983" s="37"/>
      <c r="AQ1983" s="37"/>
      <c r="AR1983" s="37"/>
      <c r="AS1983" s="37"/>
      <c r="AT1983" s="37"/>
      <c r="AU1983" s="37"/>
      <c r="AV1983" s="37"/>
      <c r="AW1983" s="37"/>
      <c r="AX1983" s="37"/>
      <c r="AY1983" s="37"/>
      <c r="AZ1983" s="37"/>
    </row>
    <row r="1984" spans="1:52" ht="15.5" customHeight="1">
      <c r="A1984" s="360"/>
      <c r="B1984" s="340"/>
      <c r="C1984" s="181"/>
      <c r="D1984" s="30"/>
      <c r="E1984" s="30"/>
      <c r="F1984" s="30"/>
      <c r="G1984" s="37"/>
      <c r="H1984" s="37"/>
      <c r="I1984" s="37"/>
      <c r="J1984" s="37" t="s">
        <v>69</v>
      </c>
      <c r="K1984" s="325" t="s">
        <v>69</v>
      </c>
      <c r="L1984" s="181"/>
      <c r="M1984" s="181"/>
      <c r="N1984" s="37"/>
      <c r="O1984" s="31"/>
      <c r="P1984" s="37"/>
      <c r="Q1984" s="181"/>
      <c r="R1984" s="181"/>
      <c r="S1984" s="181"/>
      <c r="T1984" s="181"/>
      <c r="U1984" s="181"/>
      <c r="V1984" s="37"/>
      <c r="W1984" s="181"/>
      <c r="X1984" s="38"/>
      <c r="Y1984" s="38"/>
      <c r="Z1984" s="38"/>
      <c r="AA1984" s="38"/>
      <c r="AB1984" s="248"/>
      <c r="AC1984" s="250"/>
      <c r="AD1984" s="181"/>
      <c r="AE1984" s="37"/>
      <c r="AF1984" s="37"/>
      <c r="AG1984" s="33"/>
      <c r="AH1984" s="37"/>
      <c r="AI1984" s="37"/>
      <c r="AJ1984" s="181"/>
      <c r="AK1984" s="37"/>
      <c r="AL1984" s="37"/>
      <c r="AM1984" s="181"/>
      <c r="AN1984" s="37"/>
      <c r="AO1984" s="37"/>
      <c r="AP1984" s="37"/>
      <c r="AQ1984" s="37"/>
      <c r="AR1984" s="37"/>
      <c r="AS1984" s="37"/>
      <c r="AT1984" s="37"/>
      <c r="AU1984" s="37"/>
      <c r="AV1984" s="37"/>
      <c r="AW1984" s="37"/>
      <c r="AX1984" s="37"/>
      <c r="AY1984" s="37"/>
      <c r="AZ1984" s="37"/>
    </row>
    <row r="1985" spans="1:52" ht="15.5" customHeight="1">
      <c r="A1985" s="360"/>
      <c r="B1985" s="340"/>
      <c r="C1985" s="181"/>
      <c r="D1985" s="30"/>
      <c r="E1985" s="30"/>
      <c r="F1985" s="30"/>
      <c r="G1985" s="37"/>
      <c r="H1985" s="37"/>
      <c r="I1985" s="37"/>
      <c r="J1985" s="37" t="s">
        <v>69</v>
      </c>
      <c r="K1985" s="325" t="s">
        <v>69</v>
      </c>
      <c r="L1985" s="181"/>
      <c r="M1985" s="181"/>
      <c r="N1985" s="37"/>
      <c r="O1985" s="31"/>
      <c r="P1985" s="37"/>
      <c r="Q1985" s="181"/>
      <c r="R1985" s="181"/>
      <c r="S1985" s="181"/>
      <c r="T1985" s="181"/>
      <c r="U1985" s="181"/>
      <c r="V1985" s="37"/>
      <c r="W1985" s="181"/>
      <c r="X1985" s="38"/>
      <c r="Y1985" s="38"/>
      <c r="Z1985" s="38"/>
      <c r="AA1985" s="38"/>
      <c r="AB1985" s="248"/>
      <c r="AC1985" s="250"/>
      <c r="AD1985" s="181"/>
      <c r="AE1985" s="37"/>
      <c r="AF1985" s="37"/>
      <c r="AG1985" s="33"/>
      <c r="AH1985" s="37"/>
      <c r="AI1985" s="37"/>
      <c r="AJ1985" s="181"/>
      <c r="AK1985" s="37"/>
      <c r="AL1985" s="37"/>
      <c r="AM1985" s="181"/>
      <c r="AN1985" s="37"/>
      <c r="AO1985" s="37"/>
      <c r="AP1985" s="37"/>
      <c r="AQ1985" s="37"/>
      <c r="AR1985" s="37"/>
      <c r="AS1985" s="37"/>
      <c r="AT1985" s="37"/>
      <c r="AU1985" s="37"/>
      <c r="AV1985" s="37"/>
      <c r="AW1985" s="37"/>
      <c r="AX1985" s="37"/>
      <c r="AY1985" s="37"/>
      <c r="AZ1985" s="37"/>
    </row>
    <row r="1986" spans="1:52" ht="15.5" customHeight="1">
      <c r="A1986" s="360"/>
      <c r="B1986" s="340"/>
      <c r="C1986" s="181"/>
      <c r="D1986" s="30"/>
      <c r="E1986" s="30"/>
      <c r="F1986" s="30"/>
      <c r="G1986" s="37"/>
      <c r="H1986" s="37"/>
      <c r="I1986" s="37"/>
      <c r="J1986" s="37" t="s">
        <v>69</v>
      </c>
      <c r="K1986" s="325" t="s">
        <v>69</v>
      </c>
      <c r="L1986" s="181"/>
      <c r="M1986" s="181"/>
      <c r="N1986" s="37"/>
      <c r="O1986" s="31"/>
      <c r="P1986" s="37"/>
      <c r="Q1986" s="181"/>
      <c r="R1986" s="181"/>
      <c r="S1986" s="181"/>
      <c r="T1986" s="181"/>
      <c r="U1986" s="181"/>
      <c r="V1986" s="37"/>
      <c r="W1986" s="181"/>
      <c r="X1986" s="38"/>
      <c r="Y1986" s="38"/>
      <c r="Z1986" s="38"/>
      <c r="AA1986" s="38"/>
      <c r="AB1986" s="248"/>
      <c r="AC1986" s="250"/>
      <c r="AD1986" s="181"/>
      <c r="AE1986" s="37"/>
      <c r="AF1986" s="37"/>
      <c r="AG1986" s="33"/>
      <c r="AH1986" s="37"/>
      <c r="AI1986" s="37"/>
      <c r="AJ1986" s="181"/>
      <c r="AK1986" s="37"/>
      <c r="AL1986" s="37"/>
      <c r="AM1986" s="181"/>
      <c r="AN1986" s="37"/>
      <c r="AO1986" s="37"/>
      <c r="AP1986" s="37"/>
      <c r="AQ1986" s="37"/>
      <c r="AR1986" s="37"/>
      <c r="AS1986" s="37"/>
      <c r="AT1986" s="37"/>
      <c r="AU1986" s="37"/>
      <c r="AV1986" s="37"/>
      <c r="AW1986" s="37"/>
      <c r="AX1986" s="37"/>
      <c r="AY1986" s="37"/>
      <c r="AZ1986" s="37"/>
    </row>
    <row r="1987" spans="1:52" ht="15.5" customHeight="1">
      <c r="A1987" s="360"/>
      <c r="B1987" s="340"/>
      <c r="C1987" s="181"/>
      <c r="D1987" s="30"/>
      <c r="E1987" s="30"/>
      <c r="F1987" s="30"/>
      <c r="G1987" s="37"/>
      <c r="H1987" s="37"/>
      <c r="I1987" s="37"/>
      <c r="J1987" s="37" t="s">
        <v>69</v>
      </c>
      <c r="K1987" s="325" t="s">
        <v>69</v>
      </c>
      <c r="L1987" s="181"/>
      <c r="M1987" s="181"/>
      <c r="N1987" s="37"/>
      <c r="O1987" s="31"/>
      <c r="P1987" s="37"/>
      <c r="Q1987" s="181"/>
      <c r="R1987" s="181"/>
      <c r="S1987" s="181"/>
      <c r="T1987" s="181"/>
      <c r="U1987" s="181"/>
      <c r="V1987" s="37"/>
      <c r="W1987" s="181"/>
      <c r="X1987" s="38"/>
      <c r="Y1987" s="38"/>
      <c r="Z1987" s="38"/>
      <c r="AA1987" s="38"/>
      <c r="AB1987" s="248"/>
      <c r="AC1987" s="250"/>
      <c r="AD1987" s="181"/>
      <c r="AE1987" s="37"/>
      <c r="AF1987" s="37"/>
      <c r="AG1987" s="33"/>
      <c r="AH1987" s="37"/>
      <c r="AI1987" s="37"/>
      <c r="AJ1987" s="181"/>
      <c r="AK1987" s="37"/>
      <c r="AL1987" s="37"/>
      <c r="AM1987" s="181"/>
      <c r="AN1987" s="37"/>
      <c r="AO1987" s="37"/>
      <c r="AP1987" s="37"/>
      <c r="AQ1987" s="37"/>
      <c r="AR1987" s="37"/>
      <c r="AS1987" s="37"/>
      <c r="AT1987" s="37"/>
      <c r="AU1987" s="37"/>
      <c r="AV1987" s="37"/>
      <c r="AW1987" s="37"/>
      <c r="AX1987" s="37"/>
      <c r="AY1987" s="37"/>
      <c r="AZ1987" s="37"/>
    </row>
    <row r="1988" spans="1:52" ht="15.5" customHeight="1">
      <c r="A1988" s="360"/>
      <c r="B1988" s="340"/>
      <c r="C1988" s="181"/>
      <c r="D1988" s="30"/>
      <c r="E1988" s="30"/>
      <c r="F1988" s="30"/>
      <c r="G1988" s="37"/>
      <c r="H1988" s="37"/>
      <c r="I1988" s="37"/>
      <c r="J1988" s="37" t="s">
        <v>69</v>
      </c>
      <c r="K1988" s="325" t="s">
        <v>69</v>
      </c>
      <c r="L1988" s="181"/>
      <c r="M1988" s="181"/>
      <c r="N1988" s="37"/>
      <c r="O1988" s="31"/>
      <c r="P1988" s="37"/>
      <c r="Q1988" s="181"/>
      <c r="R1988" s="181"/>
      <c r="S1988" s="181"/>
      <c r="T1988" s="181"/>
      <c r="U1988" s="181"/>
      <c r="V1988" s="37"/>
      <c r="W1988" s="181"/>
      <c r="X1988" s="38"/>
      <c r="Y1988" s="38"/>
      <c r="Z1988" s="38"/>
      <c r="AA1988" s="38"/>
      <c r="AB1988" s="248"/>
      <c r="AC1988" s="250"/>
      <c r="AD1988" s="181"/>
      <c r="AE1988" s="37"/>
      <c r="AF1988" s="37"/>
      <c r="AG1988" s="33"/>
      <c r="AH1988" s="37"/>
      <c r="AI1988" s="37"/>
      <c r="AJ1988" s="181"/>
      <c r="AK1988" s="37"/>
      <c r="AL1988" s="37"/>
      <c r="AM1988" s="181"/>
      <c r="AN1988" s="37"/>
      <c r="AO1988" s="37"/>
      <c r="AP1988" s="37"/>
      <c r="AQ1988" s="37"/>
      <c r="AR1988" s="37"/>
      <c r="AS1988" s="37"/>
      <c r="AT1988" s="37"/>
      <c r="AU1988" s="37"/>
      <c r="AV1988" s="37"/>
      <c r="AW1988" s="37"/>
      <c r="AX1988" s="37"/>
      <c r="AY1988" s="37"/>
      <c r="AZ1988" s="37"/>
    </row>
    <row r="1989" spans="1:52" ht="15.5" customHeight="1">
      <c r="A1989" s="360"/>
      <c r="B1989" s="340"/>
      <c r="C1989" s="181"/>
      <c r="D1989" s="30"/>
      <c r="E1989" s="30"/>
      <c r="F1989" s="30"/>
      <c r="G1989" s="37"/>
      <c r="H1989" s="37"/>
      <c r="I1989" s="37"/>
      <c r="J1989" s="37" t="s">
        <v>69</v>
      </c>
      <c r="K1989" s="325" t="s">
        <v>69</v>
      </c>
      <c r="L1989" s="181"/>
      <c r="M1989" s="181"/>
      <c r="N1989" s="37"/>
      <c r="O1989" s="31"/>
      <c r="P1989" s="37"/>
      <c r="Q1989" s="181"/>
      <c r="R1989" s="181"/>
      <c r="S1989" s="181"/>
      <c r="T1989" s="181"/>
      <c r="U1989" s="181"/>
      <c r="V1989" s="37"/>
      <c r="W1989" s="181"/>
      <c r="X1989" s="38"/>
      <c r="Y1989" s="38"/>
      <c r="Z1989" s="38"/>
      <c r="AA1989" s="38"/>
      <c r="AB1989" s="248"/>
      <c r="AC1989" s="250"/>
      <c r="AD1989" s="181"/>
      <c r="AE1989" s="37"/>
      <c r="AF1989" s="37"/>
      <c r="AG1989" s="33"/>
      <c r="AH1989" s="37"/>
      <c r="AI1989" s="37"/>
      <c r="AJ1989" s="181"/>
      <c r="AK1989" s="37"/>
      <c r="AL1989" s="37"/>
      <c r="AM1989" s="181"/>
      <c r="AN1989" s="37"/>
      <c r="AO1989" s="37"/>
      <c r="AP1989" s="37"/>
      <c r="AQ1989" s="37"/>
      <c r="AR1989" s="37"/>
      <c r="AS1989" s="37"/>
      <c r="AT1989" s="37"/>
      <c r="AU1989" s="37"/>
      <c r="AV1989" s="37"/>
      <c r="AW1989" s="37"/>
      <c r="AX1989" s="37"/>
      <c r="AY1989" s="37"/>
      <c r="AZ1989" s="37"/>
    </row>
    <row r="1990" spans="1:52" ht="15.5" customHeight="1">
      <c r="A1990" s="360"/>
      <c r="B1990" s="340"/>
      <c r="C1990" s="181"/>
      <c r="D1990" s="30"/>
      <c r="E1990" s="30"/>
      <c r="F1990" s="30"/>
      <c r="G1990" s="37"/>
      <c r="H1990" s="37"/>
      <c r="I1990" s="37"/>
      <c r="J1990" s="37" t="s">
        <v>69</v>
      </c>
      <c r="K1990" s="325" t="s">
        <v>69</v>
      </c>
      <c r="L1990" s="181"/>
      <c r="M1990" s="181"/>
      <c r="N1990" s="37"/>
      <c r="O1990" s="31"/>
      <c r="P1990" s="37"/>
      <c r="Q1990" s="181"/>
      <c r="R1990" s="181"/>
      <c r="S1990" s="181"/>
      <c r="T1990" s="181"/>
      <c r="U1990" s="181"/>
      <c r="V1990" s="37"/>
      <c r="W1990" s="181"/>
      <c r="X1990" s="38"/>
      <c r="Y1990" s="38"/>
      <c r="Z1990" s="38"/>
      <c r="AA1990" s="38"/>
      <c r="AB1990" s="248"/>
      <c r="AC1990" s="250"/>
      <c r="AD1990" s="181"/>
      <c r="AE1990" s="37"/>
      <c r="AF1990" s="37"/>
      <c r="AG1990" s="33"/>
      <c r="AH1990" s="37"/>
      <c r="AI1990" s="37"/>
      <c r="AJ1990" s="181"/>
      <c r="AK1990" s="37"/>
      <c r="AL1990" s="37"/>
      <c r="AM1990" s="181"/>
      <c r="AN1990" s="37"/>
      <c r="AO1990" s="37"/>
      <c r="AP1990" s="37"/>
      <c r="AQ1990" s="37"/>
      <c r="AR1990" s="37"/>
      <c r="AS1990" s="37"/>
      <c r="AT1990" s="37"/>
      <c r="AU1990" s="37"/>
      <c r="AV1990" s="37"/>
      <c r="AW1990" s="37"/>
      <c r="AX1990" s="37"/>
      <c r="AY1990" s="37"/>
      <c r="AZ1990" s="37"/>
    </row>
    <row r="1991" spans="1:52" ht="15.5" customHeight="1">
      <c r="A1991" s="360"/>
      <c r="B1991" s="340"/>
      <c r="C1991" s="181"/>
      <c r="D1991" s="30"/>
      <c r="E1991" s="30"/>
      <c r="F1991" s="30"/>
      <c r="G1991" s="37"/>
      <c r="H1991" s="37"/>
      <c r="I1991" s="37"/>
      <c r="J1991" s="37" t="s">
        <v>69</v>
      </c>
      <c r="K1991" s="325" t="s">
        <v>69</v>
      </c>
      <c r="L1991" s="181"/>
      <c r="M1991" s="181"/>
      <c r="N1991" s="37"/>
      <c r="O1991" s="31"/>
      <c r="P1991" s="37"/>
      <c r="Q1991" s="181"/>
      <c r="R1991" s="181"/>
      <c r="S1991" s="181"/>
      <c r="T1991" s="181"/>
      <c r="U1991" s="181"/>
      <c r="V1991" s="37"/>
      <c r="W1991" s="181"/>
      <c r="X1991" s="38"/>
      <c r="Y1991" s="38"/>
      <c r="Z1991" s="38"/>
      <c r="AA1991" s="38"/>
      <c r="AB1991" s="248"/>
      <c r="AC1991" s="250"/>
      <c r="AD1991" s="181"/>
      <c r="AE1991" s="37"/>
      <c r="AF1991" s="37"/>
      <c r="AG1991" s="33"/>
      <c r="AH1991" s="37"/>
      <c r="AI1991" s="37"/>
      <c r="AJ1991" s="181"/>
      <c r="AK1991" s="37"/>
      <c r="AL1991" s="37"/>
      <c r="AM1991" s="181"/>
      <c r="AN1991" s="37"/>
      <c r="AO1991" s="37"/>
      <c r="AP1991" s="37"/>
      <c r="AQ1991" s="37"/>
      <c r="AR1991" s="37"/>
      <c r="AS1991" s="37"/>
      <c r="AT1991" s="37"/>
      <c r="AU1991" s="37"/>
      <c r="AV1991" s="37"/>
      <c r="AW1991" s="37"/>
      <c r="AX1991" s="37"/>
      <c r="AY1991" s="37"/>
      <c r="AZ1991" s="37"/>
    </row>
    <row r="1992" spans="1:52" ht="15.5" customHeight="1">
      <c r="A1992" s="360"/>
      <c r="B1992" s="340"/>
      <c r="C1992" s="181"/>
      <c r="D1992" s="30"/>
      <c r="E1992" s="30"/>
      <c r="F1992" s="30"/>
      <c r="G1992" s="37"/>
      <c r="H1992" s="37"/>
      <c r="I1992" s="37"/>
      <c r="J1992" s="37" t="s">
        <v>69</v>
      </c>
      <c r="K1992" s="325" t="s">
        <v>69</v>
      </c>
      <c r="L1992" s="181"/>
      <c r="M1992" s="181"/>
      <c r="N1992" s="37"/>
      <c r="O1992" s="31"/>
      <c r="P1992" s="37"/>
      <c r="Q1992" s="181"/>
      <c r="R1992" s="181"/>
      <c r="S1992" s="181"/>
      <c r="T1992" s="181"/>
      <c r="U1992" s="181"/>
      <c r="V1992" s="37"/>
      <c r="W1992" s="181"/>
      <c r="X1992" s="38"/>
      <c r="Y1992" s="38"/>
      <c r="Z1992" s="38"/>
      <c r="AA1992" s="38"/>
      <c r="AB1992" s="248"/>
      <c r="AC1992" s="250"/>
      <c r="AD1992" s="181"/>
      <c r="AE1992" s="37"/>
      <c r="AF1992" s="37"/>
      <c r="AG1992" s="33"/>
      <c r="AH1992" s="37"/>
      <c r="AI1992" s="37"/>
      <c r="AJ1992" s="181"/>
      <c r="AK1992" s="37"/>
      <c r="AL1992" s="37"/>
      <c r="AM1992" s="181"/>
      <c r="AN1992" s="37"/>
      <c r="AO1992" s="37"/>
      <c r="AP1992" s="37"/>
      <c r="AQ1992" s="37"/>
      <c r="AR1992" s="37"/>
      <c r="AS1992" s="37"/>
      <c r="AT1992" s="37"/>
      <c r="AU1992" s="37"/>
      <c r="AV1992" s="37"/>
      <c r="AW1992" s="37"/>
      <c r="AX1992" s="37"/>
      <c r="AY1992" s="37"/>
      <c r="AZ1992" s="37"/>
    </row>
    <row r="1993" spans="1:52" ht="15.5" customHeight="1">
      <c r="A1993" s="360"/>
      <c r="B1993" s="340"/>
      <c r="C1993" s="181"/>
      <c r="D1993" s="30"/>
      <c r="E1993" s="30"/>
      <c r="F1993" s="30"/>
      <c r="G1993" s="37"/>
      <c r="H1993" s="37"/>
      <c r="I1993" s="37"/>
      <c r="J1993" s="37" t="s">
        <v>69</v>
      </c>
      <c r="K1993" s="325" t="s">
        <v>69</v>
      </c>
      <c r="L1993" s="181"/>
      <c r="M1993" s="181"/>
      <c r="N1993" s="37"/>
      <c r="O1993" s="31"/>
      <c r="P1993" s="37"/>
      <c r="Q1993" s="181"/>
      <c r="R1993" s="181"/>
      <c r="S1993" s="181"/>
      <c r="T1993" s="181"/>
      <c r="U1993" s="181"/>
      <c r="V1993" s="37"/>
      <c r="W1993" s="181"/>
      <c r="X1993" s="38"/>
      <c r="Y1993" s="38"/>
      <c r="Z1993" s="38"/>
      <c r="AA1993" s="38"/>
      <c r="AB1993" s="248"/>
      <c r="AC1993" s="250"/>
      <c r="AD1993" s="181"/>
      <c r="AE1993" s="37"/>
      <c r="AF1993" s="37"/>
      <c r="AG1993" s="33"/>
      <c r="AH1993" s="37"/>
      <c r="AI1993" s="37"/>
      <c r="AJ1993" s="181"/>
      <c r="AK1993" s="37"/>
      <c r="AL1993" s="37"/>
      <c r="AM1993" s="181"/>
      <c r="AN1993" s="37"/>
      <c r="AO1993" s="37"/>
      <c r="AP1993" s="37"/>
      <c r="AQ1993" s="37"/>
      <c r="AR1993" s="37"/>
      <c r="AS1993" s="37"/>
      <c r="AT1993" s="37"/>
      <c r="AU1993" s="37"/>
      <c r="AV1993" s="37"/>
      <c r="AW1993" s="37"/>
      <c r="AX1993" s="37"/>
      <c r="AY1993" s="37"/>
      <c r="AZ1993" s="37"/>
    </row>
    <row r="1994" spans="1:52" ht="15.5" customHeight="1">
      <c r="A1994" s="360"/>
      <c r="B1994" s="340"/>
      <c r="C1994" s="181"/>
      <c r="D1994" s="30"/>
      <c r="E1994" s="30"/>
      <c r="F1994" s="30"/>
      <c r="G1994" s="37"/>
      <c r="H1994" s="37"/>
      <c r="I1994" s="37"/>
      <c r="J1994" s="37" t="s">
        <v>69</v>
      </c>
      <c r="K1994" s="325" t="s">
        <v>69</v>
      </c>
      <c r="L1994" s="181"/>
      <c r="M1994" s="181"/>
      <c r="N1994" s="37"/>
      <c r="O1994" s="31"/>
      <c r="P1994" s="37"/>
      <c r="Q1994" s="181"/>
      <c r="R1994" s="181"/>
      <c r="S1994" s="181"/>
      <c r="T1994" s="181"/>
      <c r="U1994" s="181"/>
      <c r="V1994" s="37"/>
      <c r="W1994" s="181"/>
      <c r="X1994" s="38"/>
      <c r="Y1994" s="38"/>
      <c r="Z1994" s="38"/>
      <c r="AA1994" s="38"/>
      <c r="AB1994" s="248"/>
      <c r="AC1994" s="250"/>
      <c r="AD1994" s="181"/>
      <c r="AE1994" s="37"/>
      <c r="AF1994" s="37"/>
      <c r="AG1994" s="33"/>
      <c r="AH1994" s="37"/>
      <c r="AI1994" s="37"/>
      <c r="AJ1994" s="181"/>
      <c r="AK1994" s="37"/>
      <c r="AL1994" s="37"/>
      <c r="AM1994" s="181"/>
      <c r="AN1994" s="37"/>
      <c r="AO1994" s="37"/>
      <c r="AP1994" s="37"/>
      <c r="AQ1994" s="37"/>
      <c r="AR1994" s="37"/>
      <c r="AS1994" s="37"/>
      <c r="AT1994" s="37"/>
      <c r="AU1994" s="37"/>
      <c r="AV1994" s="37"/>
      <c r="AW1994" s="37"/>
      <c r="AX1994" s="37"/>
      <c r="AY1994" s="37"/>
      <c r="AZ1994" s="37"/>
    </row>
    <row r="1995" spans="1:52" ht="15.5" customHeight="1">
      <c r="A1995" s="360"/>
      <c r="B1995" s="340"/>
      <c r="C1995" s="181"/>
      <c r="D1995" s="30"/>
      <c r="E1995" s="30"/>
      <c r="F1995" s="30"/>
      <c r="G1995" s="37"/>
      <c r="H1995" s="37"/>
      <c r="I1995" s="37"/>
      <c r="J1995" s="37" t="s">
        <v>69</v>
      </c>
      <c r="K1995" s="325" t="s">
        <v>69</v>
      </c>
      <c r="L1995" s="181"/>
      <c r="M1995" s="181"/>
      <c r="N1995" s="37"/>
      <c r="O1995" s="31"/>
      <c r="P1995" s="37"/>
      <c r="Q1995" s="181"/>
      <c r="R1995" s="181"/>
      <c r="S1995" s="181"/>
      <c r="T1995" s="181"/>
      <c r="U1995" s="181"/>
      <c r="V1995" s="37"/>
      <c r="W1995" s="181"/>
      <c r="X1995" s="38"/>
      <c r="Y1995" s="38"/>
      <c r="Z1995" s="38"/>
      <c r="AA1995" s="38"/>
      <c r="AB1995" s="248"/>
      <c r="AC1995" s="250"/>
      <c r="AD1995" s="181"/>
      <c r="AE1995" s="37"/>
      <c r="AF1995" s="37"/>
      <c r="AG1995" s="33"/>
      <c r="AH1995" s="37"/>
      <c r="AI1995" s="37"/>
      <c r="AJ1995" s="181"/>
      <c r="AK1995" s="37"/>
      <c r="AL1995" s="37"/>
      <c r="AM1995" s="181"/>
      <c r="AN1995" s="37"/>
      <c r="AO1995" s="37"/>
      <c r="AP1995" s="37"/>
      <c r="AQ1995" s="37"/>
      <c r="AR1995" s="37"/>
      <c r="AS1995" s="37"/>
      <c r="AT1995" s="37"/>
      <c r="AU1995" s="37"/>
      <c r="AV1995" s="37"/>
      <c r="AW1995" s="37"/>
      <c r="AX1995" s="37"/>
      <c r="AY1995" s="37"/>
      <c r="AZ1995" s="37"/>
    </row>
    <row r="1996" spans="1:52" ht="15.5" customHeight="1">
      <c r="A1996" s="360"/>
      <c r="B1996" s="340"/>
      <c r="C1996" s="181"/>
      <c r="D1996" s="30"/>
      <c r="E1996" s="30"/>
      <c r="F1996" s="30"/>
      <c r="G1996" s="37"/>
      <c r="H1996" s="37"/>
      <c r="I1996" s="37"/>
      <c r="J1996" s="37" t="s">
        <v>69</v>
      </c>
      <c r="K1996" s="325" t="s">
        <v>69</v>
      </c>
      <c r="L1996" s="181"/>
      <c r="M1996" s="181"/>
      <c r="N1996" s="37"/>
      <c r="O1996" s="31"/>
      <c r="P1996" s="37"/>
      <c r="Q1996" s="181"/>
      <c r="R1996" s="181"/>
      <c r="S1996" s="181"/>
      <c r="T1996" s="181"/>
      <c r="U1996" s="181"/>
      <c r="V1996" s="37"/>
      <c r="W1996" s="181"/>
      <c r="X1996" s="38"/>
      <c r="Y1996" s="38"/>
      <c r="Z1996" s="38"/>
      <c r="AA1996" s="38"/>
      <c r="AB1996" s="248"/>
      <c r="AC1996" s="250"/>
      <c r="AD1996" s="181"/>
      <c r="AE1996" s="37"/>
      <c r="AF1996" s="37"/>
      <c r="AG1996" s="33"/>
      <c r="AH1996" s="37"/>
      <c r="AI1996" s="37"/>
      <c r="AJ1996" s="181"/>
      <c r="AK1996" s="37"/>
      <c r="AL1996" s="37"/>
      <c r="AM1996" s="181"/>
      <c r="AN1996" s="37"/>
      <c r="AO1996" s="37"/>
      <c r="AP1996" s="37"/>
      <c r="AQ1996" s="37"/>
      <c r="AR1996" s="37"/>
      <c r="AS1996" s="37"/>
      <c r="AT1996" s="37"/>
      <c r="AU1996" s="37"/>
      <c r="AV1996" s="37"/>
      <c r="AW1996" s="37"/>
      <c r="AX1996" s="37"/>
      <c r="AY1996" s="37"/>
      <c r="AZ1996" s="37"/>
    </row>
    <row r="1997" spans="1:52" ht="15.5" customHeight="1">
      <c r="A1997" s="360"/>
      <c r="B1997" s="340"/>
      <c r="C1997" s="181"/>
      <c r="D1997" s="30"/>
      <c r="E1997" s="30"/>
      <c r="F1997" s="30"/>
      <c r="G1997" s="37"/>
      <c r="H1997" s="37"/>
      <c r="I1997" s="37"/>
      <c r="J1997" s="37" t="s">
        <v>69</v>
      </c>
      <c r="K1997" s="325" t="s">
        <v>69</v>
      </c>
      <c r="L1997" s="181"/>
      <c r="M1997" s="181"/>
      <c r="N1997" s="37"/>
      <c r="O1997" s="31"/>
      <c r="P1997" s="37"/>
      <c r="Q1997" s="181"/>
      <c r="R1997" s="181"/>
      <c r="S1997" s="181"/>
      <c r="T1997" s="181"/>
      <c r="U1997" s="181"/>
      <c r="V1997" s="37"/>
      <c r="W1997" s="181"/>
      <c r="X1997" s="38"/>
      <c r="Y1997" s="38"/>
      <c r="Z1997" s="38"/>
      <c r="AA1997" s="38"/>
      <c r="AB1997" s="248"/>
      <c r="AC1997" s="250"/>
      <c r="AD1997" s="181"/>
      <c r="AE1997" s="37"/>
      <c r="AF1997" s="37"/>
      <c r="AG1997" s="33"/>
      <c r="AH1997" s="37"/>
      <c r="AI1997" s="37"/>
      <c r="AJ1997" s="181"/>
      <c r="AK1997" s="37"/>
      <c r="AL1997" s="37"/>
      <c r="AM1997" s="181"/>
      <c r="AN1997" s="37"/>
      <c r="AO1997" s="37"/>
      <c r="AP1997" s="37"/>
      <c r="AQ1997" s="37"/>
      <c r="AR1997" s="37"/>
      <c r="AS1997" s="37"/>
      <c r="AT1997" s="37"/>
      <c r="AU1997" s="37"/>
      <c r="AV1997" s="37"/>
      <c r="AW1997" s="37"/>
      <c r="AX1997" s="37"/>
      <c r="AY1997" s="37"/>
      <c r="AZ1997" s="37"/>
    </row>
    <row r="1998" spans="1:52" ht="15.5" customHeight="1">
      <c r="A1998" s="360"/>
      <c r="B1998" s="340"/>
      <c r="C1998" s="181"/>
      <c r="D1998" s="30"/>
      <c r="E1998" s="30"/>
      <c r="F1998" s="30"/>
      <c r="G1998" s="37"/>
      <c r="H1998" s="37"/>
      <c r="I1998" s="37"/>
      <c r="J1998" s="37" t="s">
        <v>69</v>
      </c>
      <c r="K1998" s="325" t="s">
        <v>69</v>
      </c>
      <c r="L1998" s="181"/>
      <c r="M1998" s="181"/>
      <c r="N1998" s="37"/>
      <c r="O1998" s="31"/>
      <c r="P1998" s="37"/>
      <c r="Q1998" s="181"/>
      <c r="R1998" s="181"/>
      <c r="S1998" s="181"/>
      <c r="T1998" s="181"/>
      <c r="U1998" s="181"/>
      <c r="V1998" s="37"/>
      <c r="W1998" s="181"/>
      <c r="X1998" s="38"/>
      <c r="Y1998" s="38"/>
      <c r="Z1998" s="38"/>
      <c r="AA1998" s="38"/>
      <c r="AB1998" s="248"/>
      <c r="AC1998" s="250"/>
      <c r="AD1998" s="181"/>
      <c r="AE1998" s="37"/>
      <c r="AF1998" s="37"/>
      <c r="AG1998" s="33"/>
      <c r="AH1998" s="37"/>
      <c r="AI1998" s="37"/>
      <c r="AJ1998" s="181"/>
      <c r="AK1998" s="37"/>
      <c r="AL1998" s="37"/>
      <c r="AM1998" s="181"/>
      <c r="AN1998" s="37"/>
      <c r="AO1998" s="37"/>
      <c r="AP1998" s="37"/>
      <c r="AQ1998" s="37"/>
      <c r="AR1998" s="37"/>
      <c r="AS1998" s="37"/>
      <c r="AT1998" s="37"/>
      <c r="AU1998" s="37"/>
      <c r="AV1998" s="37"/>
      <c r="AW1998" s="37"/>
      <c r="AX1998" s="37"/>
      <c r="AY1998" s="37"/>
      <c r="AZ1998" s="37"/>
    </row>
    <row r="1999" spans="1:52" ht="15.5" customHeight="1">
      <c r="A1999" s="360"/>
      <c r="B1999" s="340"/>
      <c r="C1999" s="181"/>
      <c r="D1999" s="30"/>
      <c r="E1999" s="30"/>
      <c r="F1999" s="30"/>
      <c r="G1999" s="37"/>
      <c r="H1999" s="37"/>
      <c r="I1999" s="37"/>
      <c r="J1999" s="37" t="s">
        <v>69</v>
      </c>
      <c r="K1999" s="325" t="s">
        <v>69</v>
      </c>
      <c r="L1999" s="181"/>
      <c r="M1999" s="181"/>
      <c r="N1999" s="37"/>
      <c r="O1999" s="31"/>
      <c r="P1999" s="37"/>
      <c r="Q1999" s="181"/>
      <c r="R1999" s="181"/>
      <c r="S1999" s="181"/>
      <c r="T1999" s="181"/>
      <c r="U1999" s="181"/>
      <c r="V1999" s="37"/>
      <c r="W1999" s="181"/>
      <c r="X1999" s="38"/>
      <c r="Y1999" s="38"/>
      <c r="Z1999" s="38"/>
      <c r="AA1999" s="38"/>
      <c r="AB1999" s="248"/>
      <c r="AC1999" s="250"/>
      <c r="AD1999" s="181"/>
      <c r="AE1999" s="37"/>
      <c r="AF1999" s="37"/>
      <c r="AG1999" s="33"/>
      <c r="AH1999" s="37"/>
      <c r="AI1999" s="37"/>
      <c r="AJ1999" s="181"/>
      <c r="AK1999" s="37"/>
      <c r="AL1999" s="37"/>
      <c r="AM1999" s="181"/>
      <c r="AN1999" s="37"/>
      <c r="AO1999" s="37"/>
      <c r="AP1999" s="37"/>
      <c r="AQ1999" s="37"/>
      <c r="AR1999" s="37"/>
      <c r="AS1999" s="37"/>
      <c r="AT1999" s="37"/>
      <c r="AU1999" s="37"/>
      <c r="AV1999" s="37"/>
      <c r="AW1999" s="37"/>
      <c r="AX1999" s="37"/>
      <c r="AY1999" s="37"/>
      <c r="AZ1999" s="37"/>
    </row>
    <row r="2000" spans="1:52" ht="15.5" customHeight="1">
      <c r="A2000" s="360"/>
      <c r="B2000" s="340"/>
      <c r="C2000" s="181"/>
      <c r="D2000" s="30"/>
      <c r="E2000" s="30"/>
      <c r="F2000" s="30"/>
      <c r="G2000" s="37"/>
      <c r="H2000" s="37"/>
      <c r="I2000" s="37"/>
      <c r="J2000" s="37" t="s">
        <v>69</v>
      </c>
      <c r="K2000" s="325" t="s">
        <v>69</v>
      </c>
      <c r="L2000" s="181"/>
      <c r="M2000" s="181"/>
      <c r="N2000" s="37"/>
      <c r="O2000" s="31"/>
      <c r="P2000" s="37"/>
      <c r="Q2000" s="181"/>
      <c r="R2000" s="181"/>
      <c r="S2000" s="181"/>
      <c r="T2000" s="181"/>
      <c r="U2000" s="181"/>
      <c r="V2000" s="37"/>
      <c r="W2000" s="181"/>
      <c r="X2000" s="38"/>
      <c r="Y2000" s="38"/>
      <c r="Z2000" s="38"/>
      <c r="AA2000" s="38"/>
      <c r="AB2000" s="248"/>
      <c r="AC2000" s="250"/>
      <c r="AD2000" s="181"/>
      <c r="AE2000" s="37"/>
      <c r="AF2000" s="37"/>
      <c r="AG2000" s="33"/>
      <c r="AH2000" s="37"/>
      <c r="AI2000" s="37"/>
      <c r="AJ2000" s="181"/>
      <c r="AK2000" s="37"/>
      <c r="AL2000" s="37"/>
      <c r="AM2000" s="181"/>
      <c r="AN2000" s="37"/>
      <c r="AO2000" s="37"/>
      <c r="AP2000" s="37"/>
      <c r="AQ2000" s="37"/>
      <c r="AR2000" s="37"/>
      <c r="AS2000" s="37"/>
      <c r="AT2000" s="37"/>
      <c r="AU2000" s="37"/>
      <c r="AV2000" s="37"/>
      <c r="AW2000" s="37"/>
      <c r="AX2000" s="37"/>
      <c r="AY2000" s="37"/>
      <c r="AZ2000" s="37"/>
    </row>
    <row r="2001" spans="1:52" ht="15.5" customHeight="1">
      <c r="A2001" s="360"/>
      <c r="B2001" s="340"/>
      <c r="C2001" s="181"/>
      <c r="D2001" s="30"/>
      <c r="E2001" s="30"/>
      <c r="F2001" s="30"/>
      <c r="G2001" s="37"/>
      <c r="H2001" s="37"/>
      <c r="I2001" s="37"/>
      <c r="J2001" s="37" t="s">
        <v>69</v>
      </c>
      <c r="K2001" s="325" t="s">
        <v>69</v>
      </c>
      <c r="L2001" s="181"/>
      <c r="M2001" s="181"/>
      <c r="N2001" s="37"/>
      <c r="O2001" s="31"/>
      <c r="P2001" s="37"/>
      <c r="Q2001" s="181"/>
      <c r="R2001" s="181"/>
      <c r="S2001" s="181"/>
      <c r="T2001" s="181"/>
      <c r="U2001" s="181"/>
      <c r="V2001" s="37"/>
      <c r="W2001" s="181"/>
      <c r="X2001" s="38"/>
      <c r="Y2001" s="38"/>
      <c r="Z2001" s="38"/>
      <c r="AA2001" s="38"/>
      <c r="AB2001" s="248"/>
      <c r="AC2001" s="250"/>
      <c r="AD2001" s="181"/>
      <c r="AE2001" s="37"/>
      <c r="AF2001" s="37"/>
      <c r="AG2001" s="33"/>
      <c r="AH2001" s="37"/>
      <c r="AI2001" s="37"/>
      <c r="AJ2001" s="181"/>
      <c r="AK2001" s="37"/>
      <c r="AL2001" s="37"/>
      <c r="AM2001" s="181"/>
      <c r="AN2001" s="37"/>
      <c r="AO2001" s="37"/>
      <c r="AP2001" s="37"/>
      <c r="AQ2001" s="37"/>
      <c r="AR2001" s="37"/>
      <c r="AS2001" s="37"/>
      <c r="AT2001" s="37"/>
      <c r="AU2001" s="37"/>
      <c r="AV2001" s="37"/>
      <c r="AW2001" s="37"/>
      <c r="AX2001" s="37"/>
      <c r="AY2001" s="37"/>
      <c r="AZ2001" s="37"/>
    </row>
    <row r="2002" spans="1:52" ht="15.5" customHeight="1">
      <c r="A2002" s="363"/>
      <c r="B2002" s="343"/>
      <c r="C2002" s="7"/>
      <c r="D2002" s="254"/>
      <c r="E2002" s="254"/>
      <c r="F2002" s="254"/>
      <c r="G2002" s="253"/>
      <c r="H2002" s="253"/>
      <c r="I2002" s="253"/>
      <c r="J2002" s="253"/>
      <c r="K2002" s="253"/>
      <c r="L2002" s="7"/>
      <c r="M2002" s="7"/>
      <c r="N2002" s="253"/>
      <c r="O2002" s="255"/>
      <c r="P2002" s="253"/>
      <c r="Q2002" s="7"/>
      <c r="R2002" s="7"/>
      <c r="S2002" s="7"/>
      <c r="T2002" s="7"/>
      <c r="U2002" s="7"/>
      <c r="V2002" s="253"/>
      <c r="W2002" s="7"/>
      <c r="X2002" s="256"/>
      <c r="Y2002" s="256"/>
      <c r="Z2002" s="256"/>
      <c r="AA2002" s="256"/>
      <c r="AB2002" s="257"/>
      <c r="AC2002" s="258"/>
      <c r="AD2002" s="7"/>
      <c r="AE2002" s="253"/>
      <c r="AF2002" s="253"/>
      <c r="AG2002" s="259"/>
      <c r="AH2002" s="253"/>
      <c r="AI2002" s="253"/>
      <c r="AJ2002" s="7"/>
      <c r="AK2002" s="253"/>
      <c r="AL2002" s="253"/>
      <c r="AM2002" s="7"/>
      <c r="AN2002" s="253"/>
      <c r="AO2002" s="253"/>
      <c r="AP2002" s="253"/>
      <c r="AQ2002" s="253"/>
      <c r="AR2002" s="253"/>
      <c r="AS2002" s="253"/>
      <c r="AT2002" s="253"/>
      <c r="AU2002" s="253"/>
      <c r="AV2002" s="253"/>
      <c r="AW2002" s="253"/>
      <c r="AX2002" s="253"/>
      <c r="AY2002" s="253"/>
      <c r="AZ2002" s="253"/>
    </row>
    <row r="2003" spans="1:52" ht="15.5" customHeight="1">
      <c r="A2003" s="363"/>
      <c r="B2003" s="343"/>
      <c r="C2003" s="7"/>
      <c r="D2003" s="254"/>
      <c r="E2003" s="254"/>
      <c r="F2003" s="254"/>
      <c r="G2003" s="253"/>
      <c r="H2003" s="253"/>
      <c r="I2003" s="253"/>
      <c r="J2003" s="253"/>
      <c r="K2003" s="253"/>
      <c r="L2003" s="7"/>
      <c r="M2003" s="7"/>
      <c r="N2003" s="253"/>
      <c r="O2003" s="255"/>
      <c r="P2003" s="253"/>
      <c r="Q2003" s="7"/>
      <c r="R2003" s="7"/>
      <c r="S2003" s="7"/>
      <c r="T2003" s="7"/>
      <c r="U2003" s="7"/>
      <c r="V2003" s="253"/>
      <c r="W2003" s="7"/>
      <c r="X2003" s="256"/>
      <c r="Y2003" s="256"/>
      <c r="Z2003" s="256"/>
      <c r="AA2003" s="256"/>
      <c r="AB2003" s="257"/>
      <c r="AC2003" s="258"/>
      <c r="AD2003" s="7"/>
      <c r="AE2003" s="253"/>
      <c r="AF2003" s="253"/>
      <c r="AG2003" s="259"/>
      <c r="AH2003" s="253"/>
      <c r="AI2003" s="253"/>
      <c r="AJ2003" s="7"/>
      <c r="AK2003" s="253"/>
      <c r="AL2003" s="253"/>
      <c r="AM2003" s="7"/>
      <c r="AN2003" s="253"/>
      <c r="AO2003" s="253"/>
      <c r="AP2003" s="253"/>
      <c r="AQ2003" s="253"/>
      <c r="AR2003" s="253"/>
      <c r="AS2003" s="253"/>
      <c r="AT2003" s="253"/>
      <c r="AU2003" s="253"/>
      <c r="AV2003" s="253"/>
      <c r="AW2003" s="253"/>
      <c r="AX2003" s="253"/>
      <c r="AY2003" s="253"/>
      <c r="AZ2003" s="253"/>
    </row>
    <row r="2004" spans="1:52" ht="15.5" customHeight="1">
      <c r="A2004" s="363"/>
      <c r="B2004" s="343"/>
      <c r="C2004" s="7"/>
      <c r="D2004" s="254"/>
      <c r="E2004" s="254"/>
      <c r="F2004" s="254"/>
      <c r="G2004" s="253"/>
      <c r="H2004" s="253"/>
      <c r="I2004" s="253"/>
      <c r="J2004" s="253"/>
      <c r="K2004" s="253"/>
      <c r="L2004" s="7"/>
      <c r="M2004" s="7"/>
      <c r="N2004" s="253"/>
      <c r="O2004" s="255"/>
      <c r="P2004" s="253"/>
      <c r="Q2004" s="7"/>
      <c r="R2004" s="7"/>
      <c r="S2004" s="7"/>
      <c r="T2004" s="7"/>
      <c r="U2004" s="7"/>
      <c r="V2004" s="253"/>
      <c r="W2004" s="7"/>
      <c r="X2004" s="256"/>
      <c r="Y2004" s="256"/>
      <c r="Z2004" s="256"/>
      <c r="AA2004" s="256"/>
      <c r="AB2004" s="257"/>
      <c r="AC2004" s="258"/>
      <c r="AD2004" s="7"/>
      <c r="AE2004" s="253"/>
      <c r="AF2004" s="253"/>
      <c r="AG2004" s="259"/>
      <c r="AH2004" s="253"/>
      <c r="AI2004" s="253"/>
      <c r="AJ2004" s="7"/>
      <c r="AK2004" s="253"/>
      <c r="AL2004" s="253"/>
      <c r="AM2004" s="7"/>
      <c r="AN2004" s="253"/>
      <c r="AO2004" s="253"/>
      <c r="AP2004" s="253"/>
      <c r="AQ2004" s="253"/>
      <c r="AR2004" s="253"/>
      <c r="AS2004" s="253"/>
      <c r="AT2004" s="253"/>
      <c r="AU2004" s="253"/>
      <c r="AV2004" s="253"/>
      <c r="AW2004" s="253"/>
      <c r="AX2004" s="253"/>
      <c r="AY2004" s="253"/>
      <c r="AZ2004" s="253"/>
    </row>
    <row r="2005" spans="1:52" ht="15.5" customHeight="1">
      <c r="A2005" s="363"/>
      <c r="B2005" s="343"/>
      <c r="C2005" s="7"/>
      <c r="D2005" s="254"/>
      <c r="E2005" s="254"/>
      <c r="F2005" s="254"/>
      <c r="G2005" s="253"/>
      <c r="H2005" s="253"/>
      <c r="I2005" s="253"/>
      <c r="J2005" s="253"/>
      <c r="K2005" s="253"/>
      <c r="L2005" s="7"/>
      <c r="M2005" s="7"/>
      <c r="N2005" s="253"/>
      <c r="O2005" s="255"/>
      <c r="P2005" s="253"/>
      <c r="Q2005" s="7"/>
      <c r="R2005" s="7"/>
      <c r="S2005" s="7"/>
      <c r="T2005" s="7"/>
      <c r="U2005" s="7"/>
      <c r="V2005" s="253"/>
      <c r="W2005" s="7"/>
      <c r="X2005" s="256"/>
      <c r="Y2005" s="256"/>
      <c r="Z2005" s="256"/>
      <c r="AA2005" s="256"/>
      <c r="AB2005" s="257"/>
      <c r="AC2005" s="258"/>
      <c r="AD2005" s="7"/>
      <c r="AE2005" s="253"/>
      <c r="AF2005" s="253"/>
      <c r="AG2005" s="259"/>
      <c r="AH2005" s="253"/>
      <c r="AI2005" s="253"/>
      <c r="AJ2005" s="7"/>
      <c r="AK2005" s="253"/>
      <c r="AL2005" s="253"/>
      <c r="AM2005" s="7"/>
      <c r="AN2005" s="253"/>
      <c r="AO2005" s="253"/>
      <c r="AP2005" s="253"/>
      <c r="AQ2005" s="253"/>
      <c r="AR2005" s="253"/>
      <c r="AS2005" s="253"/>
      <c r="AT2005" s="253"/>
      <c r="AU2005" s="253"/>
      <c r="AV2005" s="253"/>
      <c r="AW2005" s="253"/>
      <c r="AX2005" s="253"/>
      <c r="AY2005" s="253"/>
      <c r="AZ2005" s="253"/>
    </row>
    <row r="2006" spans="1:52" ht="15.5" customHeight="1">
      <c r="A2006" s="363"/>
      <c r="B2006" s="343"/>
      <c r="C2006" s="7"/>
      <c r="D2006" s="254"/>
      <c r="E2006" s="254"/>
      <c r="F2006" s="254"/>
      <c r="G2006" s="253"/>
      <c r="H2006" s="253"/>
      <c r="I2006" s="253"/>
      <c r="J2006" s="253"/>
      <c r="K2006" s="253"/>
      <c r="L2006" s="7"/>
      <c r="M2006" s="7"/>
      <c r="N2006" s="253"/>
      <c r="O2006" s="255"/>
      <c r="P2006" s="253"/>
      <c r="Q2006" s="7"/>
      <c r="R2006" s="7"/>
      <c r="S2006" s="7"/>
      <c r="T2006" s="7"/>
      <c r="U2006" s="7"/>
      <c r="V2006" s="253"/>
      <c r="W2006" s="7"/>
      <c r="X2006" s="256"/>
      <c r="Y2006" s="256"/>
      <c r="Z2006" s="256"/>
      <c r="AA2006" s="256"/>
      <c r="AB2006" s="257"/>
      <c r="AC2006" s="258"/>
      <c r="AD2006" s="7"/>
      <c r="AE2006" s="253"/>
      <c r="AF2006" s="253"/>
      <c r="AG2006" s="259"/>
      <c r="AH2006" s="253"/>
      <c r="AI2006" s="253"/>
      <c r="AJ2006" s="7"/>
      <c r="AK2006" s="253"/>
      <c r="AL2006" s="253"/>
      <c r="AM2006" s="7"/>
      <c r="AN2006" s="253"/>
      <c r="AO2006" s="253"/>
      <c r="AP2006" s="253"/>
      <c r="AQ2006" s="253"/>
      <c r="AR2006" s="253"/>
      <c r="AS2006" s="253"/>
      <c r="AT2006" s="253"/>
      <c r="AU2006" s="253"/>
      <c r="AV2006" s="253"/>
      <c r="AW2006" s="253"/>
      <c r="AX2006" s="253"/>
      <c r="AY2006" s="253"/>
      <c r="AZ2006" s="253"/>
    </row>
    <row r="2007" spans="1:52" ht="15.5" customHeight="1">
      <c r="A2007" s="363"/>
      <c r="B2007" s="343"/>
      <c r="C2007" s="7"/>
      <c r="D2007" s="254"/>
      <c r="E2007" s="254"/>
      <c r="F2007" s="254"/>
      <c r="G2007" s="253"/>
      <c r="H2007" s="253"/>
      <c r="I2007" s="253"/>
      <c r="J2007" s="253"/>
      <c r="K2007" s="253"/>
      <c r="L2007" s="7"/>
      <c r="M2007" s="7"/>
      <c r="N2007" s="253"/>
      <c r="O2007" s="255"/>
      <c r="P2007" s="253"/>
      <c r="Q2007" s="7"/>
      <c r="R2007" s="7"/>
      <c r="S2007" s="7"/>
      <c r="T2007" s="7"/>
      <c r="U2007" s="7"/>
      <c r="V2007" s="253"/>
      <c r="W2007" s="7"/>
      <c r="X2007" s="256"/>
      <c r="Y2007" s="256"/>
      <c r="Z2007" s="256"/>
      <c r="AA2007" s="256"/>
      <c r="AB2007" s="257"/>
      <c r="AC2007" s="258"/>
      <c r="AD2007" s="7"/>
      <c r="AE2007" s="253"/>
      <c r="AF2007" s="253"/>
      <c r="AG2007" s="259"/>
      <c r="AH2007" s="253"/>
      <c r="AI2007" s="253"/>
      <c r="AJ2007" s="7"/>
      <c r="AK2007" s="253"/>
      <c r="AL2007" s="253"/>
      <c r="AM2007" s="7"/>
      <c r="AN2007" s="253"/>
      <c r="AO2007" s="253"/>
      <c r="AP2007" s="253"/>
      <c r="AQ2007" s="253"/>
      <c r="AR2007" s="253"/>
      <c r="AS2007" s="253"/>
      <c r="AT2007" s="253"/>
      <c r="AU2007" s="253"/>
      <c r="AV2007" s="253"/>
      <c r="AW2007" s="253"/>
      <c r="AX2007" s="253"/>
      <c r="AY2007" s="253"/>
      <c r="AZ2007" s="253"/>
    </row>
    <row r="2008" spans="1:52" ht="15.5" customHeight="1">
      <c r="A2008" s="363"/>
      <c r="B2008" s="343"/>
      <c r="C2008" s="7"/>
      <c r="D2008" s="254"/>
      <c r="E2008" s="254"/>
      <c r="F2008" s="254"/>
      <c r="G2008" s="253"/>
      <c r="H2008" s="253"/>
      <c r="I2008" s="253"/>
      <c r="J2008" s="253"/>
      <c r="K2008" s="253"/>
      <c r="L2008" s="7"/>
      <c r="M2008" s="7"/>
      <c r="N2008" s="253"/>
      <c r="O2008" s="255"/>
      <c r="P2008" s="253"/>
      <c r="Q2008" s="7"/>
      <c r="R2008" s="7"/>
      <c r="S2008" s="7"/>
      <c r="T2008" s="7"/>
      <c r="U2008" s="7"/>
      <c r="V2008" s="253"/>
      <c r="W2008" s="7"/>
      <c r="X2008" s="256"/>
      <c r="Y2008" s="256"/>
      <c r="Z2008" s="256"/>
      <c r="AA2008" s="256"/>
      <c r="AB2008" s="257"/>
      <c r="AC2008" s="258"/>
      <c r="AD2008" s="7"/>
      <c r="AE2008" s="253"/>
      <c r="AF2008" s="253"/>
      <c r="AG2008" s="259"/>
      <c r="AH2008" s="253"/>
      <c r="AI2008" s="253"/>
      <c r="AJ2008" s="7"/>
      <c r="AK2008" s="253"/>
      <c r="AL2008" s="253"/>
      <c r="AM2008" s="7"/>
      <c r="AN2008" s="253"/>
      <c r="AO2008" s="253"/>
      <c r="AP2008" s="253"/>
      <c r="AQ2008" s="253"/>
      <c r="AR2008" s="253"/>
      <c r="AS2008" s="253"/>
      <c r="AT2008" s="253"/>
      <c r="AU2008" s="253"/>
      <c r="AV2008" s="253"/>
      <c r="AW2008" s="253"/>
      <c r="AX2008" s="253"/>
      <c r="AY2008" s="253"/>
      <c r="AZ2008" s="253"/>
    </row>
    <row r="2009" spans="1:52" ht="15.5" customHeight="1">
      <c r="A2009" s="363"/>
      <c r="B2009" s="343"/>
      <c r="C2009" s="7"/>
      <c r="D2009" s="254"/>
      <c r="E2009" s="254"/>
      <c r="F2009" s="254"/>
      <c r="G2009" s="253"/>
      <c r="H2009" s="253"/>
      <c r="I2009" s="253"/>
      <c r="J2009" s="253"/>
      <c r="K2009" s="253"/>
      <c r="L2009" s="7"/>
      <c r="M2009" s="7"/>
      <c r="N2009" s="253"/>
      <c r="O2009" s="255"/>
      <c r="P2009" s="253"/>
      <c r="Q2009" s="7"/>
      <c r="R2009" s="7"/>
      <c r="S2009" s="7"/>
      <c r="T2009" s="7"/>
      <c r="U2009" s="7"/>
      <c r="V2009" s="253"/>
      <c r="W2009" s="7"/>
      <c r="X2009" s="256"/>
      <c r="Y2009" s="256"/>
      <c r="Z2009" s="256"/>
      <c r="AA2009" s="256"/>
      <c r="AB2009" s="257"/>
      <c r="AC2009" s="258"/>
      <c r="AD2009" s="7"/>
      <c r="AE2009" s="253"/>
      <c r="AF2009" s="253"/>
      <c r="AG2009" s="259"/>
      <c r="AH2009" s="253"/>
      <c r="AI2009" s="253"/>
      <c r="AJ2009" s="7"/>
      <c r="AK2009" s="253"/>
      <c r="AL2009" s="253"/>
      <c r="AM2009" s="7"/>
      <c r="AN2009" s="253"/>
      <c r="AO2009" s="253"/>
      <c r="AP2009" s="253"/>
      <c r="AQ2009" s="253"/>
      <c r="AR2009" s="253"/>
      <c r="AS2009" s="253"/>
      <c r="AT2009" s="253"/>
      <c r="AU2009" s="253"/>
      <c r="AV2009" s="253"/>
      <c r="AW2009" s="253"/>
      <c r="AX2009" s="253"/>
      <c r="AY2009" s="253"/>
      <c r="AZ2009" s="253"/>
    </row>
    <row r="2010" spans="1:52" ht="15.5" customHeight="1">
      <c r="A2010" s="363"/>
      <c r="B2010" s="343"/>
      <c r="C2010" s="7"/>
      <c r="D2010" s="254"/>
      <c r="E2010" s="254"/>
      <c r="F2010" s="254"/>
      <c r="G2010" s="253"/>
      <c r="H2010" s="253"/>
      <c r="I2010" s="253"/>
      <c r="J2010" s="253"/>
      <c r="K2010" s="253"/>
      <c r="L2010" s="7"/>
      <c r="M2010" s="7"/>
      <c r="N2010" s="253"/>
      <c r="O2010" s="255"/>
      <c r="P2010" s="253"/>
      <c r="Q2010" s="7"/>
      <c r="R2010" s="7"/>
      <c r="S2010" s="7"/>
      <c r="T2010" s="7"/>
      <c r="U2010" s="7"/>
      <c r="V2010" s="253"/>
      <c r="W2010" s="7"/>
      <c r="X2010" s="256"/>
      <c r="Y2010" s="256"/>
      <c r="Z2010" s="256"/>
      <c r="AA2010" s="256"/>
      <c r="AB2010" s="257"/>
      <c r="AC2010" s="258"/>
      <c r="AD2010" s="7"/>
      <c r="AE2010" s="253"/>
      <c r="AF2010" s="253"/>
      <c r="AG2010" s="259"/>
      <c r="AH2010" s="253"/>
      <c r="AI2010" s="253"/>
      <c r="AJ2010" s="7"/>
      <c r="AK2010" s="253"/>
      <c r="AL2010" s="253"/>
      <c r="AM2010" s="7"/>
      <c r="AN2010" s="253"/>
      <c r="AO2010" s="253"/>
      <c r="AP2010" s="253"/>
      <c r="AQ2010" s="253"/>
      <c r="AR2010" s="253"/>
      <c r="AS2010" s="253"/>
      <c r="AT2010" s="253"/>
      <c r="AU2010" s="253"/>
      <c r="AV2010" s="253"/>
      <c r="AW2010" s="253"/>
      <c r="AX2010" s="253"/>
      <c r="AY2010" s="253"/>
      <c r="AZ2010" s="253"/>
    </row>
    <row r="2011" spans="1:52" ht="15.5" customHeight="1">
      <c r="A2011" s="363"/>
      <c r="B2011" s="343"/>
      <c r="C2011" s="7"/>
      <c r="D2011" s="254"/>
      <c r="E2011" s="254"/>
      <c r="F2011" s="254"/>
      <c r="G2011" s="253"/>
      <c r="H2011" s="253"/>
      <c r="I2011" s="253"/>
      <c r="J2011" s="253"/>
      <c r="K2011" s="253"/>
      <c r="L2011" s="7"/>
      <c r="M2011" s="7"/>
      <c r="N2011" s="253"/>
      <c r="O2011" s="255"/>
      <c r="P2011" s="253"/>
      <c r="Q2011" s="7"/>
      <c r="R2011" s="7"/>
      <c r="S2011" s="7"/>
      <c r="T2011" s="7"/>
      <c r="U2011" s="7"/>
      <c r="V2011" s="253"/>
      <c r="W2011" s="7"/>
      <c r="X2011" s="256"/>
      <c r="Y2011" s="256"/>
      <c r="Z2011" s="256"/>
      <c r="AA2011" s="256"/>
      <c r="AB2011" s="257"/>
      <c r="AC2011" s="258"/>
      <c r="AD2011" s="7"/>
      <c r="AE2011" s="253"/>
      <c r="AF2011" s="253"/>
      <c r="AG2011" s="259"/>
      <c r="AH2011" s="253"/>
      <c r="AI2011" s="253"/>
      <c r="AJ2011" s="7"/>
      <c r="AK2011" s="253"/>
      <c r="AL2011" s="253"/>
      <c r="AM2011" s="7"/>
      <c r="AN2011" s="253"/>
      <c r="AO2011" s="253"/>
      <c r="AP2011" s="253"/>
      <c r="AQ2011" s="253"/>
      <c r="AR2011" s="253"/>
      <c r="AS2011" s="253"/>
      <c r="AT2011" s="253"/>
      <c r="AU2011" s="253"/>
      <c r="AV2011" s="253"/>
      <c r="AW2011" s="253"/>
      <c r="AX2011" s="253"/>
      <c r="AY2011" s="253"/>
      <c r="AZ2011" s="253"/>
    </row>
    <row r="2012" spans="1:52" ht="15.5" customHeight="1">
      <c r="A2012" s="363"/>
      <c r="B2012" s="343"/>
      <c r="C2012" s="7"/>
      <c r="D2012" s="254"/>
      <c r="E2012" s="254"/>
      <c r="F2012" s="254"/>
      <c r="G2012" s="253"/>
      <c r="H2012" s="253"/>
      <c r="I2012" s="253"/>
      <c r="J2012" s="253"/>
      <c r="K2012" s="253"/>
      <c r="L2012" s="7"/>
      <c r="M2012" s="7"/>
      <c r="N2012" s="253"/>
      <c r="O2012" s="255"/>
      <c r="P2012" s="253"/>
      <c r="Q2012" s="7"/>
      <c r="R2012" s="7"/>
      <c r="S2012" s="7"/>
      <c r="T2012" s="7"/>
      <c r="U2012" s="7"/>
      <c r="V2012" s="253"/>
      <c r="W2012" s="7"/>
      <c r="X2012" s="256"/>
      <c r="Y2012" s="256"/>
      <c r="Z2012" s="256"/>
      <c r="AA2012" s="256"/>
      <c r="AB2012" s="257"/>
      <c r="AC2012" s="258"/>
      <c r="AD2012" s="7"/>
      <c r="AE2012" s="253"/>
      <c r="AF2012" s="253"/>
      <c r="AG2012" s="259"/>
      <c r="AH2012" s="253"/>
      <c r="AI2012" s="253"/>
      <c r="AJ2012" s="7"/>
      <c r="AK2012" s="253"/>
      <c r="AL2012" s="253"/>
      <c r="AM2012" s="7"/>
      <c r="AN2012" s="253"/>
      <c r="AO2012" s="253"/>
      <c r="AP2012" s="253"/>
      <c r="AQ2012" s="253"/>
      <c r="AR2012" s="253"/>
      <c r="AS2012" s="253"/>
      <c r="AT2012" s="253"/>
      <c r="AU2012" s="253"/>
      <c r="AV2012" s="253"/>
      <c r="AW2012" s="253"/>
      <c r="AX2012" s="253"/>
      <c r="AY2012" s="253"/>
      <c r="AZ2012" s="253"/>
    </row>
    <row r="2013" spans="1:52" ht="15.5" customHeight="1">
      <c r="A2013" s="363"/>
      <c r="B2013" s="343"/>
      <c r="C2013" s="7"/>
      <c r="D2013" s="254"/>
      <c r="E2013" s="254"/>
      <c r="F2013" s="254"/>
      <c r="G2013" s="253"/>
      <c r="H2013" s="253"/>
      <c r="I2013" s="253"/>
      <c r="J2013" s="253"/>
      <c r="K2013" s="253"/>
      <c r="L2013" s="7"/>
      <c r="M2013" s="7"/>
      <c r="N2013" s="253"/>
      <c r="O2013" s="255"/>
      <c r="P2013" s="253"/>
      <c r="Q2013" s="7"/>
      <c r="R2013" s="7"/>
      <c r="S2013" s="7"/>
      <c r="T2013" s="7"/>
      <c r="U2013" s="7"/>
      <c r="V2013" s="253"/>
      <c r="W2013" s="7"/>
      <c r="X2013" s="256"/>
      <c r="Y2013" s="256"/>
      <c r="Z2013" s="256"/>
      <c r="AA2013" s="256"/>
      <c r="AB2013" s="257"/>
      <c r="AC2013" s="258"/>
      <c r="AD2013" s="7"/>
      <c r="AE2013" s="253"/>
      <c r="AF2013" s="253"/>
      <c r="AG2013" s="259"/>
      <c r="AH2013" s="253"/>
      <c r="AI2013" s="253"/>
      <c r="AJ2013" s="7"/>
      <c r="AK2013" s="253"/>
      <c r="AL2013" s="253"/>
      <c r="AM2013" s="7"/>
      <c r="AN2013" s="253"/>
      <c r="AO2013" s="253"/>
      <c r="AP2013" s="253"/>
      <c r="AQ2013" s="253"/>
      <c r="AR2013" s="253"/>
      <c r="AS2013" s="253"/>
      <c r="AT2013" s="253"/>
      <c r="AU2013" s="253"/>
      <c r="AV2013" s="253"/>
      <c r="AW2013" s="253"/>
      <c r="AX2013" s="253"/>
      <c r="AY2013" s="253"/>
      <c r="AZ2013" s="253"/>
    </row>
    <row r="2014" spans="1:52" ht="15.5" customHeight="1">
      <c r="A2014" s="363"/>
      <c r="B2014" s="343"/>
      <c r="C2014" s="7"/>
      <c r="D2014" s="254"/>
      <c r="E2014" s="254"/>
      <c r="F2014" s="254"/>
      <c r="G2014" s="253"/>
      <c r="H2014" s="253"/>
      <c r="I2014" s="253"/>
      <c r="J2014" s="253"/>
      <c r="K2014" s="253"/>
      <c r="L2014" s="7"/>
      <c r="M2014" s="7"/>
      <c r="N2014" s="253"/>
      <c r="O2014" s="255"/>
      <c r="P2014" s="253"/>
      <c r="Q2014" s="7"/>
      <c r="R2014" s="7"/>
      <c r="S2014" s="7"/>
      <c r="T2014" s="7"/>
      <c r="U2014" s="7"/>
      <c r="V2014" s="253"/>
      <c r="W2014" s="7"/>
      <c r="X2014" s="256"/>
      <c r="Y2014" s="256"/>
      <c r="Z2014" s="256"/>
      <c r="AA2014" s="256"/>
      <c r="AB2014" s="257"/>
      <c r="AC2014" s="258"/>
      <c r="AD2014" s="7"/>
      <c r="AE2014" s="253"/>
      <c r="AF2014" s="253"/>
      <c r="AG2014" s="259"/>
      <c r="AH2014" s="253"/>
      <c r="AI2014" s="253"/>
      <c r="AJ2014" s="7"/>
      <c r="AK2014" s="253"/>
      <c r="AL2014" s="253"/>
      <c r="AM2014" s="7"/>
      <c r="AN2014" s="253"/>
      <c r="AO2014" s="253"/>
      <c r="AP2014" s="253"/>
      <c r="AQ2014" s="253"/>
      <c r="AR2014" s="253"/>
      <c r="AS2014" s="253"/>
      <c r="AT2014" s="253"/>
      <c r="AU2014" s="253"/>
      <c r="AV2014" s="253"/>
      <c r="AW2014" s="253"/>
      <c r="AX2014" s="253"/>
      <c r="AY2014" s="253"/>
      <c r="AZ2014" s="253"/>
    </row>
    <row r="2015" spans="1:52" ht="15.5" customHeight="1">
      <c r="A2015" s="363"/>
      <c r="B2015" s="343"/>
      <c r="C2015" s="7"/>
      <c r="D2015" s="254"/>
      <c r="E2015" s="254"/>
      <c r="F2015" s="254"/>
      <c r="G2015" s="253"/>
      <c r="H2015" s="253"/>
      <c r="I2015" s="253"/>
      <c r="J2015" s="253"/>
      <c r="K2015" s="253"/>
      <c r="L2015" s="7"/>
      <c r="M2015" s="7"/>
      <c r="N2015" s="253"/>
      <c r="O2015" s="255"/>
      <c r="P2015" s="253"/>
      <c r="Q2015" s="7"/>
      <c r="R2015" s="7"/>
      <c r="S2015" s="7"/>
      <c r="T2015" s="7"/>
      <c r="U2015" s="7"/>
      <c r="V2015" s="253"/>
      <c r="W2015" s="7"/>
      <c r="X2015" s="256"/>
      <c r="Y2015" s="256"/>
      <c r="Z2015" s="256"/>
      <c r="AA2015" s="256"/>
      <c r="AB2015" s="257"/>
      <c r="AC2015" s="258"/>
      <c r="AD2015" s="7"/>
      <c r="AE2015" s="253"/>
      <c r="AF2015" s="253"/>
      <c r="AG2015" s="259"/>
      <c r="AH2015" s="253"/>
      <c r="AI2015" s="253"/>
      <c r="AJ2015" s="7"/>
      <c r="AK2015" s="253"/>
      <c r="AL2015" s="253"/>
      <c r="AM2015" s="7"/>
      <c r="AN2015" s="253"/>
      <c r="AO2015" s="253"/>
      <c r="AP2015" s="253"/>
      <c r="AQ2015" s="253"/>
      <c r="AR2015" s="253"/>
      <c r="AS2015" s="253"/>
      <c r="AT2015" s="253"/>
      <c r="AU2015" s="253"/>
      <c r="AV2015" s="253"/>
      <c r="AW2015" s="253"/>
      <c r="AX2015" s="253"/>
      <c r="AY2015" s="253"/>
      <c r="AZ2015" s="253"/>
    </row>
    <row r="2016" spans="1:52" ht="15.5" customHeight="1">
      <c r="A2016" s="363"/>
      <c r="B2016" s="343"/>
      <c r="C2016" s="7"/>
      <c r="D2016" s="254"/>
      <c r="E2016" s="254"/>
      <c r="F2016" s="254"/>
      <c r="G2016" s="253"/>
      <c r="H2016" s="253"/>
      <c r="I2016" s="253"/>
      <c r="J2016" s="253"/>
      <c r="K2016" s="253"/>
      <c r="L2016" s="7"/>
      <c r="M2016" s="7"/>
      <c r="N2016" s="253"/>
      <c r="O2016" s="255"/>
      <c r="P2016" s="253"/>
      <c r="Q2016" s="7"/>
      <c r="R2016" s="7"/>
      <c r="S2016" s="7"/>
      <c r="T2016" s="7"/>
      <c r="U2016" s="7"/>
      <c r="V2016" s="253"/>
      <c r="W2016" s="7"/>
      <c r="X2016" s="256"/>
      <c r="Y2016" s="256"/>
      <c r="Z2016" s="256"/>
      <c r="AA2016" s="256"/>
      <c r="AB2016" s="257"/>
      <c r="AC2016" s="258"/>
      <c r="AD2016" s="7"/>
      <c r="AE2016" s="253"/>
      <c r="AF2016" s="253"/>
      <c r="AG2016" s="259"/>
      <c r="AH2016" s="253"/>
      <c r="AI2016" s="253"/>
      <c r="AJ2016" s="7"/>
      <c r="AK2016" s="253"/>
      <c r="AL2016" s="253"/>
      <c r="AM2016" s="7"/>
      <c r="AN2016" s="253"/>
      <c r="AO2016" s="253"/>
      <c r="AP2016" s="253"/>
      <c r="AQ2016" s="253"/>
      <c r="AR2016" s="253"/>
      <c r="AS2016" s="253"/>
      <c r="AT2016" s="253"/>
      <c r="AU2016" s="253"/>
      <c r="AV2016" s="253"/>
      <c r="AW2016" s="253"/>
      <c r="AX2016" s="253"/>
      <c r="AY2016" s="253"/>
      <c r="AZ2016" s="253"/>
    </row>
    <row r="2017" spans="1:52" ht="15.5" customHeight="1">
      <c r="A2017" s="363"/>
      <c r="B2017" s="343"/>
      <c r="C2017" s="7"/>
      <c r="D2017" s="254"/>
      <c r="E2017" s="254"/>
      <c r="F2017" s="254"/>
      <c r="G2017" s="253"/>
      <c r="H2017" s="253"/>
      <c r="I2017" s="253"/>
      <c r="J2017" s="253"/>
      <c r="K2017" s="253"/>
      <c r="L2017" s="7"/>
      <c r="M2017" s="7"/>
      <c r="N2017" s="253"/>
      <c r="O2017" s="255"/>
      <c r="P2017" s="253"/>
      <c r="Q2017" s="7"/>
      <c r="R2017" s="7"/>
      <c r="S2017" s="7"/>
      <c r="T2017" s="7"/>
      <c r="U2017" s="7"/>
      <c r="V2017" s="253"/>
      <c r="W2017" s="7"/>
      <c r="X2017" s="256"/>
      <c r="Y2017" s="256"/>
      <c r="Z2017" s="256"/>
      <c r="AA2017" s="256"/>
      <c r="AB2017" s="257"/>
      <c r="AC2017" s="258"/>
      <c r="AD2017" s="7"/>
      <c r="AE2017" s="253"/>
      <c r="AF2017" s="253"/>
      <c r="AG2017" s="259"/>
      <c r="AH2017" s="253"/>
      <c r="AI2017" s="253"/>
      <c r="AJ2017" s="7"/>
      <c r="AK2017" s="253"/>
      <c r="AL2017" s="253"/>
      <c r="AM2017" s="7"/>
      <c r="AN2017" s="253"/>
      <c r="AO2017" s="253"/>
      <c r="AP2017" s="253"/>
      <c r="AQ2017" s="253"/>
      <c r="AR2017" s="253"/>
      <c r="AS2017" s="253"/>
      <c r="AT2017" s="253"/>
      <c r="AU2017" s="253"/>
      <c r="AV2017" s="253"/>
      <c r="AW2017" s="253"/>
      <c r="AX2017" s="253"/>
      <c r="AY2017" s="253"/>
      <c r="AZ2017" s="253"/>
    </row>
    <row r="2018" spans="1:52" ht="15.5" customHeight="1">
      <c r="A2018" s="363"/>
      <c r="B2018" s="343"/>
      <c r="C2018" s="7"/>
      <c r="D2018" s="254"/>
      <c r="E2018" s="254"/>
      <c r="F2018" s="254"/>
      <c r="G2018" s="253"/>
      <c r="H2018" s="253"/>
      <c r="I2018" s="253"/>
      <c r="J2018" s="253"/>
      <c r="K2018" s="253"/>
      <c r="L2018" s="7"/>
      <c r="M2018" s="7"/>
      <c r="N2018" s="253"/>
      <c r="O2018" s="255"/>
      <c r="P2018" s="253"/>
      <c r="Q2018" s="7"/>
      <c r="R2018" s="7"/>
      <c r="S2018" s="7"/>
      <c r="T2018" s="7"/>
      <c r="U2018" s="7"/>
      <c r="V2018" s="253"/>
      <c r="W2018" s="7"/>
      <c r="X2018" s="256"/>
      <c r="Y2018" s="256"/>
      <c r="Z2018" s="256"/>
      <c r="AA2018" s="256"/>
      <c r="AB2018" s="257"/>
      <c r="AC2018" s="258"/>
      <c r="AD2018" s="7"/>
      <c r="AE2018" s="253"/>
      <c r="AF2018" s="253"/>
      <c r="AG2018" s="259"/>
      <c r="AH2018" s="253"/>
      <c r="AI2018" s="253"/>
      <c r="AJ2018" s="7"/>
      <c r="AK2018" s="253"/>
      <c r="AL2018" s="253"/>
      <c r="AM2018" s="7"/>
      <c r="AN2018" s="253"/>
      <c r="AO2018" s="253"/>
      <c r="AP2018" s="253"/>
      <c r="AQ2018" s="253"/>
      <c r="AR2018" s="253"/>
      <c r="AS2018" s="253"/>
      <c r="AT2018" s="253"/>
      <c r="AU2018" s="253"/>
      <c r="AV2018" s="253"/>
      <c r="AW2018" s="253"/>
      <c r="AX2018" s="253"/>
      <c r="AY2018" s="253"/>
      <c r="AZ2018" s="253"/>
    </row>
    <row r="2019" spans="1:52" ht="15.5" customHeight="1">
      <c r="A2019" s="363"/>
      <c r="B2019" s="343"/>
      <c r="C2019" s="7"/>
      <c r="D2019" s="254"/>
      <c r="E2019" s="254"/>
      <c r="F2019" s="254"/>
      <c r="G2019" s="253"/>
      <c r="H2019" s="253"/>
      <c r="I2019" s="253"/>
      <c r="J2019" s="253"/>
      <c r="K2019" s="253"/>
      <c r="L2019" s="7"/>
      <c r="M2019" s="7"/>
      <c r="N2019" s="253"/>
      <c r="O2019" s="255"/>
      <c r="P2019" s="253"/>
      <c r="Q2019" s="7"/>
      <c r="R2019" s="7"/>
      <c r="S2019" s="7"/>
      <c r="T2019" s="7"/>
      <c r="U2019" s="7"/>
      <c r="V2019" s="253"/>
      <c r="W2019" s="7"/>
      <c r="X2019" s="256"/>
      <c r="Y2019" s="256"/>
      <c r="Z2019" s="256"/>
      <c r="AA2019" s="256"/>
      <c r="AB2019" s="257"/>
      <c r="AC2019" s="258"/>
      <c r="AD2019" s="7"/>
      <c r="AE2019" s="253"/>
      <c r="AF2019" s="253"/>
      <c r="AG2019" s="259"/>
      <c r="AH2019" s="253"/>
      <c r="AI2019" s="253"/>
      <c r="AJ2019" s="7"/>
      <c r="AK2019" s="253"/>
      <c r="AL2019" s="253"/>
      <c r="AM2019" s="7"/>
      <c r="AN2019" s="253"/>
      <c r="AO2019" s="253"/>
      <c r="AP2019" s="253"/>
      <c r="AQ2019" s="253"/>
      <c r="AR2019" s="253"/>
      <c r="AS2019" s="253"/>
      <c r="AT2019" s="253"/>
      <c r="AU2019" s="253"/>
      <c r="AV2019" s="253"/>
      <c r="AW2019" s="253"/>
      <c r="AX2019" s="253"/>
      <c r="AY2019" s="253"/>
      <c r="AZ2019" s="253"/>
    </row>
    <row r="2020" spans="1:52" ht="15.5" customHeight="1">
      <c r="A2020" s="363"/>
      <c r="B2020" s="343"/>
      <c r="C2020" s="7"/>
      <c r="D2020" s="254"/>
      <c r="E2020" s="254"/>
      <c r="F2020" s="254"/>
      <c r="G2020" s="253"/>
      <c r="H2020" s="253"/>
      <c r="I2020" s="253"/>
      <c r="J2020" s="253"/>
      <c r="K2020" s="253"/>
      <c r="L2020" s="7"/>
      <c r="M2020" s="7"/>
      <c r="N2020" s="253"/>
      <c r="O2020" s="255"/>
      <c r="P2020" s="253"/>
      <c r="Q2020" s="7"/>
      <c r="R2020" s="7"/>
      <c r="S2020" s="7"/>
      <c r="T2020" s="7"/>
      <c r="U2020" s="7"/>
      <c r="V2020" s="253"/>
      <c r="W2020" s="7"/>
      <c r="X2020" s="256"/>
      <c r="Y2020" s="256"/>
      <c r="Z2020" s="256"/>
      <c r="AA2020" s="256"/>
      <c r="AB2020" s="257"/>
      <c r="AC2020" s="258"/>
      <c r="AD2020" s="7"/>
      <c r="AE2020" s="253"/>
      <c r="AF2020" s="253"/>
      <c r="AG2020" s="259"/>
      <c r="AH2020" s="253"/>
      <c r="AI2020" s="253"/>
      <c r="AJ2020" s="7"/>
      <c r="AK2020" s="253"/>
      <c r="AL2020" s="253"/>
      <c r="AM2020" s="7"/>
      <c r="AN2020" s="253"/>
      <c r="AO2020" s="253"/>
      <c r="AP2020" s="253"/>
      <c r="AQ2020" s="253"/>
      <c r="AR2020" s="253"/>
      <c r="AS2020" s="253"/>
      <c r="AT2020" s="253"/>
      <c r="AU2020" s="253"/>
      <c r="AV2020" s="253"/>
      <c r="AW2020" s="253"/>
      <c r="AX2020" s="253"/>
      <c r="AY2020" s="253"/>
      <c r="AZ2020" s="253"/>
    </row>
    <row r="2021" spans="1:52" ht="15.5" customHeight="1">
      <c r="A2021" s="363"/>
      <c r="B2021" s="343"/>
      <c r="C2021" s="7"/>
      <c r="D2021" s="254"/>
      <c r="E2021" s="254"/>
      <c r="F2021" s="254"/>
      <c r="G2021" s="253"/>
      <c r="H2021" s="253"/>
      <c r="I2021" s="253"/>
      <c r="J2021" s="253"/>
      <c r="K2021" s="253"/>
      <c r="L2021" s="7"/>
      <c r="M2021" s="7"/>
      <c r="N2021" s="253"/>
      <c r="O2021" s="255"/>
      <c r="P2021" s="253"/>
      <c r="Q2021" s="7"/>
      <c r="R2021" s="7"/>
      <c r="S2021" s="7"/>
      <c r="T2021" s="7"/>
      <c r="U2021" s="7"/>
      <c r="V2021" s="253"/>
      <c r="W2021" s="7"/>
      <c r="X2021" s="256"/>
      <c r="Y2021" s="256"/>
      <c r="Z2021" s="256"/>
      <c r="AA2021" s="256"/>
      <c r="AB2021" s="257"/>
      <c r="AC2021" s="258"/>
      <c r="AD2021" s="7"/>
      <c r="AE2021" s="253"/>
      <c r="AF2021" s="253"/>
      <c r="AG2021" s="259"/>
      <c r="AH2021" s="253"/>
      <c r="AI2021" s="253"/>
      <c r="AJ2021" s="7"/>
      <c r="AK2021" s="253"/>
      <c r="AL2021" s="253"/>
      <c r="AM2021" s="7"/>
      <c r="AN2021" s="253"/>
      <c r="AO2021" s="253"/>
      <c r="AP2021" s="253"/>
      <c r="AQ2021" s="253"/>
      <c r="AR2021" s="253"/>
      <c r="AS2021" s="253"/>
      <c r="AT2021" s="253"/>
      <c r="AU2021" s="253"/>
      <c r="AV2021" s="253"/>
      <c r="AW2021" s="253"/>
      <c r="AX2021" s="253"/>
      <c r="AY2021" s="253"/>
      <c r="AZ2021" s="253"/>
    </row>
    <row r="2022" spans="1:52" ht="15.5" customHeight="1">
      <c r="A2022" s="363"/>
      <c r="B2022" s="343"/>
      <c r="C2022" s="7"/>
      <c r="D2022" s="254"/>
      <c r="E2022" s="254"/>
      <c r="F2022" s="254"/>
      <c r="G2022" s="253"/>
      <c r="H2022" s="253"/>
      <c r="I2022" s="253"/>
      <c r="J2022" s="253"/>
      <c r="K2022" s="253"/>
      <c r="L2022" s="7"/>
      <c r="M2022" s="7"/>
      <c r="N2022" s="253"/>
      <c r="O2022" s="255"/>
      <c r="P2022" s="253"/>
      <c r="Q2022" s="7"/>
      <c r="R2022" s="7"/>
      <c r="S2022" s="7"/>
      <c r="T2022" s="7"/>
      <c r="U2022" s="7"/>
      <c r="V2022" s="253"/>
      <c r="W2022" s="7"/>
      <c r="X2022" s="256"/>
      <c r="Y2022" s="256"/>
      <c r="Z2022" s="256"/>
      <c r="AA2022" s="256"/>
      <c r="AB2022" s="257"/>
      <c r="AC2022" s="258"/>
      <c r="AD2022" s="7"/>
      <c r="AE2022" s="253"/>
      <c r="AF2022" s="253"/>
      <c r="AG2022" s="259"/>
      <c r="AH2022" s="253"/>
      <c r="AI2022" s="253"/>
      <c r="AJ2022" s="7"/>
      <c r="AK2022" s="253"/>
      <c r="AL2022" s="253"/>
      <c r="AM2022" s="7"/>
      <c r="AN2022" s="253"/>
      <c r="AO2022" s="253"/>
      <c r="AP2022" s="253"/>
      <c r="AQ2022" s="253"/>
      <c r="AR2022" s="253"/>
      <c r="AS2022" s="253"/>
      <c r="AT2022" s="253"/>
      <c r="AU2022" s="253"/>
      <c r="AV2022" s="253"/>
      <c r="AW2022" s="253"/>
      <c r="AX2022" s="253"/>
      <c r="AY2022" s="253"/>
      <c r="AZ2022" s="253"/>
    </row>
    <row r="2023" spans="1:52" ht="15.5" customHeight="1">
      <c r="A2023" s="363"/>
      <c r="B2023" s="343"/>
      <c r="C2023" s="7"/>
      <c r="D2023" s="254"/>
      <c r="E2023" s="254"/>
      <c r="F2023" s="254"/>
      <c r="G2023" s="253"/>
      <c r="H2023" s="253"/>
      <c r="I2023" s="253"/>
      <c r="J2023" s="253"/>
      <c r="K2023" s="253"/>
      <c r="L2023" s="7"/>
      <c r="M2023" s="7"/>
      <c r="N2023" s="253"/>
      <c r="O2023" s="255"/>
      <c r="P2023" s="253"/>
      <c r="Q2023" s="7"/>
      <c r="R2023" s="7"/>
      <c r="S2023" s="7"/>
      <c r="T2023" s="7"/>
      <c r="U2023" s="7"/>
      <c r="V2023" s="253"/>
      <c r="W2023" s="7"/>
      <c r="X2023" s="256"/>
      <c r="Y2023" s="256"/>
      <c r="Z2023" s="256"/>
      <c r="AA2023" s="256"/>
      <c r="AB2023" s="257"/>
      <c r="AC2023" s="258"/>
      <c r="AD2023" s="7"/>
      <c r="AE2023" s="253"/>
      <c r="AF2023" s="253"/>
      <c r="AG2023" s="259"/>
      <c r="AH2023" s="253"/>
      <c r="AI2023" s="253"/>
      <c r="AJ2023" s="7"/>
      <c r="AK2023" s="253"/>
      <c r="AL2023" s="253"/>
      <c r="AM2023" s="7"/>
      <c r="AN2023" s="253"/>
      <c r="AO2023" s="253"/>
      <c r="AP2023" s="253"/>
      <c r="AQ2023" s="253"/>
      <c r="AR2023" s="253"/>
      <c r="AS2023" s="253"/>
      <c r="AT2023" s="253"/>
      <c r="AU2023" s="253"/>
      <c r="AV2023" s="253"/>
      <c r="AW2023" s="253"/>
      <c r="AX2023" s="253"/>
      <c r="AY2023" s="253"/>
      <c r="AZ2023" s="253"/>
    </row>
    <row r="2024" spans="1:52" ht="15.5" customHeight="1">
      <c r="A2024" s="363"/>
      <c r="B2024" s="343"/>
      <c r="C2024" s="7"/>
      <c r="D2024" s="254"/>
      <c r="E2024" s="254"/>
      <c r="F2024" s="254"/>
      <c r="G2024" s="253"/>
      <c r="H2024" s="253"/>
      <c r="I2024" s="253"/>
      <c r="J2024" s="253"/>
      <c r="K2024" s="253"/>
      <c r="L2024" s="7"/>
      <c r="M2024" s="7"/>
      <c r="N2024" s="253"/>
      <c r="O2024" s="255"/>
      <c r="P2024" s="253"/>
      <c r="Q2024" s="7"/>
      <c r="R2024" s="7"/>
      <c r="S2024" s="7"/>
      <c r="T2024" s="7"/>
      <c r="U2024" s="7"/>
      <c r="V2024" s="253"/>
      <c r="W2024" s="7"/>
      <c r="X2024" s="256"/>
      <c r="Y2024" s="256"/>
      <c r="Z2024" s="256"/>
      <c r="AA2024" s="256"/>
      <c r="AB2024" s="257"/>
      <c r="AC2024" s="258"/>
      <c r="AD2024" s="7"/>
      <c r="AE2024" s="253"/>
      <c r="AF2024" s="253"/>
      <c r="AG2024" s="259"/>
      <c r="AH2024" s="253"/>
      <c r="AI2024" s="253"/>
      <c r="AJ2024" s="7"/>
      <c r="AK2024" s="253"/>
      <c r="AL2024" s="253"/>
      <c r="AM2024" s="7"/>
      <c r="AN2024" s="253"/>
      <c r="AO2024" s="253"/>
      <c r="AP2024" s="253"/>
      <c r="AQ2024" s="253"/>
      <c r="AR2024" s="253"/>
      <c r="AS2024" s="253"/>
      <c r="AT2024" s="253"/>
      <c r="AU2024" s="253"/>
      <c r="AV2024" s="253"/>
      <c r="AW2024" s="253"/>
      <c r="AX2024" s="253"/>
      <c r="AY2024" s="253"/>
      <c r="AZ2024" s="253"/>
    </row>
    <row r="2025" spans="1:52" ht="15.5" customHeight="1">
      <c r="A2025" s="363"/>
      <c r="B2025" s="343"/>
      <c r="C2025" s="7"/>
      <c r="D2025" s="254"/>
      <c r="E2025" s="254"/>
      <c r="F2025" s="254"/>
      <c r="G2025" s="253"/>
      <c r="H2025" s="253"/>
      <c r="I2025" s="253"/>
      <c r="J2025" s="253"/>
      <c r="K2025" s="253"/>
      <c r="L2025" s="7"/>
      <c r="M2025" s="7"/>
      <c r="N2025" s="253"/>
      <c r="O2025" s="255"/>
      <c r="P2025" s="253"/>
      <c r="Q2025" s="7"/>
      <c r="R2025" s="7"/>
      <c r="S2025" s="7"/>
      <c r="T2025" s="7"/>
      <c r="U2025" s="7"/>
      <c r="V2025" s="253"/>
      <c r="W2025" s="7"/>
      <c r="X2025" s="256"/>
      <c r="Y2025" s="256"/>
      <c r="Z2025" s="256"/>
      <c r="AA2025" s="256"/>
      <c r="AB2025" s="257"/>
      <c r="AC2025" s="258"/>
      <c r="AD2025" s="7"/>
      <c r="AE2025" s="253"/>
      <c r="AF2025" s="253"/>
      <c r="AG2025" s="259"/>
      <c r="AH2025" s="253"/>
      <c r="AI2025" s="253"/>
      <c r="AJ2025" s="7"/>
      <c r="AK2025" s="253"/>
      <c r="AL2025" s="253"/>
      <c r="AM2025" s="7"/>
      <c r="AN2025" s="253"/>
      <c r="AO2025" s="253"/>
      <c r="AP2025" s="253"/>
      <c r="AQ2025" s="253"/>
      <c r="AR2025" s="253"/>
      <c r="AS2025" s="253"/>
      <c r="AT2025" s="253"/>
      <c r="AU2025" s="253"/>
      <c r="AV2025" s="253"/>
      <c r="AW2025" s="253"/>
      <c r="AX2025" s="253"/>
      <c r="AY2025" s="253"/>
      <c r="AZ2025" s="253"/>
    </row>
    <row r="2026" spans="1:52" ht="15.5" customHeight="1">
      <c r="A2026" s="363"/>
      <c r="B2026" s="343"/>
      <c r="C2026" s="7"/>
      <c r="D2026" s="254"/>
      <c r="E2026" s="254"/>
      <c r="F2026" s="254"/>
      <c r="G2026" s="253"/>
      <c r="H2026" s="253"/>
      <c r="I2026" s="253"/>
      <c r="J2026" s="253"/>
      <c r="K2026" s="253"/>
      <c r="L2026" s="7"/>
      <c r="M2026" s="7"/>
      <c r="N2026" s="253"/>
      <c r="O2026" s="255"/>
      <c r="P2026" s="253"/>
      <c r="Q2026" s="7"/>
      <c r="R2026" s="7"/>
      <c r="S2026" s="7"/>
      <c r="T2026" s="7"/>
      <c r="U2026" s="7"/>
      <c r="V2026" s="253"/>
      <c r="W2026" s="7"/>
      <c r="X2026" s="256"/>
      <c r="Y2026" s="256"/>
      <c r="Z2026" s="256"/>
      <c r="AA2026" s="256"/>
      <c r="AB2026" s="257"/>
      <c r="AC2026" s="258"/>
      <c r="AD2026" s="7"/>
      <c r="AE2026" s="253"/>
      <c r="AF2026" s="253"/>
      <c r="AG2026" s="259"/>
      <c r="AH2026" s="253"/>
      <c r="AI2026" s="253"/>
      <c r="AJ2026" s="7"/>
      <c r="AK2026" s="253"/>
      <c r="AL2026" s="253"/>
      <c r="AM2026" s="7"/>
      <c r="AN2026" s="253"/>
      <c r="AO2026" s="253"/>
      <c r="AP2026" s="253"/>
      <c r="AQ2026" s="253"/>
      <c r="AR2026" s="253"/>
      <c r="AS2026" s="253"/>
      <c r="AT2026" s="253"/>
      <c r="AU2026" s="253"/>
      <c r="AV2026" s="253"/>
      <c r="AW2026" s="253"/>
      <c r="AX2026" s="253"/>
      <c r="AY2026" s="253"/>
      <c r="AZ2026" s="253"/>
    </row>
    <row r="2027" spans="1:52" ht="15.5" customHeight="1">
      <c r="A2027" s="363"/>
      <c r="B2027" s="343"/>
      <c r="C2027" s="7"/>
      <c r="D2027" s="254"/>
      <c r="E2027" s="254"/>
      <c r="F2027" s="254"/>
      <c r="G2027" s="253"/>
      <c r="H2027" s="253"/>
      <c r="I2027" s="253"/>
      <c r="J2027" s="253"/>
      <c r="K2027" s="253"/>
      <c r="L2027" s="7"/>
      <c r="M2027" s="7"/>
      <c r="N2027" s="253"/>
      <c r="O2027" s="255"/>
      <c r="P2027" s="253"/>
      <c r="Q2027" s="7"/>
      <c r="R2027" s="7"/>
      <c r="S2027" s="7"/>
      <c r="T2027" s="7"/>
      <c r="U2027" s="7"/>
      <c r="V2027" s="253"/>
      <c r="W2027" s="7"/>
      <c r="X2027" s="256"/>
      <c r="Y2027" s="256"/>
      <c r="Z2027" s="256"/>
      <c r="AA2027" s="256"/>
      <c r="AB2027" s="257"/>
      <c r="AC2027" s="258"/>
      <c r="AD2027" s="7"/>
      <c r="AE2027" s="253"/>
      <c r="AF2027" s="253"/>
      <c r="AG2027" s="259"/>
      <c r="AH2027" s="253"/>
      <c r="AI2027" s="253"/>
      <c r="AJ2027" s="7"/>
      <c r="AK2027" s="253"/>
      <c r="AL2027" s="253"/>
      <c r="AM2027" s="7"/>
      <c r="AN2027" s="253"/>
      <c r="AO2027" s="253"/>
      <c r="AP2027" s="253"/>
      <c r="AQ2027" s="253"/>
      <c r="AR2027" s="253"/>
      <c r="AS2027" s="253"/>
      <c r="AT2027" s="253"/>
      <c r="AU2027" s="253"/>
      <c r="AV2027" s="253"/>
      <c r="AW2027" s="253"/>
      <c r="AX2027" s="253"/>
      <c r="AY2027" s="253"/>
      <c r="AZ2027" s="253"/>
    </row>
    <row r="2028" spans="1:52" ht="15.5" customHeight="1">
      <c r="A2028" s="363"/>
      <c r="B2028" s="343"/>
      <c r="C2028" s="7"/>
      <c r="D2028" s="254"/>
      <c r="E2028" s="254"/>
      <c r="F2028" s="254"/>
      <c r="G2028" s="253"/>
      <c r="H2028" s="253"/>
      <c r="I2028" s="253"/>
      <c r="J2028" s="253"/>
      <c r="K2028" s="253"/>
      <c r="L2028" s="7"/>
      <c r="M2028" s="7"/>
      <c r="N2028" s="253"/>
      <c r="O2028" s="255"/>
      <c r="P2028" s="253"/>
      <c r="Q2028" s="7"/>
      <c r="R2028" s="7"/>
      <c r="S2028" s="7"/>
      <c r="T2028" s="7"/>
      <c r="U2028" s="7"/>
      <c r="V2028" s="253"/>
      <c r="W2028" s="7"/>
      <c r="X2028" s="256"/>
      <c r="Y2028" s="256"/>
      <c r="Z2028" s="256"/>
      <c r="AA2028" s="256"/>
      <c r="AB2028" s="257"/>
      <c r="AC2028" s="258"/>
      <c r="AD2028" s="7"/>
      <c r="AE2028" s="253"/>
      <c r="AF2028" s="253"/>
      <c r="AG2028" s="259"/>
      <c r="AH2028" s="253"/>
      <c r="AI2028" s="253"/>
      <c r="AJ2028" s="7"/>
      <c r="AK2028" s="253"/>
      <c r="AL2028" s="253"/>
      <c r="AM2028" s="7"/>
      <c r="AN2028" s="253"/>
      <c r="AO2028" s="253"/>
      <c r="AP2028" s="253"/>
      <c r="AQ2028" s="253"/>
      <c r="AR2028" s="253"/>
      <c r="AS2028" s="253"/>
      <c r="AT2028" s="253"/>
      <c r="AU2028" s="253"/>
      <c r="AV2028" s="253"/>
      <c r="AW2028" s="253"/>
      <c r="AX2028" s="253"/>
      <c r="AY2028" s="253"/>
      <c r="AZ2028" s="253"/>
    </row>
    <row r="2029" spans="1:52" ht="15.5" customHeight="1">
      <c r="A2029" s="363"/>
      <c r="B2029" s="343"/>
      <c r="C2029" s="7"/>
      <c r="D2029" s="254"/>
      <c r="E2029" s="254"/>
      <c r="F2029" s="254"/>
      <c r="G2029" s="253"/>
      <c r="H2029" s="253"/>
      <c r="I2029" s="253"/>
      <c r="J2029" s="253"/>
      <c r="K2029" s="253"/>
      <c r="L2029" s="7"/>
      <c r="M2029" s="7"/>
      <c r="N2029" s="253"/>
      <c r="O2029" s="255"/>
      <c r="P2029" s="253"/>
      <c r="Q2029" s="7"/>
      <c r="R2029" s="7"/>
      <c r="S2029" s="7"/>
      <c r="T2029" s="7"/>
      <c r="U2029" s="7"/>
      <c r="V2029" s="253"/>
      <c r="W2029" s="7"/>
      <c r="X2029" s="256"/>
      <c r="Y2029" s="256"/>
      <c r="Z2029" s="256"/>
      <c r="AA2029" s="256"/>
      <c r="AB2029" s="257"/>
      <c r="AC2029" s="258"/>
      <c r="AD2029" s="7"/>
      <c r="AE2029" s="253"/>
      <c r="AF2029" s="253"/>
      <c r="AG2029" s="259"/>
      <c r="AH2029" s="253"/>
      <c r="AI2029" s="253"/>
      <c r="AJ2029" s="7"/>
      <c r="AK2029" s="253"/>
      <c r="AL2029" s="253"/>
      <c r="AM2029" s="7"/>
      <c r="AN2029" s="253"/>
      <c r="AO2029" s="253"/>
      <c r="AP2029" s="253"/>
      <c r="AQ2029" s="253"/>
      <c r="AR2029" s="253"/>
      <c r="AS2029" s="253"/>
      <c r="AT2029" s="253"/>
      <c r="AU2029" s="253"/>
      <c r="AV2029" s="253"/>
      <c r="AW2029" s="253"/>
      <c r="AX2029" s="253"/>
      <c r="AY2029" s="253"/>
      <c r="AZ2029" s="253"/>
    </row>
    <row r="2030" spans="1:52" ht="15.5" customHeight="1">
      <c r="A2030" s="363"/>
      <c r="B2030" s="343"/>
      <c r="C2030" s="7"/>
      <c r="D2030" s="254"/>
      <c r="E2030" s="254"/>
      <c r="F2030" s="254"/>
      <c r="G2030" s="253"/>
      <c r="H2030" s="253"/>
      <c r="I2030" s="253"/>
      <c r="J2030" s="253"/>
      <c r="K2030" s="253"/>
      <c r="L2030" s="7"/>
      <c r="M2030" s="7"/>
      <c r="N2030" s="253"/>
      <c r="O2030" s="255"/>
      <c r="P2030" s="253"/>
      <c r="Q2030" s="7"/>
      <c r="R2030" s="7"/>
      <c r="S2030" s="7"/>
      <c r="T2030" s="7"/>
      <c r="U2030" s="7"/>
      <c r="V2030" s="253"/>
      <c r="W2030" s="7"/>
      <c r="X2030" s="256"/>
      <c r="Y2030" s="256"/>
      <c r="Z2030" s="256"/>
      <c r="AA2030" s="256"/>
      <c r="AB2030" s="257"/>
      <c r="AC2030" s="258"/>
      <c r="AD2030" s="7"/>
      <c r="AE2030" s="253"/>
      <c r="AF2030" s="253"/>
      <c r="AG2030" s="259"/>
      <c r="AH2030" s="253"/>
      <c r="AI2030" s="253"/>
      <c r="AJ2030" s="7"/>
      <c r="AK2030" s="253"/>
      <c r="AL2030" s="253"/>
      <c r="AM2030" s="7"/>
      <c r="AN2030" s="253"/>
      <c r="AO2030" s="253"/>
      <c r="AP2030" s="253"/>
      <c r="AQ2030" s="253"/>
      <c r="AR2030" s="253"/>
      <c r="AS2030" s="253"/>
      <c r="AT2030" s="253"/>
      <c r="AU2030" s="253"/>
      <c r="AV2030" s="253"/>
      <c r="AW2030" s="253"/>
      <c r="AX2030" s="253"/>
      <c r="AY2030" s="253"/>
      <c r="AZ2030" s="253"/>
    </row>
    <row r="2031" spans="1:52" ht="15.5" customHeight="1">
      <c r="A2031" s="363"/>
      <c r="B2031" s="343"/>
      <c r="C2031" s="7"/>
      <c r="D2031" s="254"/>
      <c r="E2031" s="254"/>
      <c r="F2031" s="254"/>
      <c r="G2031" s="253"/>
      <c r="H2031" s="253"/>
      <c r="I2031" s="253"/>
      <c r="J2031" s="253"/>
      <c r="K2031" s="253"/>
      <c r="L2031" s="7"/>
      <c r="M2031" s="7"/>
      <c r="N2031" s="253"/>
      <c r="O2031" s="255"/>
      <c r="P2031" s="253"/>
      <c r="Q2031" s="7"/>
      <c r="R2031" s="7"/>
      <c r="S2031" s="7"/>
      <c r="T2031" s="7"/>
      <c r="U2031" s="7"/>
      <c r="V2031" s="253"/>
      <c r="W2031" s="7"/>
      <c r="X2031" s="256"/>
      <c r="Y2031" s="256"/>
      <c r="Z2031" s="256"/>
      <c r="AA2031" s="256"/>
      <c r="AB2031" s="257"/>
      <c r="AC2031" s="258"/>
      <c r="AD2031" s="7"/>
      <c r="AE2031" s="253"/>
      <c r="AF2031" s="253"/>
      <c r="AG2031" s="259"/>
      <c r="AH2031" s="253"/>
      <c r="AI2031" s="253"/>
      <c r="AJ2031" s="7"/>
      <c r="AK2031" s="253"/>
      <c r="AL2031" s="253"/>
      <c r="AM2031" s="7"/>
      <c r="AN2031" s="253"/>
      <c r="AO2031" s="253"/>
      <c r="AP2031" s="253"/>
      <c r="AQ2031" s="253"/>
      <c r="AR2031" s="253"/>
      <c r="AS2031" s="253"/>
      <c r="AT2031" s="253"/>
      <c r="AU2031" s="253"/>
      <c r="AV2031" s="253"/>
      <c r="AW2031" s="253"/>
      <c r="AX2031" s="253"/>
      <c r="AY2031" s="253"/>
      <c r="AZ2031" s="253"/>
    </row>
    <row r="2032" spans="1:52" ht="15.5" customHeight="1">
      <c r="A2032" s="363"/>
      <c r="B2032" s="343"/>
      <c r="C2032" s="7"/>
      <c r="D2032" s="254"/>
      <c r="E2032" s="254"/>
      <c r="F2032" s="254"/>
      <c r="G2032" s="253"/>
      <c r="H2032" s="253"/>
      <c r="I2032" s="253"/>
      <c r="J2032" s="253"/>
      <c r="K2032" s="253"/>
      <c r="L2032" s="7"/>
      <c r="M2032" s="7"/>
      <c r="N2032" s="253"/>
      <c r="O2032" s="255"/>
      <c r="P2032" s="253"/>
      <c r="Q2032" s="7"/>
      <c r="R2032" s="7"/>
      <c r="S2032" s="7"/>
      <c r="T2032" s="7"/>
      <c r="U2032" s="7"/>
      <c r="V2032" s="253"/>
      <c r="W2032" s="7"/>
      <c r="X2032" s="256"/>
      <c r="Y2032" s="256"/>
      <c r="Z2032" s="256"/>
      <c r="AA2032" s="256"/>
      <c r="AB2032" s="257"/>
      <c r="AC2032" s="258"/>
      <c r="AD2032" s="7"/>
      <c r="AE2032" s="253"/>
      <c r="AF2032" s="253"/>
      <c r="AG2032" s="259"/>
      <c r="AH2032" s="253"/>
      <c r="AI2032" s="253"/>
      <c r="AJ2032" s="7"/>
      <c r="AK2032" s="253"/>
      <c r="AL2032" s="253"/>
      <c r="AM2032" s="7"/>
      <c r="AN2032" s="253"/>
      <c r="AO2032" s="253"/>
      <c r="AP2032" s="253"/>
      <c r="AQ2032" s="253"/>
      <c r="AR2032" s="253"/>
      <c r="AS2032" s="253"/>
      <c r="AT2032" s="253"/>
      <c r="AU2032" s="253"/>
      <c r="AV2032" s="253"/>
      <c r="AW2032" s="253"/>
      <c r="AX2032" s="253"/>
      <c r="AY2032" s="253"/>
      <c r="AZ2032" s="253"/>
    </row>
    <row r="2033" spans="1:52" ht="15.5" customHeight="1">
      <c r="A2033" s="363"/>
      <c r="B2033" s="343"/>
      <c r="C2033" s="7"/>
      <c r="D2033" s="254"/>
      <c r="E2033" s="254"/>
      <c r="F2033" s="254"/>
      <c r="G2033" s="253"/>
      <c r="H2033" s="253"/>
      <c r="I2033" s="253"/>
      <c r="J2033" s="253"/>
      <c r="K2033" s="253"/>
      <c r="L2033" s="7"/>
      <c r="M2033" s="7"/>
      <c r="N2033" s="253"/>
      <c r="O2033" s="255"/>
      <c r="P2033" s="253"/>
      <c r="Q2033" s="7"/>
      <c r="R2033" s="7"/>
      <c r="S2033" s="7"/>
      <c r="T2033" s="7"/>
      <c r="U2033" s="7"/>
      <c r="V2033" s="253"/>
      <c r="W2033" s="7"/>
      <c r="X2033" s="256"/>
      <c r="Y2033" s="256"/>
      <c r="Z2033" s="256"/>
      <c r="AA2033" s="256"/>
      <c r="AB2033" s="257"/>
      <c r="AC2033" s="258"/>
      <c r="AD2033" s="7"/>
      <c r="AE2033" s="253"/>
      <c r="AF2033" s="253"/>
      <c r="AG2033" s="259"/>
      <c r="AH2033" s="253"/>
      <c r="AI2033" s="253"/>
      <c r="AJ2033" s="7"/>
      <c r="AK2033" s="253"/>
      <c r="AL2033" s="253"/>
      <c r="AM2033" s="7"/>
      <c r="AN2033" s="253"/>
      <c r="AO2033" s="253"/>
      <c r="AP2033" s="253"/>
      <c r="AQ2033" s="253"/>
      <c r="AR2033" s="253"/>
      <c r="AS2033" s="253"/>
      <c r="AT2033" s="253"/>
      <c r="AU2033" s="253"/>
      <c r="AV2033" s="253"/>
      <c r="AW2033" s="253"/>
      <c r="AX2033" s="253"/>
      <c r="AY2033" s="253"/>
      <c r="AZ2033" s="253"/>
    </row>
    <row r="2034" spans="1:52" ht="15.5" customHeight="1">
      <c r="A2034" s="363"/>
      <c r="B2034" s="343"/>
      <c r="C2034" s="7"/>
      <c r="D2034" s="254"/>
      <c r="E2034" s="254"/>
      <c r="F2034" s="254"/>
      <c r="G2034" s="253"/>
      <c r="H2034" s="253"/>
      <c r="I2034" s="253"/>
      <c r="J2034" s="253"/>
      <c r="K2034" s="253"/>
      <c r="L2034" s="7"/>
      <c r="M2034" s="7"/>
      <c r="N2034" s="253"/>
      <c r="O2034" s="255"/>
      <c r="P2034" s="253"/>
      <c r="Q2034" s="7"/>
      <c r="R2034" s="7"/>
      <c r="S2034" s="7"/>
      <c r="T2034" s="7"/>
      <c r="U2034" s="7"/>
      <c r="V2034" s="253"/>
      <c r="W2034" s="7"/>
      <c r="X2034" s="256"/>
      <c r="Y2034" s="256"/>
      <c r="Z2034" s="256"/>
      <c r="AA2034" s="256"/>
      <c r="AB2034" s="257"/>
      <c r="AC2034" s="258"/>
      <c r="AD2034" s="7"/>
      <c r="AE2034" s="253"/>
      <c r="AF2034" s="253"/>
      <c r="AG2034" s="259"/>
      <c r="AH2034" s="253"/>
      <c r="AI2034" s="253"/>
      <c r="AJ2034" s="7"/>
      <c r="AK2034" s="253"/>
      <c r="AL2034" s="253"/>
      <c r="AM2034" s="7"/>
      <c r="AN2034" s="253"/>
      <c r="AO2034" s="253"/>
      <c r="AP2034" s="253"/>
      <c r="AQ2034" s="253"/>
      <c r="AR2034" s="253"/>
      <c r="AS2034" s="253"/>
      <c r="AT2034" s="253"/>
      <c r="AU2034" s="253"/>
      <c r="AV2034" s="253"/>
      <c r="AW2034" s="253"/>
      <c r="AX2034" s="253"/>
      <c r="AY2034" s="253"/>
      <c r="AZ2034" s="253"/>
    </row>
    <row r="2035" spans="1:52" ht="15.5" customHeight="1">
      <c r="A2035" s="363"/>
      <c r="B2035" s="343"/>
      <c r="C2035" s="7"/>
      <c r="D2035" s="254"/>
      <c r="E2035" s="254"/>
      <c r="F2035" s="254"/>
      <c r="G2035" s="253"/>
      <c r="H2035" s="253"/>
      <c r="I2035" s="253"/>
      <c r="J2035" s="253"/>
      <c r="K2035" s="253"/>
      <c r="L2035" s="7"/>
      <c r="M2035" s="7"/>
      <c r="N2035" s="253"/>
      <c r="O2035" s="255"/>
      <c r="P2035" s="253"/>
      <c r="Q2035" s="7"/>
      <c r="R2035" s="7"/>
      <c r="S2035" s="7"/>
      <c r="T2035" s="7"/>
      <c r="U2035" s="7"/>
      <c r="V2035" s="253"/>
      <c r="W2035" s="7"/>
      <c r="X2035" s="256"/>
      <c r="Y2035" s="256"/>
      <c r="Z2035" s="256"/>
      <c r="AA2035" s="256"/>
      <c r="AB2035" s="257"/>
      <c r="AC2035" s="258"/>
      <c r="AD2035" s="7"/>
      <c r="AE2035" s="253"/>
      <c r="AF2035" s="253"/>
      <c r="AG2035" s="259"/>
      <c r="AH2035" s="253"/>
      <c r="AI2035" s="253"/>
      <c r="AJ2035" s="7"/>
      <c r="AK2035" s="253"/>
      <c r="AL2035" s="253"/>
      <c r="AM2035" s="7"/>
      <c r="AN2035" s="253"/>
      <c r="AO2035" s="253"/>
      <c r="AP2035" s="253"/>
      <c r="AQ2035" s="253"/>
      <c r="AR2035" s="253"/>
      <c r="AS2035" s="253"/>
      <c r="AT2035" s="253"/>
      <c r="AU2035" s="253"/>
      <c r="AV2035" s="253"/>
      <c r="AW2035" s="253"/>
      <c r="AX2035" s="253"/>
      <c r="AY2035" s="253"/>
      <c r="AZ2035" s="253"/>
    </row>
    <row r="2036" spans="1:52" ht="15.5" customHeight="1">
      <c r="A2036" s="363"/>
      <c r="B2036" s="343"/>
      <c r="C2036" s="7"/>
      <c r="D2036" s="254"/>
      <c r="E2036" s="254"/>
      <c r="F2036" s="254"/>
      <c r="G2036" s="253"/>
      <c r="H2036" s="253"/>
      <c r="I2036" s="253"/>
      <c r="J2036" s="253"/>
      <c r="K2036" s="253"/>
      <c r="L2036" s="7"/>
      <c r="M2036" s="7"/>
      <c r="N2036" s="253"/>
      <c r="O2036" s="255"/>
      <c r="P2036" s="253"/>
      <c r="Q2036" s="7"/>
      <c r="R2036" s="7"/>
      <c r="S2036" s="7"/>
      <c r="T2036" s="7"/>
      <c r="U2036" s="7"/>
      <c r="V2036" s="253"/>
      <c r="W2036" s="7"/>
      <c r="X2036" s="256"/>
      <c r="Y2036" s="256"/>
      <c r="Z2036" s="256"/>
      <c r="AA2036" s="256"/>
      <c r="AB2036" s="257"/>
      <c r="AC2036" s="258"/>
      <c r="AD2036" s="7"/>
      <c r="AE2036" s="253"/>
      <c r="AF2036" s="253"/>
      <c r="AG2036" s="259"/>
      <c r="AH2036" s="253"/>
      <c r="AI2036" s="253"/>
      <c r="AJ2036" s="7"/>
      <c r="AK2036" s="253"/>
      <c r="AL2036" s="253"/>
      <c r="AM2036" s="7"/>
      <c r="AN2036" s="253"/>
      <c r="AO2036" s="253"/>
      <c r="AP2036" s="253"/>
      <c r="AQ2036" s="253"/>
      <c r="AR2036" s="253"/>
      <c r="AS2036" s="253"/>
      <c r="AT2036" s="253"/>
      <c r="AU2036" s="253"/>
      <c r="AV2036" s="253"/>
      <c r="AW2036" s="253"/>
      <c r="AX2036" s="253"/>
      <c r="AY2036" s="253"/>
      <c r="AZ2036" s="253"/>
    </row>
    <row r="2037" spans="1:52" ht="15.5" customHeight="1">
      <c r="A2037" s="363"/>
      <c r="B2037" s="343"/>
      <c r="C2037" s="7"/>
      <c r="D2037" s="254"/>
      <c r="E2037" s="254"/>
      <c r="F2037" s="254"/>
      <c r="G2037" s="253"/>
      <c r="H2037" s="253"/>
      <c r="I2037" s="253"/>
      <c r="J2037" s="253"/>
      <c r="K2037" s="253"/>
      <c r="L2037" s="7"/>
      <c r="M2037" s="7"/>
      <c r="N2037" s="253"/>
      <c r="O2037" s="255"/>
      <c r="P2037" s="253"/>
      <c r="Q2037" s="7"/>
      <c r="R2037" s="7"/>
      <c r="S2037" s="7"/>
      <c r="T2037" s="7"/>
      <c r="U2037" s="7"/>
      <c r="V2037" s="253"/>
      <c r="W2037" s="7"/>
      <c r="X2037" s="256"/>
      <c r="Y2037" s="256"/>
      <c r="Z2037" s="256"/>
      <c r="AA2037" s="256"/>
      <c r="AB2037" s="257"/>
      <c r="AC2037" s="258"/>
      <c r="AD2037" s="7"/>
      <c r="AE2037" s="253"/>
      <c r="AF2037" s="253"/>
      <c r="AG2037" s="259"/>
      <c r="AH2037" s="253"/>
      <c r="AI2037" s="253"/>
      <c r="AJ2037" s="7"/>
      <c r="AK2037" s="253"/>
      <c r="AL2037" s="253"/>
      <c r="AM2037" s="7"/>
      <c r="AN2037" s="253"/>
      <c r="AO2037" s="253"/>
      <c r="AP2037" s="253"/>
      <c r="AQ2037" s="253"/>
      <c r="AR2037" s="253"/>
      <c r="AS2037" s="253"/>
      <c r="AT2037" s="253"/>
      <c r="AU2037" s="253"/>
      <c r="AV2037" s="253"/>
      <c r="AW2037" s="253"/>
      <c r="AX2037" s="253"/>
      <c r="AY2037" s="253"/>
      <c r="AZ2037" s="253"/>
    </row>
    <row r="2038" spans="1:52" ht="15.5" customHeight="1">
      <c r="A2038" s="363"/>
      <c r="B2038" s="343"/>
      <c r="C2038" s="7"/>
      <c r="D2038" s="254"/>
      <c r="E2038" s="254"/>
      <c r="F2038" s="254"/>
      <c r="G2038" s="253"/>
      <c r="H2038" s="253"/>
      <c r="I2038" s="253"/>
      <c r="J2038" s="253"/>
      <c r="K2038" s="253"/>
      <c r="L2038" s="7"/>
      <c r="M2038" s="7"/>
      <c r="N2038" s="253"/>
      <c r="O2038" s="255"/>
      <c r="P2038" s="253"/>
      <c r="Q2038" s="7"/>
      <c r="R2038" s="7"/>
      <c r="S2038" s="7"/>
      <c r="T2038" s="7"/>
      <c r="U2038" s="7"/>
      <c r="V2038" s="253"/>
      <c r="W2038" s="7"/>
      <c r="X2038" s="256"/>
      <c r="Y2038" s="256"/>
      <c r="Z2038" s="256"/>
      <c r="AA2038" s="256"/>
      <c r="AB2038" s="257"/>
      <c r="AC2038" s="258"/>
      <c r="AD2038" s="7"/>
      <c r="AE2038" s="253"/>
      <c r="AF2038" s="253"/>
      <c r="AG2038" s="259"/>
      <c r="AH2038" s="253"/>
      <c r="AI2038" s="253"/>
      <c r="AJ2038" s="7"/>
      <c r="AK2038" s="253"/>
      <c r="AL2038" s="253"/>
      <c r="AM2038" s="7"/>
      <c r="AN2038" s="253"/>
      <c r="AO2038" s="253"/>
      <c r="AP2038" s="253"/>
      <c r="AQ2038" s="253"/>
      <c r="AR2038" s="253"/>
      <c r="AS2038" s="253"/>
      <c r="AT2038" s="253"/>
      <c r="AU2038" s="253"/>
      <c r="AV2038" s="253"/>
      <c r="AW2038" s="253"/>
      <c r="AX2038" s="253"/>
      <c r="AY2038" s="253"/>
      <c r="AZ2038" s="253"/>
    </row>
    <row r="2039" spans="1:52" ht="15.5" customHeight="1">
      <c r="A2039" s="363"/>
      <c r="B2039" s="343"/>
      <c r="C2039" s="7"/>
      <c r="D2039" s="254"/>
      <c r="E2039" s="254"/>
      <c r="F2039" s="254"/>
      <c r="G2039" s="253"/>
      <c r="H2039" s="253"/>
      <c r="I2039" s="253"/>
      <c r="J2039" s="253"/>
      <c r="K2039" s="253"/>
      <c r="L2039" s="7"/>
      <c r="M2039" s="7"/>
      <c r="N2039" s="253"/>
      <c r="O2039" s="255"/>
      <c r="P2039" s="253"/>
      <c r="Q2039" s="7"/>
      <c r="R2039" s="7"/>
      <c r="S2039" s="7"/>
      <c r="T2039" s="7"/>
      <c r="U2039" s="7"/>
      <c r="V2039" s="253"/>
      <c r="W2039" s="7"/>
      <c r="X2039" s="256"/>
      <c r="Y2039" s="256"/>
      <c r="Z2039" s="256"/>
      <c r="AA2039" s="256"/>
      <c r="AB2039" s="257"/>
      <c r="AC2039" s="258"/>
      <c r="AD2039" s="7"/>
      <c r="AE2039" s="253"/>
      <c r="AF2039" s="253"/>
      <c r="AG2039" s="259"/>
      <c r="AH2039" s="253"/>
      <c r="AI2039" s="253"/>
      <c r="AJ2039" s="7"/>
      <c r="AK2039" s="253"/>
      <c r="AL2039" s="253"/>
      <c r="AM2039" s="7"/>
      <c r="AN2039" s="253"/>
      <c r="AO2039" s="253"/>
      <c r="AP2039" s="253"/>
      <c r="AQ2039" s="253"/>
      <c r="AR2039" s="253"/>
      <c r="AS2039" s="253"/>
      <c r="AT2039" s="253"/>
      <c r="AU2039" s="253"/>
      <c r="AV2039" s="253"/>
      <c r="AW2039" s="253"/>
      <c r="AX2039" s="253"/>
      <c r="AY2039" s="253"/>
      <c r="AZ2039" s="253"/>
    </row>
    <row r="2040" spans="1:52" ht="15.5" customHeight="1">
      <c r="A2040" s="363"/>
      <c r="B2040" s="343"/>
      <c r="C2040" s="7"/>
      <c r="D2040" s="254"/>
      <c r="E2040" s="254"/>
      <c r="F2040" s="254"/>
      <c r="G2040" s="253"/>
      <c r="H2040" s="253"/>
      <c r="I2040" s="253"/>
      <c r="J2040" s="253"/>
      <c r="K2040" s="253"/>
      <c r="L2040" s="7"/>
      <c r="M2040" s="7"/>
      <c r="N2040" s="253"/>
      <c r="O2040" s="255"/>
      <c r="P2040" s="253"/>
      <c r="Q2040" s="7"/>
      <c r="R2040" s="7"/>
      <c r="S2040" s="7"/>
      <c r="T2040" s="7"/>
      <c r="U2040" s="7"/>
      <c r="V2040" s="253"/>
      <c r="W2040" s="7"/>
      <c r="X2040" s="256"/>
      <c r="Y2040" s="256"/>
      <c r="Z2040" s="256"/>
      <c r="AA2040" s="256"/>
      <c r="AB2040" s="257"/>
      <c r="AC2040" s="258"/>
      <c r="AD2040" s="7"/>
      <c r="AE2040" s="253"/>
      <c r="AF2040" s="253"/>
      <c r="AG2040" s="259"/>
      <c r="AH2040" s="253"/>
      <c r="AI2040" s="253"/>
      <c r="AJ2040" s="7"/>
      <c r="AK2040" s="253"/>
      <c r="AL2040" s="253"/>
      <c r="AM2040" s="7"/>
      <c r="AN2040" s="253"/>
      <c r="AO2040" s="253"/>
      <c r="AP2040" s="253"/>
      <c r="AQ2040" s="253"/>
      <c r="AR2040" s="253"/>
      <c r="AS2040" s="253"/>
      <c r="AT2040" s="253"/>
      <c r="AU2040" s="253"/>
      <c r="AV2040" s="253"/>
      <c r="AW2040" s="253"/>
      <c r="AX2040" s="253"/>
      <c r="AY2040" s="253"/>
      <c r="AZ2040" s="253"/>
    </row>
    <row r="2041" spans="1:52" ht="15.5" customHeight="1">
      <c r="A2041" s="363"/>
      <c r="B2041" s="343"/>
      <c r="C2041" s="7"/>
      <c r="D2041" s="254"/>
      <c r="E2041" s="254"/>
      <c r="F2041" s="254"/>
      <c r="G2041" s="253"/>
      <c r="H2041" s="253"/>
      <c r="I2041" s="253"/>
      <c r="J2041" s="253"/>
      <c r="K2041" s="253"/>
      <c r="L2041" s="7"/>
      <c r="M2041" s="7"/>
      <c r="N2041" s="253"/>
      <c r="O2041" s="255"/>
      <c r="P2041" s="253"/>
      <c r="Q2041" s="7"/>
      <c r="R2041" s="7"/>
      <c r="S2041" s="7"/>
      <c r="T2041" s="7"/>
      <c r="U2041" s="7"/>
      <c r="V2041" s="253"/>
      <c r="W2041" s="7"/>
      <c r="X2041" s="256"/>
      <c r="Y2041" s="256"/>
      <c r="Z2041" s="256"/>
      <c r="AA2041" s="256"/>
      <c r="AB2041" s="257"/>
      <c r="AC2041" s="258"/>
      <c r="AD2041" s="7"/>
      <c r="AE2041" s="253"/>
      <c r="AF2041" s="253"/>
      <c r="AG2041" s="259"/>
      <c r="AH2041" s="253"/>
      <c r="AI2041" s="253"/>
      <c r="AJ2041" s="7"/>
      <c r="AK2041" s="253"/>
      <c r="AL2041" s="253"/>
      <c r="AM2041" s="7"/>
      <c r="AN2041" s="253"/>
      <c r="AO2041" s="253"/>
      <c r="AP2041" s="253"/>
      <c r="AQ2041" s="253"/>
      <c r="AR2041" s="253"/>
      <c r="AS2041" s="253"/>
      <c r="AT2041" s="253"/>
      <c r="AU2041" s="253"/>
      <c r="AV2041" s="253"/>
      <c r="AW2041" s="253"/>
      <c r="AX2041" s="253"/>
      <c r="AY2041" s="253"/>
      <c r="AZ2041" s="253"/>
    </row>
    <row r="2042" spans="1:52" ht="15.5" customHeight="1">
      <c r="A2042" s="363"/>
      <c r="B2042" s="343"/>
      <c r="C2042" s="7"/>
      <c r="D2042" s="254"/>
      <c r="E2042" s="254"/>
      <c r="F2042" s="254"/>
      <c r="G2042" s="253"/>
      <c r="H2042" s="253"/>
      <c r="I2042" s="253"/>
      <c r="J2042" s="253"/>
      <c r="K2042" s="253"/>
      <c r="L2042" s="7"/>
      <c r="M2042" s="7"/>
      <c r="N2042" s="253"/>
      <c r="O2042" s="255"/>
      <c r="P2042" s="253"/>
      <c r="Q2042" s="7"/>
      <c r="R2042" s="7"/>
      <c r="S2042" s="7"/>
      <c r="T2042" s="7"/>
      <c r="U2042" s="7"/>
      <c r="V2042" s="253"/>
      <c r="W2042" s="7"/>
      <c r="X2042" s="256"/>
      <c r="Y2042" s="256"/>
      <c r="Z2042" s="256"/>
      <c r="AA2042" s="256"/>
      <c r="AB2042" s="257"/>
      <c r="AC2042" s="258"/>
      <c r="AD2042" s="7"/>
      <c r="AE2042" s="253"/>
      <c r="AF2042" s="253"/>
      <c r="AG2042" s="259"/>
      <c r="AH2042" s="253"/>
      <c r="AI2042" s="253"/>
      <c r="AJ2042" s="7"/>
      <c r="AK2042" s="253"/>
      <c r="AL2042" s="253"/>
      <c r="AM2042" s="7"/>
      <c r="AN2042" s="253"/>
      <c r="AO2042" s="253"/>
      <c r="AP2042" s="253"/>
      <c r="AQ2042" s="253"/>
      <c r="AR2042" s="253"/>
      <c r="AS2042" s="253"/>
      <c r="AT2042" s="253"/>
      <c r="AU2042" s="253"/>
      <c r="AV2042" s="253"/>
      <c r="AW2042" s="253"/>
      <c r="AX2042" s="253"/>
      <c r="AY2042" s="253"/>
      <c r="AZ2042" s="253"/>
    </row>
    <row r="2043" spans="1:52" ht="15.5" customHeight="1">
      <c r="A2043" s="363"/>
      <c r="B2043" s="343"/>
      <c r="C2043" s="7"/>
      <c r="D2043" s="254"/>
      <c r="E2043" s="254"/>
      <c r="F2043" s="254"/>
      <c r="G2043" s="253"/>
      <c r="H2043" s="253"/>
      <c r="I2043" s="253"/>
      <c r="J2043" s="253"/>
      <c r="K2043" s="253"/>
      <c r="L2043" s="7"/>
      <c r="M2043" s="7"/>
      <c r="N2043" s="253"/>
      <c r="O2043" s="255"/>
      <c r="P2043" s="253"/>
      <c r="Q2043" s="7"/>
      <c r="R2043" s="7"/>
      <c r="S2043" s="7"/>
      <c r="T2043" s="7"/>
      <c r="U2043" s="7"/>
      <c r="V2043" s="253"/>
      <c r="W2043" s="7"/>
      <c r="X2043" s="256"/>
      <c r="Y2043" s="256"/>
      <c r="Z2043" s="256"/>
      <c r="AA2043" s="256"/>
      <c r="AB2043" s="257"/>
      <c r="AC2043" s="258"/>
      <c r="AD2043" s="7"/>
      <c r="AE2043" s="253"/>
      <c r="AF2043" s="253"/>
      <c r="AG2043" s="259"/>
      <c r="AH2043" s="253"/>
      <c r="AI2043" s="253"/>
      <c r="AJ2043" s="7"/>
      <c r="AK2043" s="253"/>
      <c r="AL2043" s="253"/>
      <c r="AM2043" s="7"/>
      <c r="AN2043" s="253"/>
      <c r="AO2043" s="253"/>
      <c r="AP2043" s="253"/>
      <c r="AQ2043" s="253"/>
      <c r="AR2043" s="253"/>
      <c r="AS2043" s="253"/>
      <c r="AT2043" s="253"/>
      <c r="AU2043" s="253"/>
      <c r="AV2043" s="253"/>
      <c r="AW2043" s="253"/>
      <c r="AX2043" s="253"/>
      <c r="AY2043" s="253"/>
      <c r="AZ2043" s="253"/>
    </row>
    <row r="2044" spans="1:52" ht="15.5" customHeight="1">
      <c r="A2044" s="363"/>
      <c r="B2044" s="343"/>
      <c r="C2044" s="7"/>
      <c r="D2044" s="254"/>
      <c r="E2044" s="254"/>
      <c r="F2044" s="254"/>
      <c r="G2044" s="253"/>
      <c r="H2044" s="253"/>
      <c r="I2044" s="253"/>
      <c r="J2044" s="253"/>
      <c r="K2044" s="253"/>
      <c r="L2044" s="7"/>
      <c r="M2044" s="7"/>
      <c r="N2044" s="253"/>
      <c r="O2044" s="255"/>
      <c r="P2044" s="253"/>
      <c r="Q2044" s="7"/>
      <c r="R2044" s="7"/>
      <c r="S2044" s="7"/>
      <c r="T2044" s="7"/>
      <c r="U2044" s="7"/>
      <c r="V2044" s="253"/>
      <c r="W2044" s="7"/>
      <c r="X2044" s="256"/>
      <c r="Y2044" s="256"/>
      <c r="Z2044" s="256"/>
      <c r="AA2044" s="256"/>
      <c r="AB2044" s="257"/>
      <c r="AC2044" s="258"/>
      <c r="AD2044" s="7"/>
      <c r="AE2044" s="253"/>
      <c r="AF2044" s="253"/>
      <c r="AG2044" s="259"/>
      <c r="AH2044" s="253"/>
      <c r="AI2044" s="253"/>
      <c r="AJ2044" s="7"/>
      <c r="AK2044" s="253"/>
      <c r="AL2044" s="253"/>
      <c r="AM2044" s="7"/>
      <c r="AN2044" s="253"/>
      <c r="AO2044" s="253"/>
      <c r="AP2044" s="253"/>
      <c r="AQ2044" s="253"/>
      <c r="AR2044" s="253"/>
      <c r="AS2044" s="253"/>
      <c r="AT2044" s="253"/>
      <c r="AU2044" s="253"/>
      <c r="AV2044" s="253"/>
      <c r="AW2044" s="253"/>
      <c r="AX2044" s="253"/>
      <c r="AY2044" s="253"/>
      <c r="AZ2044" s="253"/>
    </row>
    <row r="2045" spans="1:52" ht="15.5" customHeight="1">
      <c r="A2045" s="363"/>
      <c r="B2045" s="343"/>
      <c r="C2045" s="7"/>
      <c r="D2045" s="254"/>
      <c r="E2045" s="254"/>
      <c r="F2045" s="254"/>
      <c r="G2045" s="253"/>
      <c r="H2045" s="253"/>
      <c r="I2045" s="253"/>
      <c r="J2045" s="253"/>
      <c r="K2045" s="253"/>
      <c r="L2045" s="7"/>
      <c r="M2045" s="7"/>
      <c r="N2045" s="253"/>
      <c r="O2045" s="255"/>
      <c r="P2045" s="253"/>
      <c r="Q2045" s="7"/>
      <c r="R2045" s="7"/>
      <c r="S2045" s="7"/>
      <c r="T2045" s="7"/>
      <c r="U2045" s="7"/>
      <c r="V2045" s="253"/>
      <c r="W2045" s="7"/>
      <c r="X2045" s="256"/>
      <c r="Y2045" s="256"/>
      <c r="Z2045" s="256"/>
      <c r="AA2045" s="256"/>
      <c r="AB2045" s="257"/>
      <c r="AC2045" s="258"/>
      <c r="AD2045" s="7"/>
      <c r="AE2045" s="253"/>
      <c r="AF2045" s="253"/>
      <c r="AG2045" s="259"/>
      <c r="AH2045" s="253"/>
      <c r="AI2045" s="253"/>
      <c r="AJ2045" s="7"/>
      <c r="AK2045" s="253"/>
      <c r="AL2045" s="253"/>
      <c r="AM2045" s="7"/>
      <c r="AN2045" s="253"/>
      <c r="AO2045" s="253"/>
      <c r="AP2045" s="253"/>
      <c r="AQ2045" s="253"/>
      <c r="AR2045" s="253"/>
      <c r="AS2045" s="253"/>
      <c r="AT2045" s="253"/>
      <c r="AU2045" s="253"/>
      <c r="AV2045" s="253"/>
      <c r="AW2045" s="253"/>
      <c r="AX2045" s="253"/>
      <c r="AY2045" s="253"/>
      <c r="AZ2045" s="253"/>
    </row>
    <row r="2046" spans="1:52" ht="15.5" customHeight="1">
      <c r="A2046" s="363"/>
      <c r="B2046" s="343"/>
      <c r="C2046" s="7"/>
      <c r="D2046" s="254"/>
      <c r="E2046" s="254"/>
      <c r="F2046" s="254"/>
      <c r="G2046" s="253"/>
      <c r="H2046" s="253"/>
      <c r="I2046" s="253"/>
      <c r="J2046" s="253"/>
      <c r="K2046" s="253"/>
      <c r="L2046" s="7"/>
      <c r="M2046" s="7"/>
      <c r="N2046" s="253"/>
      <c r="O2046" s="255"/>
      <c r="P2046" s="253"/>
      <c r="Q2046" s="7"/>
      <c r="R2046" s="7"/>
      <c r="S2046" s="7"/>
      <c r="T2046" s="7"/>
      <c r="U2046" s="7"/>
      <c r="V2046" s="253"/>
      <c r="W2046" s="7"/>
      <c r="X2046" s="256"/>
      <c r="Y2046" s="256"/>
      <c r="Z2046" s="256"/>
      <c r="AA2046" s="256"/>
      <c r="AB2046" s="257"/>
      <c r="AC2046" s="258"/>
      <c r="AD2046" s="7"/>
      <c r="AE2046" s="253"/>
      <c r="AF2046" s="253"/>
      <c r="AG2046" s="259"/>
      <c r="AH2046" s="253"/>
      <c r="AI2046" s="253"/>
      <c r="AJ2046" s="7"/>
      <c r="AK2046" s="253"/>
      <c r="AL2046" s="253"/>
      <c r="AM2046" s="7"/>
      <c r="AN2046" s="253"/>
      <c r="AO2046" s="253"/>
      <c r="AP2046" s="253"/>
      <c r="AQ2046" s="253"/>
      <c r="AR2046" s="253"/>
      <c r="AS2046" s="253"/>
      <c r="AT2046" s="253"/>
      <c r="AU2046" s="253"/>
      <c r="AV2046" s="253"/>
      <c r="AW2046" s="253"/>
      <c r="AX2046" s="253"/>
      <c r="AY2046" s="253"/>
      <c r="AZ2046" s="253"/>
    </row>
    <row r="2047" spans="1:52" ht="15.5" customHeight="1">
      <c r="A2047" s="363"/>
      <c r="B2047" s="343"/>
      <c r="C2047" s="7"/>
      <c r="D2047" s="254"/>
      <c r="E2047" s="254"/>
      <c r="F2047" s="254"/>
      <c r="G2047" s="253"/>
      <c r="H2047" s="253"/>
      <c r="I2047" s="253"/>
      <c r="J2047" s="253"/>
      <c r="K2047" s="253"/>
      <c r="L2047" s="7"/>
      <c r="M2047" s="7"/>
      <c r="N2047" s="253"/>
      <c r="O2047" s="255"/>
      <c r="P2047" s="253"/>
      <c r="Q2047" s="7"/>
      <c r="R2047" s="7"/>
      <c r="S2047" s="7"/>
      <c r="T2047" s="7"/>
      <c r="U2047" s="7"/>
      <c r="V2047" s="253"/>
      <c r="W2047" s="7"/>
      <c r="X2047" s="256"/>
      <c r="Y2047" s="256"/>
      <c r="Z2047" s="256"/>
      <c r="AA2047" s="256"/>
      <c r="AB2047" s="257"/>
      <c r="AC2047" s="258"/>
      <c r="AD2047" s="7"/>
      <c r="AE2047" s="253"/>
      <c r="AF2047" s="253"/>
      <c r="AG2047" s="259"/>
      <c r="AH2047" s="253"/>
      <c r="AI2047" s="253"/>
      <c r="AJ2047" s="7"/>
      <c r="AK2047" s="253"/>
      <c r="AL2047" s="253"/>
      <c r="AM2047" s="7"/>
      <c r="AN2047" s="253"/>
      <c r="AO2047" s="253"/>
      <c r="AP2047" s="253"/>
      <c r="AQ2047" s="253"/>
      <c r="AR2047" s="253"/>
      <c r="AS2047" s="253"/>
      <c r="AT2047" s="253"/>
      <c r="AU2047" s="253"/>
      <c r="AV2047" s="253"/>
      <c r="AW2047" s="253"/>
      <c r="AX2047" s="253"/>
      <c r="AY2047" s="253"/>
      <c r="AZ2047" s="253"/>
    </row>
    <row r="2048" spans="1:52" ht="15.5" customHeight="1">
      <c r="A2048" s="363"/>
      <c r="B2048" s="343"/>
      <c r="C2048" s="7"/>
      <c r="D2048" s="254"/>
      <c r="E2048" s="254"/>
      <c r="F2048" s="254"/>
      <c r="G2048" s="253"/>
      <c r="H2048" s="253"/>
      <c r="I2048" s="253"/>
      <c r="J2048" s="253"/>
      <c r="K2048" s="253"/>
      <c r="L2048" s="7"/>
      <c r="M2048" s="7"/>
      <c r="N2048" s="253"/>
      <c r="O2048" s="255"/>
      <c r="P2048" s="253"/>
      <c r="Q2048" s="7"/>
      <c r="R2048" s="7"/>
      <c r="S2048" s="7"/>
      <c r="T2048" s="7"/>
      <c r="U2048" s="7"/>
      <c r="V2048" s="253"/>
      <c r="W2048" s="7"/>
      <c r="X2048" s="256"/>
      <c r="Y2048" s="256"/>
      <c r="Z2048" s="256"/>
      <c r="AA2048" s="256"/>
      <c r="AB2048" s="257"/>
      <c r="AC2048" s="258"/>
      <c r="AD2048" s="7"/>
      <c r="AE2048" s="253"/>
      <c r="AF2048" s="253"/>
      <c r="AG2048" s="259"/>
      <c r="AH2048" s="253"/>
      <c r="AI2048" s="253"/>
      <c r="AJ2048" s="7"/>
      <c r="AK2048" s="253"/>
      <c r="AL2048" s="253"/>
      <c r="AM2048" s="7"/>
      <c r="AN2048" s="253"/>
      <c r="AO2048" s="253"/>
      <c r="AP2048" s="253"/>
      <c r="AQ2048" s="253"/>
      <c r="AR2048" s="253"/>
      <c r="AS2048" s="253"/>
      <c r="AT2048" s="253"/>
      <c r="AU2048" s="253"/>
      <c r="AV2048" s="253"/>
      <c r="AW2048" s="253"/>
      <c r="AX2048" s="253"/>
      <c r="AY2048" s="253"/>
      <c r="AZ2048" s="253"/>
    </row>
    <row r="2049" spans="1:52" ht="15.5" customHeight="1">
      <c r="A2049" s="363"/>
      <c r="B2049" s="343"/>
      <c r="C2049" s="7"/>
      <c r="D2049" s="254"/>
      <c r="E2049" s="254"/>
      <c r="F2049" s="254"/>
      <c r="G2049" s="253"/>
      <c r="H2049" s="253"/>
      <c r="I2049" s="253"/>
      <c r="J2049" s="253"/>
      <c r="K2049" s="253"/>
      <c r="L2049" s="7"/>
      <c r="M2049" s="7"/>
      <c r="N2049" s="253"/>
      <c r="O2049" s="255"/>
      <c r="P2049" s="253"/>
      <c r="Q2049" s="7"/>
      <c r="R2049" s="7"/>
      <c r="S2049" s="7"/>
      <c r="T2049" s="7"/>
      <c r="U2049" s="7"/>
      <c r="V2049" s="253"/>
      <c r="W2049" s="7"/>
      <c r="X2049" s="256"/>
      <c r="Y2049" s="256"/>
      <c r="Z2049" s="256"/>
      <c r="AA2049" s="256"/>
      <c r="AB2049" s="257"/>
      <c r="AC2049" s="258"/>
      <c r="AD2049" s="7"/>
      <c r="AE2049" s="253"/>
      <c r="AF2049" s="253"/>
      <c r="AG2049" s="259"/>
      <c r="AH2049" s="253"/>
      <c r="AI2049" s="253"/>
      <c r="AJ2049" s="7"/>
      <c r="AK2049" s="253"/>
      <c r="AL2049" s="253"/>
      <c r="AM2049" s="7"/>
      <c r="AN2049" s="253"/>
      <c r="AO2049" s="253"/>
      <c r="AP2049" s="253"/>
      <c r="AQ2049" s="253"/>
      <c r="AR2049" s="253"/>
      <c r="AS2049" s="253"/>
      <c r="AT2049" s="253"/>
      <c r="AU2049" s="253"/>
      <c r="AV2049" s="253"/>
      <c r="AW2049" s="253"/>
      <c r="AX2049" s="253"/>
      <c r="AY2049" s="253"/>
      <c r="AZ2049" s="253"/>
    </row>
    <row r="2050" spans="1:52" ht="15.5" customHeight="1">
      <c r="A2050" s="363"/>
      <c r="B2050" s="343"/>
      <c r="C2050" s="7"/>
      <c r="D2050" s="254"/>
      <c r="E2050" s="254"/>
      <c r="F2050" s="254"/>
      <c r="G2050" s="253"/>
      <c r="H2050" s="253"/>
      <c r="I2050" s="253"/>
      <c r="J2050" s="253"/>
      <c r="K2050" s="253"/>
      <c r="L2050" s="7"/>
      <c r="M2050" s="7"/>
      <c r="N2050" s="253"/>
      <c r="O2050" s="255"/>
      <c r="P2050" s="253"/>
      <c r="Q2050" s="7"/>
      <c r="R2050" s="7"/>
      <c r="S2050" s="7"/>
      <c r="T2050" s="7"/>
      <c r="U2050" s="7"/>
      <c r="V2050" s="253"/>
      <c r="W2050" s="7"/>
      <c r="X2050" s="256"/>
      <c r="Y2050" s="256"/>
      <c r="Z2050" s="256"/>
      <c r="AA2050" s="256"/>
      <c r="AB2050" s="257"/>
      <c r="AC2050" s="258"/>
      <c r="AD2050" s="7"/>
      <c r="AE2050" s="253"/>
      <c r="AF2050" s="253"/>
      <c r="AG2050" s="259"/>
      <c r="AH2050" s="253"/>
      <c r="AI2050" s="253"/>
      <c r="AJ2050" s="7"/>
      <c r="AK2050" s="253"/>
      <c r="AL2050" s="253"/>
      <c r="AM2050" s="7"/>
      <c r="AN2050" s="253"/>
      <c r="AO2050" s="253"/>
      <c r="AP2050" s="253"/>
      <c r="AQ2050" s="253"/>
      <c r="AR2050" s="253"/>
      <c r="AS2050" s="253"/>
      <c r="AT2050" s="253"/>
      <c r="AU2050" s="253"/>
      <c r="AV2050" s="253"/>
      <c r="AW2050" s="253"/>
      <c r="AX2050" s="253"/>
      <c r="AY2050" s="253"/>
      <c r="AZ2050" s="253"/>
    </row>
    <row r="2051" spans="1:52" ht="15.5" customHeight="1">
      <c r="A2051" s="363"/>
      <c r="B2051" s="343"/>
      <c r="C2051" s="7"/>
      <c r="D2051" s="254"/>
      <c r="E2051" s="254"/>
      <c r="F2051" s="254"/>
      <c r="G2051" s="253"/>
      <c r="H2051" s="253"/>
      <c r="I2051" s="253"/>
      <c r="J2051" s="253"/>
      <c r="K2051" s="253"/>
      <c r="L2051" s="7"/>
      <c r="M2051" s="7"/>
      <c r="N2051" s="253"/>
      <c r="O2051" s="255"/>
      <c r="P2051" s="253"/>
      <c r="Q2051" s="7"/>
      <c r="R2051" s="7"/>
      <c r="S2051" s="7"/>
      <c r="T2051" s="7"/>
      <c r="U2051" s="7"/>
      <c r="V2051" s="253"/>
      <c r="W2051" s="7"/>
      <c r="X2051" s="256"/>
      <c r="Y2051" s="256"/>
      <c r="Z2051" s="256"/>
      <c r="AA2051" s="256"/>
      <c r="AB2051" s="257"/>
      <c r="AC2051" s="258"/>
      <c r="AD2051" s="7"/>
      <c r="AE2051" s="253"/>
      <c r="AF2051" s="253"/>
      <c r="AG2051" s="259"/>
      <c r="AH2051" s="253"/>
      <c r="AI2051" s="253"/>
      <c r="AJ2051" s="7"/>
      <c r="AK2051" s="253"/>
      <c r="AL2051" s="253"/>
      <c r="AM2051" s="7"/>
      <c r="AN2051" s="253"/>
      <c r="AO2051" s="253"/>
      <c r="AP2051" s="253"/>
      <c r="AQ2051" s="253"/>
      <c r="AR2051" s="253"/>
      <c r="AS2051" s="253"/>
      <c r="AT2051" s="253"/>
      <c r="AU2051" s="253"/>
      <c r="AV2051" s="253"/>
      <c r="AW2051" s="253"/>
      <c r="AX2051" s="253"/>
      <c r="AY2051" s="253"/>
      <c r="AZ2051" s="253"/>
    </row>
    <row r="2052" spans="1:52" ht="15.5" customHeight="1">
      <c r="A2052" s="363"/>
      <c r="B2052" s="343"/>
      <c r="C2052" s="7"/>
      <c r="D2052" s="254"/>
      <c r="E2052" s="254"/>
      <c r="F2052" s="254"/>
      <c r="G2052" s="253"/>
      <c r="H2052" s="253"/>
      <c r="I2052" s="253"/>
      <c r="J2052" s="253"/>
      <c r="K2052" s="253"/>
      <c r="L2052" s="7"/>
      <c r="M2052" s="7"/>
      <c r="N2052" s="253"/>
      <c r="O2052" s="255"/>
      <c r="P2052" s="253"/>
      <c r="Q2052" s="7"/>
      <c r="R2052" s="7"/>
      <c r="S2052" s="7"/>
      <c r="T2052" s="7"/>
      <c r="U2052" s="7"/>
      <c r="V2052" s="253"/>
      <c r="W2052" s="7"/>
      <c r="X2052" s="256"/>
      <c r="Y2052" s="256"/>
      <c r="Z2052" s="256"/>
      <c r="AA2052" s="256"/>
      <c r="AB2052" s="257"/>
      <c r="AC2052" s="258"/>
      <c r="AD2052" s="7"/>
      <c r="AE2052" s="253"/>
      <c r="AF2052" s="253"/>
      <c r="AG2052" s="259"/>
      <c r="AH2052" s="253"/>
      <c r="AI2052" s="253"/>
      <c r="AJ2052" s="7"/>
      <c r="AK2052" s="253"/>
      <c r="AL2052" s="253"/>
      <c r="AM2052" s="7"/>
      <c r="AN2052" s="253"/>
      <c r="AO2052" s="253"/>
      <c r="AP2052" s="253"/>
      <c r="AQ2052" s="253"/>
      <c r="AR2052" s="253"/>
      <c r="AS2052" s="253"/>
      <c r="AT2052" s="253"/>
      <c r="AU2052" s="253"/>
      <c r="AV2052" s="253"/>
      <c r="AW2052" s="253"/>
      <c r="AX2052" s="253"/>
      <c r="AY2052" s="253"/>
      <c r="AZ2052" s="253"/>
    </row>
    <row r="2053" spans="1:52" ht="15.5" customHeight="1">
      <c r="A2053" s="363"/>
      <c r="B2053" s="343"/>
      <c r="C2053" s="7"/>
      <c r="D2053" s="254"/>
      <c r="E2053" s="254"/>
      <c r="F2053" s="254"/>
      <c r="G2053" s="253"/>
      <c r="H2053" s="253"/>
      <c r="I2053" s="253"/>
      <c r="J2053" s="253"/>
      <c r="K2053" s="253"/>
      <c r="L2053" s="7"/>
      <c r="M2053" s="7"/>
      <c r="N2053" s="253"/>
      <c r="O2053" s="255"/>
      <c r="P2053" s="253"/>
      <c r="Q2053" s="7"/>
      <c r="R2053" s="7"/>
      <c r="S2053" s="7"/>
      <c r="T2053" s="7"/>
      <c r="U2053" s="7"/>
      <c r="V2053" s="253"/>
      <c r="W2053" s="7"/>
      <c r="X2053" s="256"/>
      <c r="Y2053" s="256"/>
      <c r="Z2053" s="256"/>
      <c r="AA2053" s="256"/>
      <c r="AB2053" s="257"/>
      <c r="AC2053" s="258"/>
      <c r="AD2053" s="7"/>
      <c r="AE2053" s="253"/>
      <c r="AF2053" s="253"/>
      <c r="AG2053" s="259"/>
      <c r="AH2053" s="253"/>
      <c r="AI2053" s="253"/>
      <c r="AJ2053" s="7"/>
      <c r="AK2053" s="253"/>
      <c r="AL2053" s="253"/>
      <c r="AM2053" s="7"/>
      <c r="AN2053" s="253"/>
      <c r="AO2053" s="253"/>
      <c r="AP2053" s="253"/>
      <c r="AQ2053" s="253"/>
      <c r="AR2053" s="253"/>
      <c r="AS2053" s="253"/>
      <c r="AT2053" s="253"/>
      <c r="AU2053" s="253"/>
      <c r="AV2053" s="253"/>
      <c r="AW2053" s="253"/>
      <c r="AX2053" s="253"/>
      <c r="AY2053" s="253"/>
      <c r="AZ2053" s="253"/>
    </row>
    <row r="2054" spans="1:52" ht="15.5" customHeight="1">
      <c r="A2054" s="363"/>
      <c r="B2054" s="343"/>
      <c r="C2054" s="7"/>
      <c r="D2054" s="254"/>
      <c r="E2054" s="254"/>
      <c r="F2054" s="254"/>
      <c r="G2054" s="253"/>
      <c r="H2054" s="253"/>
      <c r="I2054" s="253"/>
      <c r="J2054" s="253"/>
      <c r="K2054" s="253"/>
      <c r="L2054" s="7"/>
      <c r="M2054" s="7"/>
      <c r="N2054" s="253"/>
      <c r="O2054" s="255"/>
      <c r="P2054" s="253"/>
      <c r="Q2054" s="7"/>
      <c r="R2054" s="7"/>
      <c r="S2054" s="7"/>
      <c r="T2054" s="7"/>
      <c r="U2054" s="7"/>
      <c r="V2054" s="253"/>
      <c r="W2054" s="7"/>
      <c r="X2054" s="256"/>
      <c r="Y2054" s="256"/>
      <c r="Z2054" s="256"/>
      <c r="AA2054" s="256"/>
      <c r="AB2054" s="257"/>
      <c r="AC2054" s="258"/>
      <c r="AD2054" s="7"/>
      <c r="AE2054" s="253"/>
      <c r="AF2054" s="253"/>
      <c r="AG2054" s="259"/>
      <c r="AH2054" s="253"/>
      <c r="AI2054" s="253"/>
      <c r="AJ2054" s="7"/>
      <c r="AK2054" s="253"/>
      <c r="AL2054" s="253"/>
      <c r="AM2054" s="7"/>
      <c r="AN2054" s="253"/>
      <c r="AO2054" s="253"/>
      <c r="AP2054" s="253"/>
      <c r="AQ2054" s="253"/>
      <c r="AR2054" s="253"/>
      <c r="AS2054" s="253"/>
      <c r="AT2054" s="253"/>
      <c r="AU2054" s="253"/>
      <c r="AV2054" s="253"/>
      <c r="AW2054" s="253"/>
      <c r="AX2054" s="253"/>
      <c r="AY2054" s="253"/>
      <c r="AZ2054" s="253"/>
    </row>
    <row r="2055" spans="1:52" ht="15.5" customHeight="1">
      <c r="A2055" s="363"/>
      <c r="B2055" s="343"/>
      <c r="C2055" s="7"/>
      <c r="D2055" s="254"/>
      <c r="E2055" s="254"/>
      <c r="F2055" s="254"/>
      <c r="G2055" s="253"/>
      <c r="H2055" s="253"/>
      <c r="I2055" s="253"/>
      <c r="J2055" s="253"/>
      <c r="K2055" s="253"/>
      <c r="L2055" s="7"/>
      <c r="M2055" s="7"/>
      <c r="N2055" s="253"/>
      <c r="O2055" s="255"/>
      <c r="P2055" s="253"/>
      <c r="Q2055" s="7"/>
      <c r="R2055" s="7"/>
      <c r="S2055" s="7"/>
      <c r="T2055" s="7"/>
      <c r="U2055" s="7"/>
      <c r="V2055" s="253"/>
      <c r="W2055" s="7"/>
      <c r="X2055" s="256"/>
      <c r="Y2055" s="256"/>
      <c r="Z2055" s="256"/>
      <c r="AA2055" s="256"/>
      <c r="AB2055" s="257"/>
      <c r="AC2055" s="258"/>
      <c r="AD2055" s="7"/>
      <c r="AE2055" s="253"/>
      <c r="AF2055" s="253"/>
      <c r="AG2055" s="259"/>
      <c r="AH2055" s="253"/>
      <c r="AI2055" s="253"/>
      <c r="AJ2055" s="7"/>
      <c r="AK2055" s="253"/>
      <c r="AL2055" s="253"/>
      <c r="AM2055" s="7"/>
      <c r="AN2055" s="253"/>
      <c r="AO2055" s="253"/>
      <c r="AP2055" s="253"/>
      <c r="AQ2055" s="253"/>
      <c r="AR2055" s="253"/>
      <c r="AS2055" s="253"/>
      <c r="AT2055" s="253"/>
      <c r="AU2055" s="253"/>
      <c r="AV2055" s="253"/>
      <c r="AW2055" s="253"/>
      <c r="AX2055" s="253"/>
      <c r="AY2055" s="253"/>
      <c r="AZ2055" s="253"/>
    </row>
    <row r="2056" spans="1:52" ht="15.5" customHeight="1">
      <c r="A2056" s="363"/>
      <c r="B2056" s="343"/>
      <c r="C2056" s="7"/>
      <c r="D2056" s="254"/>
      <c r="E2056" s="254"/>
      <c r="F2056" s="254"/>
      <c r="G2056" s="253"/>
      <c r="H2056" s="253"/>
      <c r="I2056" s="253"/>
      <c r="J2056" s="253"/>
      <c r="K2056" s="253"/>
      <c r="L2056" s="7"/>
      <c r="M2056" s="7"/>
      <c r="N2056" s="253"/>
      <c r="O2056" s="255"/>
      <c r="P2056" s="253"/>
      <c r="Q2056" s="7"/>
      <c r="R2056" s="7"/>
      <c r="S2056" s="7"/>
      <c r="T2056" s="7"/>
      <c r="U2056" s="7"/>
      <c r="V2056" s="253"/>
      <c r="W2056" s="7"/>
      <c r="X2056" s="256"/>
      <c r="Y2056" s="256"/>
      <c r="Z2056" s="256"/>
      <c r="AA2056" s="256"/>
      <c r="AB2056" s="257"/>
      <c r="AC2056" s="258"/>
      <c r="AD2056" s="7"/>
      <c r="AE2056" s="253"/>
      <c r="AF2056" s="253"/>
      <c r="AG2056" s="259"/>
      <c r="AH2056" s="253"/>
      <c r="AI2056" s="253"/>
      <c r="AJ2056" s="7"/>
      <c r="AK2056" s="253"/>
      <c r="AL2056" s="253"/>
      <c r="AM2056" s="7"/>
      <c r="AN2056" s="253"/>
      <c r="AO2056" s="253"/>
      <c r="AP2056" s="253"/>
      <c r="AQ2056" s="253"/>
      <c r="AR2056" s="253"/>
      <c r="AS2056" s="253"/>
      <c r="AT2056" s="253"/>
      <c r="AU2056" s="253"/>
      <c r="AV2056" s="253"/>
      <c r="AW2056" s="253"/>
      <c r="AX2056" s="253"/>
      <c r="AY2056" s="253"/>
      <c r="AZ2056" s="253"/>
    </row>
    <row r="2057" spans="1:52" ht="15.5" customHeight="1">
      <c r="A2057" s="363"/>
      <c r="B2057" s="343"/>
      <c r="C2057" s="7"/>
      <c r="D2057" s="254"/>
      <c r="E2057" s="254"/>
      <c r="F2057" s="254"/>
      <c r="G2057" s="253"/>
      <c r="H2057" s="253"/>
      <c r="I2057" s="253"/>
      <c r="J2057" s="253"/>
      <c r="K2057" s="253"/>
      <c r="L2057" s="7"/>
      <c r="M2057" s="7"/>
      <c r="N2057" s="253"/>
      <c r="O2057" s="255"/>
      <c r="P2057" s="253"/>
      <c r="Q2057" s="7"/>
      <c r="R2057" s="7"/>
      <c r="S2057" s="7"/>
      <c r="T2057" s="7"/>
      <c r="U2057" s="7"/>
      <c r="V2057" s="253"/>
      <c r="W2057" s="7"/>
      <c r="X2057" s="256"/>
      <c r="Y2057" s="256"/>
      <c r="Z2057" s="256"/>
      <c r="AA2057" s="256"/>
      <c r="AB2057" s="257"/>
      <c r="AC2057" s="258"/>
      <c r="AD2057" s="7"/>
      <c r="AE2057" s="253"/>
      <c r="AF2057" s="253"/>
      <c r="AG2057" s="259"/>
      <c r="AH2057" s="253"/>
      <c r="AI2057" s="253"/>
      <c r="AJ2057" s="7"/>
      <c r="AK2057" s="253"/>
      <c r="AL2057" s="253"/>
      <c r="AM2057" s="7"/>
      <c r="AN2057" s="253"/>
      <c r="AO2057" s="253"/>
      <c r="AP2057" s="253"/>
      <c r="AQ2057" s="253"/>
      <c r="AR2057" s="253"/>
      <c r="AS2057" s="253"/>
      <c r="AT2057" s="253"/>
      <c r="AU2057" s="253"/>
      <c r="AV2057" s="253"/>
      <c r="AW2057" s="253"/>
      <c r="AX2057" s="253"/>
      <c r="AY2057" s="253"/>
      <c r="AZ2057" s="253"/>
    </row>
    <row r="2058" spans="1:52" ht="15.5" customHeight="1">
      <c r="A2058" s="363"/>
      <c r="B2058" s="343"/>
      <c r="C2058" s="7"/>
      <c r="D2058" s="254"/>
      <c r="E2058" s="254"/>
      <c r="F2058" s="254"/>
      <c r="G2058" s="253"/>
      <c r="H2058" s="253"/>
      <c r="I2058" s="253"/>
      <c r="J2058" s="253"/>
      <c r="K2058" s="253"/>
      <c r="L2058" s="7"/>
      <c r="M2058" s="7"/>
      <c r="N2058" s="253"/>
      <c r="O2058" s="255"/>
      <c r="P2058" s="253"/>
      <c r="Q2058" s="7"/>
      <c r="R2058" s="7"/>
      <c r="S2058" s="7"/>
      <c r="T2058" s="7"/>
      <c r="U2058" s="7"/>
      <c r="V2058" s="253"/>
      <c r="W2058" s="7"/>
      <c r="X2058" s="256"/>
      <c r="Y2058" s="256"/>
      <c r="Z2058" s="256"/>
      <c r="AA2058" s="256"/>
      <c r="AB2058" s="257"/>
      <c r="AC2058" s="258"/>
      <c r="AD2058" s="7"/>
      <c r="AE2058" s="253"/>
      <c r="AF2058" s="253"/>
      <c r="AG2058" s="259"/>
      <c r="AH2058" s="253"/>
      <c r="AI2058" s="253"/>
      <c r="AJ2058" s="7"/>
      <c r="AK2058" s="253"/>
      <c r="AL2058" s="253"/>
      <c r="AM2058" s="7"/>
      <c r="AN2058" s="253"/>
      <c r="AO2058" s="253"/>
      <c r="AP2058" s="253"/>
      <c r="AQ2058" s="253"/>
      <c r="AR2058" s="253"/>
      <c r="AS2058" s="253"/>
      <c r="AT2058" s="253"/>
      <c r="AU2058" s="253"/>
      <c r="AV2058" s="253"/>
      <c r="AW2058" s="253"/>
      <c r="AX2058" s="253"/>
      <c r="AY2058" s="253"/>
      <c r="AZ2058" s="253"/>
    </row>
    <row r="2059" spans="1:52" ht="15.5" customHeight="1">
      <c r="A2059" s="363"/>
      <c r="B2059" s="343"/>
      <c r="C2059" s="7"/>
      <c r="D2059" s="254"/>
      <c r="E2059" s="254"/>
      <c r="F2059" s="254"/>
      <c r="G2059" s="253"/>
      <c r="H2059" s="253"/>
      <c r="I2059" s="253"/>
      <c r="J2059" s="253"/>
      <c r="K2059" s="253"/>
      <c r="L2059" s="7"/>
      <c r="M2059" s="7"/>
      <c r="N2059" s="253"/>
      <c r="O2059" s="255"/>
      <c r="P2059" s="253"/>
      <c r="Q2059" s="7"/>
      <c r="R2059" s="7"/>
      <c r="S2059" s="7"/>
      <c r="T2059" s="7"/>
      <c r="U2059" s="7"/>
      <c r="V2059" s="253"/>
      <c r="W2059" s="7"/>
      <c r="X2059" s="256"/>
      <c r="Y2059" s="256"/>
      <c r="Z2059" s="256"/>
      <c r="AA2059" s="256"/>
      <c r="AB2059" s="257"/>
      <c r="AC2059" s="258"/>
      <c r="AD2059" s="7"/>
      <c r="AE2059" s="253"/>
      <c r="AF2059" s="253"/>
      <c r="AG2059" s="259"/>
      <c r="AH2059" s="253"/>
      <c r="AI2059" s="253"/>
      <c r="AJ2059" s="7"/>
      <c r="AK2059" s="253"/>
      <c r="AL2059" s="253"/>
      <c r="AM2059" s="7"/>
      <c r="AN2059" s="253"/>
      <c r="AO2059" s="253"/>
      <c r="AP2059" s="253"/>
      <c r="AQ2059" s="253"/>
      <c r="AR2059" s="253"/>
      <c r="AS2059" s="253"/>
      <c r="AT2059" s="253"/>
      <c r="AU2059" s="253"/>
      <c r="AV2059" s="253"/>
      <c r="AW2059" s="253"/>
      <c r="AX2059" s="253"/>
      <c r="AY2059" s="253"/>
      <c r="AZ2059" s="253"/>
    </row>
    <row r="2060" spans="1:52" ht="15.5" customHeight="1">
      <c r="A2060" s="363"/>
      <c r="B2060" s="343"/>
      <c r="C2060" s="7"/>
      <c r="D2060" s="254"/>
      <c r="E2060" s="254"/>
      <c r="F2060" s="254"/>
      <c r="G2060" s="253"/>
      <c r="H2060" s="253"/>
      <c r="I2060" s="253"/>
      <c r="J2060" s="253"/>
      <c r="K2060" s="253"/>
      <c r="L2060" s="7"/>
      <c r="M2060" s="7"/>
      <c r="N2060" s="253"/>
      <c r="O2060" s="255"/>
      <c r="P2060" s="253"/>
      <c r="Q2060" s="7"/>
      <c r="R2060" s="7"/>
      <c r="S2060" s="7"/>
      <c r="T2060" s="7"/>
      <c r="U2060" s="7"/>
      <c r="V2060" s="253"/>
      <c r="W2060" s="7"/>
      <c r="X2060" s="256"/>
      <c r="Y2060" s="256"/>
      <c r="Z2060" s="256"/>
      <c r="AA2060" s="256"/>
      <c r="AB2060" s="257"/>
      <c r="AC2060" s="258"/>
      <c r="AD2060" s="7"/>
      <c r="AE2060" s="253"/>
      <c r="AF2060" s="253"/>
      <c r="AG2060" s="259"/>
      <c r="AH2060" s="253"/>
      <c r="AI2060" s="253"/>
      <c r="AJ2060" s="7"/>
      <c r="AK2060" s="253"/>
      <c r="AL2060" s="253"/>
      <c r="AM2060" s="7"/>
      <c r="AN2060" s="253"/>
      <c r="AO2060" s="253"/>
      <c r="AP2060" s="253"/>
      <c r="AQ2060" s="253"/>
      <c r="AR2060" s="253"/>
      <c r="AS2060" s="253"/>
      <c r="AT2060" s="253"/>
      <c r="AU2060" s="253"/>
      <c r="AV2060" s="253"/>
      <c r="AW2060" s="253"/>
      <c r="AX2060" s="253"/>
      <c r="AY2060" s="253"/>
      <c r="AZ2060" s="253"/>
    </row>
    <row r="2061" spans="1:52" ht="15.5" customHeight="1">
      <c r="A2061" s="363"/>
      <c r="B2061" s="343"/>
      <c r="C2061" s="7"/>
      <c r="D2061" s="254"/>
      <c r="E2061" s="254"/>
      <c r="F2061" s="254"/>
      <c r="G2061" s="253"/>
      <c r="H2061" s="253"/>
      <c r="I2061" s="253"/>
      <c r="J2061" s="253"/>
      <c r="K2061" s="253"/>
      <c r="L2061" s="7"/>
      <c r="M2061" s="7"/>
      <c r="N2061" s="253"/>
      <c r="O2061" s="255"/>
      <c r="P2061" s="253"/>
      <c r="Q2061" s="7"/>
      <c r="R2061" s="7"/>
      <c r="S2061" s="7"/>
      <c r="T2061" s="7"/>
      <c r="U2061" s="7"/>
      <c r="V2061" s="253"/>
      <c r="W2061" s="7"/>
      <c r="X2061" s="256"/>
      <c r="Y2061" s="256"/>
      <c r="Z2061" s="256"/>
      <c r="AA2061" s="256"/>
      <c r="AB2061" s="257"/>
      <c r="AC2061" s="258"/>
      <c r="AD2061" s="7"/>
      <c r="AE2061" s="253"/>
      <c r="AF2061" s="253"/>
      <c r="AG2061" s="259"/>
      <c r="AH2061" s="253"/>
      <c r="AI2061" s="253"/>
      <c r="AJ2061" s="7"/>
      <c r="AK2061" s="253"/>
      <c r="AL2061" s="253"/>
      <c r="AM2061" s="7"/>
      <c r="AN2061" s="253"/>
      <c r="AO2061" s="253"/>
      <c r="AP2061" s="253"/>
      <c r="AQ2061" s="253"/>
      <c r="AR2061" s="253"/>
      <c r="AS2061" s="253"/>
      <c r="AT2061" s="253"/>
      <c r="AU2061" s="253"/>
      <c r="AV2061" s="253"/>
      <c r="AW2061" s="253"/>
      <c r="AX2061" s="253"/>
      <c r="AY2061" s="253"/>
      <c r="AZ2061" s="253"/>
    </row>
    <row r="2062" spans="1:52" ht="15.5" customHeight="1">
      <c r="A2062" s="363"/>
      <c r="B2062" s="343"/>
      <c r="C2062" s="7"/>
      <c r="D2062" s="254"/>
      <c r="E2062" s="254"/>
      <c r="F2062" s="254"/>
      <c r="G2062" s="253"/>
      <c r="H2062" s="253"/>
      <c r="I2062" s="253"/>
      <c r="J2062" s="253"/>
      <c r="K2062" s="253"/>
      <c r="L2062" s="7"/>
      <c r="M2062" s="7"/>
      <c r="N2062" s="253"/>
      <c r="O2062" s="255"/>
      <c r="P2062" s="253"/>
      <c r="Q2062" s="7"/>
      <c r="R2062" s="7"/>
      <c r="S2062" s="7"/>
      <c r="T2062" s="7"/>
      <c r="U2062" s="7"/>
      <c r="V2062" s="253"/>
      <c r="W2062" s="7"/>
      <c r="X2062" s="256"/>
      <c r="Y2062" s="256"/>
      <c r="Z2062" s="256"/>
      <c r="AA2062" s="256"/>
      <c r="AB2062" s="257"/>
      <c r="AC2062" s="258"/>
      <c r="AD2062" s="7"/>
      <c r="AE2062" s="253"/>
      <c r="AF2062" s="253"/>
      <c r="AG2062" s="259"/>
      <c r="AH2062" s="253"/>
      <c r="AI2062" s="253"/>
      <c r="AJ2062" s="7"/>
      <c r="AK2062" s="253"/>
      <c r="AL2062" s="253"/>
      <c r="AM2062" s="7"/>
      <c r="AN2062" s="253"/>
      <c r="AO2062" s="253"/>
      <c r="AP2062" s="253"/>
      <c r="AQ2062" s="253"/>
      <c r="AR2062" s="253"/>
      <c r="AS2062" s="253"/>
      <c r="AT2062" s="253"/>
      <c r="AU2062" s="253"/>
      <c r="AV2062" s="253"/>
      <c r="AW2062" s="253"/>
      <c r="AX2062" s="253"/>
      <c r="AY2062" s="253"/>
      <c r="AZ2062" s="253"/>
    </row>
    <row r="2063" spans="1:52" ht="15.5" customHeight="1">
      <c r="A2063" s="363"/>
      <c r="B2063" s="343"/>
      <c r="C2063" s="7"/>
      <c r="D2063" s="254"/>
      <c r="E2063" s="254"/>
      <c r="F2063" s="254"/>
      <c r="G2063" s="253"/>
      <c r="H2063" s="253"/>
      <c r="I2063" s="253"/>
      <c r="J2063" s="253"/>
      <c r="K2063" s="253"/>
      <c r="L2063" s="7"/>
      <c r="M2063" s="7"/>
      <c r="N2063" s="253"/>
      <c r="O2063" s="255"/>
      <c r="P2063" s="253"/>
      <c r="Q2063" s="7"/>
      <c r="R2063" s="7"/>
      <c r="S2063" s="7"/>
      <c r="T2063" s="7"/>
      <c r="U2063" s="7"/>
      <c r="V2063" s="253"/>
      <c r="W2063" s="7"/>
      <c r="X2063" s="256"/>
      <c r="Y2063" s="256"/>
      <c r="Z2063" s="256"/>
      <c r="AA2063" s="256"/>
      <c r="AB2063" s="257"/>
      <c r="AC2063" s="258"/>
      <c r="AD2063" s="7"/>
      <c r="AE2063" s="253"/>
      <c r="AF2063" s="253"/>
      <c r="AG2063" s="259"/>
      <c r="AH2063" s="253"/>
      <c r="AI2063" s="253"/>
      <c r="AJ2063" s="7"/>
      <c r="AK2063" s="253"/>
      <c r="AL2063" s="253"/>
      <c r="AM2063" s="7"/>
      <c r="AN2063" s="253"/>
      <c r="AO2063" s="253"/>
      <c r="AP2063" s="253"/>
      <c r="AQ2063" s="253"/>
      <c r="AR2063" s="253"/>
      <c r="AS2063" s="253"/>
      <c r="AT2063" s="253"/>
      <c r="AU2063" s="253"/>
      <c r="AV2063" s="253"/>
      <c r="AW2063" s="253"/>
      <c r="AX2063" s="253"/>
      <c r="AY2063" s="253"/>
      <c r="AZ2063" s="253"/>
    </row>
    <row r="2064" spans="1:52" ht="15.5" customHeight="1">
      <c r="A2064" s="363"/>
      <c r="B2064" s="343"/>
      <c r="C2064" s="7"/>
      <c r="D2064" s="254"/>
      <c r="E2064" s="254"/>
      <c r="F2064" s="254"/>
      <c r="G2064" s="253"/>
      <c r="H2064" s="253"/>
      <c r="I2064" s="253"/>
      <c r="J2064" s="253"/>
      <c r="K2064" s="253"/>
      <c r="L2064" s="7"/>
      <c r="M2064" s="7"/>
      <c r="N2064" s="253"/>
      <c r="O2064" s="255"/>
      <c r="P2064" s="253"/>
      <c r="Q2064" s="7"/>
      <c r="R2064" s="7"/>
      <c r="S2064" s="7"/>
      <c r="T2064" s="7"/>
      <c r="U2064" s="7"/>
      <c r="V2064" s="253"/>
      <c r="W2064" s="7"/>
      <c r="X2064" s="256"/>
      <c r="Y2064" s="256"/>
      <c r="Z2064" s="256"/>
      <c r="AA2064" s="256"/>
      <c r="AB2064" s="257"/>
      <c r="AC2064" s="258"/>
      <c r="AD2064" s="7"/>
      <c r="AE2064" s="253"/>
      <c r="AF2064" s="253"/>
      <c r="AG2064" s="259"/>
      <c r="AH2064" s="253"/>
      <c r="AI2064" s="253"/>
      <c r="AJ2064" s="7"/>
      <c r="AK2064" s="253"/>
      <c r="AL2064" s="253"/>
      <c r="AM2064" s="7"/>
      <c r="AN2064" s="253"/>
      <c r="AO2064" s="253"/>
      <c r="AP2064" s="253"/>
      <c r="AQ2064" s="253"/>
      <c r="AR2064" s="253"/>
      <c r="AS2064" s="253"/>
      <c r="AT2064" s="253"/>
      <c r="AU2064" s="253"/>
      <c r="AV2064" s="253"/>
      <c r="AW2064" s="253"/>
      <c r="AX2064" s="253"/>
      <c r="AY2064" s="253"/>
      <c r="AZ2064" s="253"/>
    </row>
    <row r="2065" spans="1:52" ht="15.5" customHeight="1">
      <c r="A2065" s="363"/>
      <c r="B2065" s="343"/>
      <c r="C2065" s="7"/>
      <c r="D2065" s="254"/>
      <c r="E2065" s="254"/>
      <c r="F2065" s="254"/>
      <c r="G2065" s="253"/>
      <c r="H2065" s="253"/>
      <c r="I2065" s="253"/>
      <c r="J2065" s="253"/>
      <c r="K2065" s="253"/>
      <c r="L2065" s="7"/>
      <c r="M2065" s="7"/>
      <c r="N2065" s="253"/>
      <c r="O2065" s="255"/>
      <c r="P2065" s="253"/>
      <c r="Q2065" s="7"/>
      <c r="R2065" s="7"/>
      <c r="S2065" s="7"/>
      <c r="T2065" s="7"/>
      <c r="U2065" s="7"/>
      <c r="V2065" s="253"/>
      <c r="W2065" s="7"/>
      <c r="X2065" s="256"/>
      <c r="Y2065" s="256"/>
      <c r="Z2065" s="256"/>
      <c r="AA2065" s="256"/>
      <c r="AB2065" s="257"/>
      <c r="AC2065" s="258"/>
      <c r="AD2065" s="7"/>
      <c r="AE2065" s="253"/>
      <c r="AF2065" s="253"/>
      <c r="AG2065" s="259"/>
      <c r="AH2065" s="253"/>
      <c r="AI2065" s="253"/>
      <c r="AJ2065" s="7"/>
      <c r="AK2065" s="253"/>
      <c r="AL2065" s="253"/>
      <c r="AM2065" s="7"/>
      <c r="AN2065" s="253"/>
      <c r="AO2065" s="253"/>
      <c r="AP2065" s="253"/>
      <c r="AQ2065" s="253"/>
      <c r="AR2065" s="253"/>
      <c r="AS2065" s="253"/>
      <c r="AT2065" s="253"/>
      <c r="AU2065" s="253"/>
      <c r="AV2065" s="253"/>
      <c r="AW2065" s="253"/>
      <c r="AX2065" s="253"/>
      <c r="AY2065" s="253"/>
      <c r="AZ2065" s="253"/>
    </row>
    <row r="2066" spans="1:52" ht="15.5" customHeight="1">
      <c r="A2066" s="363"/>
      <c r="B2066" s="343"/>
      <c r="C2066" s="7"/>
      <c r="D2066" s="254"/>
      <c r="E2066" s="254"/>
      <c r="F2066" s="254"/>
      <c r="G2066" s="253"/>
      <c r="H2066" s="253"/>
      <c r="I2066" s="253"/>
      <c r="J2066" s="253"/>
      <c r="K2066" s="253"/>
      <c r="L2066" s="7"/>
      <c r="M2066" s="7"/>
      <c r="N2066" s="253"/>
      <c r="O2066" s="255"/>
      <c r="P2066" s="253"/>
      <c r="Q2066" s="7"/>
      <c r="R2066" s="7"/>
      <c r="S2066" s="7"/>
      <c r="T2066" s="7"/>
      <c r="U2066" s="7"/>
      <c r="V2066" s="253"/>
      <c r="W2066" s="7"/>
      <c r="X2066" s="256"/>
      <c r="Y2066" s="256"/>
      <c r="Z2066" s="256"/>
      <c r="AA2066" s="256"/>
      <c r="AB2066" s="257"/>
      <c r="AC2066" s="258"/>
      <c r="AD2066" s="7"/>
      <c r="AE2066" s="253"/>
      <c r="AF2066" s="253"/>
      <c r="AG2066" s="259"/>
      <c r="AH2066" s="253"/>
      <c r="AI2066" s="253"/>
      <c r="AJ2066" s="7"/>
      <c r="AK2066" s="253"/>
      <c r="AL2066" s="253"/>
      <c r="AM2066" s="7"/>
      <c r="AN2066" s="253"/>
      <c r="AO2066" s="253"/>
      <c r="AP2066" s="253"/>
      <c r="AQ2066" s="253"/>
      <c r="AR2066" s="253"/>
      <c r="AS2066" s="253"/>
      <c r="AT2066" s="253"/>
      <c r="AU2066" s="253"/>
      <c r="AV2066" s="253"/>
      <c r="AW2066" s="253"/>
      <c r="AX2066" s="253"/>
      <c r="AY2066" s="253"/>
      <c r="AZ2066" s="253"/>
    </row>
    <row r="2067" spans="1:52" ht="15.5" customHeight="1">
      <c r="A2067" s="363"/>
      <c r="B2067" s="343"/>
      <c r="C2067" s="7"/>
      <c r="D2067" s="254"/>
      <c r="E2067" s="254"/>
      <c r="F2067" s="254"/>
      <c r="G2067" s="253"/>
      <c r="H2067" s="253"/>
      <c r="I2067" s="253"/>
      <c r="J2067" s="253"/>
      <c r="K2067" s="253"/>
      <c r="L2067" s="7"/>
      <c r="M2067" s="7"/>
      <c r="N2067" s="253"/>
      <c r="O2067" s="255"/>
      <c r="P2067" s="253"/>
      <c r="Q2067" s="7"/>
      <c r="R2067" s="7"/>
      <c r="S2067" s="7"/>
      <c r="T2067" s="7"/>
      <c r="U2067" s="7"/>
      <c r="V2067" s="253"/>
      <c r="W2067" s="7"/>
      <c r="X2067" s="256"/>
      <c r="Y2067" s="256"/>
      <c r="Z2067" s="256"/>
      <c r="AA2067" s="256"/>
      <c r="AB2067" s="257"/>
      <c r="AC2067" s="258"/>
      <c r="AD2067" s="7"/>
      <c r="AE2067" s="253"/>
      <c r="AF2067" s="253"/>
      <c r="AG2067" s="259"/>
      <c r="AH2067" s="253"/>
      <c r="AI2067" s="253"/>
      <c r="AJ2067" s="7"/>
      <c r="AK2067" s="253"/>
      <c r="AL2067" s="253"/>
      <c r="AM2067" s="7"/>
      <c r="AN2067" s="253"/>
      <c r="AO2067" s="253"/>
      <c r="AP2067" s="253"/>
      <c r="AQ2067" s="253"/>
      <c r="AR2067" s="253"/>
      <c r="AS2067" s="253"/>
      <c r="AT2067" s="253"/>
      <c r="AU2067" s="253"/>
      <c r="AV2067" s="253"/>
      <c r="AW2067" s="253"/>
      <c r="AX2067" s="253"/>
      <c r="AY2067" s="253"/>
      <c r="AZ2067" s="253"/>
    </row>
    <row r="2068" spans="1:52" ht="15.5" customHeight="1">
      <c r="A2068" s="363"/>
      <c r="B2068" s="343"/>
      <c r="C2068" s="7"/>
      <c r="D2068" s="254"/>
      <c r="E2068" s="254"/>
      <c r="F2068" s="254"/>
      <c r="G2068" s="253"/>
      <c r="H2068" s="253"/>
      <c r="I2068" s="253"/>
      <c r="J2068" s="253"/>
      <c r="K2068" s="253"/>
      <c r="L2068" s="7"/>
      <c r="M2068" s="7"/>
      <c r="N2068" s="253"/>
      <c r="O2068" s="255"/>
      <c r="P2068" s="253"/>
      <c r="Q2068" s="7"/>
      <c r="R2068" s="7"/>
      <c r="S2068" s="7"/>
      <c r="T2068" s="7"/>
      <c r="U2068" s="7"/>
      <c r="V2068" s="253"/>
      <c r="W2068" s="7"/>
      <c r="X2068" s="256"/>
      <c r="Y2068" s="256"/>
      <c r="Z2068" s="256"/>
      <c r="AA2068" s="256"/>
      <c r="AB2068" s="257"/>
      <c r="AC2068" s="258"/>
      <c r="AD2068" s="7"/>
      <c r="AE2068" s="253"/>
      <c r="AF2068" s="253"/>
      <c r="AG2068" s="259"/>
      <c r="AH2068" s="253"/>
      <c r="AI2068" s="253"/>
      <c r="AJ2068" s="7"/>
      <c r="AK2068" s="253"/>
      <c r="AL2068" s="253"/>
      <c r="AM2068" s="7"/>
      <c r="AN2068" s="253"/>
      <c r="AO2068" s="253"/>
      <c r="AP2068" s="253"/>
      <c r="AQ2068" s="253"/>
      <c r="AR2068" s="253"/>
      <c r="AS2068" s="253"/>
      <c r="AT2068" s="253"/>
      <c r="AU2068" s="253"/>
      <c r="AV2068" s="253"/>
      <c r="AW2068" s="253"/>
      <c r="AX2068" s="253"/>
      <c r="AY2068" s="253"/>
      <c r="AZ2068" s="253"/>
    </row>
    <row r="2069" spans="1:52" ht="15.5" customHeight="1">
      <c r="A2069" s="363"/>
      <c r="B2069" s="343"/>
      <c r="C2069" s="7"/>
      <c r="D2069" s="254"/>
      <c r="E2069" s="254"/>
      <c r="F2069" s="254"/>
      <c r="G2069" s="253"/>
      <c r="H2069" s="253"/>
      <c r="I2069" s="253"/>
      <c r="J2069" s="253"/>
      <c r="K2069" s="253"/>
      <c r="L2069" s="7"/>
      <c r="M2069" s="7"/>
      <c r="N2069" s="253"/>
      <c r="O2069" s="255"/>
      <c r="P2069" s="253"/>
      <c r="Q2069" s="7"/>
      <c r="R2069" s="7"/>
      <c r="S2069" s="7"/>
      <c r="T2069" s="7"/>
      <c r="U2069" s="7"/>
      <c r="V2069" s="253"/>
      <c r="W2069" s="7"/>
      <c r="X2069" s="256"/>
      <c r="Y2069" s="256"/>
      <c r="Z2069" s="256"/>
      <c r="AA2069" s="256"/>
      <c r="AB2069" s="257"/>
      <c r="AC2069" s="258"/>
      <c r="AD2069" s="7"/>
      <c r="AE2069" s="253"/>
      <c r="AF2069" s="253"/>
      <c r="AG2069" s="259"/>
      <c r="AH2069" s="253"/>
      <c r="AI2069" s="253"/>
      <c r="AJ2069" s="7"/>
      <c r="AK2069" s="253"/>
      <c r="AL2069" s="253"/>
      <c r="AM2069" s="7"/>
      <c r="AN2069" s="253"/>
      <c r="AO2069" s="253"/>
      <c r="AP2069" s="253"/>
      <c r="AQ2069" s="253"/>
      <c r="AR2069" s="253"/>
      <c r="AS2069" s="253"/>
      <c r="AT2069" s="253"/>
      <c r="AU2069" s="253"/>
      <c r="AV2069" s="253"/>
      <c r="AW2069" s="253"/>
      <c r="AX2069" s="253"/>
      <c r="AY2069" s="253"/>
      <c r="AZ2069" s="253"/>
    </row>
    <row r="2070" spans="1:52" ht="15.5" customHeight="1">
      <c r="A2070" s="363"/>
      <c r="B2070" s="343"/>
      <c r="C2070" s="7"/>
      <c r="D2070" s="254"/>
      <c r="E2070" s="254"/>
      <c r="F2070" s="254"/>
      <c r="G2070" s="253"/>
      <c r="H2070" s="253"/>
      <c r="I2070" s="253"/>
      <c r="J2070" s="253"/>
      <c r="K2070" s="253"/>
      <c r="L2070" s="7"/>
      <c r="M2070" s="7"/>
      <c r="N2070" s="253"/>
      <c r="O2070" s="255"/>
      <c r="P2070" s="253"/>
      <c r="Q2070" s="7"/>
      <c r="R2070" s="7"/>
      <c r="S2070" s="7"/>
      <c r="T2070" s="7"/>
      <c r="U2070" s="7"/>
      <c r="V2070" s="253"/>
      <c r="W2070" s="7"/>
      <c r="X2070" s="256"/>
      <c r="Y2070" s="256"/>
      <c r="Z2070" s="256"/>
      <c r="AA2070" s="256"/>
      <c r="AB2070" s="257"/>
      <c r="AC2070" s="258"/>
      <c r="AD2070" s="7"/>
      <c r="AE2070" s="253"/>
      <c r="AF2070" s="253"/>
      <c r="AG2070" s="259"/>
      <c r="AH2070" s="253"/>
      <c r="AI2070" s="253"/>
      <c r="AJ2070" s="7"/>
      <c r="AK2070" s="253"/>
      <c r="AL2070" s="253"/>
      <c r="AM2070" s="7"/>
      <c r="AN2070" s="253"/>
      <c r="AO2070" s="253"/>
      <c r="AP2070" s="253"/>
      <c r="AQ2070" s="253"/>
      <c r="AR2070" s="253"/>
      <c r="AS2070" s="253"/>
      <c r="AT2070" s="253"/>
      <c r="AU2070" s="253"/>
      <c r="AV2070" s="253"/>
      <c r="AW2070" s="253"/>
      <c r="AX2070" s="253"/>
      <c r="AY2070" s="253"/>
      <c r="AZ2070" s="253"/>
    </row>
    <row r="2071" spans="1:52" ht="15.5" customHeight="1">
      <c r="A2071" s="363"/>
      <c r="B2071" s="343"/>
      <c r="C2071" s="7"/>
      <c r="D2071" s="254"/>
      <c r="E2071" s="254"/>
      <c r="F2071" s="254"/>
      <c r="G2071" s="253"/>
      <c r="H2071" s="253"/>
      <c r="I2071" s="253"/>
      <c r="J2071" s="253"/>
      <c r="K2071" s="253"/>
      <c r="L2071" s="7"/>
      <c r="M2071" s="7"/>
      <c r="N2071" s="253"/>
      <c r="O2071" s="255"/>
      <c r="P2071" s="253"/>
      <c r="Q2071" s="7"/>
      <c r="R2071" s="7"/>
      <c r="S2071" s="7"/>
      <c r="T2071" s="7"/>
      <c r="U2071" s="7"/>
      <c r="V2071" s="253"/>
      <c r="W2071" s="7"/>
      <c r="X2071" s="256"/>
      <c r="Y2071" s="256"/>
      <c r="Z2071" s="256"/>
      <c r="AA2071" s="256"/>
      <c r="AB2071" s="257"/>
      <c r="AC2071" s="258"/>
      <c r="AD2071" s="7"/>
      <c r="AE2071" s="253"/>
      <c r="AF2071" s="253"/>
      <c r="AG2071" s="259"/>
      <c r="AH2071" s="253"/>
      <c r="AI2071" s="253"/>
      <c r="AJ2071" s="7"/>
      <c r="AK2071" s="253"/>
      <c r="AL2071" s="253"/>
      <c r="AM2071" s="7"/>
      <c r="AN2071" s="253"/>
      <c r="AO2071" s="253"/>
      <c r="AP2071" s="253"/>
      <c r="AQ2071" s="253"/>
      <c r="AR2071" s="253"/>
      <c r="AS2071" s="253"/>
      <c r="AT2071" s="253"/>
      <c r="AU2071" s="253"/>
      <c r="AV2071" s="253"/>
      <c r="AW2071" s="253"/>
      <c r="AX2071" s="253"/>
      <c r="AY2071" s="253"/>
      <c r="AZ2071" s="253"/>
    </row>
    <row r="2072" spans="1:52" ht="15.5" customHeight="1">
      <c r="A2072" s="363"/>
      <c r="B2072" s="343"/>
      <c r="C2072" s="7"/>
      <c r="D2072" s="254"/>
      <c r="E2072" s="254"/>
      <c r="F2072" s="254"/>
      <c r="G2072" s="253"/>
      <c r="H2072" s="253"/>
      <c r="I2072" s="253"/>
      <c r="J2072" s="253"/>
      <c r="K2072" s="253"/>
      <c r="L2072" s="7"/>
      <c r="M2072" s="7"/>
      <c r="N2072" s="253"/>
      <c r="O2072" s="255"/>
      <c r="P2072" s="253"/>
      <c r="Q2072" s="7"/>
      <c r="R2072" s="7"/>
      <c r="S2072" s="7"/>
      <c r="T2072" s="7"/>
      <c r="U2072" s="7"/>
      <c r="V2072" s="253"/>
      <c r="W2072" s="7"/>
      <c r="X2072" s="256"/>
      <c r="Y2072" s="256"/>
      <c r="Z2072" s="256"/>
      <c r="AA2072" s="256"/>
      <c r="AB2072" s="257"/>
      <c r="AC2072" s="258"/>
      <c r="AD2072" s="7"/>
      <c r="AE2072" s="253"/>
      <c r="AF2072" s="253"/>
      <c r="AG2072" s="259"/>
      <c r="AH2072" s="253"/>
      <c r="AI2072" s="253"/>
      <c r="AJ2072" s="7"/>
      <c r="AK2072" s="253"/>
      <c r="AL2072" s="253"/>
      <c r="AM2072" s="7"/>
      <c r="AN2072" s="253"/>
      <c r="AO2072" s="253"/>
      <c r="AP2072" s="253"/>
      <c r="AQ2072" s="253"/>
      <c r="AR2072" s="253"/>
      <c r="AS2072" s="253"/>
      <c r="AT2072" s="253"/>
      <c r="AU2072" s="253"/>
      <c r="AV2072" s="253"/>
      <c r="AW2072" s="253"/>
      <c r="AX2072" s="253"/>
      <c r="AY2072" s="253"/>
      <c r="AZ2072" s="253"/>
    </row>
    <row r="2073" spans="1:52" ht="15.5" customHeight="1">
      <c r="A2073" s="363"/>
      <c r="B2073" s="343"/>
      <c r="C2073" s="7"/>
      <c r="D2073" s="254"/>
      <c r="E2073" s="254"/>
      <c r="F2073" s="254"/>
      <c r="G2073" s="253"/>
      <c r="H2073" s="253"/>
      <c r="I2073" s="253"/>
      <c r="J2073" s="253"/>
      <c r="K2073" s="253"/>
      <c r="L2073" s="7"/>
      <c r="M2073" s="7"/>
      <c r="N2073" s="253"/>
      <c r="O2073" s="255"/>
      <c r="P2073" s="253"/>
      <c r="Q2073" s="7"/>
      <c r="R2073" s="7"/>
      <c r="S2073" s="7"/>
      <c r="T2073" s="7"/>
      <c r="U2073" s="7"/>
      <c r="V2073" s="253"/>
      <c r="W2073" s="7"/>
      <c r="X2073" s="256"/>
      <c r="Y2073" s="256"/>
      <c r="Z2073" s="256"/>
      <c r="AA2073" s="256"/>
      <c r="AB2073" s="257"/>
      <c r="AC2073" s="258"/>
      <c r="AD2073" s="7"/>
      <c r="AE2073" s="253"/>
      <c r="AF2073" s="253"/>
      <c r="AG2073" s="259"/>
      <c r="AH2073" s="253"/>
      <c r="AI2073" s="253"/>
      <c r="AJ2073" s="7"/>
      <c r="AK2073" s="253"/>
      <c r="AL2073" s="253"/>
      <c r="AM2073" s="7"/>
      <c r="AN2073" s="253"/>
      <c r="AO2073" s="253"/>
      <c r="AP2073" s="253"/>
      <c r="AQ2073" s="253"/>
      <c r="AR2073" s="253"/>
      <c r="AS2073" s="253"/>
      <c r="AT2073" s="253"/>
      <c r="AU2073" s="253"/>
      <c r="AV2073" s="253"/>
      <c r="AW2073" s="253"/>
      <c r="AX2073" s="253"/>
      <c r="AY2073" s="253"/>
      <c r="AZ2073" s="253"/>
    </row>
    <row r="2074" spans="1:52" ht="15.5" customHeight="1">
      <c r="A2074" s="363"/>
      <c r="B2074" s="343"/>
      <c r="C2074" s="7"/>
      <c r="D2074" s="254"/>
      <c r="E2074" s="254"/>
      <c r="F2074" s="254"/>
      <c r="G2074" s="253"/>
      <c r="H2074" s="253"/>
      <c r="I2074" s="253"/>
      <c r="J2074" s="253"/>
      <c r="K2074" s="253"/>
      <c r="L2074" s="7"/>
      <c r="M2074" s="7"/>
      <c r="N2074" s="253"/>
      <c r="O2074" s="255"/>
      <c r="P2074" s="253"/>
      <c r="Q2074" s="7"/>
      <c r="R2074" s="7"/>
      <c r="S2074" s="7"/>
      <c r="T2074" s="7"/>
      <c r="U2074" s="7"/>
      <c r="V2074" s="253"/>
      <c r="W2074" s="7"/>
      <c r="X2074" s="256"/>
      <c r="Y2074" s="256"/>
      <c r="Z2074" s="256"/>
      <c r="AA2074" s="256"/>
      <c r="AB2074" s="257"/>
      <c r="AC2074" s="258"/>
      <c r="AD2074" s="7"/>
      <c r="AE2074" s="253"/>
      <c r="AF2074" s="253"/>
      <c r="AG2074" s="259"/>
      <c r="AH2074" s="253"/>
      <c r="AI2074" s="253"/>
      <c r="AJ2074" s="7"/>
      <c r="AK2074" s="253"/>
      <c r="AL2074" s="253"/>
      <c r="AM2074" s="7"/>
      <c r="AN2074" s="253"/>
      <c r="AO2074" s="253"/>
      <c r="AP2074" s="253"/>
      <c r="AQ2074" s="253"/>
      <c r="AR2074" s="253"/>
      <c r="AS2074" s="253"/>
      <c r="AT2074" s="253"/>
      <c r="AU2074" s="253"/>
      <c r="AV2074" s="253"/>
      <c r="AW2074" s="253"/>
      <c r="AX2074" s="253"/>
      <c r="AY2074" s="253"/>
      <c r="AZ2074" s="253"/>
    </row>
    <row r="2075" spans="1:52" ht="15.5" customHeight="1">
      <c r="A2075" s="363"/>
      <c r="B2075" s="343"/>
      <c r="C2075" s="7"/>
      <c r="D2075" s="254"/>
      <c r="E2075" s="254"/>
      <c r="F2075" s="254"/>
      <c r="G2075" s="253"/>
      <c r="H2075" s="253"/>
      <c r="I2075" s="253"/>
      <c r="J2075" s="253"/>
      <c r="K2075" s="253"/>
      <c r="L2075" s="7"/>
      <c r="M2075" s="7"/>
      <c r="N2075" s="253"/>
      <c r="O2075" s="255"/>
      <c r="P2075" s="253"/>
      <c r="Q2075" s="7"/>
      <c r="R2075" s="7"/>
      <c r="S2075" s="7"/>
      <c r="T2075" s="7"/>
      <c r="U2075" s="7"/>
      <c r="V2075" s="253"/>
      <c r="W2075" s="7"/>
      <c r="X2075" s="256"/>
      <c r="Y2075" s="256"/>
      <c r="Z2075" s="256"/>
      <c r="AA2075" s="256"/>
      <c r="AB2075" s="257"/>
      <c r="AC2075" s="258"/>
      <c r="AD2075" s="7"/>
      <c r="AE2075" s="253"/>
      <c r="AF2075" s="253"/>
      <c r="AG2075" s="259"/>
      <c r="AH2075" s="253"/>
      <c r="AI2075" s="253"/>
      <c r="AJ2075" s="7"/>
      <c r="AK2075" s="253"/>
      <c r="AL2075" s="253"/>
      <c r="AM2075" s="7"/>
      <c r="AN2075" s="253"/>
      <c r="AO2075" s="253"/>
      <c r="AP2075" s="253"/>
      <c r="AQ2075" s="253"/>
      <c r="AR2075" s="253"/>
      <c r="AS2075" s="253"/>
      <c r="AT2075" s="253"/>
      <c r="AU2075" s="253"/>
      <c r="AV2075" s="253"/>
      <c r="AW2075" s="253"/>
      <c r="AX2075" s="253"/>
      <c r="AY2075" s="253"/>
      <c r="AZ2075" s="253"/>
    </row>
    <row r="2076" spans="1:52" ht="15.5" customHeight="1">
      <c r="A2076" s="363"/>
      <c r="B2076" s="343"/>
      <c r="C2076" s="7"/>
      <c r="D2076" s="254"/>
      <c r="E2076" s="254"/>
      <c r="F2076" s="254"/>
      <c r="G2076" s="253"/>
      <c r="H2076" s="253"/>
      <c r="I2076" s="253"/>
      <c r="J2076" s="253"/>
      <c r="K2076" s="253"/>
      <c r="L2076" s="7"/>
      <c r="M2076" s="7"/>
      <c r="N2076" s="253"/>
      <c r="O2076" s="255"/>
      <c r="P2076" s="253"/>
      <c r="Q2076" s="7"/>
      <c r="R2076" s="7"/>
      <c r="S2076" s="7"/>
      <c r="T2076" s="7"/>
      <c r="U2076" s="7"/>
      <c r="V2076" s="253"/>
      <c r="W2076" s="7"/>
      <c r="X2076" s="256"/>
      <c r="Y2076" s="256"/>
      <c r="Z2076" s="256"/>
      <c r="AA2076" s="256"/>
      <c r="AB2076" s="257"/>
      <c r="AC2076" s="258"/>
      <c r="AD2076" s="7"/>
      <c r="AE2076" s="253"/>
      <c r="AF2076" s="253"/>
      <c r="AG2076" s="259"/>
      <c r="AH2076" s="253"/>
      <c r="AI2076" s="253"/>
      <c r="AJ2076" s="7"/>
      <c r="AK2076" s="253"/>
      <c r="AL2076" s="253"/>
      <c r="AM2076" s="7"/>
      <c r="AN2076" s="253"/>
      <c r="AO2076" s="253"/>
      <c r="AP2076" s="253"/>
      <c r="AQ2076" s="253"/>
      <c r="AR2076" s="253"/>
      <c r="AS2076" s="253"/>
      <c r="AT2076" s="253"/>
      <c r="AU2076" s="253"/>
      <c r="AV2076" s="253"/>
      <c r="AW2076" s="253"/>
      <c r="AX2076" s="253"/>
      <c r="AY2076" s="253"/>
      <c r="AZ2076" s="253"/>
    </row>
    <row r="2077" spans="1:52" ht="15.5" customHeight="1">
      <c r="A2077" s="363"/>
      <c r="B2077" s="343"/>
      <c r="C2077" s="7"/>
      <c r="D2077" s="254"/>
      <c r="E2077" s="254"/>
      <c r="F2077" s="254"/>
      <c r="G2077" s="253"/>
      <c r="H2077" s="253"/>
      <c r="I2077" s="253"/>
      <c r="J2077" s="253"/>
      <c r="K2077" s="253"/>
      <c r="L2077" s="7"/>
      <c r="M2077" s="7"/>
      <c r="N2077" s="253"/>
      <c r="O2077" s="255"/>
      <c r="P2077" s="253"/>
      <c r="Q2077" s="7"/>
      <c r="R2077" s="7"/>
      <c r="S2077" s="7"/>
      <c r="T2077" s="7"/>
      <c r="U2077" s="7"/>
      <c r="V2077" s="253"/>
      <c r="W2077" s="7"/>
      <c r="X2077" s="256"/>
      <c r="Y2077" s="256"/>
      <c r="Z2077" s="256"/>
      <c r="AA2077" s="256"/>
      <c r="AB2077" s="257"/>
      <c r="AC2077" s="258"/>
      <c r="AD2077" s="7"/>
      <c r="AE2077" s="253"/>
      <c r="AF2077" s="253"/>
      <c r="AG2077" s="259"/>
      <c r="AH2077" s="253"/>
      <c r="AI2077" s="253"/>
      <c r="AJ2077" s="7"/>
      <c r="AK2077" s="253"/>
      <c r="AL2077" s="253"/>
      <c r="AM2077" s="7"/>
      <c r="AN2077" s="253"/>
      <c r="AO2077" s="253"/>
      <c r="AP2077" s="253"/>
      <c r="AQ2077" s="253"/>
      <c r="AR2077" s="253"/>
      <c r="AS2077" s="253"/>
      <c r="AT2077" s="253"/>
      <c r="AU2077" s="253"/>
      <c r="AV2077" s="253"/>
      <c r="AW2077" s="253"/>
      <c r="AX2077" s="253"/>
      <c r="AY2077" s="253"/>
      <c r="AZ2077" s="253"/>
    </row>
    <row r="2078" spans="1:52" ht="15.5" customHeight="1">
      <c r="A2078" s="363"/>
      <c r="B2078" s="343"/>
      <c r="C2078" s="7"/>
      <c r="D2078" s="254"/>
      <c r="E2078" s="254"/>
      <c r="F2078" s="254"/>
      <c r="G2078" s="253"/>
      <c r="H2078" s="253"/>
      <c r="I2078" s="253"/>
      <c r="J2078" s="253"/>
      <c r="K2078" s="253"/>
      <c r="L2078" s="7"/>
      <c r="M2078" s="7"/>
      <c r="N2078" s="253"/>
      <c r="O2078" s="255"/>
      <c r="P2078" s="253"/>
      <c r="Q2078" s="7"/>
      <c r="R2078" s="7"/>
      <c r="S2078" s="7"/>
      <c r="T2078" s="7"/>
      <c r="U2078" s="7"/>
      <c r="V2078" s="253"/>
      <c r="W2078" s="7"/>
      <c r="X2078" s="256"/>
      <c r="Y2078" s="256"/>
      <c r="Z2078" s="256"/>
      <c r="AA2078" s="256"/>
      <c r="AB2078" s="257"/>
      <c r="AC2078" s="258"/>
      <c r="AD2078" s="7"/>
      <c r="AE2078" s="253"/>
      <c r="AF2078" s="253"/>
      <c r="AG2078" s="259"/>
      <c r="AH2078" s="253"/>
      <c r="AI2078" s="253"/>
      <c r="AJ2078" s="7"/>
      <c r="AK2078" s="253"/>
      <c r="AL2078" s="253"/>
      <c r="AM2078" s="7"/>
      <c r="AN2078" s="253"/>
      <c r="AO2078" s="253"/>
      <c r="AP2078" s="253"/>
      <c r="AQ2078" s="253"/>
      <c r="AR2078" s="253"/>
      <c r="AS2078" s="253"/>
      <c r="AT2078" s="253"/>
      <c r="AU2078" s="253"/>
      <c r="AV2078" s="253"/>
      <c r="AW2078" s="253"/>
      <c r="AX2078" s="253"/>
      <c r="AY2078" s="253"/>
      <c r="AZ2078" s="253"/>
    </row>
    <row r="2079" spans="1:52" ht="15.5" customHeight="1">
      <c r="A2079" s="363"/>
      <c r="B2079" s="343"/>
      <c r="C2079" s="7"/>
      <c r="D2079" s="254"/>
      <c r="E2079" s="254"/>
      <c r="F2079" s="254"/>
      <c r="G2079" s="253"/>
      <c r="H2079" s="253"/>
      <c r="I2079" s="253"/>
      <c r="J2079" s="253"/>
      <c r="K2079" s="253"/>
      <c r="L2079" s="7"/>
      <c r="M2079" s="7"/>
      <c r="N2079" s="253"/>
      <c r="O2079" s="255"/>
      <c r="P2079" s="253"/>
      <c r="Q2079" s="7"/>
      <c r="R2079" s="7"/>
      <c r="S2079" s="7"/>
      <c r="T2079" s="7"/>
      <c r="U2079" s="7"/>
      <c r="V2079" s="253"/>
      <c r="W2079" s="7"/>
      <c r="X2079" s="256"/>
      <c r="Y2079" s="256"/>
      <c r="Z2079" s="256"/>
      <c r="AA2079" s="256"/>
      <c r="AB2079" s="257"/>
      <c r="AC2079" s="258"/>
      <c r="AD2079" s="7"/>
      <c r="AE2079" s="253"/>
      <c r="AF2079" s="253"/>
      <c r="AG2079" s="259"/>
      <c r="AH2079" s="253"/>
      <c r="AI2079" s="253"/>
      <c r="AJ2079" s="7"/>
      <c r="AK2079" s="253"/>
      <c r="AL2079" s="253"/>
      <c r="AM2079" s="7"/>
      <c r="AN2079" s="253"/>
      <c r="AO2079" s="253"/>
      <c r="AP2079" s="253"/>
      <c r="AQ2079" s="253"/>
      <c r="AR2079" s="253"/>
      <c r="AS2079" s="253"/>
      <c r="AT2079" s="253"/>
      <c r="AU2079" s="253"/>
      <c r="AV2079" s="253"/>
      <c r="AW2079" s="253"/>
      <c r="AX2079" s="253"/>
      <c r="AY2079" s="253"/>
      <c r="AZ2079" s="253"/>
    </row>
    <row r="2080" spans="1:52" ht="15.5" customHeight="1">
      <c r="A2080" s="363"/>
      <c r="B2080" s="343"/>
      <c r="C2080" s="7"/>
      <c r="D2080" s="254"/>
      <c r="E2080" s="254"/>
      <c r="F2080" s="254"/>
      <c r="G2080" s="253"/>
      <c r="H2080" s="253"/>
      <c r="I2080" s="253"/>
      <c r="J2080" s="253"/>
      <c r="K2080" s="253"/>
      <c r="L2080" s="7"/>
      <c r="M2080" s="7"/>
      <c r="N2080" s="253"/>
      <c r="O2080" s="255"/>
      <c r="P2080" s="253"/>
      <c r="Q2080" s="7"/>
      <c r="R2080" s="7"/>
      <c r="S2080" s="7"/>
      <c r="T2080" s="7"/>
      <c r="U2080" s="7"/>
      <c r="V2080" s="253"/>
      <c r="W2080" s="7"/>
      <c r="X2080" s="256"/>
      <c r="Y2080" s="256"/>
      <c r="Z2080" s="256"/>
      <c r="AA2080" s="256"/>
      <c r="AB2080" s="257"/>
      <c r="AC2080" s="258"/>
      <c r="AD2080" s="7"/>
      <c r="AE2080" s="253"/>
      <c r="AF2080" s="253"/>
      <c r="AG2080" s="259"/>
      <c r="AH2080" s="253"/>
      <c r="AI2080" s="253"/>
      <c r="AJ2080" s="7"/>
      <c r="AK2080" s="253"/>
      <c r="AL2080" s="253"/>
      <c r="AM2080" s="7"/>
      <c r="AN2080" s="253"/>
      <c r="AO2080" s="253"/>
      <c r="AP2080" s="253"/>
      <c r="AQ2080" s="253"/>
      <c r="AR2080" s="253"/>
      <c r="AS2080" s="253"/>
      <c r="AT2080" s="253"/>
      <c r="AU2080" s="253"/>
      <c r="AV2080" s="253"/>
      <c r="AW2080" s="253"/>
      <c r="AX2080" s="253"/>
      <c r="AY2080" s="253"/>
      <c r="AZ2080" s="253"/>
    </row>
    <row r="2081" spans="1:52" ht="15.5" customHeight="1">
      <c r="A2081" s="363"/>
      <c r="B2081" s="343"/>
      <c r="C2081" s="7"/>
      <c r="D2081" s="254"/>
      <c r="E2081" s="254"/>
      <c r="F2081" s="254"/>
      <c r="G2081" s="253"/>
      <c r="H2081" s="253"/>
      <c r="I2081" s="253"/>
      <c r="J2081" s="253"/>
      <c r="K2081" s="253"/>
      <c r="L2081" s="7"/>
      <c r="M2081" s="7"/>
      <c r="N2081" s="253"/>
      <c r="O2081" s="255"/>
      <c r="P2081" s="253"/>
      <c r="Q2081" s="7"/>
      <c r="R2081" s="7"/>
      <c r="S2081" s="7"/>
      <c r="T2081" s="7"/>
      <c r="U2081" s="7"/>
      <c r="V2081" s="253"/>
      <c r="W2081" s="7"/>
      <c r="X2081" s="256"/>
      <c r="Y2081" s="256"/>
      <c r="Z2081" s="256"/>
      <c r="AA2081" s="256"/>
      <c r="AB2081" s="257"/>
      <c r="AC2081" s="258"/>
      <c r="AD2081" s="7"/>
      <c r="AE2081" s="253"/>
      <c r="AF2081" s="253"/>
      <c r="AG2081" s="259"/>
      <c r="AH2081" s="253"/>
      <c r="AI2081" s="253"/>
      <c r="AJ2081" s="7"/>
      <c r="AK2081" s="253"/>
      <c r="AL2081" s="253"/>
      <c r="AM2081" s="7"/>
      <c r="AN2081" s="253"/>
      <c r="AO2081" s="253"/>
      <c r="AP2081" s="253"/>
      <c r="AQ2081" s="253"/>
      <c r="AR2081" s="253"/>
      <c r="AS2081" s="253"/>
      <c r="AT2081" s="253"/>
      <c r="AU2081" s="253"/>
      <c r="AV2081" s="253"/>
      <c r="AW2081" s="253"/>
      <c r="AX2081" s="253"/>
      <c r="AY2081" s="253"/>
      <c r="AZ2081" s="253"/>
    </row>
    <row r="2082" spans="1:52" ht="15.5" customHeight="1">
      <c r="A2082" s="363"/>
      <c r="B2082" s="343"/>
      <c r="C2082" s="7"/>
      <c r="D2082" s="254"/>
      <c r="E2082" s="254"/>
      <c r="F2082" s="254"/>
      <c r="G2082" s="253"/>
      <c r="H2082" s="253"/>
      <c r="I2082" s="253"/>
      <c r="J2082" s="253"/>
      <c r="K2082" s="253"/>
      <c r="L2082" s="7"/>
      <c r="M2082" s="7"/>
      <c r="N2082" s="253"/>
      <c r="O2082" s="255"/>
      <c r="P2082" s="253"/>
      <c r="Q2082" s="7"/>
      <c r="R2082" s="7"/>
      <c r="S2082" s="7"/>
      <c r="T2082" s="7"/>
      <c r="U2082" s="7"/>
      <c r="V2082" s="253"/>
      <c r="W2082" s="7"/>
      <c r="X2082" s="256"/>
      <c r="Y2082" s="256"/>
      <c r="Z2082" s="256"/>
      <c r="AA2082" s="256"/>
      <c r="AB2082" s="257"/>
      <c r="AC2082" s="258"/>
      <c r="AD2082" s="7"/>
      <c r="AE2082" s="253"/>
      <c r="AF2082" s="253"/>
      <c r="AG2082" s="259"/>
      <c r="AH2082" s="253"/>
      <c r="AI2082" s="253"/>
      <c r="AJ2082" s="7"/>
      <c r="AK2082" s="253"/>
      <c r="AL2082" s="253"/>
      <c r="AM2082" s="7"/>
      <c r="AN2082" s="253"/>
      <c r="AO2082" s="253"/>
      <c r="AP2082" s="253"/>
      <c r="AQ2082" s="253"/>
      <c r="AR2082" s="253"/>
      <c r="AS2082" s="253"/>
      <c r="AT2082" s="253"/>
      <c r="AU2082" s="253"/>
      <c r="AV2082" s="253"/>
      <c r="AW2082" s="253"/>
      <c r="AX2082" s="253"/>
      <c r="AY2082" s="253"/>
      <c r="AZ2082" s="253"/>
    </row>
    <row r="2083" spans="1:52" ht="15.5" customHeight="1">
      <c r="A2083" s="363"/>
      <c r="B2083" s="343"/>
      <c r="C2083" s="7"/>
      <c r="D2083" s="254"/>
      <c r="E2083" s="254"/>
      <c r="F2083" s="254"/>
      <c r="G2083" s="253"/>
      <c r="H2083" s="253"/>
      <c r="I2083" s="253"/>
      <c r="J2083" s="253"/>
      <c r="K2083" s="253"/>
      <c r="L2083" s="7"/>
      <c r="M2083" s="7"/>
      <c r="N2083" s="253"/>
      <c r="O2083" s="255"/>
      <c r="P2083" s="253"/>
      <c r="Q2083" s="7"/>
      <c r="R2083" s="7"/>
      <c r="S2083" s="7"/>
      <c r="T2083" s="7"/>
      <c r="U2083" s="7"/>
      <c r="V2083" s="253"/>
      <c r="W2083" s="7"/>
      <c r="X2083" s="256"/>
      <c r="Y2083" s="256"/>
      <c r="Z2083" s="256"/>
      <c r="AA2083" s="256"/>
      <c r="AB2083" s="257"/>
      <c r="AC2083" s="258"/>
      <c r="AD2083" s="7"/>
      <c r="AE2083" s="253"/>
      <c r="AF2083" s="253"/>
      <c r="AG2083" s="259"/>
      <c r="AH2083" s="253"/>
      <c r="AI2083" s="253"/>
      <c r="AJ2083" s="7"/>
      <c r="AK2083" s="253"/>
      <c r="AL2083" s="253"/>
      <c r="AM2083" s="7"/>
      <c r="AN2083" s="253"/>
      <c r="AO2083" s="253"/>
      <c r="AP2083" s="253"/>
      <c r="AQ2083" s="253"/>
      <c r="AR2083" s="253"/>
      <c r="AS2083" s="253"/>
      <c r="AT2083" s="253"/>
      <c r="AU2083" s="253"/>
      <c r="AV2083" s="253"/>
      <c r="AW2083" s="253"/>
      <c r="AX2083" s="253"/>
      <c r="AY2083" s="253"/>
      <c r="AZ2083" s="253"/>
    </row>
    <row r="2084" spans="1:52" ht="15.5" customHeight="1">
      <c r="A2084" s="363"/>
      <c r="B2084" s="343"/>
      <c r="C2084" s="7"/>
      <c r="D2084" s="254"/>
      <c r="E2084" s="254"/>
      <c r="F2084" s="254"/>
      <c r="G2084" s="253"/>
      <c r="H2084" s="253"/>
      <c r="I2084" s="253"/>
      <c r="J2084" s="253"/>
      <c r="K2084" s="253"/>
      <c r="L2084" s="7"/>
      <c r="M2084" s="7"/>
      <c r="N2084" s="253"/>
      <c r="O2084" s="255"/>
      <c r="P2084" s="253"/>
      <c r="Q2084" s="7"/>
      <c r="R2084" s="7"/>
      <c r="S2084" s="7"/>
      <c r="T2084" s="7"/>
      <c r="U2084" s="7"/>
      <c r="V2084" s="253"/>
      <c r="W2084" s="7"/>
      <c r="X2084" s="256"/>
      <c r="Y2084" s="256"/>
      <c r="Z2084" s="256"/>
      <c r="AA2084" s="256"/>
      <c r="AB2084" s="257"/>
      <c r="AC2084" s="258"/>
      <c r="AD2084" s="7"/>
      <c r="AE2084" s="253"/>
      <c r="AF2084" s="253"/>
      <c r="AG2084" s="259"/>
      <c r="AH2084" s="253"/>
      <c r="AI2084" s="253"/>
      <c r="AJ2084" s="7"/>
      <c r="AK2084" s="253"/>
      <c r="AL2084" s="253"/>
      <c r="AM2084" s="7"/>
      <c r="AN2084" s="253"/>
      <c r="AO2084" s="253"/>
      <c r="AP2084" s="253"/>
      <c r="AQ2084" s="253"/>
      <c r="AR2084" s="253"/>
      <c r="AS2084" s="253"/>
      <c r="AT2084" s="253"/>
      <c r="AU2084" s="253"/>
      <c r="AV2084" s="253"/>
      <c r="AW2084" s="253"/>
      <c r="AX2084" s="253"/>
      <c r="AY2084" s="253"/>
      <c r="AZ2084" s="253"/>
    </row>
    <row r="2085" spans="1:52" ht="15.5" customHeight="1">
      <c r="A2085" s="363"/>
      <c r="B2085" s="343"/>
      <c r="C2085" s="7"/>
      <c r="D2085" s="254"/>
      <c r="E2085" s="254"/>
      <c r="F2085" s="254"/>
      <c r="G2085" s="253"/>
      <c r="H2085" s="253"/>
      <c r="I2085" s="253"/>
      <c r="J2085" s="253"/>
      <c r="K2085" s="253"/>
      <c r="L2085" s="7"/>
      <c r="M2085" s="7"/>
      <c r="N2085" s="253"/>
      <c r="O2085" s="255"/>
      <c r="P2085" s="253"/>
      <c r="Q2085" s="7"/>
      <c r="R2085" s="7"/>
      <c r="S2085" s="7"/>
      <c r="T2085" s="7"/>
      <c r="U2085" s="7"/>
      <c r="V2085" s="253"/>
      <c r="W2085" s="7"/>
      <c r="X2085" s="256"/>
      <c r="Y2085" s="256"/>
      <c r="Z2085" s="256"/>
      <c r="AA2085" s="256"/>
      <c r="AB2085" s="257"/>
      <c r="AC2085" s="258"/>
      <c r="AD2085" s="7"/>
      <c r="AE2085" s="253"/>
      <c r="AF2085" s="253"/>
      <c r="AG2085" s="259"/>
      <c r="AH2085" s="253"/>
      <c r="AI2085" s="253"/>
      <c r="AJ2085" s="7"/>
      <c r="AK2085" s="253"/>
      <c r="AL2085" s="253"/>
      <c r="AM2085" s="7"/>
      <c r="AN2085" s="253"/>
      <c r="AO2085" s="253"/>
      <c r="AP2085" s="253"/>
      <c r="AQ2085" s="253"/>
      <c r="AR2085" s="253"/>
      <c r="AS2085" s="253"/>
      <c r="AT2085" s="253"/>
      <c r="AU2085" s="253"/>
      <c r="AV2085" s="253"/>
      <c r="AW2085" s="253"/>
      <c r="AX2085" s="253"/>
      <c r="AY2085" s="253"/>
      <c r="AZ2085" s="253"/>
    </row>
    <row r="2086" spans="1:52" ht="15.5" customHeight="1">
      <c r="A2086" s="363"/>
      <c r="B2086" s="343"/>
      <c r="C2086" s="7"/>
      <c r="D2086" s="254"/>
      <c r="E2086" s="254"/>
      <c r="F2086" s="254"/>
      <c r="G2086" s="253"/>
      <c r="H2086" s="253"/>
      <c r="I2086" s="253"/>
      <c r="J2086" s="253"/>
      <c r="K2086" s="253"/>
      <c r="L2086" s="7"/>
      <c r="M2086" s="7"/>
      <c r="N2086" s="253"/>
      <c r="O2086" s="255"/>
      <c r="P2086" s="253"/>
      <c r="Q2086" s="7"/>
      <c r="R2086" s="7"/>
      <c r="S2086" s="7"/>
      <c r="T2086" s="7"/>
      <c r="U2086" s="7"/>
      <c r="V2086" s="253"/>
      <c r="W2086" s="7"/>
      <c r="X2086" s="256"/>
      <c r="Y2086" s="256"/>
      <c r="Z2086" s="256"/>
      <c r="AA2086" s="256"/>
      <c r="AB2086" s="257"/>
      <c r="AC2086" s="258"/>
      <c r="AD2086" s="7"/>
      <c r="AE2086" s="253"/>
      <c r="AF2086" s="253"/>
      <c r="AG2086" s="259"/>
      <c r="AH2086" s="253"/>
      <c r="AI2086" s="253"/>
      <c r="AJ2086" s="7"/>
      <c r="AK2086" s="253"/>
      <c r="AL2086" s="253"/>
      <c r="AM2086" s="7"/>
      <c r="AN2086" s="253"/>
      <c r="AO2086" s="253"/>
      <c r="AP2086" s="253"/>
      <c r="AQ2086" s="253"/>
      <c r="AR2086" s="253"/>
      <c r="AS2086" s="253"/>
      <c r="AT2086" s="253"/>
      <c r="AU2086" s="253"/>
      <c r="AV2086" s="253"/>
      <c r="AW2086" s="253"/>
      <c r="AX2086" s="253"/>
      <c r="AY2086" s="253"/>
      <c r="AZ2086" s="253"/>
    </row>
    <row r="2087" spans="1:52" ht="15.5" customHeight="1">
      <c r="A2087" s="363"/>
      <c r="B2087" s="343"/>
      <c r="C2087" s="7"/>
      <c r="D2087" s="254"/>
      <c r="E2087" s="254"/>
      <c r="F2087" s="254"/>
      <c r="G2087" s="253"/>
      <c r="H2087" s="253"/>
      <c r="I2087" s="253"/>
      <c r="J2087" s="253"/>
      <c r="K2087" s="253"/>
      <c r="L2087" s="7"/>
      <c r="M2087" s="7"/>
      <c r="N2087" s="253"/>
      <c r="O2087" s="255"/>
      <c r="P2087" s="253"/>
      <c r="Q2087" s="7"/>
      <c r="R2087" s="7"/>
      <c r="S2087" s="7"/>
      <c r="T2087" s="7"/>
      <c r="U2087" s="7"/>
      <c r="V2087" s="253"/>
      <c r="W2087" s="7"/>
      <c r="X2087" s="256"/>
      <c r="Y2087" s="256"/>
      <c r="Z2087" s="256"/>
      <c r="AA2087" s="256"/>
      <c r="AB2087" s="257"/>
      <c r="AC2087" s="258"/>
      <c r="AD2087" s="7"/>
      <c r="AE2087" s="253"/>
      <c r="AF2087" s="253"/>
      <c r="AG2087" s="259"/>
      <c r="AH2087" s="253"/>
      <c r="AI2087" s="253"/>
      <c r="AJ2087" s="7"/>
      <c r="AK2087" s="253"/>
      <c r="AL2087" s="253"/>
      <c r="AM2087" s="7"/>
      <c r="AN2087" s="253"/>
      <c r="AO2087" s="253"/>
      <c r="AP2087" s="253"/>
      <c r="AQ2087" s="253"/>
      <c r="AR2087" s="253"/>
      <c r="AS2087" s="253"/>
      <c r="AT2087" s="253"/>
      <c r="AU2087" s="253"/>
      <c r="AV2087" s="253"/>
      <c r="AW2087" s="253"/>
      <c r="AX2087" s="253"/>
      <c r="AY2087" s="253"/>
      <c r="AZ2087" s="253"/>
    </row>
    <row r="2088" spans="1:52" ht="15.5" customHeight="1">
      <c r="A2088" s="363"/>
      <c r="B2088" s="343"/>
      <c r="C2088" s="7"/>
      <c r="D2088" s="254"/>
      <c r="E2088" s="254"/>
      <c r="F2088" s="254"/>
      <c r="G2088" s="253"/>
      <c r="H2088" s="253"/>
      <c r="I2088" s="253"/>
      <c r="J2088" s="253"/>
      <c r="K2088" s="253"/>
      <c r="L2088" s="7"/>
      <c r="M2088" s="7"/>
      <c r="N2088" s="253"/>
      <c r="O2088" s="255"/>
      <c r="P2088" s="253"/>
      <c r="Q2088" s="7"/>
      <c r="R2088" s="7"/>
      <c r="S2088" s="7"/>
      <c r="T2088" s="7"/>
      <c r="U2088" s="7"/>
      <c r="V2088" s="253"/>
      <c r="W2088" s="7"/>
      <c r="X2088" s="256"/>
      <c r="Y2088" s="256"/>
      <c r="Z2088" s="256"/>
      <c r="AA2088" s="256"/>
      <c r="AB2088" s="257"/>
      <c r="AC2088" s="258"/>
      <c r="AD2088" s="7"/>
      <c r="AE2088" s="253"/>
      <c r="AF2088" s="253"/>
      <c r="AG2088" s="259"/>
      <c r="AH2088" s="253"/>
      <c r="AI2088" s="253"/>
      <c r="AJ2088" s="7"/>
      <c r="AK2088" s="253"/>
      <c r="AL2088" s="253"/>
      <c r="AM2088" s="7"/>
      <c r="AN2088" s="253"/>
      <c r="AO2088" s="253"/>
      <c r="AP2088" s="253"/>
      <c r="AQ2088" s="253"/>
      <c r="AR2088" s="253"/>
      <c r="AS2088" s="253"/>
      <c r="AT2088" s="253"/>
      <c r="AU2088" s="253"/>
      <c r="AV2088" s="253"/>
      <c r="AW2088" s="253"/>
      <c r="AX2088" s="253"/>
      <c r="AY2088" s="253"/>
      <c r="AZ2088" s="253"/>
    </row>
    <row r="2089" spans="1:52" ht="15.5" customHeight="1">
      <c r="A2089" s="363"/>
      <c r="B2089" s="343"/>
      <c r="C2089" s="7"/>
      <c r="D2089" s="254"/>
      <c r="E2089" s="254"/>
      <c r="F2089" s="254"/>
      <c r="G2089" s="253"/>
      <c r="H2089" s="253"/>
      <c r="I2089" s="253"/>
      <c r="J2089" s="253"/>
      <c r="K2089" s="253"/>
      <c r="L2089" s="7"/>
      <c r="M2089" s="7"/>
      <c r="N2089" s="253"/>
      <c r="O2089" s="255"/>
      <c r="P2089" s="253"/>
      <c r="Q2089" s="7"/>
      <c r="R2089" s="7"/>
      <c r="S2089" s="7"/>
      <c r="T2089" s="7"/>
      <c r="U2089" s="7"/>
      <c r="V2089" s="253"/>
      <c r="W2089" s="7"/>
      <c r="X2089" s="256"/>
      <c r="Y2089" s="256"/>
      <c r="Z2089" s="256"/>
      <c r="AA2089" s="256"/>
      <c r="AB2089" s="257"/>
      <c r="AC2089" s="258"/>
      <c r="AD2089" s="7"/>
      <c r="AE2089" s="253"/>
      <c r="AF2089" s="253"/>
      <c r="AG2089" s="259"/>
      <c r="AH2089" s="253"/>
      <c r="AI2089" s="253"/>
      <c r="AJ2089" s="7"/>
      <c r="AK2089" s="253"/>
      <c r="AL2089" s="253"/>
      <c r="AM2089" s="7"/>
      <c r="AN2089" s="253"/>
      <c r="AO2089" s="253"/>
      <c r="AP2089" s="253"/>
      <c r="AQ2089" s="253"/>
      <c r="AR2089" s="253"/>
      <c r="AS2089" s="253"/>
      <c r="AT2089" s="253"/>
      <c r="AU2089" s="253"/>
      <c r="AV2089" s="253"/>
      <c r="AW2089" s="253"/>
      <c r="AX2089" s="253"/>
      <c r="AY2089" s="253"/>
      <c r="AZ2089" s="253"/>
    </row>
    <row r="2090" spans="1:52" ht="15.5" customHeight="1">
      <c r="A2090" s="363"/>
      <c r="B2090" s="343"/>
      <c r="C2090" s="7"/>
      <c r="D2090" s="254"/>
      <c r="E2090" s="254"/>
      <c r="F2090" s="254"/>
      <c r="G2090" s="253"/>
      <c r="H2090" s="253"/>
      <c r="I2090" s="253"/>
      <c r="J2090" s="253"/>
      <c r="K2090" s="253"/>
      <c r="L2090" s="7"/>
      <c r="M2090" s="7"/>
      <c r="N2090" s="253"/>
      <c r="O2090" s="255"/>
      <c r="P2090" s="253"/>
      <c r="Q2090" s="7"/>
      <c r="R2090" s="7"/>
      <c r="S2090" s="7"/>
      <c r="T2090" s="7"/>
      <c r="U2090" s="7"/>
      <c r="V2090" s="253"/>
      <c r="W2090" s="7"/>
      <c r="X2090" s="256"/>
      <c r="Y2090" s="256"/>
      <c r="Z2090" s="256"/>
      <c r="AA2090" s="256"/>
      <c r="AB2090" s="257"/>
      <c r="AC2090" s="258"/>
      <c r="AD2090" s="7"/>
      <c r="AE2090" s="253"/>
      <c r="AF2090" s="253"/>
      <c r="AG2090" s="259"/>
      <c r="AH2090" s="253"/>
      <c r="AI2090" s="253"/>
      <c r="AJ2090" s="7"/>
      <c r="AK2090" s="253"/>
      <c r="AL2090" s="253"/>
      <c r="AM2090" s="7"/>
      <c r="AN2090" s="253"/>
      <c r="AO2090" s="253"/>
      <c r="AP2090" s="253"/>
      <c r="AQ2090" s="253"/>
      <c r="AR2090" s="253"/>
      <c r="AS2090" s="253"/>
      <c r="AT2090" s="253"/>
      <c r="AU2090" s="253"/>
      <c r="AV2090" s="253"/>
      <c r="AW2090" s="253"/>
      <c r="AX2090" s="253"/>
      <c r="AY2090" s="253"/>
      <c r="AZ2090" s="253"/>
    </row>
    <row r="2091" spans="1:52" ht="15.5" customHeight="1">
      <c r="A2091" s="363"/>
      <c r="B2091" s="343"/>
      <c r="C2091" s="7"/>
      <c r="D2091" s="254"/>
      <c r="E2091" s="254"/>
      <c r="F2091" s="254"/>
      <c r="G2091" s="253"/>
      <c r="H2091" s="253"/>
      <c r="I2091" s="253"/>
      <c r="J2091" s="253"/>
      <c r="K2091" s="253"/>
      <c r="L2091" s="7"/>
      <c r="M2091" s="7"/>
      <c r="N2091" s="253"/>
      <c r="O2091" s="255"/>
      <c r="P2091" s="253"/>
      <c r="Q2091" s="7"/>
      <c r="R2091" s="7"/>
      <c r="S2091" s="7"/>
      <c r="T2091" s="7"/>
      <c r="U2091" s="7"/>
      <c r="V2091" s="253"/>
      <c r="W2091" s="7"/>
      <c r="X2091" s="256"/>
      <c r="Y2091" s="256"/>
      <c r="Z2091" s="256"/>
      <c r="AA2091" s="256"/>
      <c r="AB2091" s="257"/>
      <c r="AC2091" s="258"/>
      <c r="AD2091" s="7"/>
      <c r="AE2091" s="253"/>
      <c r="AF2091" s="253"/>
      <c r="AG2091" s="259"/>
      <c r="AH2091" s="253"/>
      <c r="AI2091" s="253"/>
      <c r="AJ2091" s="7"/>
      <c r="AK2091" s="253"/>
      <c r="AL2091" s="253"/>
      <c r="AM2091" s="7"/>
      <c r="AN2091" s="253"/>
      <c r="AO2091" s="253"/>
      <c r="AP2091" s="253"/>
      <c r="AQ2091" s="253"/>
      <c r="AR2091" s="253"/>
      <c r="AS2091" s="253"/>
      <c r="AT2091" s="253"/>
      <c r="AU2091" s="253"/>
      <c r="AV2091" s="253"/>
      <c r="AW2091" s="253"/>
      <c r="AX2091" s="253"/>
      <c r="AY2091" s="253"/>
      <c r="AZ2091" s="253"/>
    </row>
    <row r="2092" spans="1:52" ht="15.5" customHeight="1">
      <c r="A2092" s="363"/>
      <c r="B2092" s="343"/>
      <c r="C2092" s="7"/>
      <c r="D2092" s="254"/>
      <c r="E2092" s="254"/>
      <c r="F2092" s="254"/>
      <c r="G2092" s="253"/>
      <c r="H2092" s="253"/>
      <c r="I2092" s="253"/>
      <c r="J2092" s="253"/>
      <c r="K2092" s="253"/>
      <c r="L2092" s="7"/>
      <c r="M2092" s="7"/>
      <c r="N2092" s="253"/>
      <c r="O2092" s="255"/>
      <c r="P2092" s="253"/>
      <c r="Q2092" s="7"/>
      <c r="R2092" s="7"/>
      <c r="S2092" s="7"/>
      <c r="T2092" s="7"/>
      <c r="U2092" s="7"/>
      <c r="V2092" s="253"/>
      <c r="W2092" s="7"/>
      <c r="X2092" s="256"/>
      <c r="Y2092" s="256"/>
      <c r="Z2092" s="256"/>
      <c r="AA2092" s="256"/>
      <c r="AB2092" s="257"/>
      <c r="AC2092" s="258"/>
      <c r="AD2092" s="7"/>
      <c r="AE2092" s="253"/>
      <c r="AF2092" s="253"/>
      <c r="AG2092" s="259"/>
      <c r="AH2092" s="253"/>
      <c r="AI2092" s="253"/>
      <c r="AJ2092" s="7"/>
      <c r="AK2092" s="253"/>
      <c r="AL2092" s="253"/>
      <c r="AM2092" s="7"/>
      <c r="AN2092" s="253"/>
      <c r="AO2092" s="253"/>
      <c r="AP2092" s="253"/>
      <c r="AQ2092" s="253"/>
      <c r="AR2092" s="253"/>
      <c r="AS2092" s="253"/>
      <c r="AT2092" s="253"/>
      <c r="AU2092" s="253"/>
      <c r="AV2092" s="253"/>
      <c r="AW2092" s="253"/>
      <c r="AX2092" s="253"/>
      <c r="AY2092" s="253"/>
      <c r="AZ2092" s="253"/>
    </row>
    <row r="2093" spans="1:52" ht="15.5" customHeight="1">
      <c r="A2093" s="363"/>
      <c r="B2093" s="343"/>
      <c r="C2093" s="7"/>
      <c r="D2093" s="254"/>
      <c r="E2093" s="254"/>
      <c r="F2093" s="254"/>
      <c r="G2093" s="253"/>
      <c r="H2093" s="253"/>
      <c r="I2093" s="253"/>
      <c r="J2093" s="253"/>
      <c r="K2093" s="253"/>
      <c r="L2093" s="7"/>
      <c r="M2093" s="7"/>
      <c r="N2093" s="253"/>
      <c r="O2093" s="255"/>
      <c r="P2093" s="253"/>
      <c r="Q2093" s="7"/>
      <c r="R2093" s="7"/>
      <c r="S2093" s="7"/>
      <c r="T2093" s="7"/>
      <c r="U2093" s="7"/>
      <c r="V2093" s="253"/>
      <c r="W2093" s="7"/>
      <c r="X2093" s="256"/>
      <c r="Y2093" s="256"/>
      <c r="Z2093" s="256"/>
      <c r="AA2093" s="256"/>
      <c r="AB2093" s="257"/>
      <c r="AC2093" s="258"/>
      <c r="AD2093" s="7"/>
      <c r="AE2093" s="253"/>
      <c r="AF2093" s="253"/>
      <c r="AG2093" s="259"/>
      <c r="AH2093" s="253"/>
      <c r="AI2093" s="253"/>
      <c r="AJ2093" s="7"/>
      <c r="AK2093" s="253"/>
      <c r="AL2093" s="253"/>
      <c r="AM2093" s="7"/>
      <c r="AN2093" s="253"/>
      <c r="AO2093" s="253"/>
      <c r="AP2093" s="253"/>
      <c r="AQ2093" s="253"/>
      <c r="AR2093" s="253"/>
      <c r="AS2093" s="253"/>
      <c r="AT2093" s="253"/>
      <c r="AU2093" s="253"/>
      <c r="AV2093" s="253"/>
      <c r="AW2093" s="253"/>
      <c r="AX2093" s="253"/>
      <c r="AY2093" s="253"/>
      <c r="AZ2093" s="253"/>
    </row>
    <row r="2094" spans="1:52" ht="15.5" customHeight="1">
      <c r="A2094" s="363"/>
      <c r="B2094" s="343"/>
      <c r="C2094" s="7"/>
      <c r="D2094" s="254"/>
      <c r="E2094" s="254"/>
      <c r="F2094" s="254"/>
      <c r="G2094" s="253"/>
      <c r="H2094" s="253"/>
      <c r="I2094" s="253"/>
      <c r="J2094" s="253"/>
      <c r="K2094" s="253"/>
      <c r="L2094" s="7"/>
      <c r="M2094" s="7"/>
      <c r="N2094" s="253"/>
      <c r="O2094" s="255"/>
      <c r="P2094" s="253"/>
      <c r="Q2094" s="7"/>
      <c r="R2094" s="7"/>
      <c r="S2094" s="7"/>
      <c r="T2094" s="7"/>
      <c r="U2094" s="7"/>
      <c r="V2094" s="253"/>
      <c r="W2094" s="7"/>
      <c r="X2094" s="256"/>
      <c r="Y2094" s="256"/>
      <c r="Z2094" s="256"/>
      <c r="AA2094" s="256"/>
      <c r="AB2094" s="257"/>
      <c r="AC2094" s="258"/>
      <c r="AD2094" s="7"/>
      <c r="AE2094" s="253"/>
      <c r="AF2094" s="253"/>
      <c r="AG2094" s="259"/>
      <c r="AH2094" s="253"/>
      <c r="AI2094" s="253"/>
      <c r="AJ2094" s="7"/>
      <c r="AK2094" s="253"/>
      <c r="AL2094" s="253"/>
      <c r="AM2094" s="7"/>
      <c r="AN2094" s="253"/>
      <c r="AO2094" s="253"/>
      <c r="AP2094" s="253"/>
      <c r="AQ2094" s="253"/>
      <c r="AR2094" s="253"/>
      <c r="AS2094" s="253"/>
      <c r="AT2094" s="253"/>
      <c r="AU2094" s="253"/>
      <c r="AV2094" s="253"/>
      <c r="AW2094" s="253"/>
      <c r="AX2094" s="253"/>
      <c r="AY2094" s="253"/>
      <c r="AZ2094" s="253"/>
    </row>
    <row r="2095" spans="1:52" ht="15.5" customHeight="1">
      <c r="A2095" s="363"/>
      <c r="B2095" s="343"/>
      <c r="C2095" s="7"/>
      <c r="D2095" s="254"/>
      <c r="E2095" s="254"/>
      <c r="F2095" s="254"/>
      <c r="G2095" s="253"/>
      <c r="H2095" s="253"/>
      <c r="I2095" s="253"/>
      <c r="J2095" s="253"/>
      <c r="K2095" s="253"/>
      <c r="L2095" s="7"/>
      <c r="M2095" s="7"/>
      <c r="N2095" s="253"/>
      <c r="O2095" s="255"/>
      <c r="P2095" s="253"/>
      <c r="Q2095" s="7"/>
      <c r="R2095" s="7"/>
      <c r="S2095" s="7"/>
      <c r="T2095" s="7"/>
      <c r="U2095" s="7"/>
      <c r="V2095" s="253"/>
      <c r="W2095" s="7"/>
      <c r="X2095" s="256"/>
      <c r="Y2095" s="256"/>
      <c r="Z2095" s="256"/>
      <c r="AA2095" s="256"/>
      <c r="AB2095" s="257"/>
      <c r="AC2095" s="258"/>
      <c r="AD2095" s="7"/>
      <c r="AE2095" s="253"/>
      <c r="AF2095" s="253"/>
      <c r="AG2095" s="259"/>
      <c r="AH2095" s="253"/>
      <c r="AI2095" s="253"/>
      <c r="AJ2095" s="7"/>
      <c r="AK2095" s="253"/>
      <c r="AL2095" s="253"/>
      <c r="AM2095" s="7"/>
      <c r="AN2095" s="253"/>
      <c r="AO2095" s="253"/>
      <c r="AP2095" s="253"/>
      <c r="AQ2095" s="253"/>
      <c r="AR2095" s="253"/>
      <c r="AS2095" s="253"/>
      <c r="AT2095" s="253"/>
      <c r="AU2095" s="253"/>
      <c r="AV2095" s="253"/>
      <c r="AW2095" s="253"/>
      <c r="AX2095" s="253"/>
      <c r="AY2095" s="253"/>
      <c r="AZ2095" s="253"/>
    </row>
    <row r="2096" spans="1:52" ht="15.5" customHeight="1">
      <c r="A2096" s="363"/>
      <c r="B2096" s="343"/>
      <c r="C2096" s="7"/>
      <c r="D2096" s="254"/>
      <c r="E2096" s="254"/>
      <c r="F2096" s="254"/>
      <c r="G2096" s="253"/>
      <c r="H2096" s="253"/>
      <c r="I2096" s="253"/>
      <c r="J2096" s="253"/>
      <c r="K2096" s="253"/>
      <c r="L2096" s="7"/>
      <c r="M2096" s="7"/>
      <c r="N2096" s="253"/>
      <c r="O2096" s="255"/>
      <c r="P2096" s="253"/>
      <c r="Q2096" s="7"/>
      <c r="R2096" s="7"/>
      <c r="S2096" s="7"/>
      <c r="T2096" s="7"/>
      <c r="U2096" s="7"/>
      <c r="V2096" s="253"/>
      <c r="W2096" s="7"/>
      <c r="X2096" s="256"/>
      <c r="Y2096" s="256"/>
      <c r="Z2096" s="256"/>
      <c r="AA2096" s="256"/>
      <c r="AB2096" s="257"/>
      <c r="AC2096" s="258"/>
      <c r="AD2096" s="7"/>
      <c r="AE2096" s="253"/>
      <c r="AF2096" s="253"/>
      <c r="AG2096" s="259"/>
      <c r="AH2096" s="253"/>
      <c r="AI2096" s="253"/>
      <c r="AJ2096" s="7"/>
      <c r="AK2096" s="253"/>
      <c r="AL2096" s="253"/>
      <c r="AM2096" s="7"/>
      <c r="AN2096" s="253"/>
      <c r="AO2096" s="253"/>
      <c r="AP2096" s="253"/>
      <c r="AQ2096" s="253"/>
      <c r="AR2096" s="253"/>
      <c r="AS2096" s="253"/>
      <c r="AT2096" s="253"/>
      <c r="AU2096" s="253"/>
      <c r="AV2096" s="253"/>
      <c r="AW2096" s="253"/>
      <c r="AX2096" s="253"/>
      <c r="AY2096" s="253"/>
      <c r="AZ2096" s="253"/>
    </row>
    <row r="2097" spans="1:52" ht="15.5" customHeight="1">
      <c r="A2097" s="363"/>
      <c r="B2097" s="343"/>
      <c r="C2097" s="7"/>
      <c r="D2097" s="254"/>
      <c r="E2097" s="254"/>
      <c r="F2097" s="254"/>
      <c r="G2097" s="253"/>
      <c r="H2097" s="253"/>
      <c r="I2097" s="253"/>
      <c r="J2097" s="253"/>
      <c r="K2097" s="253"/>
      <c r="L2097" s="7"/>
      <c r="M2097" s="7"/>
      <c r="N2097" s="253"/>
      <c r="O2097" s="255"/>
      <c r="P2097" s="253"/>
      <c r="Q2097" s="7"/>
      <c r="R2097" s="7"/>
      <c r="S2097" s="7"/>
      <c r="T2097" s="7"/>
      <c r="U2097" s="7"/>
      <c r="V2097" s="253"/>
      <c r="W2097" s="7"/>
      <c r="X2097" s="256"/>
      <c r="Y2097" s="256"/>
      <c r="Z2097" s="256"/>
      <c r="AA2097" s="256"/>
      <c r="AB2097" s="257"/>
      <c r="AC2097" s="258"/>
      <c r="AD2097" s="7"/>
      <c r="AE2097" s="253"/>
      <c r="AF2097" s="253"/>
      <c r="AG2097" s="259"/>
      <c r="AH2097" s="253"/>
      <c r="AI2097" s="253"/>
      <c r="AJ2097" s="7"/>
      <c r="AK2097" s="253"/>
      <c r="AL2097" s="253"/>
      <c r="AM2097" s="7"/>
      <c r="AN2097" s="253"/>
      <c r="AO2097" s="253"/>
      <c r="AP2097" s="253"/>
      <c r="AQ2097" s="253"/>
      <c r="AR2097" s="253"/>
      <c r="AS2097" s="253"/>
      <c r="AT2097" s="253"/>
      <c r="AU2097" s="253"/>
      <c r="AV2097" s="253"/>
      <c r="AW2097" s="253"/>
      <c r="AX2097" s="253"/>
      <c r="AY2097" s="253"/>
      <c r="AZ2097" s="253"/>
    </row>
    <row r="2098" spans="1:52" ht="15.5" customHeight="1">
      <c r="A2098" s="363"/>
      <c r="B2098" s="343"/>
      <c r="C2098" s="7"/>
      <c r="D2098" s="254"/>
      <c r="E2098" s="254"/>
      <c r="F2098" s="254"/>
      <c r="G2098" s="253"/>
      <c r="H2098" s="253"/>
      <c r="I2098" s="253"/>
      <c r="J2098" s="253"/>
      <c r="K2098" s="253"/>
      <c r="L2098" s="7"/>
      <c r="M2098" s="7"/>
      <c r="N2098" s="253"/>
      <c r="O2098" s="255"/>
      <c r="P2098" s="253"/>
      <c r="Q2098" s="7"/>
      <c r="R2098" s="7"/>
      <c r="S2098" s="7"/>
      <c r="T2098" s="7"/>
      <c r="U2098" s="7"/>
      <c r="V2098" s="253"/>
      <c r="W2098" s="7"/>
      <c r="X2098" s="256"/>
      <c r="Y2098" s="256"/>
      <c r="Z2098" s="256"/>
      <c r="AA2098" s="256"/>
      <c r="AB2098" s="257"/>
      <c r="AC2098" s="258"/>
      <c r="AD2098" s="7"/>
      <c r="AE2098" s="253"/>
      <c r="AF2098" s="253"/>
      <c r="AG2098" s="259"/>
      <c r="AH2098" s="253"/>
      <c r="AI2098" s="253"/>
      <c r="AJ2098" s="7"/>
      <c r="AK2098" s="253"/>
      <c r="AL2098" s="253"/>
      <c r="AM2098" s="7"/>
      <c r="AN2098" s="253"/>
      <c r="AO2098" s="253"/>
      <c r="AP2098" s="253"/>
      <c r="AQ2098" s="253"/>
      <c r="AR2098" s="253"/>
      <c r="AS2098" s="253"/>
      <c r="AT2098" s="253"/>
      <c r="AU2098" s="253"/>
      <c r="AV2098" s="253"/>
      <c r="AW2098" s="253"/>
      <c r="AX2098" s="253"/>
      <c r="AY2098" s="253"/>
      <c r="AZ2098" s="253"/>
    </row>
    <row r="2099" spans="1:52" ht="15.5" customHeight="1">
      <c r="A2099" s="363"/>
      <c r="B2099" s="343"/>
      <c r="C2099" s="7"/>
      <c r="D2099" s="254"/>
      <c r="E2099" s="254"/>
      <c r="F2099" s="254"/>
      <c r="G2099" s="253"/>
      <c r="H2099" s="253"/>
      <c r="I2099" s="253"/>
      <c r="J2099" s="253"/>
      <c r="K2099" s="253"/>
      <c r="L2099" s="7"/>
      <c r="M2099" s="7"/>
      <c r="N2099" s="253"/>
      <c r="O2099" s="255"/>
      <c r="P2099" s="253"/>
      <c r="Q2099" s="7"/>
      <c r="R2099" s="7"/>
      <c r="S2099" s="7"/>
      <c r="T2099" s="7"/>
      <c r="U2099" s="7"/>
      <c r="V2099" s="253"/>
      <c r="W2099" s="7"/>
      <c r="X2099" s="256"/>
      <c r="Y2099" s="256"/>
      <c r="Z2099" s="256"/>
      <c r="AA2099" s="256"/>
      <c r="AB2099" s="257"/>
      <c r="AC2099" s="258"/>
      <c r="AD2099" s="7"/>
      <c r="AE2099" s="253"/>
      <c r="AF2099" s="253"/>
      <c r="AG2099" s="259"/>
      <c r="AH2099" s="253"/>
      <c r="AI2099" s="253"/>
      <c r="AJ2099" s="7"/>
      <c r="AK2099" s="253"/>
      <c r="AL2099" s="253"/>
      <c r="AM2099" s="7"/>
      <c r="AN2099" s="253"/>
      <c r="AO2099" s="253"/>
      <c r="AP2099" s="253"/>
      <c r="AQ2099" s="253"/>
      <c r="AR2099" s="253"/>
      <c r="AS2099" s="253"/>
      <c r="AT2099" s="253"/>
      <c r="AU2099" s="253"/>
      <c r="AV2099" s="253"/>
      <c r="AW2099" s="253"/>
      <c r="AX2099" s="253"/>
      <c r="AY2099" s="253"/>
      <c r="AZ2099" s="253"/>
    </row>
    <row r="2100" spans="1:52" ht="15.5" customHeight="1">
      <c r="A2100" s="363"/>
      <c r="B2100" s="343"/>
      <c r="C2100" s="7"/>
      <c r="D2100" s="254"/>
      <c r="E2100" s="254"/>
      <c r="F2100" s="254"/>
      <c r="G2100" s="253"/>
      <c r="H2100" s="253"/>
      <c r="I2100" s="253"/>
      <c r="J2100" s="253"/>
      <c r="K2100" s="253"/>
      <c r="L2100" s="7"/>
      <c r="M2100" s="7"/>
      <c r="N2100" s="253"/>
      <c r="O2100" s="255"/>
      <c r="P2100" s="253"/>
      <c r="Q2100" s="7"/>
      <c r="R2100" s="7"/>
      <c r="S2100" s="7"/>
      <c r="T2100" s="7"/>
      <c r="U2100" s="7"/>
      <c r="V2100" s="253"/>
      <c r="W2100" s="7"/>
      <c r="X2100" s="256"/>
      <c r="Y2100" s="256"/>
      <c r="Z2100" s="256"/>
      <c r="AA2100" s="256"/>
      <c r="AB2100" s="257"/>
      <c r="AC2100" s="258"/>
      <c r="AD2100" s="7"/>
      <c r="AE2100" s="253"/>
      <c r="AF2100" s="253"/>
      <c r="AG2100" s="259"/>
      <c r="AH2100" s="253"/>
      <c r="AI2100" s="253"/>
      <c r="AJ2100" s="7"/>
      <c r="AK2100" s="253"/>
      <c r="AL2100" s="253"/>
      <c r="AM2100" s="7"/>
      <c r="AN2100" s="253"/>
      <c r="AO2100" s="253"/>
      <c r="AP2100" s="253"/>
      <c r="AQ2100" s="253"/>
      <c r="AR2100" s="253"/>
      <c r="AS2100" s="253"/>
      <c r="AT2100" s="253"/>
      <c r="AU2100" s="253"/>
      <c r="AV2100" s="253"/>
      <c r="AW2100" s="253"/>
      <c r="AX2100" s="253"/>
      <c r="AY2100" s="253"/>
      <c r="AZ2100" s="253"/>
    </row>
    <row r="2101" spans="1:52" ht="15.5" customHeight="1">
      <c r="A2101" s="363"/>
      <c r="B2101" s="343"/>
      <c r="C2101" s="7"/>
      <c r="D2101" s="254"/>
      <c r="E2101" s="254"/>
      <c r="F2101" s="254"/>
      <c r="G2101" s="253"/>
      <c r="H2101" s="253"/>
      <c r="I2101" s="253"/>
      <c r="J2101" s="253"/>
      <c r="K2101" s="253"/>
      <c r="L2101" s="7"/>
      <c r="M2101" s="7"/>
      <c r="N2101" s="253"/>
      <c r="O2101" s="255"/>
      <c r="P2101" s="253"/>
      <c r="Q2101" s="7"/>
      <c r="R2101" s="7"/>
      <c r="S2101" s="7"/>
      <c r="T2101" s="7"/>
      <c r="U2101" s="7"/>
      <c r="V2101" s="253"/>
      <c r="W2101" s="7"/>
      <c r="X2101" s="256"/>
      <c r="Y2101" s="256"/>
      <c r="Z2101" s="256"/>
      <c r="AA2101" s="256"/>
      <c r="AB2101" s="257"/>
      <c r="AC2101" s="258"/>
      <c r="AD2101" s="7"/>
      <c r="AE2101" s="253"/>
      <c r="AF2101" s="253"/>
      <c r="AG2101" s="259"/>
      <c r="AH2101" s="253"/>
      <c r="AI2101" s="253"/>
      <c r="AJ2101" s="7"/>
      <c r="AK2101" s="253"/>
      <c r="AL2101" s="253"/>
      <c r="AM2101" s="7"/>
      <c r="AN2101" s="253"/>
      <c r="AO2101" s="253"/>
      <c r="AP2101" s="253"/>
      <c r="AQ2101" s="253"/>
      <c r="AR2101" s="253"/>
      <c r="AS2101" s="253"/>
      <c r="AT2101" s="253"/>
      <c r="AU2101" s="253"/>
      <c r="AV2101" s="253"/>
      <c r="AW2101" s="253"/>
      <c r="AX2101" s="253"/>
      <c r="AY2101" s="253"/>
      <c r="AZ2101" s="253"/>
    </row>
    <row r="2102" spans="1:52" ht="15.5" customHeight="1">
      <c r="A2102" s="363"/>
      <c r="B2102" s="343"/>
      <c r="C2102" s="7"/>
      <c r="D2102" s="254"/>
      <c r="E2102" s="254"/>
      <c r="F2102" s="254"/>
      <c r="G2102" s="253"/>
      <c r="H2102" s="253"/>
      <c r="I2102" s="253"/>
      <c r="J2102" s="253"/>
      <c r="K2102" s="253"/>
      <c r="L2102" s="7"/>
      <c r="M2102" s="7"/>
      <c r="N2102" s="253"/>
      <c r="O2102" s="255"/>
      <c r="P2102" s="253"/>
      <c r="Q2102" s="7"/>
      <c r="R2102" s="7"/>
      <c r="S2102" s="7"/>
      <c r="T2102" s="7"/>
      <c r="U2102" s="7"/>
      <c r="V2102" s="253"/>
      <c r="W2102" s="7"/>
      <c r="X2102" s="256"/>
      <c r="Y2102" s="256"/>
      <c r="Z2102" s="256"/>
      <c r="AA2102" s="256"/>
      <c r="AB2102" s="257"/>
      <c r="AC2102" s="258"/>
      <c r="AD2102" s="7"/>
      <c r="AE2102" s="253"/>
      <c r="AF2102" s="253"/>
      <c r="AG2102" s="259"/>
      <c r="AH2102" s="253"/>
      <c r="AI2102" s="253"/>
      <c r="AJ2102" s="7"/>
      <c r="AK2102" s="253"/>
      <c r="AL2102" s="253"/>
      <c r="AM2102" s="7"/>
      <c r="AN2102" s="253"/>
      <c r="AO2102" s="253"/>
      <c r="AP2102" s="253"/>
      <c r="AQ2102" s="253"/>
      <c r="AR2102" s="253"/>
      <c r="AS2102" s="253"/>
      <c r="AT2102" s="253"/>
      <c r="AU2102" s="253"/>
      <c r="AV2102" s="253"/>
      <c r="AW2102" s="253"/>
      <c r="AX2102" s="253"/>
      <c r="AY2102" s="253"/>
      <c r="AZ2102" s="253"/>
    </row>
    <row r="2103" spans="1:52" ht="15.5" customHeight="1">
      <c r="A2103" s="363"/>
      <c r="B2103" s="343"/>
      <c r="C2103" s="7"/>
      <c r="D2103" s="254"/>
      <c r="E2103" s="254"/>
      <c r="F2103" s="254"/>
      <c r="G2103" s="253"/>
      <c r="H2103" s="253"/>
      <c r="I2103" s="253"/>
      <c r="J2103" s="253"/>
      <c r="K2103" s="253"/>
      <c r="L2103" s="7"/>
      <c r="M2103" s="7"/>
      <c r="N2103" s="253"/>
      <c r="O2103" s="255"/>
      <c r="P2103" s="253"/>
      <c r="Q2103" s="7"/>
      <c r="R2103" s="7"/>
      <c r="S2103" s="7"/>
      <c r="T2103" s="7"/>
      <c r="U2103" s="7"/>
      <c r="V2103" s="253"/>
      <c r="W2103" s="7"/>
      <c r="X2103" s="256"/>
      <c r="Y2103" s="256"/>
      <c r="Z2103" s="256"/>
      <c r="AA2103" s="256"/>
      <c r="AB2103" s="257"/>
      <c r="AC2103" s="258"/>
      <c r="AD2103" s="7"/>
      <c r="AE2103" s="253"/>
      <c r="AF2103" s="253"/>
      <c r="AG2103" s="259"/>
      <c r="AH2103" s="253"/>
      <c r="AI2103" s="253"/>
      <c r="AJ2103" s="7"/>
      <c r="AK2103" s="253"/>
      <c r="AL2103" s="253"/>
      <c r="AM2103" s="7"/>
      <c r="AN2103" s="253"/>
      <c r="AO2103" s="253"/>
      <c r="AP2103" s="253"/>
      <c r="AQ2103" s="253"/>
      <c r="AR2103" s="253"/>
      <c r="AS2103" s="253"/>
      <c r="AT2103" s="253"/>
      <c r="AU2103" s="253"/>
      <c r="AV2103" s="253"/>
      <c r="AW2103" s="253"/>
      <c r="AX2103" s="253"/>
      <c r="AY2103" s="253"/>
      <c r="AZ2103" s="253"/>
    </row>
    <row r="2104" spans="1:52" ht="15.5" customHeight="1">
      <c r="A2104" s="363"/>
      <c r="B2104" s="343"/>
      <c r="C2104" s="7"/>
      <c r="D2104" s="254"/>
      <c r="E2104" s="254"/>
      <c r="F2104" s="254"/>
      <c r="G2104" s="253"/>
      <c r="H2104" s="253"/>
      <c r="I2104" s="253"/>
      <c r="J2104" s="253"/>
      <c r="K2104" s="253"/>
      <c r="L2104" s="7"/>
      <c r="M2104" s="7"/>
      <c r="N2104" s="253"/>
      <c r="O2104" s="255"/>
      <c r="P2104" s="253"/>
      <c r="Q2104" s="7"/>
      <c r="R2104" s="7"/>
      <c r="S2104" s="7"/>
      <c r="T2104" s="7"/>
      <c r="U2104" s="7"/>
      <c r="V2104" s="253"/>
      <c r="W2104" s="7"/>
      <c r="X2104" s="256"/>
      <c r="Y2104" s="256"/>
      <c r="Z2104" s="256"/>
      <c r="AA2104" s="256"/>
      <c r="AB2104" s="257"/>
      <c r="AC2104" s="258"/>
      <c r="AD2104" s="7"/>
      <c r="AE2104" s="253"/>
      <c r="AF2104" s="253"/>
      <c r="AG2104" s="259"/>
      <c r="AH2104" s="253"/>
      <c r="AI2104" s="253"/>
      <c r="AJ2104" s="7"/>
      <c r="AK2104" s="253"/>
      <c r="AL2104" s="253"/>
      <c r="AM2104" s="7"/>
      <c r="AN2104" s="253"/>
      <c r="AO2104" s="253"/>
      <c r="AP2104" s="253"/>
      <c r="AQ2104" s="253"/>
      <c r="AR2104" s="253"/>
      <c r="AS2104" s="253"/>
      <c r="AT2104" s="253"/>
      <c r="AU2104" s="253"/>
      <c r="AV2104" s="253"/>
      <c r="AW2104" s="253"/>
      <c r="AX2104" s="253"/>
      <c r="AY2104" s="253"/>
      <c r="AZ2104" s="253"/>
    </row>
    <row r="2105" spans="1:52" ht="15.5" customHeight="1">
      <c r="A2105" s="363"/>
      <c r="B2105" s="343"/>
      <c r="C2105" s="7"/>
      <c r="D2105" s="254"/>
      <c r="E2105" s="254"/>
      <c r="F2105" s="254"/>
      <c r="G2105" s="253"/>
      <c r="H2105" s="253"/>
      <c r="I2105" s="253"/>
      <c r="J2105" s="253"/>
      <c r="K2105" s="253"/>
      <c r="L2105" s="7"/>
      <c r="M2105" s="7"/>
      <c r="N2105" s="253"/>
      <c r="O2105" s="255"/>
      <c r="P2105" s="253"/>
      <c r="Q2105" s="7"/>
      <c r="R2105" s="7"/>
      <c r="S2105" s="7"/>
      <c r="T2105" s="7"/>
      <c r="U2105" s="7"/>
      <c r="V2105" s="253"/>
      <c r="W2105" s="7"/>
      <c r="X2105" s="256"/>
      <c r="Y2105" s="256"/>
      <c r="Z2105" s="256"/>
      <c r="AA2105" s="256"/>
      <c r="AB2105" s="257"/>
      <c r="AC2105" s="258"/>
      <c r="AD2105" s="7"/>
      <c r="AE2105" s="253"/>
      <c r="AF2105" s="253"/>
      <c r="AG2105" s="259"/>
      <c r="AH2105" s="253"/>
      <c r="AI2105" s="253"/>
      <c r="AJ2105" s="7"/>
      <c r="AK2105" s="253"/>
      <c r="AL2105" s="253"/>
      <c r="AM2105" s="7"/>
      <c r="AN2105" s="253"/>
      <c r="AO2105" s="253"/>
      <c r="AP2105" s="253"/>
      <c r="AQ2105" s="253"/>
      <c r="AR2105" s="253"/>
      <c r="AS2105" s="253"/>
      <c r="AT2105" s="253"/>
      <c r="AU2105" s="253"/>
      <c r="AV2105" s="253"/>
      <c r="AW2105" s="253"/>
      <c r="AX2105" s="253"/>
      <c r="AY2105" s="253"/>
      <c r="AZ2105" s="253"/>
    </row>
    <row r="2106" spans="1:52" ht="15.5" customHeight="1">
      <c r="A2106" s="363"/>
      <c r="B2106" s="343"/>
      <c r="C2106" s="7"/>
      <c r="D2106" s="254"/>
      <c r="E2106" s="254"/>
      <c r="F2106" s="254"/>
      <c r="G2106" s="253"/>
      <c r="H2106" s="253"/>
      <c r="I2106" s="253"/>
      <c r="J2106" s="253"/>
      <c r="K2106" s="253"/>
      <c r="L2106" s="7"/>
      <c r="M2106" s="7"/>
      <c r="N2106" s="253"/>
      <c r="O2106" s="255"/>
      <c r="P2106" s="253"/>
      <c r="Q2106" s="7"/>
      <c r="R2106" s="7"/>
      <c r="S2106" s="7"/>
      <c r="T2106" s="7"/>
      <c r="U2106" s="7"/>
      <c r="V2106" s="253"/>
      <c r="W2106" s="7"/>
      <c r="X2106" s="256"/>
      <c r="Y2106" s="256"/>
      <c r="Z2106" s="256"/>
      <c r="AA2106" s="256"/>
      <c r="AB2106" s="257"/>
      <c r="AC2106" s="258"/>
      <c r="AD2106" s="7"/>
      <c r="AE2106" s="253"/>
      <c r="AF2106" s="253"/>
      <c r="AG2106" s="259"/>
      <c r="AH2106" s="253"/>
      <c r="AI2106" s="253"/>
      <c r="AJ2106" s="7"/>
      <c r="AK2106" s="253"/>
      <c r="AL2106" s="253"/>
      <c r="AM2106" s="7"/>
      <c r="AN2106" s="253"/>
      <c r="AO2106" s="253"/>
      <c r="AP2106" s="253"/>
      <c r="AQ2106" s="253"/>
      <c r="AR2106" s="253"/>
      <c r="AS2106" s="253"/>
      <c r="AT2106" s="253"/>
      <c r="AU2106" s="253"/>
      <c r="AV2106" s="253"/>
      <c r="AW2106" s="253"/>
      <c r="AX2106" s="253"/>
      <c r="AY2106" s="253"/>
      <c r="AZ2106" s="253"/>
    </row>
    <row r="2107" spans="1:52" ht="15.5" customHeight="1">
      <c r="A2107" s="363"/>
      <c r="B2107" s="343"/>
      <c r="C2107" s="7"/>
      <c r="D2107" s="254"/>
      <c r="E2107" s="254"/>
      <c r="F2107" s="254"/>
      <c r="G2107" s="253"/>
      <c r="H2107" s="253"/>
      <c r="I2107" s="253"/>
      <c r="J2107" s="253"/>
      <c r="K2107" s="253"/>
      <c r="L2107" s="7"/>
      <c r="M2107" s="7"/>
      <c r="N2107" s="253"/>
      <c r="O2107" s="255"/>
      <c r="P2107" s="253"/>
      <c r="Q2107" s="7"/>
      <c r="R2107" s="7"/>
      <c r="S2107" s="7"/>
      <c r="T2107" s="7"/>
      <c r="U2107" s="7"/>
      <c r="V2107" s="253"/>
      <c r="W2107" s="7"/>
      <c r="X2107" s="256"/>
      <c r="Y2107" s="256"/>
      <c r="Z2107" s="256"/>
      <c r="AA2107" s="256"/>
      <c r="AB2107" s="257"/>
      <c r="AC2107" s="258"/>
      <c r="AD2107" s="7"/>
      <c r="AE2107" s="253"/>
      <c r="AF2107" s="253"/>
      <c r="AG2107" s="259"/>
      <c r="AH2107" s="253"/>
      <c r="AI2107" s="253"/>
      <c r="AJ2107" s="7"/>
      <c r="AK2107" s="253"/>
      <c r="AL2107" s="253"/>
      <c r="AM2107" s="7"/>
      <c r="AN2107" s="253"/>
      <c r="AO2107" s="253"/>
      <c r="AP2107" s="253"/>
      <c r="AQ2107" s="253"/>
      <c r="AR2107" s="253"/>
      <c r="AS2107" s="253"/>
      <c r="AT2107" s="253"/>
      <c r="AU2107" s="253"/>
      <c r="AV2107" s="253"/>
      <c r="AW2107" s="253"/>
      <c r="AX2107" s="253"/>
      <c r="AY2107" s="253"/>
      <c r="AZ2107" s="253"/>
    </row>
    <row r="2108" spans="1:52" ht="15.5" customHeight="1">
      <c r="A2108" s="363"/>
      <c r="B2108" s="343"/>
      <c r="C2108" s="7"/>
      <c r="D2108" s="254"/>
      <c r="E2108" s="254"/>
      <c r="F2108" s="254"/>
      <c r="G2108" s="253"/>
      <c r="H2108" s="253"/>
      <c r="I2108" s="253"/>
      <c r="J2108" s="253"/>
      <c r="K2108" s="253"/>
      <c r="L2108" s="7"/>
      <c r="M2108" s="7"/>
      <c r="N2108" s="253"/>
      <c r="O2108" s="255"/>
      <c r="P2108" s="253"/>
      <c r="Q2108" s="7"/>
      <c r="R2108" s="7"/>
      <c r="S2108" s="7"/>
      <c r="T2108" s="7"/>
      <c r="U2108" s="7"/>
      <c r="V2108" s="253"/>
      <c r="W2108" s="7"/>
      <c r="X2108" s="256"/>
      <c r="Y2108" s="256"/>
      <c r="Z2108" s="256"/>
      <c r="AA2108" s="256"/>
      <c r="AB2108" s="257"/>
      <c r="AC2108" s="258"/>
      <c r="AD2108" s="7"/>
      <c r="AE2108" s="253"/>
      <c r="AF2108" s="253"/>
      <c r="AG2108" s="259"/>
      <c r="AH2108" s="253"/>
      <c r="AI2108" s="253"/>
      <c r="AJ2108" s="7"/>
      <c r="AK2108" s="253"/>
      <c r="AL2108" s="253"/>
      <c r="AM2108" s="7"/>
      <c r="AN2108" s="253"/>
      <c r="AO2108" s="253"/>
      <c r="AP2108" s="253"/>
      <c r="AQ2108" s="253"/>
      <c r="AR2108" s="253"/>
      <c r="AS2108" s="253"/>
      <c r="AT2108" s="253"/>
      <c r="AU2108" s="253"/>
      <c r="AV2108" s="253"/>
      <c r="AW2108" s="253"/>
      <c r="AX2108" s="253"/>
      <c r="AY2108" s="253"/>
      <c r="AZ2108" s="253"/>
    </row>
    <row r="2109" spans="1:52" ht="15.5" customHeight="1">
      <c r="A2109" s="363"/>
      <c r="B2109" s="343"/>
      <c r="C2109" s="7"/>
      <c r="D2109" s="254"/>
      <c r="E2109" s="254"/>
      <c r="F2109" s="254"/>
      <c r="G2109" s="253"/>
      <c r="H2109" s="253"/>
      <c r="I2109" s="253"/>
      <c r="J2109" s="253"/>
      <c r="K2109" s="253"/>
      <c r="L2109" s="7"/>
      <c r="M2109" s="7"/>
      <c r="N2109" s="253"/>
      <c r="O2109" s="255"/>
      <c r="P2109" s="253"/>
      <c r="Q2109" s="7"/>
      <c r="R2109" s="7"/>
      <c r="S2109" s="7"/>
      <c r="T2109" s="7"/>
      <c r="U2109" s="7"/>
      <c r="V2109" s="253"/>
      <c r="W2109" s="7"/>
      <c r="X2109" s="256"/>
      <c r="Y2109" s="256"/>
      <c r="Z2109" s="256"/>
      <c r="AA2109" s="256"/>
      <c r="AB2109" s="257"/>
      <c r="AC2109" s="258"/>
      <c r="AD2109" s="7"/>
      <c r="AE2109" s="253"/>
      <c r="AF2109" s="253"/>
      <c r="AG2109" s="259"/>
      <c r="AH2109" s="253"/>
      <c r="AI2109" s="253"/>
      <c r="AJ2109" s="7"/>
      <c r="AK2109" s="253"/>
      <c r="AL2109" s="253"/>
      <c r="AM2109" s="7"/>
      <c r="AN2109" s="253"/>
      <c r="AO2109" s="253"/>
      <c r="AP2109" s="253"/>
      <c r="AQ2109" s="253"/>
      <c r="AR2109" s="253"/>
      <c r="AS2109" s="253"/>
      <c r="AT2109" s="253"/>
      <c r="AU2109" s="253"/>
      <c r="AV2109" s="253"/>
      <c r="AW2109" s="253"/>
      <c r="AX2109" s="253"/>
      <c r="AY2109" s="253"/>
      <c r="AZ2109" s="253"/>
    </row>
    <row r="2110" spans="1:52" ht="15.5" customHeight="1">
      <c r="A2110" s="363"/>
      <c r="B2110" s="343"/>
      <c r="C2110" s="7"/>
      <c r="D2110" s="254"/>
      <c r="E2110" s="254"/>
      <c r="F2110" s="254"/>
      <c r="G2110" s="253"/>
      <c r="H2110" s="253"/>
      <c r="I2110" s="253"/>
      <c r="J2110" s="253"/>
      <c r="K2110" s="253"/>
      <c r="L2110" s="7"/>
      <c r="M2110" s="7"/>
      <c r="N2110" s="253"/>
      <c r="O2110" s="255"/>
      <c r="P2110" s="253"/>
      <c r="Q2110" s="7"/>
      <c r="R2110" s="7"/>
      <c r="S2110" s="7"/>
      <c r="T2110" s="7"/>
      <c r="U2110" s="7"/>
      <c r="V2110" s="253"/>
      <c r="W2110" s="7"/>
      <c r="X2110" s="256"/>
      <c r="Y2110" s="256"/>
      <c r="Z2110" s="256"/>
      <c r="AA2110" s="256"/>
      <c r="AB2110" s="257"/>
      <c r="AC2110" s="258"/>
      <c r="AD2110" s="7"/>
      <c r="AE2110" s="253"/>
      <c r="AF2110" s="253"/>
      <c r="AG2110" s="259"/>
      <c r="AH2110" s="253"/>
      <c r="AI2110" s="253"/>
      <c r="AJ2110" s="7"/>
      <c r="AK2110" s="253"/>
      <c r="AL2110" s="253"/>
      <c r="AM2110" s="7"/>
      <c r="AN2110" s="253"/>
      <c r="AO2110" s="253"/>
      <c r="AP2110" s="253"/>
      <c r="AQ2110" s="253"/>
      <c r="AR2110" s="253"/>
      <c r="AS2110" s="253"/>
      <c r="AT2110" s="253"/>
      <c r="AU2110" s="253"/>
      <c r="AV2110" s="253"/>
      <c r="AW2110" s="253"/>
      <c r="AX2110" s="253"/>
      <c r="AY2110" s="253"/>
      <c r="AZ2110" s="253"/>
    </row>
    <row r="2111" spans="1:52" ht="15.5" customHeight="1">
      <c r="A2111" s="363"/>
      <c r="B2111" s="343"/>
      <c r="C2111" s="7"/>
      <c r="D2111" s="254"/>
      <c r="E2111" s="254"/>
      <c r="F2111" s="254"/>
      <c r="G2111" s="253"/>
      <c r="H2111" s="253"/>
      <c r="I2111" s="253"/>
      <c r="J2111" s="253"/>
      <c r="K2111" s="253"/>
      <c r="L2111" s="7"/>
      <c r="M2111" s="7"/>
      <c r="N2111" s="253"/>
      <c r="O2111" s="255"/>
      <c r="P2111" s="253"/>
      <c r="Q2111" s="7"/>
      <c r="R2111" s="7"/>
      <c r="S2111" s="7"/>
      <c r="T2111" s="7"/>
      <c r="U2111" s="7"/>
      <c r="V2111" s="253"/>
      <c r="W2111" s="7"/>
      <c r="X2111" s="256"/>
      <c r="Y2111" s="256"/>
      <c r="Z2111" s="256"/>
      <c r="AA2111" s="256"/>
      <c r="AB2111" s="257"/>
      <c r="AC2111" s="258"/>
      <c r="AD2111" s="7"/>
      <c r="AE2111" s="253"/>
      <c r="AF2111" s="253"/>
      <c r="AG2111" s="259"/>
      <c r="AH2111" s="253"/>
      <c r="AI2111" s="253"/>
      <c r="AJ2111" s="7"/>
      <c r="AK2111" s="253"/>
      <c r="AL2111" s="253"/>
      <c r="AM2111" s="7"/>
      <c r="AN2111" s="253"/>
      <c r="AO2111" s="253"/>
      <c r="AP2111" s="253"/>
      <c r="AQ2111" s="253"/>
      <c r="AR2111" s="253"/>
      <c r="AS2111" s="253"/>
      <c r="AT2111" s="253"/>
      <c r="AU2111" s="253"/>
      <c r="AV2111" s="253"/>
      <c r="AW2111" s="253"/>
      <c r="AX2111" s="253"/>
      <c r="AY2111" s="253"/>
      <c r="AZ2111" s="253"/>
    </row>
    <row r="2112" spans="1:52" ht="15.5" customHeight="1">
      <c r="A2112" s="363"/>
      <c r="B2112" s="343"/>
      <c r="C2112" s="7"/>
      <c r="D2112" s="254"/>
      <c r="E2112" s="254"/>
      <c r="F2112" s="254"/>
      <c r="G2112" s="253"/>
      <c r="H2112" s="253"/>
      <c r="I2112" s="253"/>
      <c r="J2112" s="253"/>
      <c r="K2112" s="253"/>
      <c r="L2112" s="7"/>
      <c r="M2112" s="7"/>
      <c r="N2112" s="253"/>
      <c r="O2112" s="255"/>
      <c r="P2112" s="253"/>
      <c r="Q2112" s="7"/>
      <c r="R2112" s="7"/>
      <c r="S2112" s="7"/>
      <c r="T2112" s="7"/>
      <c r="U2112" s="7"/>
      <c r="V2112" s="253"/>
      <c r="W2112" s="7"/>
      <c r="X2112" s="256"/>
      <c r="Y2112" s="256"/>
      <c r="Z2112" s="256"/>
      <c r="AA2112" s="256"/>
      <c r="AB2112" s="257"/>
      <c r="AC2112" s="258"/>
      <c r="AD2112" s="7"/>
      <c r="AE2112" s="253"/>
      <c r="AF2112" s="253"/>
      <c r="AG2112" s="259"/>
      <c r="AH2112" s="253"/>
      <c r="AI2112" s="253"/>
      <c r="AJ2112" s="7"/>
      <c r="AK2112" s="253"/>
      <c r="AL2112" s="253"/>
      <c r="AM2112" s="7"/>
      <c r="AN2112" s="253"/>
      <c r="AO2112" s="253"/>
      <c r="AP2112" s="253"/>
      <c r="AQ2112" s="253"/>
      <c r="AR2112" s="253"/>
      <c r="AS2112" s="253"/>
      <c r="AT2112" s="253"/>
      <c r="AU2112" s="253"/>
      <c r="AV2112" s="253"/>
      <c r="AW2112" s="253"/>
      <c r="AX2112" s="253"/>
      <c r="AY2112" s="253"/>
      <c r="AZ2112" s="253"/>
    </row>
    <row r="2113" spans="1:52" ht="15.5" customHeight="1">
      <c r="A2113" s="363"/>
      <c r="B2113" s="343"/>
      <c r="C2113" s="7"/>
      <c r="D2113" s="254"/>
      <c r="E2113" s="254"/>
      <c r="F2113" s="254"/>
      <c r="G2113" s="253"/>
      <c r="H2113" s="253"/>
      <c r="I2113" s="253"/>
      <c r="J2113" s="253"/>
      <c r="K2113" s="253"/>
      <c r="L2113" s="7"/>
      <c r="M2113" s="7"/>
      <c r="N2113" s="253"/>
      <c r="O2113" s="255"/>
      <c r="P2113" s="253"/>
      <c r="Q2113" s="7"/>
      <c r="R2113" s="7"/>
      <c r="S2113" s="7"/>
      <c r="T2113" s="7"/>
      <c r="U2113" s="7"/>
      <c r="V2113" s="253"/>
      <c r="W2113" s="7"/>
      <c r="X2113" s="256"/>
      <c r="Y2113" s="256"/>
      <c r="Z2113" s="256"/>
      <c r="AA2113" s="256"/>
      <c r="AB2113" s="257"/>
      <c r="AC2113" s="258"/>
      <c r="AD2113" s="7"/>
      <c r="AE2113" s="253"/>
      <c r="AF2113" s="253"/>
      <c r="AG2113" s="259"/>
      <c r="AH2113" s="253"/>
      <c r="AI2113" s="253"/>
      <c r="AJ2113" s="7"/>
      <c r="AK2113" s="253"/>
      <c r="AL2113" s="253"/>
      <c r="AM2113" s="7"/>
      <c r="AN2113" s="253"/>
      <c r="AO2113" s="253"/>
      <c r="AP2113" s="253"/>
      <c r="AQ2113" s="253"/>
      <c r="AR2113" s="253"/>
      <c r="AS2113" s="253"/>
      <c r="AT2113" s="253"/>
      <c r="AU2113" s="253"/>
      <c r="AV2113" s="253"/>
      <c r="AW2113" s="253"/>
      <c r="AX2113" s="253"/>
      <c r="AY2113" s="253"/>
      <c r="AZ2113" s="253"/>
    </row>
    <row r="2114" spans="1:52" ht="15.5" customHeight="1">
      <c r="A2114" s="363"/>
      <c r="B2114" s="343"/>
      <c r="C2114" s="7"/>
      <c r="D2114" s="254"/>
      <c r="E2114" s="254"/>
      <c r="F2114" s="254"/>
      <c r="G2114" s="253"/>
      <c r="H2114" s="253"/>
      <c r="I2114" s="253"/>
      <c r="J2114" s="253"/>
      <c r="K2114" s="253"/>
      <c r="L2114" s="7"/>
      <c r="M2114" s="7"/>
      <c r="N2114" s="253"/>
      <c r="O2114" s="255"/>
      <c r="P2114" s="253"/>
      <c r="Q2114" s="7"/>
      <c r="R2114" s="7"/>
      <c r="S2114" s="7"/>
      <c r="T2114" s="7"/>
      <c r="U2114" s="7"/>
      <c r="V2114" s="253"/>
      <c r="W2114" s="7"/>
      <c r="X2114" s="256"/>
      <c r="Y2114" s="256"/>
      <c r="Z2114" s="256"/>
      <c r="AA2114" s="256"/>
      <c r="AB2114" s="257"/>
      <c r="AC2114" s="258"/>
      <c r="AD2114" s="7"/>
      <c r="AE2114" s="253"/>
      <c r="AF2114" s="253"/>
      <c r="AG2114" s="259"/>
      <c r="AH2114" s="253"/>
      <c r="AI2114" s="253"/>
      <c r="AJ2114" s="7"/>
      <c r="AK2114" s="253"/>
      <c r="AL2114" s="253"/>
      <c r="AM2114" s="7"/>
      <c r="AN2114" s="253"/>
      <c r="AO2114" s="253"/>
      <c r="AP2114" s="253"/>
      <c r="AQ2114" s="253"/>
      <c r="AR2114" s="253"/>
      <c r="AS2114" s="253"/>
      <c r="AT2114" s="253"/>
      <c r="AU2114" s="253"/>
      <c r="AV2114" s="253"/>
      <c r="AW2114" s="253"/>
      <c r="AX2114" s="253"/>
      <c r="AY2114" s="253"/>
      <c r="AZ2114" s="253"/>
    </row>
    <row r="2115" spans="1:52" ht="15.5" customHeight="1">
      <c r="A2115" s="363"/>
      <c r="B2115" s="343"/>
      <c r="C2115" s="7"/>
      <c r="D2115" s="254"/>
      <c r="E2115" s="254"/>
      <c r="F2115" s="254"/>
      <c r="G2115" s="253"/>
      <c r="H2115" s="253"/>
      <c r="I2115" s="253"/>
      <c r="J2115" s="253"/>
      <c r="K2115" s="253"/>
      <c r="L2115" s="7"/>
      <c r="M2115" s="7"/>
      <c r="N2115" s="253"/>
      <c r="O2115" s="255"/>
      <c r="P2115" s="253"/>
      <c r="Q2115" s="7"/>
      <c r="R2115" s="7"/>
      <c r="S2115" s="7"/>
      <c r="T2115" s="7"/>
      <c r="U2115" s="7"/>
      <c r="V2115" s="253"/>
      <c r="W2115" s="7"/>
      <c r="X2115" s="256"/>
      <c r="Y2115" s="256"/>
      <c r="Z2115" s="256"/>
      <c r="AA2115" s="256"/>
      <c r="AB2115" s="257"/>
      <c r="AC2115" s="258"/>
      <c r="AD2115" s="7"/>
      <c r="AE2115" s="253"/>
      <c r="AF2115" s="253"/>
      <c r="AG2115" s="259"/>
      <c r="AH2115" s="253"/>
      <c r="AI2115" s="253"/>
      <c r="AJ2115" s="7"/>
      <c r="AK2115" s="253"/>
      <c r="AL2115" s="253"/>
      <c r="AM2115" s="7"/>
      <c r="AN2115" s="253"/>
      <c r="AO2115" s="253"/>
      <c r="AP2115" s="253"/>
      <c r="AQ2115" s="253"/>
      <c r="AR2115" s="253"/>
      <c r="AS2115" s="253"/>
      <c r="AT2115" s="253"/>
      <c r="AU2115" s="253"/>
      <c r="AV2115" s="253"/>
      <c r="AW2115" s="253"/>
      <c r="AX2115" s="253"/>
      <c r="AY2115" s="253"/>
      <c r="AZ2115" s="253"/>
    </row>
    <row r="2116" spans="1:52" ht="15.5" customHeight="1">
      <c r="A2116" s="363"/>
      <c r="B2116" s="343"/>
      <c r="C2116" s="7"/>
      <c r="D2116" s="254"/>
      <c r="E2116" s="254"/>
      <c r="F2116" s="254"/>
      <c r="G2116" s="253"/>
      <c r="H2116" s="253"/>
      <c r="I2116" s="253"/>
      <c r="J2116" s="253"/>
      <c r="K2116" s="253"/>
      <c r="L2116" s="7"/>
      <c r="M2116" s="7"/>
      <c r="N2116" s="253"/>
      <c r="O2116" s="255"/>
      <c r="P2116" s="253"/>
      <c r="Q2116" s="7"/>
      <c r="R2116" s="7"/>
      <c r="S2116" s="7"/>
      <c r="T2116" s="7"/>
      <c r="U2116" s="7"/>
      <c r="V2116" s="253"/>
      <c r="W2116" s="7"/>
      <c r="X2116" s="256"/>
      <c r="Y2116" s="256"/>
      <c r="Z2116" s="256"/>
      <c r="AA2116" s="256"/>
      <c r="AB2116" s="257"/>
      <c r="AC2116" s="258"/>
      <c r="AD2116" s="7"/>
      <c r="AE2116" s="253"/>
      <c r="AF2116" s="253"/>
      <c r="AG2116" s="259"/>
      <c r="AH2116" s="253"/>
      <c r="AI2116" s="253"/>
      <c r="AJ2116" s="7"/>
      <c r="AK2116" s="253"/>
      <c r="AL2116" s="253"/>
      <c r="AM2116" s="7"/>
      <c r="AN2116" s="253"/>
      <c r="AO2116" s="253"/>
      <c r="AP2116" s="253"/>
      <c r="AQ2116" s="253"/>
      <c r="AR2116" s="253"/>
      <c r="AS2116" s="253"/>
      <c r="AT2116" s="253"/>
      <c r="AU2116" s="253"/>
      <c r="AV2116" s="253"/>
      <c r="AW2116" s="253"/>
      <c r="AX2116" s="253"/>
      <c r="AY2116" s="253"/>
      <c r="AZ2116" s="253"/>
    </row>
    <row r="2117" spans="1:52" ht="15.5" customHeight="1">
      <c r="A2117" s="363"/>
      <c r="B2117" s="343"/>
      <c r="C2117" s="7"/>
      <c r="D2117" s="254"/>
      <c r="E2117" s="254"/>
      <c r="F2117" s="254"/>
      <c r="G2117" s="253"/>
      <c r="H2117" s="253"/>
      <c r="I2117" s="253"/>
      <c r="J2117" s="253"/>
      <c r="K2117" s="253"/>
      <c r="L2117" s="7"/>
      <c r="M2117" s="7"/>
      <c r="N2117" s="253"/>
      <c r="O2117" s="255"/>
      <c r="P2117" s="253"/>
      <c r="Q2117" s="7"/>
      <c r="R2117" s="7"/>
      <c r="S2117" s="7"/>
      <c r="T2117" s="7"/>
      <c r="U2117" s="7"/>
      <c r="V2117" s="253"/>
      <c r="W2117" s="7"/>
      <c r="X2117" s="256"/>
      <c r="Y2117" s="256"/>
      <c r="Z2117" s="256"/>
      <c r="AA2117" s="256"/>
      <c r="AB2117" s="257"/>
      <c r="AC2117" s="258"/>
      <c r="AD2117" s="7"/>
      <c r="AE2117" s="253"/>
      <c r="AF2117" s="253"/>
      <c r="AG2117" s="259"/>
      <c r="AH2117" s="253"/>
      <c r="AI2117" s="253"/>
      <c r="AJ2117" s="7"/>
      <c r="AK2117" s="253"/>
      <c r="AL2117" s="253"/>
      <c r="AM2117" s="7"/>
      <c r="AN2117" s="253"/>
      <c r="AO2117" s="253"/>
      <c r="AP2117" s="253"/>
      <c r="AQ2117" s="253"/>
      <c r="AR2117" s="253"/>
      <c r="AS2117" s="253"/>
      <c r="AT2117" s="253"/>
      <c r="AU2117" s="253"/>
      <c r="AV2117" s="253"/>
      <c r="AW2117" s="253"/>
      <c r="AX2117" s="253"/>
      <c r="AY2117" s="253"/>
      <c r="AZ2117" s="253"/>
    </row>
    <row r="2118" spans="1:52" ht="15.5" customHeight="1">
      <c r="A2118" s="363"/>
      <c r="B2118" s="343"/>
      <c r="C2118" s="7"/>
      <c r="D2118" s="254"/>
      <c r="E2118" s="254"/>
      <c r="F2118" s="254"/>
      <c r="G2118" s="253"/>
      <c r="H2118" s="253"/>
      <c r="I2118" s="253"/>
      <c r="J2118" s="253"/>
      <c r="K2118" s="253"/>
      <c r="L2118" s="7"/>
      <c r="M2118" s="7"/>
      <c r="N2118" s="253"/>
      <c r="O2118" s="255"/>
      <c r="P2118" s="253"/>
      <c r="Q2118" s="7"/>
      <c r="R2118" s="7"/>
      <c r="S2118" s="7"/>
      <c r="T2118" s="7"/>
      <c r="U2118" s="7"/>
      <c r="V2118" s="253"/>
      <c r="W2118" s="7"/>
      <c r="X2118" s="256"/>
      <c r="Y2118" s="256"/>
      <c r="Z2118" s="256"/>
      <c r="AA2118" s="256"/>
      <c r="AB2118" s="257"/>
      <c r="AC2118" s="258"/>
      <c r="AD2118" s="7"/>
      <c r="AE2118" s="253"/>
      <c r="AF2118" s="253"/>
      <c r="AG2118" s="259"/>
      <c r="AH2118" s="253"/>
      <c r="AI2118" s="253"/>
      <c r="AJ2118" s="7"/>
      <c r="AK2118" s="253"/>
      <c r="AL2118" s="253"/>
      <c r="AM2118" s="7"/>
      <c r="AN2118" s="253"/>
      <c r="AO2118" s="253"/>
      <c r="AP2118" s="253"/>
      <c r="AQ2118" s="253"/>
      <c r="AR2118" s="253"/>
      <c r="AS2118" s="253"/>
      <c r="AT2118" s="253"/>
      <c r="AU2118" s="253"/>
      <c r="AV2118" s="253"/>
      <c r="AW2118" s="253"/>
      <c r="AX2118" s="253"/>
      <c r="AY2118" s="253"/>
      <c r="AZ2118" s="253"/>
    </row>
    <row r="2119" spans="1:52" ht="15.5" customHeight="1">
      <c r="A2119" s="363"/>
      <c r="B2119" s="343"/>
      <c r="C2119" s="7"/>
      <c r="D2119" s="254"/>
      <c r="E2119" s="254"/>
      <c r="F2119" s="254"/>
      <c r="G2119" s="253"/>
      <c r="H2119" s="253"/>
      <c r="I2119" s="253"/>
      <c r="J2119" s="253"/>
      <c r="K2119" s="253"/>
      <c r="L2119" s="7"/>
      <c r="M2119" s="7"/>
      <c r="N2119" s="253"/>
      <c r="O2119" s="255"/>
      <c r="P2119" s="253"/>
      <c r="Q2119" s="7"/>
      <c r="R2119" s="7"/>
      <c r="S2119" s="7"/>
      <c r="T2119" s="7"/>
      <c r="U2119" s="7"/>
      <c r="V2119" s="253"/>
      <c r="W2119" s="7"/>
      <c r="X2119" s="256"/>
      <c r="Y2119" s="256"/>
      <c r="Z2119" s="256"/>
      <c r="AA2119" s="256"/>
      <c r="AB2119" s="257"/>
      <c r="AC2119" s="258"/>
      <c r="AD2119" s="7"/>
      <c r="AE2119" s="253"/>
      <c r="AF2119" s="253"/>
      <c r="AG2119" s="259"/>
      <c r="AH2119" s="253"/>
      <c r="AI2119" s="253"/>
      <c r="AJ2119" s="7"/>
      <c r="AK2119" s="253"/>
      <c r="AL2119" s="253"/>
      <c r="AM2119" s="7"/>
      <c r="AN2119" s="253"/>
      <c r="AO2119" s="253"/>
      <c r="AP2119" s="253"/>
      <c r="AQ2119" s="253"/>
      <c r="AR2119" s="253"/>
      <c r="AS2119" s="253"/>
      <c r="AT2119" s="253"/>
      <c r="AU2119" s="253"/>
      <c r="AV2119" s="253"/>
      <c r="AW2119" s="253"/>
      <c r="AX2119" s="253"/>
      <c r="AY2119" s="253"/>
      <c r="AZ2119" s="253"/>
    </row>
    <row r="2120" spans="1:52" ht="15.5" customHeight="1">
      <c r="A2120" s="363"/>
      <c r="B2120" s="343"/>
      <c r="C2120" s="7"/>
      <c r="D2120" s="254"/>
      <c r="E2120" s="254"/>
      <c r="F2120" s="254"/>
      <c r="G2120" s="253"/>
      <c r="H2120" s="253"/>
      <c r="I2120" s="253"/>
      <c r="J2120" s="253"/>
      <c r="K2120" s="253"/>
      <c r="L2120" s="7"/>
      <c r="M2120" s="7"/>
      <c r="N2120" s="253"/>
      <c r="O2120" s="255"/>
      <c r="P2120" s="253"/>
      <c r="Q2120" s="7"/>
      <c r="R2120" s="7"/>
      <c r="S2120" s="7"/>
      <c r="T2120" s="7"/>
      <c r="U2120" s="7"/>
      <c r="V2120" s="253"/>
      <c r="W2120" s="7"/>
      <c r="X2120" s="256"/>
      <c r="Y2120" s="256"/>
      <c r="Z2120" s="256"/>
      <c r="AA2120" s="256"/>
      <c r="AB2120" s="257"/>
      <c r="AC2120" s="258"/>
      <c r="AD2120" s="7"/>
      <c r="AE2120" s="253"/>
      <c r="AF2120" s="253"/>
      <c r="AG2120" s="259"/>
      <c r="AH2120" s="253"/>
      <c r="AI2120" s="253"/>
      <c r="AJ2120" s="7"/>
      <c r="AK2120" s="253"/>
      <c r="AL2120" s="253"/>
      <c r="AM2120" s="7"/>
      <c r="AN2120" s="253"/>
      <c r="AO2120" s="253"/>
      <c r="AP2120" s="253"/>
      <c r="AQ2120" s="253"/>
      <c r="AR2120" s="253"/>
      <c r="AS2120" s="253"/>
      <c r="AT2120" s="253"/>
      <c r="AU2120" s="253"/>
      <c r="AV2120" s="253"/>
      <c r="AW2120" s="253"/>
      <c r="AX2120" s="253"/>
      <c r="AY2120" s="253"/>
      <c r="AZ2120" s="253"/>
    </row>
    <row r="2121" spans="1:52" ht="15.5" customHeight="1">
      <c r="A2121" s="363"/>
      <c r="B2121" s="343"/>
      <c r="C2121" s="7"/>
      <c r="D2121" s="254"/>
      <c r="E2121" s="254"/>
      <c r="F2121" s="254"/>
      <c r="G2121" s="253"/>
      <c r="H2121" s="253"/>
      <c r="I2121" s="253"/>
      <c r="J2121" s="253"/>
      <c r="K2121" s="253"/>
      <c r="L2121" s="7"/>
      <c r="M2121" s="7"/>
      <c r="N2121" s="253"/>
      <c r="O2121" s="255"/>
      <c r="P2121" s="253"/>
      <c r="Q2121" s="7"/>
      <c r="R2121" s="7"/>
      <c r="S2121" s="7"/>
      <c r="T2121" s="7"/>
      <c r="U2121" s="7"/>
      <c r="V2121" s="253"/>
      <c r="W2121" s="7"/>
      <c r="X2121" s="256"/>
      <c r="Y2121" s="256"/>
      <c r="Z2121" s="256"/>
      <c r="AA2121" s="256"/>
      <c r="AB2121" s="257"/>
      <c r="AC2121" s="258"/>
      <c r="AD2121" s="7"/>
      <c r="AE2121" s="253"/>
      <c r="AF2121" s="253"/>
      <c r="AG2121" s="259"/>
      <c r="AH2121" s="253"/>
      <c r="AI2121" s="253"/>
      <c r="AJ2121" s="7"/>
      <c r="AK2121" s="253"/>
      <c r="AL2121" s="253"/>
      <c r="AM2121" s="7"/>
      <c r="AN2121" s="253"/>
      <c r="AO2121" s="253"/>
      <c r="AP2121" s="253"/>
      <c r="AQ2121" s="253"/>
      <c r="AR2121" s="253"/>
      <c r="AS2121" s="253"/>
      <c r="AT2121" s="253"/>
      <c r="AU2121" s="253"/>
      <c r="AV2121" s="253"/>
      <c r="AW2121" s="253"/>
      <c r="AX2121" s="253"/>
      <c r="AY2121" s="253"/>
      <c r="AZ2121" s="253"/>
    </row>
    <row r="2122" spans="1:52" ht="15.5" customHeight="1">
      <c r="A2122" s="363"/>
      <c r="B2122" s="343"/>
      <c r="C2122" s="7"/>
      <c r="D2122" s="254"/>
      <c r="E2122" s="254"/>
      <c r="F2122" s="254"/>
      <c r="G2122" s="253"/>
      <c r="H2122" s="253"/>
      <c r="I2122" s="253"/>
      <c r="J2122" s="253"/>
      <c r="K2122" s="253"/>
      <c r="L2122" s="7"/>
      <c r="M2122" s="7"/>
      <c r="N2122" s="253"/>
      <c r="O2122" s="255"/>
      <c r="P2122" s="253"/>
      <c r="Q2122" s="7"/>
      <c r="R2122" s="7"/>
      <c r="S2122" s="7"/>
      <c r="T2122" s="7"/>
      <c r="U2122" s="7"/>
      <c r="V2122" s="253"/>
      <c r="W2122" s="7"/>
      <c r="X2122" s="256"/>
      <c r="Y2122" s="256"/>
      <c r="Z2122" s="256"/>
      <c r="AA2122" s="256"/>
      <c r="AB2122" s="257"/>
      <c r="AC2122" s="258"/>
      <c r="AD2122" s="7"/>
      <c r="AE2122" s="253"/>
      <c r="AF2122" s="253"/>
      <c r="AG2122" s="259"/>
      <c r="AH2122" s="253"/>
      <c r="AI2122" s="253"/>
      <c r="AJ2122" s="7"/>
      <c r="AK2122" s="253"/>
      <c r="AL2122" s="253"/>
      <c r="AM2122" s="7"/>
      <c r="AN2122" s="253"/>
      <c r="AO2122" s="253"/>
      <c r="AP2122" s="253"/>
      <c r="AQ2122" s="253"/>
      <c r="AR2122" s="253"/>
      <c r="AS2122" s="253"/>
      <c r="AT2122" s="253"/>
      <c r="AU2122" s="253"/>
      <c r="AV2122" s="253"/>
      <c r="AW2122" s="253"/>
      <c r="AX2122" s="253"/>
      <c r="AY2122" s="253"/>
      <c r="AZ2122" s="253"/>
    </row>
    <row r="2123" spans="1:52" ht="15.5" customHeight="1">
      <c r="A2123" s="363"/>
      <c r="B2123" s="343"/>
      <c r="C2123" s="7"/>
      <c r="D2123" s="254"/>
      <c r="E2123" s="254"/>
      <c r="F2123" s="254"/>
      <c r="G2123" s="253"/>
      <c r="H2123" s="253"/>
      <c r="I2123" s="253"/>
      <c r="J2123" s="253"/>
      <c r="K2123" s="253"/>
      <c r="L2123" s="7"/>
      <c r="M2123" s="7"/>
      <c r="N2123" s="253"/>
      <c r="O2123" s="255"/>
      <c r="P2123" s="253"/>
      <c r="Q2123" s="7"/>
      <c r="R2123" s="7"/>
      <c r="S2123" s="7"/>
      <c r="T2123" s="7"/>
      <c r="U2123" s="7"/>
      <c r="V2123" s="253"/>
      <c r="W2123" s="7"/>
      <c r="X2123" s="256"/>
      <c r="Y2123" s="256"/>
      <c r="Z2123" s="256"/>
      <c r="AA2123" s="256"/>
      <c r="AB2123" s="257"/>
      <c r="AC2123" s="258"/>
      <c r="AD2123" s="7"/>
      <c r="AE2123" s="253"/>
      <c r="AF2123" s="253"/>
      <c r="AG2123" s="259"/>
      <c r="AH2123" s="253"/>
      <c r="AI2123" s="253"/>
      <c r="AJ2123" s="7"/>
      <c r="AK2123" s="253"/>
      <c r="AL2123" s="253"/>
      <c r="AM2123" s="7"/>
      <c r="AN2123" s="253"/>
      <c r="AO2123" s="253"/>
      <c r="AP2123" s="253"/>
      <c r="AQ2123" s="253"/>
      <c r="AR2123" s="253"/>
      <c r="AS2123" s="253"/>
      <c r="AT2123" s="253"/>
      <c r="AU2123" s="253"/>
      <c r="AV2123" s="253"/>
      <c r="AW2123" s="253"/>
      <c r="AX2123" s="253"/>
      <c r="AY2123" s="253"/>
      <c r="AZ2123" s="253"/>
    </row>
    <row r="2124" spans="1:52" ht="15.5" customHeight="1">
      <c r="A2124" s="363"/>
      <c r="B2124" s="343"/>
      <c r="C2124" s="7"/>
      <c r="D2124" s="254"/>
      <c r="E2124" s="254"/>
      <c r="F2124" s="254"/>
      <c r="G2124" s="253"/>
      <c r="H2124" s="253"/>
      <c r="I2124" s="253"/>
      <c r="J2124" s="253"/>
      <c r="K2124" s="253"/>
      <c r="L2124" s="7"/>
      <c r="M2124" s="7"/>
      <c r="N2124" s="253"/>
      <c r="O2124" s="255"/>
      <c r="P2124" s="253"/>
      <c r="Q2124" s="7"/>
      <c r="R2124" s="7"/>
      <c r="S2124" s="7"/>
      <c r="T2124" s="7"/>
      <c r="U2124" s="7"/>
      <c r="V2124" s="253"/>
      <c r="W2124" s="7"/>
      <c r="X2124" s="256"/>
      <c r="Y2124" s="256"/>
      <c r="Z2124" s="256"/>
      <c r="AA2124" s="256"/>
      <c r="AB2124" s="257"/>
      <c r="AC2124" s="258"/>
      <c r="AD2124" s="7"/>
      <c r="AE2124" s="253"/>
      <c r="AF2124" s="253"/>
      <c r="AG2124" s="259"/>
      <c r="AH2124" s="253"/>
      <c r="AI2124" s="253"/>
      <c r="AJ2124" s="7"/>
      <c r="AK2124" s="253"/>
      <c r="AL2124" s="253"/>
      <c r="AM2124" s="7"/>
      <c r="AN2124" s="253"/>
      <c r="AO2124" s="253"/>
      <c r="AP2124" s="253"/>
      <c r="AQ2124" s="253"/>
      <c r="AR2124" s="253"/>
      <c r="AS2124" s="253"/>
      <c r="AT2124" s="253"/>
      <c r="AU2124" s="253"/>
      <c r="AV2124" s="253"/>
      <c r="AW2124" s="253"/>
      <c r="AX2124" s="253"/>
      <c r="AY2124" s="253"/>
      <c r="AZ2124" s="253"/>
    </row>
    <row r="2125" spans="1:52" ht="15.5" customHeight="1">
      <c r="A2125" s="363"/>
      <c r="B2125" s="343"/>
      <c r="C2125" s="7"/>
      <c r="D2125" s="254"/>
      <c r="E2125" s="254"/>
      <c r="F2125" s="254"/>
      <c r="G2125" s="253"/>
      <c r="H2125" s="253"/>
      <c r="I2125" s="253"/>
      <c r="J2125" s="253"/>
      <c r="K2125" s="253"/>
      <c r="L2125" s="7"/>
      <c r="M2125" s="7"/>
      <c r="N2125" s="253"/>
      <c r="O2125" s="255"/>
      <c r="P2125" s="253"/>
      <c r="Q2125" s="7"/>
      <c r="R2125" s="7"/>
      <c r="S2125" s="7"/>
      <c r="T2125" s="7"/>
      <c r="U2125" s="7"/>
      <c r="V2125" s="253"/>
      <c r="W2125" s="7"/>
      <c r="X2125" s="256"/>
      <c r="Y2125" s="256"/>
      <c r="Z2125" s="256"/>
      <c r="AA2125" s="256"/>
      <c r="AB2125" s="257"/>
      <c r="AC2125" s="258"/>
      <c r="AD2125" s="7"/>
      <c r="AE2125" s="253"/>
      <c r="AF2125" s="253"/>
      <c r="AG2125" s="259"/>
      <c r="AH2125" s="253"/>
      <c r="AI2125" s="253"/>
      <c r="AJ2125" s="7"/>
      <c r="AK2125" s="253"/>
      <c r="AL2125" s="253"/>
      <c r="AM2125" s="7"/>
      <c r="AN2125" s="253"/>
      <c r="AO2125" s="253"/>
      <c r="AP2125" s="253"/>
      <c r="AQ2125" s="253"/>
      <c r="AR2125" s="253"/>
      <c r="AS2125" s="253"/>
      <c r="AT2125" s="253"/>
      <c r="AU2125" s="253"/>
      <c r="AV2125" s="253"/>
      <c r="AW2125" s="253"/>
      <c r="AX2125" s="253"/>
      <c r="AY2125" s="253"/>
      <c r="AZ2125" s="253"/>
    </row>
    <row r="2126" spans="1:52" ht="15.5" customHeight="1">
      <c r="A2126" s="363"/>
      <c r="B2126" s="343"/>
      <c r="C2126" s="7"/>
      <c r="D2126" s="254"/>
      <c r="E2126" s="254"/>
      <c r="F2126" s="254"/>
      <c r="G2126" s="253"/>
      <c r="H2126" s="253"/>
      <c r="I2126" s="253"/>
      <c r="J2126" s="253"/>
      <c r="K2126" s="253"/>
      <c r="L2126" s="7"/>
      <c r="M2126" s="7"/>
      <c r="N2126" s="253"/>
      <c r="O2126" s="255"/>
      <c r="P2126" s="253"/>
      <c r="Q2126" s="7"/>
      <c r="R2126" s="7"/>
      <c r="S2126" s="7"/>
      <c r="T2126" s="7"/>
      <c r="U2126" s="7"/>
      <c r="V2126" s="253"/>
      <c r="W2126" s="7"/>
      <c r="X2126" s="256"/>
      <c r="Y2126" s="256"/>
      <c r="Z2126" s="256"/>
      <c r="AA2126" s="256"/>
      <c r="AB2126" s="257"/>
      <c r="AC2126" s="258"/>
      <c r="AD2126" s="7"/>
      <c r="AE2126" s="253"/>
      <c r="AF2126" s="253"/>
      <c r="AG2126" s="259"/>
      <c r="AH2126" s="253"/>
      <c r="AI2126" s="253"/>
      <c r="AJ2126" s="7"/>
      <c r="AK2126" s="253"/>
      <c r="AL2126" s="253"/>
      <c r="AM2126" s="7"/>
      <c r="AN2126" s="253"/>
      <c r="AO2126" s="253"/>
      <c r="AP2126" s="253"/>
      <c r="AQ2126" s="253"/>
      <c r="AR2126" s="253"/>
      <c r="AS2126" s="253"/>
      <c r="AT2126" s="253"/>
      <c r="AU2126" s="253"/>
      <c r="AV2126" s="253"/>
      <c r="AW2126" s="253"/>
      <c r="AX2126" s="253"/>
      <c r="AY2126" s="253"/>
      <c r="AZ2126" s="253"/>
    </row>
    <row r="2127" spans="1:52" ht="15.5" customHeight="1">
      <c r="A2127" s="363"/>
      <c r="B2127" s="343"/>
      <c r="C2127" s="7"/>
      <c r="D2127" s="254"/>
      <c r="E2127" s="254"/>
      <c r="F2127" s="254"/>
      <c r="G2127" s="253"/>
      <c r="H2127" s="253"/>
      <c r="I2127" s="253"/>
      <c r="J2127" s="253"/>
      <c r="K2127" s="253"/>
      <c r="L2127" s="7"/>
      <c r="M2127" s="7"/>
      <c r="N2127" s="253"/>
      <c r="O2127" s="255"/>
      <c r="P2127" s="253"/>
      <c r="Q2127" s="7"/>
      <c r="R2127" s="7"/>
      <c r="S2127" s="7"/>
      <c r="T2127" s="7"/>
      <c r="U2127" s="7"/>
      <c r="V2127" s="253"/>
      <c r="W2127" s="7"/>
      <c r="X2127" s="256"/>
      <c r="Y2127" s="256"/>
      <c r="Z2127" s="256"/>
      <c r="AA2127" s="256"/>
      <c r="AB2127" s="257"/>
      <c r="AC2127" s="258"/>
      <c r="AD2127" s="7"/>
      <c r="AE2127" s="253"/>
      <c r="AF2127" s="253"/>
      <c r="AG2127" s="259"/>
      <c r="AH2127" s="253"/>
      <c r="AI2127" s="253"/>
      <c r="AJ2127" s="7"/>
      <c r="AK2127" s="253"/>
      <c r="AL2127" s="253"/>
      <c r="AM2127" s="7"/>
      <c r="AN2127" s="253"/>
      <c r="AO2127" s="253"/>
      <c r="AP2127" s="253"/>
      <c r="AQ2127" s="253"/>
      <c r="AR2127" s="253"/>
      <c r="AS2127" s="253"/>
      <c r="AT2127" s="253"/>
      <c r="AU2127" s="253"/>
      <c r="AV2127" s="253"/>
      <c r="AW2127" s="253"/>
      <c r="AX2127" s="253"/>
      <c r="AY2127" s="253"/>
      <c r="AZ2127" s="253"/>
    </row>
    <row r="2128" spans="1:52" ht="15.5" customHeight="1">
      <c r="A2128" s="363"/>
      <c r="B2128" s="343"/>
      <c r="C2128" s="7"/>
      <c r="D2128" s="254"/>
      <c r="E2128" s="254"/>
      <c r="F2128" s="254"/>
      <c r="G2128" s="253"/>
      <c r="H2128" s="253"/>
      <c r="I2128" s="253"/>
      <c r="J2128" s="253"/>
      <c r="K2128" s="253"/>
      <c r="L2128" s="7"/>
      <c r="M2128" s="7"/>
      <c r="N2128" s="253"/>
      <c r="O2128" s="255"/>
      <c r="P2128" s="253"/>
      <c r="Q2128" s="7"/>
      <c r="R2128" s="7"/>
      <c r="S2128" s="7"/>
      <c r="T2128" s="7"/>
      <c r="U2128" s="7"/>
      <c r="V2128" s="253"/>
      <c r="W2128" s="7"/>
      <c r="X2128" s="256"/>
      <c r="Y2128" s="256"/>
      <c r="Z2128" s="256"/>
      <c r="AA2128" s="256"/>
      <c r="AB2128" s="257"/>
      <c r="AC2128" s="258"/>
      <c r="AD2128" s="7"/>
      <c r="AE2128" s="253"/>
      <c r="AF2128" s="253"/>
      <c r="AG2128" s="259"/>
      <c r="AH2128" s="253"/>
      <c r="AI2128" s="253"/>
      <c r="AJ2128" s="7"/>
      <c r="AK2128" s="253"/>
      <c r="AL2128" s="253"/>
      <c r="AM2128" s="7"/>
      <c r="AN2128" s="253"/>
      <c r="AO2128" s="253"/>
      <c r="AP2128" s="253"/>
      <c r="AQ2128" s="253"/>
      <c r="AR2128" s="253"/>
      <c r="AS2128" s="253"/>
      <c r="AT2128" s="253"/>
      <c r="AU2128" s="253"/>
      <c r="AV2128" s="253"/>
      <c r="AW2128" s="253"/>
      <c r="AX2128" s="253"/>
      <c r="AY2128" s="253"/>
      <c r="AZ2128" s="253"/>
    </row>
    <row r="2129" spans="1:52" ht="15.5" customHeight="1">
      <c r="A2129" s="363"/>
      <c r="B2129" s="343"/>
      <c r="C2129" s="7"/>
      <c r="D2129" s="254"/>
      <c r="E2129" s="254"/>
      <c r="F2129" s="254"/>
      <c r="G2129" s="253"/>
      <c r="H2129" s="253"/>
      <c r="I2129" s="253"/>
      <c r="J2129" s="253"/>
      <c r="K2129" s="253"/>
      <c r="L2129" s="7"/>
      <c r="M2129" s="7"/>
      <c r="N2129" s="253"/>
      <c r="O2129" s="255"/>
      <c r="P2129" s="253"/>
      <c r="Q2129" s="7"/>
      <c r="R2129" s="7"/>
      <c r="S2129" s="7"/>
      <c r="T2129" s="7"/>
      <c r="U2129" s="7"/>
      <c r="V2129" s="253"/>
      <c r="W2129" s="7"/>
      <c r="X2129" s="256"/>
      <c r="Y2129" s="256"/>
      <c r="Z2129" s="256"/>
      <c r="AA2129" s="256"/>
      <c r="AB2129" s="257"/>
      <c r="AC2129" s="258"/>
      <c r="AD2129" s="7"/>
      <c r="AE2129" s="253"/>
      <c r="AF2129" s="253"/>
      <c r="AG2129" s="259"/>
      <c r="AH2129" s="253"/>
      <c r="AI2129" s="253"/>
      <c r="AJ2129" s="7"/>
      <c r="AK2129" s="253"/>
      <c r="AL2129" s="253"/>
      <c r="AM2129" s="7"/>
      <c r="AN2129" s="253"/>
      <c r="AO2129" s="253"/>
      <c r="AP2129" s="253"/>
      <c r="AQ2129" s="253"/>
      <c r="AR2129" s="253"/>
      <c r="AS2129" s="253"/>
      <c r="AT2129" s="253"/>
      <c r="AU2129" s="253"/>
      <c r="AV2129" s="253"/>
      <c r="AW2129" s="253"/>
      <c r="AX2129" s="253"/>
      <c r="AY2129" s="253"/>
      <c r="AZ2129" s="253"/>
    </row>
    <row r="2130" spans="1:52" ht="15.5" customHeight="1">
      <c r="A2130" s="363"/>
      <c r="B2130" s="343"/>
      <c r="C2130" s="7"/>
      <c r="D2130" s="254"/>
      <c r="E2130" s="254"/>
      <c r="F2130" s="254"/>
      <c r="G2130" s="253"/>
      <c r="H2130" s="253"/>
      <c r="I2130" s="253"/>
      <c r="J2130" s="253"/>
      <c r="K2130" s="253"/>
      <c r="L2130" s="7"/>
      <c r="M2130" s="7"/>
      <c r="N2130" s="253"/>
      <c r="O2130" s="255"/>
      <c r="P2130" s="253"/>
      <c r="Q2130" s="7"/>
      <c r="R2130" s="7"/>
      <c r="S2130" s="7"/>
      <c r="T2130" s="7"/>
      <c r="U2130" s="7"/>
      <c r="V2130" s="253"/>
      <c r="W2130" s="7"/>
      <c r="X2130" s="256"/>
      <c r="Y2130" s="256"/>
      <c r="Z2130" s="256"/>
      <c r="AA2130" s="256"/>
      <c r="AB2130" s="257"/>
      <c r="AC2130" s="258"/>
      <c r="AD2130" s="7"/>
      <c r="AE2130" s="253"/>
      <c r="AF2130" s="253"/>
      <c r="AG2130" s="259"/>
      <c r="AH2130" s="253"/>
      <c r="AI2130" s="253"/>
      <c r="AJ2130" s="7"/>
      <c r="AK2130" s="253"/>
      <c r="AL2130" s="253"/>
      <c r="AM2130" s="7"/>
      <c r="AN2130" s="253"/>
      <c r="AO2130" s="253"/>
      <c r="AP2130" s="253"/>
      <c r="AQ2130" s="253"/>
      <c r="AR2130" s="253"/>
      <c r="AS2130" s="253"/>
      <c r="AT2130" s="253"/>
      <c r="AU2130" s="253"/>
      <c r="AV2130" s="253"/>
      <c r="AW2130" s="253"/>
      <c r="AX2130" s="253"/>
      <c r="AY2130" s="253"/>
      <c r="AZ2130" s="253"/>
    </row>
    <row r="2131" spans="1:52" ht="15.5" customHeight="1">
      <c r="A2131" s="363"/>
      <c r="B2131" s="343"/>
      <c r="C2131" s="7"/>
      <c r="D2131" s="254"/>
      <c r="E2131" s="254"/>
      <c r="F2131" s="254"/>
      <c r="G2131" s="253"/>
      <c r="H2131" s="253"/>
      <c r="I2131" s="253"/>
      <c r="J2131" s="253"/>
      <c r="K2131" s="253"/>
      <c r="L2131" s="7"/>
      <c r="M2131" s="7"/>
      <c r="N2131" s="253"/>
      <c r="O2131" s="255"/>
      <c r="P2131" s="253"/>
      <c r="Q2131" s="7"/>
      <c r="R2131" s="7"/>
      <c r="S2131" s="7"/>
      <c r="T2131" s="7"/>
      <c r="U2131" s="7"/>
      <c r="V2131" s="253"/>
      <c r="W2131" s="7"/>
      <c r="X2131" s="256"/>
      <c r="Y2131" s="256"/>
      <c r="Z2131" s="256"/>
      <c r="AA2131" s="256"/>
      <c r="AB2131" s="257"/>
      <c r="AC2131" s="258"/>
      <c r="AD2131" s="7"/>
      <c r="AE2131" s="253"/>
      <c r="AF2131" s="253"/>
      <c r="AG2131" s="259"/>
      <c r="AH2131" s="253"/>
      <c r="AI2131" s="253"/>
      <c r="AJ2131" s="7"/>
      <c r="AK2131" s="253"/>
      <c r="AL2131" s="253"/>
      <c r="AM2131" s="7"/>
      <c r="AN2131" s="253"/>
      <c r="AO2131" s="253"/>
      <c r="AP2131" s="253"/>
      <c r="AQ2131" s="253"/>
      <c r="AR2131" s="253"/>
      <c r="AS2131" s="253"/>
      <c r="AT2131" s="253"/>
      <c r="AU2131" s="253"/>
      <c r="AV2131" s="253"/>
      <c r="AW2131" s="253"/>
      <c r="AX2131" s="253"/>
      <c r="AY2131" s="253"/>
      <c r="AZ2131" s="253"/>
    </row>
    <row r="2132" spans="1:52" ht="15.5" customHeight="1">
      <c r="A2132" s="363"/>
      <c r="B2132" s="343"/>
      <c r="C2132" s="7"/>
      <c r="D2132" s="254"/>
      <c r="E2132" s="254"/>
      <c r="F2132" s="254"/>
      <c r="G2132" s="253"/>
      <c r="H2132" s="253"/>
      <c r="I2132" s="253"/>
      <c r="J2132" s="253"/>
      <c r="K2132" s="253"/>
      <c r="L2132" s="7"/>
      <c r="M2132" s="7"/>
      <c r="N2132" s="253"/>
      <c r="O2132" s="255"/>
      <c r="P2132" s="253"/>
      <c r="Q2132" s="7"/>
      <c r="R2132" s="7"/>
      <c r="S2132" s="7"/>
      <c r="T2132" s="7"/>
      <c r="U2132" s="7"/>
      <c r="V2132" s="253"/>
      <c r="W2132" s="7"/>
      <c r="X2132" s="256"/>
      <c r="Y2132" s="256"/>
      <c r="Z2132" s="256"/>
      <c r="AA2132" s="256"/>
      <c r="AB2132" s="257"/>
      <c r="AC2132" s="258"/>
      <c r="AD2132" s="7"/>
      <c r="AE2132" s="253"/>
      <c r="AF2132" s="253"/>
      <c r="AG2132" s="259"/>
      <c r="AH2132" s="253"/>
      <c r="AI2132" s="253"/>
      <c r="AJ2132" s="7"/>
      <c r="AK2132" s="253"/>
      <c r="AL2132" s="253"/>
      <c r="AM2132" s="7"/>
      <c r="AN2132" s="253"/>
      <c r="AO2132" s="253"/>
      <c r="AP2132" s="253"/>
      <c r="AQ2132" s="253"/>
      <c r="AR2132" s="253"/>
      <c r="AS2132" s="253"/>
      <c r="AT2132" s="253"/>
      <c r="AU2132" s="253"/>
      <c r="AV2132" s="253"/>
      <c r="AW2132" s="253"/>
      <c r="AX2132" s="253"/>
      <c r="AY2132" s="253"/>
      <c r="AZ2132" s="253"/>
    </row>
    <row r="2133" spans="1:52" ht="15.5" customHeight="1">
      <c r="A2133" s="363"/>
      <c r="B2133" s="343"/>
      <c r="C2133" s="7"/>
      <c r="D2133" s="254"/>
      <c r="E2133" s="254"/>
      <c r="F2133" s="254"/>
      <c r="G2133" s="253"/>
      <c r="H2133" s="253"/>
      <c r="I2133" s="253"/>
      <c r="J2133" s="253"/>
      <c r="K2133" s="253"/>
      <c r="L2133" s="7"/>
      <c r="M2133" s="7"/>
      <c r="N2133" s="253"/>
      <c r="O2133" s="255"/>
      <c r="P2133" s="253"/>
      <c r="Q2133" s="7"/>
      <c r="R2133" s="7"/>
      <c r="S2133" s="7"/>
      <c r="T2133" s="7"/>
      <c r="U2133" s="7"/>
      <c r="V2133" s="253"/>
      <c r="W2133" s="7"/>
      <c r="X2133" s="256"/>
      <c r="Y2133" s="256"/>
      <c r="Z2133" s="256"/>
      <c r="AA2133" s="256"/>
      <c r="AB2133" s="257"/>
      <c r="AC2133" s="258"/>
      <c r="AD2133" s="7"/>
      <c r="AE2133" s="253"/>
      <c r="AF2133" s="253"/>
      <c r="AG2133" s="259"/>
      <c r="AH2133" s="253"/>
      <c r="AI2133" s="253"/>
      <c r="AJ2133" s="7"/>
      <c r="AK2133" s="253"/>
      <c r="AL2133" s="253"/>
      <c r="AM2133" s="7"/>
      <c r="AN2133" s="253"/>
      <c r="AO2133" s="253"/>
      <c r="AP2133" s="253"/>
      <c r="AQ2133" s="253"/>
      <c r="AR2133" s="253"/>
      <c r="AS2133" s="253"/>
      <c r="AT2133" s="253"/>
      <c r="AU2133" s="253"/>
      <c r="AV2133" s="253"/>
      <c r="AW2133" s="253"/>
      <c r="AX2133" s="253"/>
      <c r="AY2133" s="253"/>
      <c r="AZ2133" s="253"/>
    </row>
    <row r="2134" spans="1:52" ht="15.5" customHeight="1">
      <c r="A2134" s="363"/>
      <c r="B2134" s="343"/>
      <c r="C2134" s="7"/>
      <c r="D2134" s="254"/>
      <c r="E2134" s="254"/>
      <c r="F2134" s="254"/>
      <c r="G2134" s="253"/>
      <c r="H2134" s="253"/>
      <c r="I2134" s="253"/>
      <c r="J2134" s="253"/>
      <c r="K2134" s="253"/>
      <c r="L2134" s="7"/>
      <c r="M2134" s="7"/>
      <c r="N2134" s="253"/>
      <c r="O2134" s="255"/>
      <c r="P2134" s="253"/>
      <c r="Q2134" s="7"/>
      <c r="R2134" s="7"/>
      <c r="S2134" s="7"/>
      <c r="T2134" s="7"/>
      <c r="U2134" s="7"/>
      <c r="V2134" s="253"/>
      <c r="W2134" s="7"/>
      <c r="X2134" s="256"/>
      <c r="Y2134" s="256"/>
      <c r="Z2134" s="256"/>
      <c r="AA2134" s="256"/>
      <c r="AB2134" s="257"/>
      <c r="AC2134" s="258"/>
      <c r="AD2134" s="7"/>
      <c r="AE2134" s="253"/>
      <c r="AF2134" s="253"/>
      <c r="AG2134" s="259"/>
      <c r="AH2134" s="253"/>
      <c r="AI2134" s="253"/>
      <c r="AJ2134" s="7"/>
      <c r="AK2134" s="253"/>
      <c r="AL2134" s="253"/>
      <c r="AM2134" s="7"/>
      <c r="AN2134" s="253"/>
      <c r="AO2134" s="253"/>
      <c r="AP2134" s="253"/>
      <c r="AQ2134" s="253"/>
      <c r="AR2134" s="253"/>
      <c r="AS2134" s="253"/>
      <c r="AT2134" s="253"/>
      <c r="AU2134" s="253"/>
      <c r="AV2134" s="253"/>
      <c r="AW2134" s="253"/>
      <c r="AX2134" s="253"/>
      <c r="AY2134" s="253"/>
      <c r="AZ2134" s="253"/>
    </row>
    <row r="2135" spans="1:52" ht="15.5" customHeight="1">
      <c r="A2135" s="363"/>
      <c r="B2135" s="343"/>
      <c r="C2135" s="7"/>
      <c r="D2135" s="254"/>
      <c r="E2135" s="254"/>
      <c r="F2135" s="254"/>
      <c r="G2135" s="253"/>
      <c r="H2135" s="253"/>
      <c r="I2135" s="253"/>
      <c r="J2135" s="253"/>
      <c r="K2135" s="253"/>
      <c r="L2135" s="7"/>
      <c r="M2135" s="7"/>
      <c r="N2135" s="253"/>
      <c r="O2135" s="255"/>
      <c r="P2135" s="253"/>
      <c r="Q2135" s="7"/>
      <c r="R2135" s="7"/>
      <c r="S2135" s="7"/>
      <c r="T2135" s="7"/>
      <c r="U2135" s="7"/>
      <c r="V2135" s="253"/>
      <c r="W2135" s="7"/>
      <c r="X2135" s="256"/>
      <c r="Y2135" s="256"/>
      <c r="Z2135" s="256"/>
      <c r="AA2135" s="256"/>
      <c r="AB2135" s="257"/>
      <c r="AC2135" s="258"/>
      <c r="AD2135" s="7"/>
      <c r="AE2135" s="253"/>
      <c r="AF2135" s="253"/>
      <c r="AG2135" s="259"/>
      <c r="AH2135" s="253"/>
      <c r="AI2135" s="253"/>
      <c r="AJ2135" s="7"/>
      <c r="AK2135" s="253"/>
      <c r="AL2135" s="253"/>
      <c r="AM2135" s="7"/>
      <c r="AN2135" s="253"/>
      <c r="AO2135" s="253"/>
      <c r="AP2135" s="253"/>
      <c r="AQ2135" s="253"/>
      <c r="AR2135" s="253"/>
      <c r="AS2135" s="253"/>
      <c r="AT2135" s="253"/>
      <c r="AU2135" s="253"/>
      <c r="AV2135" s="253"/>
      <c r="AW2135" s="253"/>
      <c r="AX2135" s="253"/>
      <c r="AY2135" s="253"/>
      <c r="AZ2135" s="253"/>
    </row>
    <row r="2136" spans="1:52" ht="15.5" customHeight="1">
      <c r="A2136" s="363"/>
      <c r="B2136" s="343"/>
      <c r="C2136" s="7"/>
      <c r="D2136" s="254"/>
      <c r="E2136" s="254"/>
      <c r="F2136" s="254"/>
      <c r="G2136" s="253"/>
      <c r="H2136" s="253"/>
      <c r="I2136" s="253"/>
      <c r="J2136" s="253"/>
      <c r="K2136" s="253"/>
      <c r="L2136" s="7"/>
      <c r="M2136" s="7"/>
      <c r="N2136" s="253"/>
      <c r="O2136" s="255"/>
      <c r="P2136" s="253"/>
      <c r="Q2136" s="7"/>
      <c r="R2136" s="7"/>
      <c r="S2136" s="7"/>
      <c r="T2136" s="7"/>
      <c r="U2136" s="7"/>
      <c r="V2136" s="253"/>
      <c r="W2136" s="7"/>
      <c r="X2136" s="256"/>
      <c r="Y2136" s="256"/>
      <c r="Z2136" s="256"/>
      <c r="AA2136" s="256"/>
      <c r="AB2136" s="257"/>
      <c r="AC2136" s="258"/>
      <c r="AD2136" s="7"/>
      <c r="AE2136" s="253"/>
      <c r="AF2136" s="253"/>
      <c r="AG2136" s="259"/>
      <c r="AH2136" s="253"/>
      <c r="AI2136" s="253"/>
      <c r="AJ2136" s="7"/>
      <c r="AK2136" s="253"/>
      <c r="AL2136" s="253"/>
      <c r="AM2136" s="7"/>
      <c r="AN2136" s="253"/>
      <c r="AO2136" s="253"/>
      <c r="AP2136" s="253"/>
      <c r="AQ2136" s="253"/>
      <c r="AR2136" s="253"/>
      <c r="AS2136" s="253"/>
      <c r="AT2136" s="253"/>
      <c r="AU2136" s="253"/>
      <c r="AV2136" s="253"/>
      <c r="AW2136" s="253"/>
      <c r="AX2136" s="253"/>
      <c r="AY2136" s="253"/>
      <c r="AZ2136" s="253"/>
    </row>
    <row r="2137" spans="1:52" ht="15.5" customHeight="1">
      <c r="A2137" s="363"/>
      <c r="B2137" s="343"/>
      <c r="C2137" s="7"/>
      <c r="D2137" s="254"/>
      <c r="E2137" s="254"/>
      <c r="F2137" s="254"/>
      <c r="G2137" s="253"/>
      <c r="H2137" s="253"/>
      <c r="I2137" s="253"/>
      <c r="J2137" s="253"/>
      <c r="K2137" s="253"/>
      <c r="L2137" s="7"/>
      <c r="M2137" s="7"/>
      <c r="N2137" s="253"/>
      <c r="O2137" s="255"/>
      <c r="P2137" s="253"/>
      <c r="Q2137" s="7"/>
      <c r="R2137" s="7"/>
      <c r="S2137" s="7"/>
      <c r="T2137" s="7"/>
      <c r="U2137" s="7"/>
      <c r="V2137" s="253"/>
      <c r="W2137" s="7"/>
      <c r="X2137" s="256"/>
      <c r="Y2137" s="256"/>
      <c r="Z2137" s="256"/>
      <c r="AA2137" s="256"/>
      <c r="AB2137" s="257"/>
      <c r="AC2137" s="258"/>
      <c r="AD2137" s="7"/>
      <c r="AE2137" s="253"/>
      <c r="AF2137" s="253"/>
      <c r="AG2137" s="259"/>
      <c r="AH2137" s="253"/>
      <c r="AI2137" s="253"/>
      <c r="AJ2137" s="7"/>
      <c r="AK2137" s="253"/>
      <c r="AL2137" s="253"/>
      <c r="AM2137" s="7"/>
      <c r="AN2137" s="253"/>
      <c r="AO2137" s="253"/>
      <c r="AP2137" s="253"/>
      <c r="AQ2137" s="253"/>
      <c r="AR2137" s="253"/>
      <c r="AS2137" s="253"/>
      <c r="AT2137" s="253"/>
      <c r="AU2137" s="253"/>
      <c r="AV2137" s="253"/>
      <c r="AW2137" s="253"/>
      <c r="AX2137" s="253"/>
      <c r="AY2137" s="253"/>
      <c r="AZ2137" s="253"/>
    </row>
    <row r="2138" spans="1:52" ht="15.5" customHeight="1">
      <c r="A2138" s="363"/>
      <c r="B2138" s="343"/>
      <c r="C2138" s="7"/>
      <c r="D2138" s="254"/>
      <c r="E2138" s="254"/>
      <c r="F2138" s="254"/>
      <c r="G2138" s="253"/>
      <c r="H2138" s="253"/>
      <c r="I2138" s="253"/>
      <c r="J2138" s="253"/>
      <c r="K2138" s="253"/>
      <c r="L2138" s="7"/>
      <c r="M2138" s="7"/>
      <c r="N2138" s="253"/>
      <c r="O2138" s="255"/>
      <c r="P2138" s="253"/>
      <c r="Q2138" s="7"/>
      <c r="R2138" s="7"/>
      <c r="S2138" s="7"/>
      <c r="T2138" s="7"/>
      <c r="U2138" s="7"/>
      <c r="V2138" s="253"/>
      <c r="W2138" s="7"/>
      <c r="X2138" s="256"/>
      <c r="Y2138" s="256"/>
      <c r="Z2138" s="256"/>
      <c r="AA2138" s="256"/>
      <c r="AB2138" s="257"/>
      <c r="AC2138" s="258"/>
      <c r="AD2138" s="7"/>
      <c r="AE2138" s="253"/>
      <c r="AF2138" s="253"/>
      <c r="AG2138" s="259"/>
      <c r="AH2138" s="253"/>
      <c r="AI2138" s="253"/>
      <c r="AJ2138" s="7"/>
      <c r="AK2138" s="253"/>
      <c r="AL2138" s="253"/>
      <c r="AM2138" s="7"/>
      <c r="AN2138" s="253"/>
      <c r="AO2138" s="253"/>
      <c r="AP2138" s="253"/>
      <c r="AQ2138" s="253"/>
      <c r="AR2138" s="253"/>
      <c r="AS2138" s="253"/>
      <c r="AT2138" s="253"/>
      <c r="AU2138" s="253"/>
      <c r="AV2138" s="253"/>
      <c r="AW2138" s="253"/>
      <c r="AX2138" s="253"/>
      <c r="AY2138" s="253"/>
      <c r="AZ2138" s="253"/>
    </row>
    <row r="2139" spans="1:52" ht="15.5" customHeight="1">
      <c r="A2139" s="363"/>
      <c r="B2139" s="343"/>
      <c r="C2139" s="7"/>
      <c r="D2139" s="254"/>
      <c r="E2139" s="254"/>
      <c r="F2139" s="254"/>
      <c r="G2139" s="253"/>
      <c r="H2139" s="253"/>
      <c r="I2139" s="253"/>
      <c r="J2139" s="253"/>
      <c r="K2139" s="253"/>
      <c r="L2139" s="7"/>
      <c r="M2139" s="7"/>
      <c r="N2139" s="253"/>
      <c r="O2139" s="255"/>
      <c r="P2139" s="253"/>
      <c r="Q2139" s="7"/>
      <c r="R2139" s="7"/>
      <c r="S2139" s="7"/>
      <c r="T2139" s="7"/>
      <c r="U2139" s="7"/>
      <c r="V2139" s="253"/>
      <c r="W2139" s="7"/>
      <c r="X2139" s="256"/>
      <c r="Y2139" s="256"/>
      <c r="Z2139" s="256"/>
      <c r="AA2139" s="256"/>
      <c r="AB2139" s="257"/>
      <c r="AC2139" s="258"/>
      <c r="AD2139" s="7"/>
      <c r="AE2139" s="253"/>
      <c r="AF2139" s="253"/>
      <c r="AG2139" s="259"/>
      <c r="AH2139" s="253"/>
      <c r="AI2139" s="253"/>
      <c r="AJ2139" s="7"/>
      <c r="AK2139" s="253"/>
      <c r="AL2139" s="253"/>
      <c r="AM2139" s="7"/>
      <c r="AN2139" s="253"/>
      <c r="AO2139" s="253"/>
      <c r="AP2139" s="253"/>
      <c r="AQ2139" s="253"/>
      <c r="AR2139" s="253"/>
      <c r="AS2139" s="253"/>
      <c r="AT2139" s="253"/>
      <c r="AU2139" s="253"/>
      <c r="AV2139" s="253"/>
      <c r="AW2139" s="253"/>
      <c r="AX2139" s="253"/>
      <c r="AY2139" s="253"/>
      <c r="AZ2139" s="253"/>
    </row>
    <row r="2140" spans="1:52" ht="15.5" customHeight="1">
      <c r="A2140" s="363"/>
      <c r="B2140" s="343"/>
      <c r="C2140" s="7"/>
      <c r="D2140" s="254"/>
      <c r="E2140" s="254"/>
      <c r="F2140" s="254"/>
      <c r="G2140" s="253"/>
      <c r="H2140" s="253"/>
      <c r="I2140" s="253"/>
      <c r="J2140" s="253"/>
      <c r="K2140" s="253"/>
      <c r="L2140" s="7"/>
      <c r="M2140" s="7"/>
      <c r="N2140" s="253"/>
      <c r="O2140" s="255"/>
      <c r="P2140" s="253"/>
      <c r="Q2140" s="7"/>
      <c r="R2140" s="7"/>
      <c r="S2140" s="7"/>
      <c r="T2140" s="7"/>
      <c r="U2140" s="7"/>
      <c r="V2140" s="253"/>
      <c r="W2140" s="7"/>
      <c r="X2140" s="256"/>
      <c r="Y2140" s="256"/>
      <c r="Z2140" s="256"/>
      <c r="AA2140" s="256"/>
      <c r="AB2140" s="257"/>
      <c r="AC2140" s="258"/>
      <c r="AD2140" s="7"/>
      <c r="AE2140" s="253"/>
      <c r="AF2140" s="253"/>
      <c r="AG2140" s="259"/>
      <c r="AH2140" s="253"/>
      <c r="AI2140" s="253"/>
      <c r="AJ2140" s="7"/>
      <c r="AK2140" s="253"/>
      <c r="AL2140" s="253"/>
      <c r="AM2140" s="7"/>
      <c r="AN2140" s="253"/>
      <c r="AO2140" s="253"/>
      <c r="AP2140" s="253"/>
      <c r="AQ2140" s="253"/>
      <c r="AR2140" s="253"/>
      <c r="AS2140" s="253"/>
      <c r="AT2140" s="253"/>
      <c r="AU2140" s="253"/>
      <c r="AV2140" s="253"/>
      <c r="AW2140" s="253"/>
      <c r="AX2140" s="253"/>
      <c r="AY2140" s="253"/>
      <c r="AZ2140" s="253"/>
    </row>
    <row r="2141" spans="1:52" ht="15.5" customHeight="1">
      <c r="A2141" s="363"/>
      <c r="B2141" s="343"/>
      <c r="C2141" s="7"/>
      <c r="D2141" s="254"/>
      <c r="E2141" s="254"/>
      <c r="F2141" s="254"/>
      <c r="G2141" s="253"/>
      <c r="H2141" s="253"/>
      <c r="I2141" s="253"/>
      <c r="J2141" s="253"/>
      <c r="K2141" s="253"/>
      <c r="L2141" s="7"/>
      <c r="M2141" s="7"/>
      <c r="N2141" s="253"/>
      <c r="O2141" s="255"/>
      <c r="P2141" s="253"/>
      <c r="Q2141" s="7"/>
      <c r="R2141" s="7"/>
      <c r="S2141" s="7"/>
      <c r="T2141" s="7"/>
      <c r="U2141" s="7"/>
      <c r="V2141" s="253"/>
      <c r="W2141" s="7"/>
      <c r="X2141" s="256"/>
      <c r="Y2141" s="256"/>
      <c r="Z2141" s="256"/>
      <c r="AA2141" s="256"/>
      <c r="AB2141" s="257"/>
      <c r="AC2141" s="258"/>
      <c r="AD2141" s="7"/>
      <c r="AE2141" s="253"/>
      <c r="AF2141" s="253"/>
      <c r="AG2141" s="259"/>
      <c r="AH2141" s="253"/>
      <c r="AI2141" s="253"/>
      <c r="AJ2141" s="7"/>
      <c r="AK2141" s="253"/>
      <c r="AL2141" s="253"/>
      <c r="AM2141" s="7"/>
      <c r="AN2141" s="253"/>
      <c r="AO2141" s="253"/>
      <c r="AP2141" s="253"/>
      <c r="AQ2141" s="253"/>
      <c r="AR2141" s="253"/>
      <c r="AS2141" s="253"/>
      <c r="AT2141" s="253"/>
      <c r="AU2141" s="253"/>
      <c r="AV2141" s="253"/>
      <c r="AW2141" s="253"/>
      <c r="AX2141" s="253"/>
      <c r="AY2141" s="253"/>
      <c r="AZ2141" s="253"/>
    </row>
    <row r="2142" spans="1:52" ht="15.5" customHeight="1">
      <c r="A2142" s="363"/>
      <c r="B2142" s="343"/>
      <c r="C2142" s="7"/>
      <c r="D2142" s="254"/>
      <c r="E2142" s="254"/>
      <c r="F2142" s="254"/>
      <c r="G2142" s="253"/>
      <c r="H2142" s="253"/>
      <c r="I2142" s="253"/>
      <c r="J2142" s="253"/>
      <c r="K2142" s="253"/>
      <c r="L2142" s="7"/>
      <c r="M2142" s="7"/>
      <c r="N2142" s="253"/>
      <c r="O2142" s="255"/>
      <c r="P2142" s="253"/>
      <c r="Q2142" s="7"/>
      <c r="R2142" s="7"/>
      <c r="S2142" s="7"/>
      <c r="T2142" s="7"/>
      <c r="U2142" s="7"/>
      <c r="V2142" s="253"/>
      <c r="W2142" s="7"/>
      <c r="X2142" s="256"/>
      <c r="Y2142" s="256"/>
      <c r="Z2142" s="256"/>
      <c r="AA2142" s="256"/>
      <c r="AB2142" s="257"/>
      <c r="AC2142" s="258"/>
      <c r="AD2142" s="7"/>
      <c r="AE2142" s="253"/>
      <c r="AF2142" s="253"/>
      <c r="AG2142" s="259"/>
      <c r="AH2142" s="253"/>
      <c r="AI2142" s="253"/>
      <c r="AJ2142" s="7"/>
      <c r="AK2142" s="253"/>
      <c r="AL2142" s="253"/>
      <c r="AM2142" s="7"/>
      <c r="AN2142" s="253"/>
      <c r="AO2142" s="253"/>
      <c r="AP2142" s="253"/>
      <c r="AQ2142" s="253"/>
      <c r="AR2142" s="253"/>
      <c r="AS2142" s="253"/>
      <c r="AT2142" s="253"/>
      <c r="AU2142" s="253"/>
      <c r="AV2142" s="253"/>
      <c r="AW2142" s="253"/>
      <c r="AX2142" s="253"/>
      <c r="AY2142" s="253"/>
      <c r="AZ2142" s="253"/>
    </row>
    <row r="2143" spans="1:52" ht="15.5" customHeight="1">
      <c r="A2143" s="363"/>
      <c r="B2143" s="343"/>
      <c r="C2143" s="7"/>
      <c r="D2143" s="254"/>
      <c r="E2143" s="254"/>
      <c r="F2143" s="254"/>
      <c r="G2143" s="253"/>
      <c r="H2143" s="253"/>
      <c r="I2143" s="253"/>
      <c r="J2143" s="253"/>
      <c r="K2143" s="253"/>
      <c r="L2143" s="7"/>
      <c r="M2143" s="7"/>
      <c r="N2143" s="253"/>
      <c r="O2143" s="255"/>
      <c r="P2143" s="253"/>
      <c r="Q2143" s="7"/>
      <c r="R2143" s="7"/>
      <c r="S2143" s="7"/>
      <c r="T2143" s="7"/>
      <c r="U2143" s="7"/>
      <c r="V2143" s="253"/>
      <c r="W2143" s="7"/>
      <c r="X2143" s="256"/>
      <c r="Y2143" s="256"/>
      <c r="Z2143" s="256"/>
      <c r="AA2143" s="256"/>
      <c r="AB2143" s="257"/>
      <c r="AC2143" s="258"/>
      <c r="AD2143" s="7"/>
      <c r="AE2143" s="253"/>
      <c r="AF2143" s="253"/>
      <c r="AG2143" s="259"/>
      <c r="AH2143" s="253"/>
      <c r="AI2143" s="253"/>
      <c r="AJ2143" s="7"/>
      <c r="AK2143" s="253"/>
      <c r="AL2143" s="253"/>
      <c r="AM2143" s="7"/>
      <c r="AN2143" s="253"/>
      <c r="AO2143" s="253"/>
      <c r="AP2143" s="253"/>
      <c r="AQ2143" s="253"/>
      <c r="AR2143" s="253"/>
      <c r="AS2143" s="253"/>
      <c r="AT2143" s="253"/>
      <c r="AU2143" s="253"/>
      <c r="AV2143" s="253"/>
      <c r="AW2143" s="253"/>
      <c r="AX2143" s="253"/>
      <c r="AY2143" s="253"/>
      <c r="AZ2143" s="253"/>
    </row>
    <row r="2144" spans="1:52" ht="15.5" customHeight="1">
      <c r="A2144" s="363"/>
      <c r="B2144" s="343"/>
      <c r="C2144" s="7"/>
      <c r="D2144" s="254"/>
      <c r="E2144" s="254"/>
      <c r="F2144" s="254"/>
      <c r="G2144" s="253"/>
      <c r="H2144" s="253"/>
      <c r="I2144" s="253"/>
      <c r="J2144" s="253"/>
      <c r="K2144" s="253"/>
      <c r="L2144" s="7"/>
      <c r="M2144" s="7"/>
      <c r="N2144" s="253"/>
      <c r="O2144" s="255"/>
      <c r="P2144" s="253"/>
      <c r="Q2144" s="7"/>
      <c r="R2144" s="7"/>
      <c r="S2144" s="7"/>
      <c r="T2144" s="7"/>
      <c r="U2144" s="7"/>
      <c r="V2144" s="253"/>
      <c r="W2144" s="7"/>
      <c r="X2144" s="256"/>
      <c r="Y2144" s="256"/>
      <c r="Z2144" s="256"/>
      <c r="AA2144" s="256"/>
      <c r="AB2144" s="257"/>
      <c r="AC2144" s="258"/>
      <c r="AD2144" s="7"/>
      <c r="AE2144" s="253"/>
      <c r="AF2144" s="253"/>
      <c r="AG2144" s="259"/>
      <c r="AH2144" s="253"/>
      <c r="AI2144" s="253"/>
      <c r="AJ2144" s="7"/>
      <c r="AK2144" s="253"/>
      <c r="AL2144" s="253"/>
      <c r="AM2144" s="7"/>
      <c r="AN2144" s="253"/>
      <c r="AO2144" s="253"/>
      <c r="AP2144" s="253"/>
      <c r="AQ2144" s="253"/>
      <c r="AR2144" s="253"/>
      <c r="AS2144" s="253"/>
      <c r="AT2144" s="253"/>
      <c r="AU2144" s="253"/>
      <c r="AV2144" s="253"/>
      <c r="AW2144" s="253"/>
      <c r="AX2144" s="253"/>
      <c r="AY2144" s="253"/>
      <c r="AZ2144" s="253"/>
    </row>
    <row r="2145" spans="1:52" ht="15.5" customHeight="1">
      <c r="A2145" s="363"/>
      <c r="B2145" s="343"/>
      <c r="C2145" s="7"/>
      <c r="D2145" s="254"/>
      <c r="E2145" s="254"/>
      <c r="F2145" s="254"/>
      <c r="G2145" s="253"/>
      <c r="H2145" s="253"/>
      <c r="I2145" s="253"/>
      <c r="J2145" s="253"/>
      <c r="K2145" s="253"/>
      <c r="L2145" s="7"/>
      <c r="M2145" s="7"/>
      <c r="N2145" s="253"/>
      <c r="O2145" s="255"/>
      <c r="P2145" s="253"/>
      <c r="Q2145" s="7"/>
      <c r="R2145" s="7"/>
      <c r="S2145" s="7"/>
      <c r="T2145" s="7"/>
      <c r="U2145" s="7"/>
      <c r="V2145" s="253"/>
      <c r="W2145" s="7"/>
      <c r="X2145" s="256"/>
      <c r="Y2145" s="256"/>
      <c r="Z2145" s="256"/>
      <c r="AA2145" s="256"/>
      <c r="AB2145" s="257"/>
      <c r="AC2145" s="258"/>
      <c r="AD2145" s="7"/>
      <c r="AE2145" s="253"/>
      <c r="AF2145" s="253"/>
      <c r="AG2145" s="259"/>
      <c r="AH2145" s="253"/>
      <c r="AI2145" s="253"/>
      <c r="AJ2145" s="7"/>
      <c r="AK2145" s="253"/>
      <c r="AL2145" s="253"/>
      <c r="AM2145" s="7"/>
      <c r="AN2145" s="253"/>
      <c r="AO2145" s="253"/>
      <c r="AP2145" s="253"/>
      <c r="AQ2145" s="253"/>
      <c r="AR2145" s="253"/>
      <c r="AS2145" s="253"/>
      <c r="AT2145" s="253"/>
      <c r="AU2145" s="253"/>
      <c r="AV2145" s="253"/>
      <c r="AW2145" s="253"/>
      <c r="AX2145" s="253"/>
      <c r="AY2145" s="253"/>
      <c r="AZ2145" s="253"/>
    </row>
    <row r="2146" spans="1:52" ht="15.5" customHeight="1">
      <c r="A2146" s="363"/>
      <c r="B2146" s="343"/>
      <c r="C2146" s="7"/>
      <c r="D2146" s="254"/>
      <c r="E2146" s="254"/>
      <c r="F2146" s="254"/>
      <c r="G2146" s="253"/>
      <c r="H2146" s="253"/>
      <c r="I2146" s="253"/>
      <c r="J2146" s="253"/>
      <c r="K2146" s="253"/>
      <c r="L2146" s="7"/>
      <c r="M2146" s="7"/>
      <c r="N2146" s="253"/>
      <c r="O2146" s="255"/>
      <c r="P2146" s="253"/>
      <c r="Q2146" s="7"/>
      <c r="R2146" s="7"/>
      <c r="S2146" s="7"/>
      <c r="T2146" s="7"/>
      <c r="U2146" s="7"/>
      <c r="V2146" s="253"/>
      <c r="W2146" s="7"/>
      <c r="X2146" s="256"/>
      <c r="Y2146" s="256"/>
      <c r="Z2146" s="256"/>
      <c r="AA2146" s="256"/>
      <c r="AB2146" s="257"/>
      <c r="AC2146" s="258"/>
      <c r="AD2146" s="7"/>
      <c r="AE2146" s="253"/>
      <c r="AF2146" s="253"/>
      <c r="AG2146" s="259"/>
      <c r="AH2146" s="253"/>
      <c r="AI2146" s="253"/>
      <c r="AJ2146" s="7"/>
      <c r="AK2146" s="253"/>
      <c r="AL2146" s="253"/>
      <c r="AM2146" s="7"/>
      <c r="AN2146" s="253"/>
      <c r="AO2146" s="253"/>
      <c r="AP2146" s="253"/>
      <c r="AQ2146" s="253"/>
      <c r="AR2146" s="253"/>
      <c r="AS2146" s="253"/>
      <c r="AT2146" s="253"/>
      <c r="AU2146" s="253"/>
      <c r="AV2146" s="253"/>
      <c r="AW2146" s="253"/>
      <c r="AX2146" s="253"/>
      <c r="AY2146" s="253"/>
      <c r="AZ2146" s="253"/>
    </row>
    <row r="2147" spans="1:52" ht="15.5" customHeight="1">
      <c r="A2147" s="363"/>
      <c r="B2147" s="343"/>
      <c r="C2147" s="7"/>
      <c r="D2147" s="254"/>
      <c r="E2147" s="254"/>
      <c r="F2147" s="254"/>
      <c r="G2147" s="253"/>
      <c r="H2147" s="253"/>
      <c r="I2147" s="253"/>
      <c r="J2147" s="253"/>
      <c r="K2147" s="253"/>
      <c r="L2147" s="7"/>
      <c r="M2147" s="7"/>
      <c r="N2147" s="253"/>
      <c r="O2147" s="255"/>
      <c r="P2147" s="253"/>
      <c r="Q2147" s="7"/>
      <c r="R2147" s="7"/>
      <c r="S2147" s="7"/>
      <c r="T2147" s="7"/>
      <c r="U2147" s="7"/>
      <c r="V2147" s="253"/>
      <c r="W2147" s="7"/>
      <c r="X2147" s="256"/>
      <c r="Y2147" s="256"/>
      <c r="Z2147" s="256"/>
      <c r="AA2147" s="256"/>
      <c r="AB2147" s="257"/>
      <c r="AC2147" s="258"/>
      <c r="AD2147" s="7"/>
      <c r="AE2147" s="253"/>
      <c r="AF2147" s="253"/>
      <c r="AG2147" s="259"/>
      <c r="AH2147" s="253"/>
      <c r="AI2147" s="253"/>
      <c r="AJ2147" s="7"/>
      <c r="AK2147" s="253"/>
      <c r="AL2147" s="253"/>
      <c r="AM2147" s="7"/>
      <c r="AN2147" s="253"/>
      <c r="AO2147" s="253"/>
      <c r="AP2147" s="253"/>
      <c r="AQ2147" s="253"/>
      <c r="AR2147" s="253"/>
      <c r="AS2147" s="253"/>
      <c r="AT2147" s="253"/>
      <c r="AU2147" s="253"/>
      <c r="AV2147" s="253"/>
      <c r="AW2147" s="253"/>
      <c r="AX2147" s="253"/>
      <c r="AY2147" s="253"/>
      <c r="AZ2147" s="253"/>
    </row>
    <row r="2148" spans="1:52" ht="15.5" customHeight="1">
      <c r="A2148" s="363"/>
      <c r="B2148" s="343"/>
      <c r="C2148" s="7"/>
      <c r="D2148" s="254"/>
      <c r="E2148" s="254"/>
      <c r="F2148" s="254"/>
      <c r="G2148" s="253"/>
      <c r="H2148" s="253"/>
      <c r="I2148" s="253"/>
      <c r="J2148" s="253"/>
      <c r="K2148" s="253"/>
      <c r="L2148" s="7"/>
      <c r="M2148" s="7"/>
      <c r="N2148" s="253"/>
      <c r="O2148" s="255"/>
      <c r="P2148" s="253"/>
      <c r="Q2148" s="7"/>
      <c r="R2148" s="7"/>
      <c r="S2148" s="7"/>
      <c r="T2148" s="7"/>
      <c r="U2148" s="7"/>
      <c r="V2148" s="253"/>
      <c r="W2148" s="7"/>
      <c r="X2148" s="256"/>
      <c r="Y2148" s="256"/>
      <c r="Z2148" s="256"/>
      <c r="AA2148" s="256"/>
      <c r="AB2148" s="257"/>
      <c r="AC2148" s="258"/>
      <c r="AD2148" s="7"/>
      <c r="AE2148" s="253"/>
      <c r="AF2148" s="253"/>
      <c r="AG2148" s="259"/>
      <c r="AH2148" s="253"/>
      <c r="AI2148" s="253"/>
      <c r="AJ2148" s="7"/>
      <c r="AK2148" s="253"/>
      <c r="AL2148" s="253"/>
      <c r="AM2148" s="7"/>
      <c r="AN2148" s="253"/>
      <c r="AO2148" s="253"/>
      <c r="AP2148" s="253"/>
      <c r="AQ2148" s="253"/>
      <c r="AR2148" s="253"/>
      <c r="AS2148" s="253"/>
      <c r="AT2148" s="253"/>
      <c r="AU2148" s="253"/>
      <c r="AV2148" s="253"/>
      <c r="AW2148" s="253"/>
      <c r="AX2148" s="253"/>
      <c r="AY2148" s="253"/>
      <c r="AZ2148" s="253"/>
    </row>
    <row r="2149" spans="1:52" ht="15.5" customHeight="1">
      <c r="A2149" s="363"/>
      <c r="B2149" s="343"/>
      <c r="C2149" s="7"/>
      <c r="D2149" s="254"/>
      <c r="E2149" s="254"/>
      <c r="F2149" s="254"/>
      <c r="G2149" s="253"/>
      <c r="H2149" s="253"/>
      <c r="I2149" s="253"/>
      <c r="J2149" s="253"/>
      <c r="K2149" s="253"/>
      <c r="L2149" s="7"/>
      <c r="M2149" s="7"/>
      <c r="N2149" s="253"/>
      <c r="O2149" s="255"/>
      <c r="P2149" s="253"/>
      <c r="Q2149" s="7"/>
      <c r="R2149" s="7"/>
      <c r="S2149" s="7"/>
      <c r="T2149" s="7"/>
      <c r="U2149" s="7"/>
      <c r="V2149" s="253"/>
      <c r="W2149" s="7"/>
      <c r="X2149" s="256"/>
      <c r="Y2149" s="256"/>
      <c r="Z2149" s="256"/>
      <c r="AA2149" s="256"/>
      <c r="AB2149" s="257"/>
      <c r="AC2149" s="258"/>
      <c r="AD2149" s="7"/>
      <c r="AE2149" s="253"/>
      <c r="AF2149" s="253"/>
      <c r="AG2149" s="259"/>
      <c r="AH2149" s="253"/>
      <c r="AI2149" s="253"/>
      <c r="AJ2149" s="7"/>
      <c r="AK2149" s="253"/>
      <c r="AL2149" s="253"/>
      <c r="AM2149" s="7"/>
      <c r="AN2149" s="253"/>
      <c r="AO2149" s="253"/>
      <c r="AP2149" s="253"/>
      <c r="AQ2149" s="253"/>
      <c r="AR2149" s="253"/>
      <c r="AS2149" s="253"/>
      <c r="AT2149" s="253"/>
      <c r="AU2149" s="253"/>
      <c r="AV2149" s="253"/>
      <c r="AW2149" s="253"/>
      <c r="AX2149" s="253"/>
      <c r="AY2149" s="253"/>
      <c r="AZ2149" s="253"/>
    </row>
    <row r="2150" spans="1:52" ht="15.5" customHeight="1">
      <c r="A2150" s="363"/>
      <c r="B2150" s="343"/>
      <c r="C2150" s="7"/>
      <c r="D2150" s="254"/>
      <c r="E2150" s="254"/>
      <c r="F2150" s="254"/>
      <c r="G2150" s="253"/>
      <c r="H2150" s="253"/>
      <c r="I2150" s="253"/>
      <c r="J2150" s="253"/>
      <c r="K2150" s="253"/>
      <c r="L2150" s="7"/>
      <c r="M2150" s="7"/>
      <c r="N2150" s="253"/>
      <c r="O2150" s="255"/>
      <c r="P2150" s="253"/>
      <c r="Q2150" s="7"/>
      <c r="R2150" s="7"/>
      <c r="S2150" s="7"/>
      <c r="T2150" s="7"/>
      <c r="U2150" s="7"/>
      <c r="V2150" s="253"/>
      <c r="W2150" s="7"/>
      <c r="X2150" s="256"/>
      <c r="Y2150" s="256"/>
      <c r="Z2150" s="256"/>
      <c r="AA2150" s="256"/>
      <c r="AB2150" s="257"/>
      <c r="AC2150" s="258"/>
      <c r="AD2150" s="7"/>
      <c r="AE2150" s="253"/>
      <c r="AF2150" s="253"/>
      <c r="AG2150" s="259"/>
      <c r="AH2150" s="253"/>
      <c r="AI2150" s="253"/>
      <c r="AJ2150" s="7"/>
      <c r="AK2150" s="253"/>
      <c r="AL2150" s="253"/>
      <c r="AM2150" s="7"/>
      <c r="AN2150" s="253"/>
      <c r="AO2150" s="253"/>
      <c r="AP2150" s="253"/>
      <c r="AQ2150" s="253"/>
      <c r="AR2150" s="253"/>
      <c r="AS2150" s="253"/>
      <c r="AT2150" s="253"/>
      <c r="AU2150" s="253"/>
      <c r="AV2150" s="253"/>
      <c r="AW2150" s="253"/>
      <c r="AX2150" s="253"/>
      <c r="AY2150" s="253"/>
      <c r="AZ2150" s="253"/>
    </row>
    <row r="2151" spans="1:52" ht="15.5" customHeight="1">
      <c r="A2151" s="363"/>
      <c r="B2151" s="343"/>
      <c r="C2151" s="7"/>
      <c r="D2151" s="254"/>
      <c r="E2151" s="254"/>
      <c r="F2151" s="254"/>
      <c r="G2151" s="253"/>
      <c r="H2151" s="253"/>
      <c r="I2151" s="253"/>
      <c r="J2151" s="253"/>
      <c r="K2151" s="253"/>
      <c r="L2151" s="7"/>
      <c r="M2151" s="7"/>
      <c r="N2151" s="253"/>
      <c r="O2151" s="255"/>
      <c r="P2151" s="253"/>
      <c r="Q2151" s="7"/>
      <c r="R2151" s="7"/>
      <c r="S2151" s="7"/>
      <c r="T2151" s="7"/>
      <c r="U2151" s="7"/>
      <c r="V2151" s="253"/>
      <c r="W2151" s="7"/>
      <c r="X2151" s="256"/>
      <c r="Y2151" s="256"/>
      <c r="Z2151" s="256"/>
      <c r="AA2151" s="256"/>
      <c r="AB2151" s="257"/>
      <c r="AC2151" s="258"/>
      <c r="AD2151" s="7"/>
      <c r="AE2151" s="253"/>
      <c r="AF2151" s="253"/>
      <c r="AG2151" s="259"/>
      <c r="AH2151" s="253"/>
      <c r="AI2151" s="253"/>
      <c r="AJ2151" s="7"/>
      <c r="AK2151" s="253"/>
      <c r="AL2151" s="253"/>
      <c r="AM2151" s="7"/>
      <c r="AN2151" s="253"/>
      <c r="AO2151" s="253"/>
      <c r="AP2151" s="253"/>
      <c r="AQ2151" s="253"/>
      <c r="AR2151" s="253"/>
      <c r="AS2151" s="253"/>
      <c r="AT2151" s="253"/>
      <c r="AU2151" s="253"/>
      <c r="AV2151" s="253"/>
      <c r="AW2151" s="253"/>
      <c r="AX2151" s="253"/>
      <c r="AY2151" s="253"/>
      <c r="AZ2151" s="253"/>
    </row>
    <row r="2152" spans="1:52" ht="15.5" customHeight="1">
      <c r="A2152" s="363"/>
      <c r="B2152" s="343"/>
      <c r="C2152" s="7"/>
      <c r="D2152" s="254"/>
      <c r="E2152" s="254"/>
      <c r="F2152" s="254"/>
      <c r="G2152" s="253"/>
      <c r="H2152" s="253"/>
      <c r="I2152" s="253"/>
      <c r="J2152" s="253"/>
      <c r="K2152" s="253"/>
      <c r="L2152" s="7"/>
      <c r="M2152" s="7"/>
      <c r="N2152" s="253"/>
      <c r="O2152" s="255"/>
      <c r="P2152" s="253"/>
      <c r="Q2152" s="7"/>
      <c r="R2152" s="7"/>
      <c r="S2152" s="7"/>
      <c r="T2152" s="7"/>
      <c r="U2152" s="7"/>
      <c r="V2152" s="253"/>
      <c r="W2152" s="7"/>
      <c r="X2152" s="256"/>
      <c r="Y2152" s="256"/>
      <c r="Z2152" s="256"/>
      <c r="AA2152" s="256"/>
      <c r="AB2152" s="257"/>
      <c r="AC2152" s="258"/>
      <c r="AD2152" s="7"/>
      <c r="AE2152" s="253"/>
      <c r="AF2152" s="253"/>
      <c r="AG2152" s="259"/>
      <c r="AH2152" s="253"/>
      <c r="AI2152" s="253"/>
      <c r="AJ2152" s="7"/>
      <c r="AK2152" s="253"/>
      <c r="AL2152" s="253"/>
      <c r="AM2152" s="7"/>
      <c r="AN2152" s="253"/>
      <c r="AO2152" s="253"/>
      <c r="AP2152" s="253"/>
      <c r="AQ2152" s="253"/>
      <c r="AR2152" s="253"/>
      <c r="AS2152" s="253"/>
      <c r="AT2152" s="253"/>
      <c r="AU2152" s="253"/>
      <c r="AV2152" s="253"/>
      <c r="AW2152" s="253"/>
      <c r="AX2152" s="253"/>
      <c r="AY2152" s="253"/>
      <c r="AZ2152" s="253"/>
    </row>
    <row r="2153" spans="1:52" ht="15.5" customHeight="1">
      <c r="A2153" s="363"/>
      <c r="B2153" s="343"/>
      <c r="C2153" s="7"/>
      <c r="D2153" s="254"/>
      <c r="E2153" s="254"/>
      <c r="F2153" s="254"/>
      <c r="G2153" s="253"/>
      <c r="H2153" s="253"/>
      <c r="I2153" s="253"/>
      <c r="J2153" s="253"/>
      <c r="K2153" s="253"/>
      <c r="L2153" s="7"/>
      <c r="M2153" s="7"/>
      <c r="N2153" s="253"/>
      <c r="O2153" s="255"/>
      <c r="P2153" s="253"/>
      <c r="Q2153" s="7"/>
      <c r="R2153" s="7"/>
      <c r="S2153" s="7"/>
      <c r="T2153" s="7"/>
      <c r="U2153" s="7"/>
      <c r="V2153" s="253"/>
      <c r="W2153" s="7"/>
      <c r="X2153" s="256"/>
      <c r="Y2153" s="256"/>
      <c r="Z2153" s="256"/>
      <c r="AA2153" s="256"/>
      <c r="AB2153" s="257"/>
      <c r="AC2153" s="258"/>
      <c r="AD2153" s="7"/>
      <c r="AE2153" s="253"/>
      <c r="AF2153" s="253"/>
      <c r="AG2153" s="259"/>
      <c r="AH2153" s="253"/>
      <c r="AI2153" s="253"/>
      <c r="AJ2153" s="7"/>
      <c r="AK2153" s="253"/>
      <c r="AL2153" s="253"/>
      <c r="AM2153" s="7"/>
      <c r="AN2153" s="253"/>
      <c r="AO2153" s="253"/>
      <c r="AP2153" s="253"/>
      <c r="AQ2153" s="253"/>
      <c r="AR2153" s="253"/>
      <c r="AS2153" s="253"/>
      <c r="AT2153" s="253"/>
      <c r="AU2153" s="253"/>
      <c r="AV2153" s="253"/>
      <c r="AW2153" s="253"/>
      <c r="AX2153" s="253"/>
      <c r="AY2153" s="253"/>
      <c r="AZ2153" s="253"/>
    </row>
    <row r="2154" spans="1:52" ht="15.5" customHeight="1">
      <c r="A2154" s="363"/>
      <c r="B2154" s="343"/>
      <c r="C2154" s="7"/>
      <c r="D2154" s="254"/>
      <c r="E2154" s="254"/>
      <c r="F2154" s="254"/>
      <c r="G2154" s="253"/>
      <c r="H2154" s="253"/>
      <c r="I2154" s="253"/>
      <c r="J2154" s="253"/>
      <c r="K2154" s="253"/>
      <c r="L2154" s="7"/>
      <c r="M2154" s="7"/>
      <c r="N2154" s="253"/>
      <c r="O2154" s="255"/>
      <c r="P2154" s="253"/>
      <c r="Q2154" s="7"/>
      <c r="R2154" s="7"/>
      <c r="S2154" s="7"/>
      <c r="T2154" s="7"/>
      <c r="U2154" s="7"/>
      <c r="V2154" s="253"/>
      <c r="W2154" s="7"/>
      <c r="X2154" s="256"/>
      <c r="Y2154" s="256"/>
      <c r="Z2154" s="256"/>
      <c r="AA2154" s="256"/>
      <c r="AB2154" s="257"/>
      <c r="AC2154" s="258"/>
      <c r="AD2154" s="7"/>
      <c r="AE2154" s="253"/>
      <c r="AF2154" s="253"/>
      <c r="AG2154" s="259"/>
      <c r="AH2154" s="253"/>
      <c r="AI2154" s="253"/>
      <c r="AJ2154" s="7"/>
      <c r="AK2154" s="253"/>
      <c r="AL2154" s="253"/>
      <c r="AM2154" s="7"/>
      <c r="AN2154" s="253"/>
      <c r="AO2154" s="253"/>
      <c r="AP2154" s="253"/>
      <c r="AQ2154" s="253"/>
      <c r="AR2154" s="253"/>
      <c r="AS2154" s="253"/>
      <c r="AT2154" s="253"/>
      <c r="AU2154" s="253"/>
      <c r="AV2154" s="253"/>
      <c r="AW2154" s="253"/>
      <c r="AX2154" s="253"/>
      <c r="AY2154" s="253"/>
      <c r="AZ2154" s="253"/>
    </row>
    <row r="2155" spans="1:52" ht="15.5" customHeight="1">
      <c r="A2155" s="363"/>
      <c r="B2155" s="343"/>
      <c r="C2155" s="7"/>
      <c r="D2155" s="254"/>
      <c r="E2155" s="254"/>
      <c r="F2155" s="254"/>
      <c r="G2155" s="253"/>
      <c r="H2155" s="253"/>
      <c r="I2155" s="253"/>
      <c r="J2155" s="253"/>
      <c r="K2155" s="253"/>
      <c r="L2155" s="7"/>
      <c r="M2155" s="7"/>
      <c r="N2155" s="253"/>
      <c r="O2155" s="255"/>
      <c r="P2155" s="253"/>
      <c r="Q2155" s="7"/>
      <c r="R2155" s="7"/>
      <c r="S2155" s="7"/>
      <c r="T2155" s="7"/>
      <c r="U2155" s="7"/>
      <c r="V2155" s="253"/>
      <c r="W2155" s="7"/>
      <c r="X2155" s="256"/>
      <c r="Y2155" s="256"/>
      <c r="Z2155" s="256"/>
      <c r="AA2155" s="256"/>
      <c r="AB2155" s="257"/>
      <c r="AC2155" s="258"/>
      <c r="AD2155" s="7"/>
      <c r="AE2155" s="253"/>
      <c r="AF2155" s="253"/>
      <c r="AG2155" s="259"/>
      <c r="AH2155" s="253"/>
      <c r="AI2155" s="253"/>
      <c r="AJ2155" s="7"/>
      <c r="AK2155" s="253"/>
      <c r="AL2155" s="253"/>
      <c r="AM2155" s="7"/>
      <c r="AN2155" s="253"/>
      <c r="AO2155" s="253"/>
      <c r="AP2155" s="253"/>
      <c r="AQ2155" s="253"/>
      <c r="AR2155" s="253"/>
      <c r="AS2155" s="253"/>
      <c r="AT2155" s="253"/>
      <c r="AU2155" s="253"/>
      <c r="AV2155" s="253"/>
      <c r="AW2155" s="253"/>
      <c r="AX2155" s="253"/>
      <c r="AY2155" s="253"/>
      <c r="AZ2155" s="253"/>
    </row>
    <row r="2156" spans="1:52" ht="15.5" customHeight="1">
      <c r="A2156" s="363"/>
      <c r="B2156" s="343"/>
      <c r="C2156" s="7"/>
      <c r="D2156" s="254"/>
      <c r="E2156" s="254"/>
      <c r="F2156" s="254"/>
      <c r="G2156" s="253"/>
      <c r="H2156" s="253"/>
      <c r="I2156" s="253"/>
      <c r="J2156" s="253"/>
      <c r="K2156" s="253"/>
      <c r="L2156" s="7"/>
      <c r="M2156" s="7"/>
      <c r="N2156" s="253"/>
      <c r="O2156" s="255"/>
      <c r="P2156" s="253"/>
      <c r="Q2156" s="7"/>
      <c r="R2156" s="7"/>
      <c r="S2156" s="7"/>
      <c r="T2156" s="7"/>
      <c r="U2156" s="7"/>
      <c r="V2156" s="253"/>
      <c r="W2156" s="7"/>
      <c r="X2156" s="256"/>
      <c r="Y2156" s="256"/>
      <c r="Z2156" s="256"/>
      <c r="AA2156" s="256"/>
      <c r="AB2156" s="257"/>
      <c r="AC2156" s="258"/>
      <c r="AD2156" s="7"/>
      <c r="AE2156" s="253"/>
      <c r="AF2156" s="253"/>
      <c r="AG2156" s="259"/>
      <c r="AH2156" s="253"/>
      <c r="AI2156" s="253"/>
      <c r="AJ2156" s="7"/>
      <c r="AK2156" s="253"/>
      <c r="AL2156" s="253"/>
      <c r="AM2156" s="7"/>
      <c r="AN2156" s="253"/>
      <c r="AO2156" s="253"/>
      <c r="AP2156" s="253"/>
      <c r="AQ2156" s="253"/>
      <c r="AR2156" s="253"/>
      <c r="AS2156" s="253"/>
      <c r="AT2156" s="253"/>
      <c r="AU2156" s="253"/>
      <c r="AV2156" s="253"/>
      <c r="AW2156" s="253"/>
      <c r="AX2156" s="253"/>
      <c r="AY2156" s="253"/>
      <c r="AZ2156" s="253"/>
    </row>
    <row r="2157" spans="1:52" ht="15.5" customHeight="1">
      <c r="A2157" s="363"/>
      <c r="B2157" s="343"/>
      <c r="C2157" s="7"/>
      <c r="D2157" s="254"/>
      <c r="E2157" s="254"/>
      <c r="F2157" s="254"/>
      <c r="G2157" s="253"/>
      <c r="H2157" s="253"/>
      <c r="I2157" s="253"/>
      <c r="J2157" s="253"/>
      <c r="K2157" s="253"/>
      <c r="L2157" s="7"/>
      <c r="M2157" s="7"/>
      <c r="N2157" s="253"/>
      <c r="O2157" s="255"/>
      <c r="P2157" s="253"/>
      <c r="Q2157" s="7"/>
      <c r="R2157" s="7"/>
      <c r="S2157" s="7"/>
      <c r="T2157" s="7"/>
      <c r="U2157" s="7"/>
      <c r="V2157" s="253"/>
      <c r="W2157" s="7"/>
      <c r="X2157" s="256"/>
      <c r="Y2157" s="256"/>
      <c r="Z2157" s="256"/>
      <c r="AA2157" s="256"/>
      <c r="AB2157" s="257"/>
      <c r="AC2157" s="258"/>
      <c r="AD2157" s="7"/>
      <c r="AE2157" s="253"/>
      <c r="AF2157" s="253"/>
      <c r="AG2157" s="259"/>
      <c r="AH2157" s="253"/>
      <c r="AI2157" s="253"/>
      <c r="AJ2157" s="7"/>
      <c r="AK2157" s="253"/>
      <c r="AL2157" s="253"/>
      <c r="AM2157" s="7"/>
      <c r="AN2157" s="253"/>
      <c r="AO2157" s="253"/>
      <c r="AP2157" s="253"/>
      <c r="AQ2157" s="253"/>
      <c r="AR2157" s="253"/>
      <c r="AS2157" s="253"/>
      <c r="AT2157" s="253"/>
      <c r="AU2157" s="253"/>
      <c r="AV2157" s="253"/>
      <c r="AW2157" s="253"/>
      <c r="AX2157" s="253"/>
      <c r="AY2157" s="253"/>
      <c r="AZ2157" s="253"/>
    </row>
    <row r="2158" spans="1:52" ht="15.5" customHeight="1">
      <c r="A2158" s="363"/>
      <c r="B2158" s="343"/>
      <c r="C2158" s="7"/>
      <c r="D2158" s="254"/>
      <c r="E2158" s="254"/>
      <c r="F2158" s="254"/>
      <c r="G2158" s="253"/>
      <c r="H2158" s="253"/>
      <c r="I2158" s="253"/>
      <c r="J2158" s="253"/>
      <c r="K2158" s="253"/>
      <c r="L2158" s="7"/>
      <c r="M2158" s="7"/>
      <c r="N2158" s="253"/>
      <c r="O2158" s="255"/>
      <c r="P2158" s="253"/>
      <c r="Q2158" s="7"/>
      <c r="R2158" s="7"/>
      <c r="S2158" s="7"/>
      <c r="T2158" s="7"/>
      <c r="U2158" s="7"/>
      <c r="V2158" s="253"/>
      <c r="W2158" s="7"/>
      <c r="X2158" s="256"/>
      <c r="Y2158" s="256"/>
      <c r="Z2158" s="256"/>
      <c r="AA2158" s="256"/>
      <c r="AB2158" s="257"/>
      <c r="AC2158" s="258"/>
      <c r="AD2158" s="7"/>
      <c r="AE2158" s="253"/>
      <c r="AF2158" s="253"/>
      <c r="AG2158" s="259"/>
      <c r="AH2158" s="253"/>
      <c r="AI2158" s="253"/>
      <c r="AJ2158" s="7"/>
      <c r="AK2158" s="253"/>
      <c r="AL2158" s="253"/>
      <c r="AM2158" s="7"/>
      <c r="AN2158" s="253"/>
      <c r="AO2158" s="253"/>
      <c r="AP2158" s="253"/>
      <c r="AQ2158" s="253"/>
      <c r="AR2158" s="253"/>
      <c r="AS2158" s="253"/>
      <c r="AT2158" s="253"/>
      <c r="AU2158" s="253"/>
      <c r="AV2158" s="253"/>
      <c r="AW2158" s="253"/>
      <c r="AX2158" s="253"/>
      <c r="AY2158" s="253"/>
      <c r="AZ2158" s="253"/>
    </row>
    <row r="2159" spans="1:52" ht="15.5" customHeight="1">
      <c r="A2159" s="363"/>
      <c r="B2159" s="343"/>
      <c r="C2159" s="7"/>
      <c r="D2159" s="254"/>
      <c r="E2159" s="254"/>
      <c r="F2159" s="254"/>
      <c r="G2159" s="253"/>
      <c r="H2159" s="253"/>
      <c r="I2159" s="253"/>
      <c r="J2159" s="253"/>
      <c r="K2159" s="253"/>
      <c r="L2159" s="7"/>
      <c r="M2159" s="7"/>
      <c r="N2159" s="253"/>
      <c r="O2159" s="255"/>
      <c r="P2159" s="253"/>
      <c r="Q2159" s="7"/>
      <c r="R2159" s="7"/>
      <c r="S2159" s="7"/>
      <c r="T2159" s="7"/>
      <c r="U2159" s="7"/>
      <c r="V2159" s="253"/>
      <c r="W2159" s="7"/>
      <c r="X2159" s="256"/>
      <c r="Y2159" s="256"/>
      <c r="Z2159" s="256"/>
      <c r="AA2159" s="256"/>
      <c r="AB2159" s="257"/>
      <c r="AC2159" s="258"/>
      <c r="AD2159" s="7"/>
      <c r="AE2159" s="253"/>
      <c r="AF2159" s="253"/>
      <c r="AG2159" s="259"/>
      <c r="AH2159" s="253"/>
      <c r="AI2159" s="253"/>
      <c r="AJ2159" s="7"/>
      <c r="AK2159" s="253"/>
      <c r="AL2159" s="253"/>
      <c r="AM2159" s="7"/>
      <c r="AN2159" s="253"/>
      <c r="AO2159" s="253"/>
      <c r="AP2159" s="253"/>
      <c r="AQ2159" s="253"/>
      <c r="AR2159" s="253"/>
      <c r="AS2159" s="253"/>
      <c r="AT2159" s="253"/>
      <c r="AU2159" s="253"/>
      <c r="AV2159" s="253"/>
      <c r="AW2159" s="253"/>
      <c r="AX2159" s="253"/>
      <c r="AY2159" s="253"/>
      <c r="AZ2159" s="253"/>
    </row>
    <row r="2160" spans="1:52" ht="15.5" customHeight="1">
      <c r="A2160" s="363"/>
      <c r="B2160" s="343"/>
      <c r="C2160" s="7"/>
      <c r="D2160" s="254"/>
      <c r="E2160" s="254"/>
      <c r="F2160" s="254"/>
      <c r="G2160" s="253"/>
      <c r="H2160" s="253"/>
      <c r="I2160" s="253"/>
      <c r="J2160" s="253"/>
      <c r="K2160" s="253"/>
      <c r="L2160" s="7"/>
      <c r="M2160" s="7"/>
      <c r="N2160" s="253"/>
      <c r="O2160" s="255"/>
      <c r="P2160" s="253"/>
      <c r="Q2160" s="7"/>
      <c r="R2160" s="7"/>
      <c r="S2160" s="7"/>
      <c r="T2160" s="7"/>
      <c r="U2160" s="7"/>
      <c r="V2160" s="253"/>
      <c r="W2160" s="7"/>
      <c r="X2160" s="256"/>
      <c r="Y2160" s="256"/>
      <c r="Z2160" s="256"/>
      <c r="AA2160" s="256"/>
      <c r="AB2160" s="257"/>
      <c r="AC2160" s="258"/>
      <c r="AD2160" s="7"/>
      <c r="AE2160" s="253"/>
      <c r="AF2160" s="253"/>
      <c r="AG2160" s="259"/>
      <c r="AH2160" s="253"/>
      <c r="AI2160" s="253"/>
      <c r="AJ2160" s="7"/>
      <c r="AK2160" s="253"/>
      <c r="AL2160" s="253"/>
      <c r="AM2160" s="7"/>
      <c r="AN2160" s="253"/>
      <c r="AO2160" s="253"/>
      <c r="AP2160" s="253"/>
      <c r="AQ2160" s="253"/>
      <c r="AR2160" s="253"/>
      <c r="AS2160" s="253"/>
      <c r="AT2160" s="253"/>
      <c r="AU2160" s="253"/>
      <c r="AV2160" s="253"/>
      <c r="AW2160" s="253"/>
      <c r="AX2160" s="253"/>
      <c r="AY2160" s="253"/>
      <c r="AZ2160" s="253"/>
    </row>
    <row r="2161" spans="1:52" ht="15.5" customHeight="1">
      <c r="A2161" s="363"/>
      <c r="B2161" s="343"/>
      <c r="C2161" s="7"/>
      <c r="D2161" s="254"/>
      <c r="E2161" s="254"/>
      <c r="F2161" s="254"/>
      <c r="G2161" s="253"/>
      <c r="H2161" s="253"/>
      <c r="I2161" s="253"/>
      <c r="J2161" s="253"/>
      <c r="K2161" s="253"/>
      <c r="L2161" s="7"/>
      <c r="M2161" s="7"/>
      <c r="N2161" s="253"/>
      <c r="O2161" s="255"/>
      <c r="P2161" s="253"/>
      <c r="Q2161" s="7"/>
      <c r="R2161" s="7"/>
      <c r="S2161" s="7"/>
      <c r="T2161" s="7"/>
      <c r="U2161" s="7"/>
      <c r="V2161" s="253"/>
      <c r="W2161" s="7"/>
      <c r="X2161" s="256"/>
      <c r="Y2161" s="256"/>
      <c r="Z2161" s="256"/>
      <c r="AA2161" s="256"/>
      <c r="AB2161" s="257"/>
      <c r="AC2161" s="258"/>
      <c r="AD2161" s="7"/>
      <c r="AE2161" s="253"/>
      <c r="AF2161" s="253"/>
      <c r="AG2161" s="259"/>
      <c r="AH2161" s="253"/>
      <c r="AI2161" s="253"/>
      <c r="AJ2161" s="7"/>
      <c r="AK2161" s="253"/>
      <c r="AL2161" s="253"/>
      <c r="AM2161" s="7"/>
      <c r="AN2161" s="253"/>
      <c r="AO2161" s="253"/>
      <c r="AP2161" s="253"/>
      <c r="AQ2161" s="253"/>
      <c r="AR2161" s="253"/>
      <c r="AS2161" s="253"/>
      <c r="AT2161" s="253"/>
      <c r="AU2161" s="253"/>
      <c r="AV2161" s="253"/>
      <c r="AW2161" s="253"/>
      <c r="AX2161" s="253"/>
      <c r="AY2161" s="253"/>
      <c r="AZ2161" s="253"/>
    </row>
    <row r="2162" spans="1:52" ht="15.5" customHeight="1">
      <c r="A2162" s="363"/>
      <c r="B2162" s="343"/>
      <c r="C2162" s="7"/>
      <c r="D2162" s="254"/>
      <c r="E2162" s="254"/>
      <c r="F2162" s="254"/>
      <c r="G2162" s="253"/>
      <c r="H2162" s="253"/>
      <c r="I2162" s="253"/>
      <c r="J2162" s="253"/>
      <c r="K2162" s="253"/>
      <c r="L2162" s="7"/>
      <c r="M2162" s="7"/>
      <c r="N2162" s="253"/>
      <c r="O2162" s="255"/>
      <c r="P2162" s="253"/>
      <c r="Q2162" s="7"/>
      <c r="R2162" s="7"/>
      <c r="S2162" s="7"/>
      <c r="T2162" s="7"/>
      <c r="U2162" s="7"/>
      <c r="V2162" s="253"/>
      <c r="W2162" s="7"/>
      <c r="X2162" s="256"/>
      <c r="Y2162" s="256"/>
      <c r="Z2162" s="256"/>
      <c r="AA2162" s="256"/>
      <c r="AB2162" s="257"/>
      <c r="AC2162" s="258"/>
      <c r="AD2162" s="7"/>
      <c r="AE2162" s="253"/>
      <c r="AF2162" s="253"/>
      <c r="AG2162" s="259"/>
      <c r="AH2162" s="253"/>
      <c r="AI2162" s="253"/>
      <c r="AJ2162" s="7"/>
      <c r="AK2162" s="253"/>
      <c r="AL2162" s="253"/>
      <c r="AM2162" s="7"/>
      <c r="AN2162" s="253"/>
      <c r="AO2162" s="253"/>
      <c r="AP2162" s="253"/>
      <c r="AQ2162" s="253"/>
      <c r="AR2162" s="253"/>
      <c r="AS2162" s="253"/>
      <c r="AT2162" s="253"/>
      <c r="AU2162" s="253"/>
      <c r="AV2162" s="253"/>
      <c r="AW2162" s="253"/>
      <c r="AX2162" s="253"/>
      <c r="AY2162" s="253"/>
      <c r="AZ2162" s="253"/>
    </row>
    <row r="2163" spans="1:52" ht="15.5" customHeight="1">
      <c r="A2163" s="363"/>
      <c r="B2163" s="343"/>
      <c r="C2163" s="7"/>
      <c r="D2163" s="254"/>
      <c r="E2163" s="254"/>
      <c r="F2163" s="254"/>
      <c r="G2163" s="253"/>
      <c r="H2163" s="253"/>
      <c r="I2163" s="253"/>
      <c r="J2163" s="253"/>
      <c r="K2163" s="253"/>
      <c r="L2163" s="7"/>
      <c r="M2163" s="7"/>
      <c r="N2163" s="253"/>
      <c r="O2163" s="255"/>
      <c r="P2163" s="253"/>
      <c r="Q2163" s="7"/>
      <c r="R2163" s="7"/>
      <c r="S2163" s="7"/>
      <c r="T2163" s="7"/>
      <c r="U2163" s="7"/>
      <c r="V2163" s="253"/>
      <c r="W2163" s="7"/>
      <c r="X2163" s="256"/>
      <c r="Y2163" s="256"/>
      <c r="Z2163" s="256"/>
      <c r="AA2163" s="256"/>
      <c r="AB2163" s="257"/>
      <c r="AC2163" s="258"/>
      <c r="AD2163" s="7"/>
      <c r="AE2163" s="253"/>
      <c r="AF2163" s="253"/>
      <c r="AG2163" s="259"/>
      <c r="AH2163" s="253"/>
      <c r="AI2163" s="253"/>
      <c r="AJ2163" s="7"/>
      <c r="AK2163" s="253"/>
      <c r="AL2163" s="253"/>
      <c r="AM2163" s="7"/>
      <c r="AN2163" s="253"/>
      <c r="AO2163" s="253"/>
      <c r="AP2163" s="253"/>
      <c r="AQ2163" s="253"/>
      <c r="AR2163" s="253"/>
      <c r="AS2163" s="253"/>
      <c r="AT2163" s="253"/>
      <c r="AU2163" s="253"/>
      <c r="AV2163" s="253"/>
      <c r="AW2163" s="253"/>
      <c r="AX2163" s="253"/>
      <c r="AY2163" s="253"/>
      <c r="AZ2163" s="253"/>
    </row>
    <row r="2164" spans="1:52" ht="15.5" customHeight="1">
      <c r="A2164" s="363"/>
      <c r="B2164" s="343"/>
      <c r="C2164" s="7"/>
      <c r="D2164" s="254"/>
      <c r="E2164" s="254"/>
      <c r="F2164" s="254"/>
      <c r="G2164" s="253"/>
      <c r="H2164" s="253"/>
      <c r="I2164" s="253"/>
      <c r="J2164" s="253"/>
      <c r="K2164" s="253"/>
      <c r="L2164" s="7"/>
      <c r="M2164" s="7"/>
      <c r="N2164" s="253"/>
      <c r="O2164" s="255"/>
      <c r="P2164" s="253"/>
      <c r="Q2164" s="7"/>
      <c r="R2164" s="7"/>
      <c r="S2164" s="7"/>
      <c r="T2164" s="7"/>
      <c r="U2164" s="7"/>
      <c r="V2164" s="253"/>
      <c r="W2164" s="7"/>
      <c r="X2164" s="256"/>
      <c r="Y2164" s="256"/>
      <c r="Z2164" s="256"/>
      <c r="AA2164" s="256"/>
      <c r="AB2164" s="257"/>
      <c r="AC2164" s="258"/>
      <c r="AD2164" s="7"/>
      <c r="AE2164" s="253"/>
      <c r="AF2164" s="253"/>
      <c r="AG2164" s="259"/>
      <c r="AH2164" s="253"/>
      <c r="AI2164" s="253"/>
      <c r="AJ2164" s="7"/>
      <c r="AK2164" s="253"/>
      <c r="AL2164" s="253"/>
      <c r="AM2164" s="7"/>
      <c r="AN2164" s="253"/>
      <c r="AO2164" s="253"/>
      <c r="AP2164" s="253"/>
      <c r="AQ2164" s="253"/>
      <c r="AR2164" s="253"/>
      <c r="AS2164" s="253"/>
      <c r="AT2164" s="253"/>
      <c r="AU2164" s="253"/>
      <c r="AV2164" s="253"/>
      <c r="AW2164" s="253"/>
      <c r="AX2164" s="253"/>
      <c r="AY2164" s="253"/>
      <c r="AZ2164" s="253"/>
    </row>
    <row r="2165" spans="1:52" ht="15.5" customHeight="1">
      <c r="A2165" s="363"/>
      <c r="B2165" s="343"/>
      <c r="C2165" s="7"/>
      <c r="D2165" s="254"/>
      <c r="E2165" s="254"/>
      <c r="F2165" s="254"/>
      <c r="G2165" s="253"/>
      <c r="H2165" s="253"/>
      <c r="I2165" s="253"/>
      <c r="J2165" s="253"/>
      <c r="K2165" s="253"/>
      <c r="L2165" s="7"/>
      <c r="M2165" s="7"/>
      <c r="N2165" s="253"/>
      <c r="O2165" s="255"/>
      <c r="P2165" s="253"/>
      <c r="Q2165" s="7"/>
      <c r="R2165" s="7"/>
      <c r="S2165" s="7"/>
      <c r="T2165" s="7"/>
      <c r="U2165" s="7"/>
      <c r="V2165" s="253"/>
      <c r="W2165" s="7"/>
      <c r="X2165" s="256"/>
      <c r="Y2165" s="256"/>
      <c r="Z2165" s="256"/>
      <c r="AA2165" s="256"/>
      <c r="AB2165" s="257"/>
      <c r="AC2165" s="258"/>
      <c r="AD2165" s="7"/>
      <c r="AE2165" s="253"/>
      <c r="AF2165" s="253"/>
      <c r="AG2165" s="259"/>
      <c r="AH2165" s="253"/>
      <c r="AI2165" s="253"/>
      <c r="AJ2165" s="7"/>
      <c r="AK2165" s="253"/>
      <c r="AL2165" s="253"/>
      <c r="AM2165" s="7"/>
      <c r="AN2165" s="253"/>
      <c r="AO2165" s="253"/>
      <c r="AP2165" s="253"/>
      <c r="AQ2165" s="253"/>
      <c r="AR2165" s="253"/>
      <c r="AS2165" s="253"/>
      <c r="AT2165" s="253"/>
      <c r="AU2165" s="253"/>
      <c r="AV2165" s="253"/>
      <c r="AW2165" s="253"/>
      <c r="AX2165" s="253"/>
      <c r="AY2165" s="253"/>
      <c r="AZ2165" s="253"/>
    </row>
    <row r="2166" spans="1:52" ht="15.5" customHeight="1">
      <c r="A2166" s="363"/>
      <c r="B2166" s="343"/>
      <c r="C2166" s="7"/>
      <c r="D2166" s="254"/>
      <c r="E2166" s="254"/>
      <c r="F2166" s="254"/>
      <c r="G2166" s="253"/>
      <c r="H2166" s="253"/>
      <c r="I2166" s="253"/>
      <c r="J2166" s="253"/>
      <c r="K2166" s="253"/>
      <c r="L2166" s="7"/>
      <c r="M2166" s="7"/>
      <c r="N2166" s="253"/>
      <c r="O2166" s="255"/>
      <c r="P2166" s="253"/>
      <c r="Q2166" s="7"/>
      <c r="R2166" s="7"/>
      <c r="S2166" s="7"/>
      <c r="T2166" s="7"/>
      <c r="U2166" s="7"/>
      <c r="V2166" s="253"/>
      <c r="W2166" s="7"/>
      <c r="X2166" s="256"/>
      <c r="Y2166" s="256"/>
      <c r="Z2166" s="256"/>
      <c r="AA2166" s="256"/>
      <c r="AB2166" s="257"/>
      <c r="AC2166" s="258"/>
      <c r="AD2166" s="7"/>
      <c r="AE2166" s="253"/>
      <c r="AF2166" s="253"/>
      <c r="AG2166" s="259"/>
      <c r="AH2166" s="253"/>
      <c r="AI2166" s="253"/>
      <c r="AJ2166" s="7"/>
      <c r="AK2166" s="253"/>
      <c r="AL2166" s="253"/>
      <c r="AM2166" s="7"/>
      <c r="AN2166" s="253"/>
      <c r="AO2166" s="253"/>
      <c r="AP2166" s="253"/>
      <c r="AQ2166" s="253"/>
      <c r="AR2166" s="253"/>
      <c r="AS2166" s="253"/>
      <c r="AT2166" s="253"/>
      <c r="AU2166" s="253"/>
      <c r="AV2166" s="253"/>
      <c r="AW2166" s="253"/>
      <c r="AX2166" s="253"/>
      <c r="AY2166" s="253"/>
      <c r="AZ2166" s="253"/>
    </row>
    <row r="2167" spans="1:52" ht="15.5" customHeight="1">
      <c r="A2167" s="363"/>
      <c r="B2167" s="343"/>
      <c r="C2167" s="7"/>
      <c r="D2167" s="254"/>
      <c r="E2167" s="254"/>
      <c r="F2167" s="254"/>
      <c r="G2167" s="253"/>
      <c r="H2167" s="253"/>
      <c r="I2167" s="253"/>
      <c r="J2167" s="253"/>
      <c r="K2167" s="253"/>
      <c r="L2167" s="7"/>
      <c r="M2167" s="7"/>
      <c r="N2167" s="253"/>
      <c r="O2167" s="255"/>
      <c r="P2167" s="253"/>
      <c r="Q2167" s="7"/>
      <c r="R2167" s="7"/>
      <c r="S2167" s="7"/>
      <c r="T2167" s="7"/>
      <c r="U2167" s="7"/>
      <c r="V2167" s="253"/>
      <c r="W2167" s="7"/>
      <c r="X2167" s="256"/>
      <c r="Y2167" s="256"/>
      <c r="Z2167" s="256"/>
      <c r="AA2167" s="256"/>
      <c r="AB2167" s="257"/>
      <c r="AC2167" s="258"/>
      <c r="AD2167" s="7"/>
      <c r="AE2167" s="253"/>
      <c r="AF2167" s="253"/>
      <c r="AG2167" s="259"/>
      <c r="AH2167" s="253"/>
      <c r="AI2167" s="253"/>
      <c r="AJ2167" s="7"/>
      <c r="AK2167" s="253"/>
      <c r="AL2167" s="253"/>
      <c r="AM2167" s="7"/>
      <c r="AN2167" s="253"/>
      <c r="AO2167" s="253"/>
      <c r="AP2167" s="253"/>
      <c r="AQ2167" s="253"/>
      <c r="AR2167" s="253"/>
      <c r="AS2167" s="253"/>
      <c r="AT2167" s="253"/>
      <c r="AU2167" s="253"/>
      <c r="AV2167" s="253"/>
      <c r="AW2167" s="253"/>
      <c r="AX2167" s="253"/>
      <c r="AY2167" s="253"/>
      <c r="AZ2167" s="253"/>
    </row>
    <row r="2168" spans="1:52" ht="15.5" customHeight="1">
      <c r="A2168" s="363"/>
      <c r="B2168" s="343"/>
      <c r="C2168" s="7"/>
      <c r="D2168" s="254"/>
      <c r="E2168" s="254"/>
      <c r="F2168" s="254"/>
      <c r="G2168" s="253"/>
      <c r="H2168" s="253"/>
      <c r="I2168" s="253"/>
      <c r="J2168" s="253"/>
      <c r="K2168" s="253"/>
      <c r="L2168" s="7"/>
      <c r="M2168" s="7"/>
      <c r="N2168" s="253"/>
      <c r="O2168" s="255"/>
      <c r="P2168" s="253"/>
      <c r="Q2168" s="7"/>
      <c r="R2168" s="7"/>
      <c r="S2168" s="7"/>
      <c r="T2168" s="7"/>
      <c r="U2168" s="7"/>
      <c r="V2168" s="253"/>
      <c r="W2168" s="7"/>
      <c r="X2168" s="256"/>
      <c r="Y2168" s="256"/>
      <c r="Z2168" s="256"/>
      <c r="AA2168" s="256"/>
      <c r="AB2168" s="257"/>
      <c r="AC2168" s="258"/>
      <c r="AD2168" s="7"/>
      <c r="AE2168" s="253"/>
      <c r="AF2168" s="253"/>
      <c r="AG2168" s="259"/>
      <c r="AH2168" s="253"/>
      <c r="AI2168" s="253"/>
      <c r="AJ2168" s="7"/>
      <c r="AK2168" s="253"/>
      <c r="AL2168" s="253"/>
      <c r="AM2168" s="7"/>
      <c r="AN2168" s="253"/>
      <c r="AO2168" s="253"/>
      <c r="AP2168" s="253"/>
      <c r="AQ2168" s="253"/>
      <c r="AR2168" s="253"/>
      <c r="AS2168" s="253"/>
      <c r="AT2168" s="253"/>
      <c r="AU2168" s="253"/>
      <c r="AV2168" s="253"/>
      <c r="AW2168" s="253"/>
      <c r="AX2168" s="253"/>
      <c r="AY2168" s="253"/>
      <c r="AZ2168" s="253"/>
    </row>
    <row r="2169" spans="1:52" ht="15.5" customHeight="1">
      <c r="A2169" s="363"/>
      <c r="B2169" s="343"/>
      <c r="C2169" s="7"/>
      <c r="D2169" s="254"/>
      <c r="E2169" s="254"/>
      <c r="F2169" s="254"/>
      <c r="G2169" s="253"/>
      <c r="H2169" s="253"/>
      <c r="I2169" s="253"/>
      <c r="J2169" s="253"/>
      <c r="K2169" s="253"/>
      <c r="L2169" s="7"/>
      <c r="M2169" s="7"/>
      <c r="N2169" s="253"/>
      <c r="O2169" s="255"/>
      <c r="P2169" s="253"/>
      <c r="Q2169" s="7"/>
      <c r="R2169" s="7"/>
      <c r="S2169" s="7"/>
      <c r="T2169" s="7"/>
      <c r="U2169" s="7"/>
      <c r="V2169" s="253"/>
      <c r="W2169" s="7"/>
      <c r="X2169" s="256"/>
      <c r="Y2169" s="256"/>
      <c r="Z2169" s="256"/>
      <c r="AA2169" s="256"/>
      <c r="AB2169" s="257"/>
      <c r="AC2169" s="258"/>
      <c r="AD2169" s="7"/>
      <c r="AE2169" s="253"/>
      <c r="AF2169" s="253"/>
      <c r="AG2169" s="259"/>
      <c r="AH2169" s="253"/>
      <c r="AI2169" s="253"/>
      <c r="AJ2169" s="7"/>
      <c r="AK2169" s="253"/>
      <c r="AL2169" s="253"/>
      <c r="AM2169" s="7"/>
      <c r="AN2169" s="253"/>
      <c r="AO2169" s="253"/>
      <c r="AP2169" s="253"/>
      <c r="AQ2169" s="253"/>
      <c r="AR2169" s="253"/>
      <c r="AS2169" s="253"/>
      <c r="AT2169" s="253"/>
      <c r="AU2169" s="253"/>
      <c r="AV2169" s="253"/>
      <c r="AW2169" s="253"/>
      <c r="AX2169" s="253"/>
      <c r="AY2169" s="253"/>
      <c r="AZ2169" s="253"/>
    </row>
    <row r="2170" spans="1:52" ht="15.5" customHeight="1">
      <c r="A2170" s="363"/>
      <c r="B2170" s="343"/>
      <c r="C2170" s="7"/>
      <c r="D2170" s="254"/>
      <c r="E2170" s="254"/>
      <c r="F2170" s="254"/>
      <c r="G2170" s="253"/>
      <c r="H2170" s="253"/>
      <c r="I2170" s="253"/>
      <c r="J2170" s="253"/>
      <c r="K2170" s="253"/>
      <c r="L2170" s="7"/>
      <c r="M2170" s="7"/>
      <c r="N2170" s="253"/>
      <c r="O2170" s="255"/>
      <c r="P2170" s="253"/>
      <c r="Q2170" s="7"/>
      <c r="R2170" s="7"/>
      <c r="S2170" s="7"/>
      <c r="T2170" s="7"/>
      <c r="U2170" s="7"/>
      <c r="V2170" s="253"/>
      <c r="W2170" s="7"/>
      <c r="X2170" s="256"/>
      <c r="Y2170" s="256"/>
      <c r="Z2170" s="256"/>
      <c r="AA2170" s="256"/>
      <c r="AB2170" s="257"/>
      <c r="AC2170" s="258"/>
      <c r="AD2170" s="7"/>
      <c r="AE2170" s="253"/>
      <c r="AF2170" s="253"/>
      <c r="AG2170" s="259"/>
      <c r="AH2170" s="253"/>
      <c r="AI2170" s="253"/>
      <c r="AJ2170" s="7"/>
      <c r="AK2170" s="253"/>
      <c r="AL2170" s="253"/>
      <c r="AM2170" s="7"/>
      <c r="AN2170" s="253"/>
      <c r="AO2170" s="253"/>
      <c r="AP2170" s="253"/>
      <c r="AQ2170" s="253"/>
      <c r="AR2170" s="253"/>
      <c r="AS2170" s="253"/>
      <c r="AT2170" s="253"/>
      <c r="AU2170" s="253"/>
      <c r="AV2170" s="253"/>
      <c r="AW2170" s="253"/>
      <c r="AX2170" s="253"/>
      <c r="AY2170" s="253"/>
      <c r="AZ2170" s="253"/>
    </row>
    <row r="2171" spans="1:52" ht="15.5" customHeight="1">
      <c r="A2171" s="363"/>
      <c r="B2171" s="343"/>
      <c r="C2171" s="7"/>
      <c r="D2171" s="254"/>
      <c r="E2171" s="254"/>
      <c r="F2171" s="254"/>
      <c r="G2171" s="253"/>
      <c r="H2171" s="253"/>
      <c r="I2171" s="253"/>
      <c r="J2171" s="253"/>
      <c r="K2171" s="253"/>
      <c r="L2171" s="7"/>
      <c r="M2171" s="7"/>
      <c r="N2171" s="253"/>
      <c r="O2171" s="255"/>
      <c r="P2171" s="253"/>
      <c r="Q2171" s="7"/>
      <c r="R2171" s="7"/>
      <c r="S2171" s="7"/>
      <c r="T2171" s="7"/>
      <c r="U2171" s="7"/>
      <c r="V2171" s="253"/>
      <c r="W2171" s="7"/>
      <c r="X2171" s="256"/>
      <c r="Y2171" s="256"/>
      <c r="Z2171" s="256"/>
      <c r="AA2171" s="256"/>
      <c r="AB2171" s="257"/>
      <c r="AC2171" s="258"/>
      <c r="AD2171" s="7"/>
      <c r="AE2171" s="253"/>
      <c r="AF2171" s="253"/>
      <c r="AG2171" s="259"/>
      <c r="AH2171" s="253"/>
      <c r="AI2171" s="253"/>
      <c r="AJ2171" s="7"/>
      <c r="AK2171" s="253"/>
      <c r="AL2171" s="253"/>
      <c r="AM2171" s="7"/>
      <c r="AN2171" s="253"/>
      <c r="AO2171" s="253"/>
      <c r="AP2171" s="253"/>
      <c r="AQ2171" s="253"/>
      <c r="AR2171" s="253"/>
      <c r="AS2171" s="253"/>
      <c r="AT2171" s="253"/>
      <c r="AU2171" s="253"/>
      <c r="AV2171" s="253"/>
      <c r="AW2171" s="253"/>
      <c r="AX2171" s="253"/>
      <c r="AY2171" s="253"/>
      <c r="AZ2171" s="253"/>
    </row>
    <row r="2172" spans="1:52" ht="15.5" customHeight="1">
      <c r="A2172" s="363"/>
      <c r="B2172" s="343"/>
      <c r="C2172" s="7"/>
      <c r="D2172" s="254"/>
      <c r="E2172" s="254"/>
      <c r="F2172" s="254"/>
      <c r="G2172" s="253"/>
      <c r="H2172" s="253"/>
      <c r="I2172" s="253"/>
      <c r="J2172" s="253"/>
      <c r="K2172" s="253"/>
      <c r="L2172" s="7"/>
      <c r="M2172" s="7"/>
      <c r="N2172" s="253"/>
      <c r="O2172" s="255"/>
      <c r="P2172" s="253"/>
      <c r="Q2172" s="7"/>
      <c r="R2172" s="7"/>
      <c r="S2172" s="7"/>
      <c r="T2172" s="7"/>
      <c r="U2172" s="7"/>
      <c r="V2172" s="253"/>
      <c r="W2172" s="7"/>
      <c r="X2172" s="256"/>
      <c r="Y2172" s="256"/>
      <c r="Z2172" s="256"/>
      <c r="AA2172" s="256"/>
      <c r="AB2172" s="257"/>
      <c r="AC2172" s="258"/>
      <c r="AD2172" s="7"/>
      <c r="AE2172" s="253"/>
      <c r="AF2172" s="253"/>
      <c r="AG2172" s="259"/>
      <c r="AH2172" s="253"/>
      <c r="AI2172" s="253"/>
      <c r="AJ2172" s="7"/>
      <c r="AK2172" s="253"/>
      <c r="AL2172" s="253"/>
      <c r="AM2172" s="7"/>
      <c r="AN2172" s="253"/>
      <c r="AO2172" s="253"/>
      <c r="AP2172" s="253"/>
      <c r="AQ2172" s="253"/>
      <c r="AR2172" s="253"/>
      <c r="AS2172" s="253"/>
      <c r="AT2172" s="253"/>
      <c r="AU2172" s="253"/>
      <c r="AV2172" s="253"/>
      <c r="AW2172" s="253"/>
      <c r="AX2172" s="253"/>
      <c r="AY2172" s="253"/>
      <c r="AZ2172" s="253"/>
    </row>
    <row r="2173" spans="1:52" ht="15.5" customHeight="1">
      <c r="A2173" s="363"/>
      <c r="B2173" s="343"/>
      <c r="C2173" s="7"/>
      <c r="D2173" s="254"/>
      <c r="E2173" s="254"/>
      <c r="F2173" s="254"/>
      <c r="G2173" s="253"/>
      <c r="H2173" s="253"/>
      <c r="I2173" s="253"/>
      <c r="J2173" s="253"/>
      <c r="K2173" s="253"/>
      <c r="L2173" s="7"/>
      <c r="M2173" s="7"/>
      <c r="N2173" s="253"/>
      <c r="O2173" s="255"/>
      <c r="P2173" s="253"/>
      <c r="Q2173" s="7"/>
      <c r="R2173" s="7"/>
      <c r="S2173" s="7"/>
      <c r="T2173" s="7"/>
      <c r="U2173" s="7"/>
      <c r="V2173" s="253"/>
      <c r="W2173" s="7"/>
      <c r="X2173" s="256"/>
      <c r="Y2173" s="256"/>
      <c r="Z2173" s="256"/>
      <c r="AA2173" s="256"/>
      <c r="AB2173" s="257"/>
      <c r="AC2173" s="258"/>
      <c r="AD2173" s="7"/>
      <c r="AE2173" s="253"/>
      <c r="AF2173" s="253"/>
      <c r="AG2173" s="259"/>
      <c r="AH2173" s="253"/>
      <c r="AI2173" s="253"/>
      <c r="AJ2173" s="7"/>
      <c r="AK2173" s="253"/>
      <c r="AL2173" s="253"/>
      <c r="AM2173" s="7"/>
      <c r="AN2173" s="253"/>
      <c r="AO2173" s="253"/>
      <c r="AP2173" s="253"/>
      <c r="AQ2173" s="253"/>
      <c r="AR2173" s="253"/>
      <c r="AS2173" s="253"/>
      <c r="AT2173" s="253"/>
      <c r="AU2173" s="253"/>
      <c r="AV2173" s="253"/>
      <c r="AW2173" s="253"/>
      <c r="AX2173" s="253"/>
      <c r="AY2173" s="253"/>
      <c r="AZ2173" s="253"/>
    </row>
    <row r="2174" spans="1:52" ht="15.5" customHeight="1">
      <c r="A2174" s="363"/>
      <c r="B2174" s="343"/>
      <c r="C2174" s="7"/>
      <c r="D2174" s="254"/>
      <c r="E2174" s="254"/>
      <c r="F2174" s="254"/>
      <c r="G2174" s="253"/>
      <c r="H2174" s="253"/>
      <c r="I2174" s="253"/>
      <c r="J2174" s="253"/>
      <c r="K2174" s="253"/>
      <c r="L2174" s="7"/>
      <c r="M2174" s="7"/>
      <c r="N2174" s="253"/>
      <c r="O2174" s="255"/>
      <c r="P2174" s="253"/>
      <c r="Q2174" s="7"/>
      <c r="R2174" s="7"/>
      <c r="S2174" s="7"/>
      <c r="T2174" s="7"/>
      <c r="U2174" s="7"/>
      <c r="V2174" s="253"/>
      <c r="W2174" s="7"/>
      <c r="X2174" s="256"/>
      <c r="Y2174" s="256"/>
      <c r="Z2174" s="256"/>
      <c r="AA2174" s="256"/>
      <c r="AB2174" s="257"/>
      <c r="AC2174" s="258"/>
      <c r="AD2174" s="7"/>
      <c r="AE2174" s="253"/>
      <c r="AF2174" s="253"/>
      <c r="AG2174" s="259"/>
      <c r="AH2174" s="253"/>
      <c r="AI2174" s="253"/>
      <c r="AJ2174" s="7"/>
      <c r="AK2174" s="253"/>
      <c r="AL2174" s="253"/>
      <c r="AM2174" s="7"/>
      <c r="AN2174" s="253"/>
      <c r="AO2174" s="253"/>
      <c r="AP2174" s="253"/>
      <c r="AQ2174" s="253"/>
      <c r="AR2174" s="253"/>
      <c r="AS2174" s="253"/>
      <c r="AT2174" s="253"/>
      <c r="AU2174" s="253"/>
      <c r="AV2174" s="253"/>
      <c r="AW2174" s="253"/>
      <c r="AX2174" s="253"/>
      <c r="AY2174" s="253"/>
      <c r="AZ2174" s="253"/>
    </row>
    <row r="2175" spans="1:52" ht="15.5" customHeight="1">
      <c r="A2175" s="363"/>
      <c r="B2175" s="343"/>
      <c r="C2175" s="7"/>
      <c r="D2175" s="254"/>
      <c r="E2175" s="254"/>
      <c r="F2175" s="254"/>
      <c r="G2175" s="253"/>
      <c r="H2175" s="253"/>
      <c r="I2175" s="253"/>
      <c r="J2175" s="253"/>
      <c r="K2175" s="253"/>
      <c r="L2175" s="7"/>
      <c r="M2175" s="7"/>
      <c r="N2175" s="253"/>
      <c r="O2175" s="255"/>
      <c r="P2175" s="253"/>
      <c r="Q2175" s="7"/>
      <c r="R2175" s="7"/>
      <c r="S2175" s="7"/>
      <c r="T2175" s="7"/>
      <c r="U2175" s="7"/>
      <c r="V2175" s="253"/>
      <c r="W2175" s="7"/>
      <c r="X2175" s="256"/>
      <c r="Y2175" s="256"/>
      <c r="Z2175" s="256"/>
      <c r="AA2175" s="256"/>
      <c r="AB2175" s="257"/>
      <c r="AC2175" s="258"/>
      <c r="AD2175" s="7"/>
      <c r="AE2175" s="253"/>
      <c r="AF2175" s="253"/>
      <c r="AG2175" s="259"/>
      <c r="AH2175" s="253"/>
      <c r="AI2175" s="253"/>
      <c r="AJ2175" s="7"/>
      <c r="AK2175" s="253"/>
      <c r="AL2175" s="253"/>
      <c r="AM2175" s="7"/>
      <c r="AN2175" s="253"/>
      <c r="AO2175" s="253"/>
      <c r="AP2175" s="253"/>
      <c r="AQ2175" s="253"/>
      <c r="AR2175" s="253"/>
      <c r="AS2175" s="253"/>
      <c r="AT2175" s="253"/>
      <c r="AU2175" s="253"/>
      <c r="AV2175" s="253"/>
      <c r="AW2175" s="253"/>
      <c r="AX2175" s="253"/>
      <c r="AY2175" s="253"/>
      <c r="AZ2175" s="253"/>
    </row>
    <row r="2176" spans="1:52" ht="15.5" customHeight="1">
      <c r="A2176" s="363"/>
      <c r="B2176" s="343"/>
      <c r="C2176" s="7"/>
      <c r="D2176" s="254"/>
      <c r="E2176" s="254"/>
      <c r="F2176" s="254"/>
      <c r="G2176" s="253"/>
      <c r="H2176" s="253"/>
      <c r="I2176" s="253"/>
      <c r="J2176" s="253"/>
      <c r="K2176" s="253"/>
      <c r="L2176" s="7"/>
      <c r="M2176" s="7"/>
      <c r="N2176" s="253"/>
      <c r="O2176" s="255"/>
      <c r="P2176" s="253"/>
      <c r="Q2176" s="7"/>
      <c r="R2176" s="7"/>
      <c r="S2176" s="7"/>
      <c r="T2176" s="7"/>
      <c r="U2176" s="7"/>
      <c r="V2176" s="253"/>
      <c r="W2176" s="7"/>
      <c r="X2176" s="256"/>
      <c r="Y2176" s="256"/>
      <c r="Z2176" s="256"/>
      <c r="AA2176" s="256"/>
      <c r="AB2176" s="257"/>
      <c r="AC2176" s="258"/>
      <c r="AD2176" s="7"/>
      <c r="AE2176" s="253"/>
      <c r="AF2176" s="253"/>
      <c r="AG2176" s="259"/>
      <c r="AH2176" s="253"/>
      <c r="AI2176" s="253"/>
      <c r="AJ2176" s="7"/>
      <c r="AK2176" s="253"/>
      <c r="AL2176" s="253"/>
      <c r="AM2176" s="7"/>
      <c r="AN2176" s="253"/>
      <c r="AO2176" s="253"/>
      <c r="AP2176" s="253"/>
      <c r="AQ2176" s="253"/>
      <c r="AR2176" s="253"/>
      <c r="AS2176" s="253"/>
      <c r="AT2176" s="253"/>
      <c r="AU2176" s="253"/>
      <c r="AV2176" s="253"/>
      <c r="AW2176" s="253"/>
      <c r="AX2176" s="253"/>
      <c r="AY2176" s="253"/>
      <c r="AZ2176" s="253"/>
    </row>
    <row r="2177" spans="1:52" ht="15.5" customHeight="1">
      <c r="A2177" s="363"/>
      <c r="B2177" s="343"/>
      <c r="C2177" s="7"/>
      <c r="D2177" s="254"/>
      <c r="E2177" s="254"/>
      <c r="F2177" s="254"/>
      <c r="G2177" s="253"/>
      <c r="H2177" s="253"/>
      <c r="I2177" s="253"/>
      <c r="J2177" s="253"/>
      <c r="K2177" s="253"/>
      <c r="L2177" s="7"/>
      <c r="M2177" s="7"/>
      <c r="N2177" s="253"/>
      <c r="O2177" s="255"/>
      <c r="P2177" s="253"/>
      <c r="Q2177" s="7"/>
      <c r="R2177" s="7"/>
      <c r="S2177" s="7"/>
      <c r="T2177" s="7"/>
      <c r="U2177" s="7"/>
      <c r="V2177" s="253"/>
      <c r="W2177" s="7"/>
      <c r="X2177" s="256"/>
      <c r="Y2177" s="256"/>
      <c r="Z2177" s="256"/>
      <c r="AA2177" s="256"/>
      <c r="AB2177" s="257"/>
      <c r="AC2177" s="258"/>
      <c r="AD2177" s="7"/>
      <c r="AE2177" s="253"/>
      <c r="AF2177" s="253"/>
      <c r="AG2177" s="259"/>
      <c r="AH2177" s="253"/>
      <c r="AI2177" s="253"/>
      <c r="AJ2177" s="7"/>
      <c r="AK2177" s="253"/>
      <c r="AL2177" s="253"/>
      <c r="AM2177" s="7"/>
      <c r="AN2177" s="253"/>
      <c r="AO2177" s="253"/>
      <c r="AP2177" s="253"/>
      <c r="AQ2177" s="253"/>
      <c r="AR2177" s="253"/>
      <c r="AS2177" s="253"/>
      <c r="AT2177" s="253"/>
      <c r="AU2177" s="253"/>
      <c r="AV2177" s="253"/>
      <c r="AW2177" s="253"/>
      <c r="AX2177" s="253"/>
      <c r="AY2177" s="253"/>
      <c r="AZ2177" s="253"/>
    </row>
    <row r="2178" spans="1:52" ht="15.5" customHeight="1">
      <c r="A2178" s="363"/>
      <c r="B2178" s="343"/>
      <c r="C2178" s="7"/>
      <c r="D2178" s="254"/>
      <c r="E2178" s="254"/>
      <c r="F2178" s="254"/>
      <c r="G2178" s="253"/>
      <c r="H2178" s="253"/>
      <c r="I2178" s="253"/>
      <c r="J2178" s="253"/>
      <c r="K2178" s="253"/>
      <c r="L2178" s="7"/>
      <c r="M2178" s="7"/>
      <c r="N2178" s="253"/>
      <c r="O2178" s="255"/>
      <c r="P2178" s="253"/>
      <c r="Q2178" s="7"/>
      <c r="R2178" s="7"/>
      <c r="S2178" s="7"/>
      <c r="T2178" s="7"/>
      <c r="U2178" s="7"/>
      <c r="V2178" s="253"/>
      <c r="W2178" s="7"/>
      <c r="X2178" s="256"/>
      <c r="Y2178" s="256"/>
      <c r="Z2178" s="256"/>
      <c r="AA2178" s="256"/>
      <c r="AB2178" s="257"/>
      <c r="AC2178" s="258"/>
      <c r="AD2178" s="7"/>
      <c r="AE2178" s="253"/>
      <c r="AF2178" s="253"/>
      <c r="AG2178" s="259"/>
      <c r="AH2178" s="253"/>
      <c r="AI2178" s="253"/>
      <c r="AJ2178" s="7"/>
      <c r="AK2178" s="253"/>
      <c r="AL2178" s="253"/>
      <c r="AM2178" s="7"/>
      <c r="AN2178" s="253"/>
      <c r="AO2178" s="253"/>
      <c r="AP2178" s="253"/>
      <c r="AQ2178" s="253"/>
      <c r="AR2178" s="253"/>
      <c r="AS2178" s="253"/>
      <c r="AT2178" s="253"/>
      <c r="AU2178" s="253"/>
      <c r="AV2178" s="253"/>
      <c r="AW2178" s="253"/>
      <c r="AX2178" s="253"/>
      <c r="AY2178" s="253"/>
      <c r="AZ2178" s="253"/>
    </row>
    <row r="2179" spans="1:52" ht="15.5" customHeight="1">
      <c r="A2179" s="363"/>
      <c r="B2179" s="343"/>
      <c r="C2179" s="7"/>
      <c r="D2179" s="254"/>
      <c r="E2179" s="254"/>
      <c r="F2179" s="254"/>
      <c r="G2179" s="253"/>
      <c r="H2179" s="253"/>
      <c r="I2179" s="253"/>
      <c r="J2179" s="253"/>
      <c r="K2179" s="253"/>
      <c r="L2179" s="7"/>
      <c r="M2179" s="7"/>
      <c r="N2179" s="253"/>
      <c r="O2179" s="255"/>
      <c r="P2179" s="253"/>
      <c r="Q2179" s="7"/>
      <c r="R2179" s="7"/>
      <c r="S2179" s="7"/>
      <c r="T2179" s="7"/>
      <c r="U2179" s="7"/>
      <c r="V2179" s="253"/>
      <c r="W2179" s="7"/>
      <c r="X2179" s="256"/>
      <c r="Y2179" s="256"/>
      <c r="Z2179" s="256"/>
      <c r="AA2179" s="256"/>
      <c r="AB2179" s="257"/>
      <c r="AC2179" s="258"/>
      <c r="AD2179" s="7"/>
      <c r="AE2179" s="253"/>
      <c r="AF2179" s="253"/>
      <c r="AG2179" s="259"/>
      <c r="AH2179" s="253"/>
      <c r="AI2179" s="253"/>
      <c r="AJ2179" s="7"/>
      <c r="AK2179" s="253"/>
      <c r="AL2179" s="253"/>
      <c r="AM2179" s="7"/>
      <c r="AN2179" s="253"/>
      <c r="AO2179" s="253"/>
      <c r="AP2179" s="253"/>
      <c r="AQ2179" s="253"/>
      <c r="AR2179" s="253"/>
      <c r="AS2179" s="253"/>
      <c r="AT2179" s="253"/>
      <c r="AU2179" s="253"/>
      <c r="AV2179" s="253"/>
      <c r="AW2179" s="253"/>
      <c r="AX2179" s="253"/>
      <c r="AY2179" s="253"/>
      <c r="AZ2179" s="253"/>
    </row>
    <row r="2180" spans="1:52" ht="15.5" customHeight="1">
      <c r="A2180" s="363"/>
      <c r="B2180" s="343"/>
      <c r="C2180" s="7"/>
      <c r="D2180" s="254"/>
      <c r="E2180" s="254"/>
      <c r="F2180" s="254"/>
      <c r="G2180" s="253"/>
      <c r="H2180" s="253"/>
      <c r="I2180" s="253"/>
      <c r="J2180" s="253"/>
      <c r="K2180" s="253"/>
      <c r="L2180" s="7"/>
      <c r="M2180" s="7"/>
      <c r="N2180" s="253"/>
      <c r="O2180" s="255"/>
      <c r="P2180" s="253"/>
      <c r="Q2180" s="7"/>
      <c r="R2180" s="7"/>
      <c r="S2180" s="7"/>
      <c r="T2180" s="7"/>
      <c r="U2180" s="7"/>
      <c r="V2180" s="253"/>
      <c r="W2180" s="7"/>
      <c r="X2180" s="256"/>
      <c r="Y2180" s="256"/>
      <c r="Z2180" s="256"/>
      <c r="AA2180" s="256"/>
      <c r="AB2180" s="257"/>
      <c r="AC2180" s="258"/>
      <c r="AD2180" s="7"/>
      <c r="AE2180" s="253"/>
      <c r="AF2180" s="253"/>
      <c r="AG2180" s="259"/>
      <c r="AH2180" s="253"/>
      <c r="AI2180" s="253"/>
      <c r="AJ2180" s="7"/>
      <c r="AK2180" s="253"/>
      <c r="AL2180" s="253"/>
      <c r="AM2180" s="7"/>
      <c r="AN2180" s="253"/>
      <c r="AO2180" s="253"/>
      <c r="AP2180" s="253"/>
      <c r="AQ2180" s="253"/>
      <c r="AR2180" s="253"/>
      <c r="AS2180" s="253"/>
      <c r="AT2180" s="253"/>
      <c r="AU2180" s="253"/>
      <c r="AV2180" s="253"/>
      <c r="AW2180" s="253"/>
      <c r="AX2180" s="253"/>
      <c r="AY2180" s="253"/>
      <c r="AZ2180" s="253"/>
    </row>
    <row r="2181" spans="1:52" ht="15.5" customHeight="1">
      <c r="A2181" s="363"/>
      <c r="B2181" s="343"/>
      <c r="C2181" s="7"/>
      <c r="D2181" s="254"/>
      <c r="E2181" s="254"/>
      <c r="F2181" s="254"/>
      <c r="G2181" s="253"/>
      <c r="H2181" s="253"/>
      <c r="I2181" s="253"/>
      <c r="J2181" s="253"/>
      <c r="K2181" s="253"/>
      <c r="L2181" s="7"/>
      <c r="M2181" s="7"/>
      <c r="N2181" s="253"/>
      <c r="O2181" s="255"/>
      <c r="P2181" s="253"/>
      <c r="Q2181" s="7"/>
      <c r="R2181" s="7"/>
      <c r="S2181" s="7"/>
      <c r="T2181" s="7"/>
      <c r="U2181" s="7"/>
      <c r="V2181" s="253"/>
      <c r="W2181" s="7"/>
      <c r="X2181" s="256"/>
      <c r="Y2181" s="256"/>
      <c r="Z2181" s="256"/>
      <c r="AA2181" s="256"/>
      <c r="AB2181" s="257"/>
      <c r="AC2181" s="258"/>
      <c r="AD2181" s="7"/>
      <c r="AE2181" s="253"/>
      <c r="AF2181" s="253"/>
      <c r="AG2181" s="259"/>
      <c r="AH2181" s="253"/>
      <c r="AI2181" s="253"/>
      <c r="AJ2181" s="7"/>
      <c r="AK2181" s="253"/>
      <c r="AL2181" s="253"/>
      <c r="AM2181" s="7"/>
      <c r="AN2181" s="253"/>
      <c r="AO2181" s="253"/>
      <c r="AP2181" s="253"/>
      <c r="AQ2181" s="253"/>
      <c r="AR2181" s="253"/>
      <c r="AS2181" s="253"/>
      <c r="AT2181" s="253"/>
      <c r="AU2181" s="253"/>
      <c r="AV2181" s="253"/>
      <c r="AW2181" s="253"/>
      <c r="AX2181" s="253"/>
      <c r="AY2181" s="253"/>
      <c r="AZ2181" s="253"/>
    </row>
    <row r="2182" spans="1:52" ht="15.5" customHeight="1">
      <c r="A2182" s="363"/>
      <c r="B2182" s="343"/>
      <c r="C2182" s="7"/>
      <c r="D2182" s="254"/>
      <c r="E2182" s="254"/>
      <c r="F2182" s="254"/>
      <c r="G2182" s="253"/>
      <c r="H2182" s="253"/>
      <c r="I2182" s="253"/>
      <c r="J2182" s="253"/>
      <c r="K2182" s="253"/>
      <c r="L2182" s="7"/>
      <c r="M2182" s="7"/>
      <c r="N2182" s="253"/>
      <c r="O2182" s="255"/>
      <c r="P2182" s="253"/>
      <c r="Q2182" s="7"/>
      <c r="R2182" s="7"/>
      <c r="S2182" s="7"/>
      <c r="T2182" s="7"/>
      <c r="U2182" s="7"/>
      <c r="V2182" s="253"/>
      <c r="W2182" s="7"/>
      <c r="X2182" s="256"/>
      <c r="Y2182" s="256"/>
      <c r="Z2182" s="256"/>
      <c r="AA2182" s="256"/>
      <c r="AB2182" s="257"/>
      <c r="AC2182" s="258"/>
      <c r="AD2182" s="7"/>
      <c r="AE2182" s="253"/>
      <c r="AF2182" s="253"/>
      <c r="AG2182" s="259"/>
      <c r="AH2182" s="253"/>
      <c r="AI2182" s="253"/>
      <c r="AJ2182" s="7"/>
      <c r="AK2182" s="253"/>
      <c r="AL2182" s="253"/>
      <c r="AM2182" s="7"/>
      <c r="AN2182" s="253"/>
      <c r="AO2182" s="253"/>
      <c r="AP2182" s="253"/>
      <c r="AQ2182" s="253"/>
      <c r="AR2182" s="253"/>
      <c r="AS2182" s="253"/>
      <c r="AT2182" s="253"/>
      <c r="AU2182" s="253"/>
      <c r="AV2182" s="253"/>
      <c r="AW2182" s="253"/>
      <c r="AX2182" s="253"/>
      <c r="AY2182" s="253"/>
      <c r="AZ2182" s="253"/>
    </row>
    <row r="2183" spans="1:52" ht="15.5" customHeight="1">
      <c r="A2183" s="363"/>
      <c r="B2183" s="343"/>
      <c r="C2183" s="7"/>
      <c r="D2183" s="254"/>
      <c r="E2183" s="254"/>
      <c r="F2183" s="254"/>
      <c r="G2183" s="253"/>
      <c r="H2183" s="253"/>
      <c r="I2183" s="253"/>
      <c r="J2183" s="253"/>
      <c r="K2183" s="253"/>
      <c r="L2183" s="7"/>
      <c r="M2183" s="7"/>
      <c r="N2183" s="253"/>
      <c r="O2183" s="255"/>
      <c r="P2183" s="253"/>
      <c r="Q2183" s="7"/>
      <c r="R2183" s="7"/>
      <c r="S2183" s="7"/>
      <c r="T2183" s="7"/>
      <c r="U2183" s="7"/>
      <c r="V2183" s="253"/>
      <c r="W2183" s="7"/>
      <c r="X2183" s="256"/>
      <c r="Y2183" s="256"/>
      <c r="Z2183" s="256"/>
      <c r="AA2183" s="256"/>
      <c r="AB2183" s="257"/>
      <c r="AC2183" s="258"/>
      <c r="AD2183" s="7"/>
      <c r="AE2183" s="253"/>
      <c r="AF2183" s="253"/>
      <c r="AG2183" s="259"/>
      <c r="AH2183" s="253"/>
      <c r="AI2183" s="253"/>
      <c r="AJ2183" s="7"/>
      <c r="AK2183" s="253"/>
      <c r="AL2183" s="253"/>
      <c r="AM2183" s="7"/>
      <c r="AN2183" s="253"/>
      <c r="AO2183" s="253"/>
      <c r="AP2183" s="253"/>
      <c r="AQ2183" s="253"/>
      <c r="AR2183" s="253"/>
      <c r="AS2183" s="253"/>
      <c r="AT2183" s="253"/>
      <c r="AU2183" s="253"/>
      <c r="AV2183" s="253"/>
      <c r="AW2183" s="253"/>
      <c r="AX2183" s="253"/>
      <c r="AY2183" s="253"/>
      <c r="AZ2183" s="253"/>
    </row>
    <row r="2184" spans="1:52" ht="15.5" customHeight="1">
      <c r="A2184" s="363"/>
      <c r="B2184" s="343"/>
      <c r="C2184" s="7"/>
      <c r="D2184" s="254"/>
      <c r="E2184" s="254"/>
      <c r="F2184" s="254"/>
      <c r="G2184" s="253"/>
      <c r="H2184" s="253"/>
      <c r="I2184" s="253"/>
      <c r="J2184" s="253"/>
      <c r="K2184" s="253"/>
      <c r="L2184" s="7"/>
      <c r="M2184" s="7"/>
      <c r="N2184" s="253"/>
      <c r="O2184" s="255"/>
      <c r="P2184" s="253"/>
      <c r="Q2184" s="7"/>
      <c r="R2184" s="7"/>
      <c r="S2184" s="7"/>
      <c r="T2184" s="7"/>
      <c r="U2184" s="7"/>
      <c r="V2184" s="253"/>
      <c r="W2184" s="7"/>
      <c r="X2184" s="256"/>
      <c r="Y2184" s="256"/>
      <c r="Z2184" s="256"/>
      <c r="AA2184" s="256"/>
      <c r="AB2184" s="257"/>
      <c r="AC2184" s="258"/>
      <c r="AD2184" s="7"/>
      <c r="AE2184" s="253"/>
      <c r="AF2184" s="253"/>
      <c r="AG2184" s="259"/>
      <c r="AH2184" s="253"/>
      <c r="AI2184" s="253"/>
      <c r="AJ2184" s="7"/>
      <c r="AK2184" s="253"/>
      <c r="AL2184" s="253"/>
      <c r="AM2184" s="7"/>
      <c r="AN2184" s="253"/>
      <c r="AO2184" s="253"/>
      <c r="AP2184" s="253"/>
      <c r="AQ2184" s="253"/>
      <c r="AR2184" s="253"/>
      <c r="AS2184" s="253"/>
      <c r="AT2184" s="253"/>
      <c r="AU2184" s="253"/>
      <c r="AV2184" s="253"/>
      <c r="AW2184" s="253"/>
      <c r="AX2184" s="253"/>
      <c r="AY2184" s="253"/>
      <c r="AZ2184" s="253"/>
    </row>
    <row r="2185" spans="1:52" ht="15.5" customHeight="1">
      <c r="A2185" s="363"/>
      <c r="B2185" s="343"/>
      <c r="C2185" s="7"/>
      <c r="D2185" s="254"/>
      <c r="E2185" s="254"/>
      <c r="F2185" s="254"/>
      <c r="G2185" s="253"/>
      <c r="H2185" s="253"/>
      <c r="I2185" s="253"/>
      <c r="J2185" s="253"/>
      <c r="K2185" s="253"/>
      <c r="L2185" s="7"/>
      <c r="M2185" s="7"/>
      <c r="N2185" s="253"/>
      <c r="O2185" s="255"/>
      <c r="P2185" s="253"/>
      <c r="Q2185" s="7"/>
      <c r="R2185" s="7"/>
      <c r="S2185" s="7"/>
      <c r="T2185" s="7"/>
      <c r="U2185" s="7"/>
      <c r="V2185" s="253"/>
      <c r="W2185" s="7"/>
      <c r="X2185" s="256"/>
      <c r="Y2185" s="256"/>
      <c r="Z2185" s="256"/>
      <c r="AA2185" s="256"/>
      <c r="AB2185" s="257"/>
      <c r="AC2185" s="258"/>
      <c r="AD2185" s="7"/>
      <c r="AE2185" s="253"/>
      <c r="AF2185" s="253"/>
      <c r="AG2185" s="259"/>
      <c r="AH2185" s="253"/>
      <c r="AI2185" s="253"/>
      <c r="AJ2185" s="7"/>
      <c r="AK2185" s="253"/>
      <c r="AL2185" s="253"/>
      <c r="AM2185" s="7"/>
      <c r="AN2185" s="253"/>
      <c r="AO2185" s="253"/>
      <c r="AP2185" s="253"/>
      <c r="AQ2185" s="253"/>
      <c r="AR2185" s="253"/>
      <c r="AS2185" s="253"/>
      <c r="AT2185" s="253"/>
      <c r="AU2185" s="253"/>
      <c r="AV2185" s="253"/>
      <c r="AW2185" s="253"/>
      <c r="AX2185" s="253"/>
      <c r="AY2185" s="253"/>
      <c r="AZ2185" s="253"/>
    </row>
    <row r="2186" spans="1:52" ht="15.5" customHeight="1">
      <c r="A2186" s="363"/>
      <c r="B2186" s="343"/>
      <c r="C2186" s="7"/>
      <c r="D2186" s="254"/>
      <c r="E2186" s="254"/>
      <c r="F2186" s="254"/>
      <c r="G2186" s="253"/>
      <c r="H2186" s="253"/>
      <c r="I2186" s="253"/>
      <c r="J2186" s="253"/>
      <c r="K2186" s="253"/>
      <c r="L2186" s="7"/>
      <c r="M2186" s="7"/>
      <c r="N2186" s="253"/>
      <c r="O2186" s="255"/>
      <c r="P2186" s="253"/>
      <c r="Q2186" s="7"/>
      <c r="R2186" s="7"/>
      <c r="S2186" s="7"/>
      <c r="T2186" s="7"/>
      <c r="U2186" s="7"/>
      <c r="V2186" s="253"/>
      <c r="W2186" s="7"/>
      <c r="X2186" s="256"/>
      <c r="Y2186" s="256"/>
      <c r="Z2186" s="256"/>
      <c r="AA2186" s="256"/>
      <c r="AB2186" s="257"/>
      <c r="AC2186" s="258"/>
      <c r="AD2186" s="7"/>
      <c r="AE2186" s="253"/>
      <c r="AF2186" s="253"/>
      <c r="AG2186" s="259"/>
      <c r="AH2186" s="253"/>
      <c r="AI2186" s="253"/>
      <c r="AJ2186" s="7"/>
      <c r="AK2186" s="253"/>
      <c r="AL2186" s="253"/>
      <c r="AM2186" s="7"/>
      <c r="AN2186" s="253"/>
      <c r="AO2186" s="253"/>
      <c r="AP2186" s="253"/>
      <c r="AQ2186" s="253"/>
      <c r="AR2186" s="253"/>
      <c r="AS2186" s="253"/>
      <c r="AT2186" s="253"/>
      <c r="AU2186" s="253"/>
      <c r="AV2186" s="253"/>
      <c r="AW2186" s="253"/>
      <c r="AX2186" s="253"/>
      <c r="AY2186" s="253"/>
      <c r="AZ2186" s="253"/>
    </row>
    <row r="2187" spans="1:52" ht="15.5" customHeight="1">
      <c r="A2187" s="363"/>
      <c r="B2187" s="343"/>
      <c r="C2187" s="7"/>
      <c r="D2187" s="254"/>
      <c r="E2187" s="254"/>
      <c r="F2187" s="254"/>
      <c r="G2187" s="253"/>
      <c r="H2187" s="253"/>
      <c r="I2187" s="253"/>
      <c r="J2187" s="253"/>
      <c r="K2187" s="253"/>
      <c r="L2187" s="7"/>
      <c r="M2187" s="7"/>
      <c r="N2187" s="253"/>
      <c r="O2187" s="255"/>
      <c r="P2187" s="253"/>
      <c r="Q2187" s="7"/>
      <c r="R2187" s="7"/>
      <c r="S2187" s="7"/>
      <c r="T2187" s="7"/>
      <c r="U2187" s="7"/>
      <c r="V2187" s="253"/>
      <c r="W2187" s="7"/>
      <c r="X2187" s="256"/>
      <c r="Y2187" s="256"/>
      <c r="Z2187" s="256"/>
      <c r="AA2187" s="256"/>
      <c r="AB2187" s="257"/>
      <c r="AC2187" s="258"/>
      <c r="AD2187" s="7"/>
      <c r="AE2187" s="253"/>
      <c r="AF2187" s="253"/>
      <c r="AG2187" s="259"/>
      <c r="AH2187" s="253"/>
      <c r="AI2187" s="253"/>
      <c r="AJ2187" s="7"/>
      <c r="AK2187" s="253"/>
      <c r="AL2187" s="253"/>
      <c r="AM2187" s="7"/>
      <c r="AN2187" s="253"/>
      <c r="AO2187" s="253"/>
      <c r="AP2187" s="253"/>
      <c r="AQ2187" s="253"/>
      <c r="AR2187" s="253"/>
      <c r="AS2187" s="253"/>
      <c r="AT2187" s="253"/>
      <c r="AU2187" s="253"/>
      <c r="AV2187" s="253"/>
      <c r="AW2187" s="253"/>
      <c r="AX2187" s="253"/>
      <c r="AY2187" s="253"/>
      <c r="AZ2187" s="253"/>
    </row>
    <row r="2188" spans="1:52" ht="15.5" customHeight="1">
      <c r="A2188" s="363"/>
      <c r="B2188" s="343"/>
      <c r="C2188" s="7"/>
      <c r="D2188" s="254"/>
      <c r="E2188" s="254"/>
      <c r="F2188" s="254"/>
      <c r="G2188" s="253"/>
      <c r="H2188" s="253"/>
      <c r="I2188" s="253"/>
      <c r="J2188" s="253"/>
      <c r="K2188" s="253"/>
      <c r="L2188" s="7"/>
      <c r="M2188" s="7"/>
      <c r="N2188" s="253"/>
      <c r="O2188" s="255"/>
      <c r="P2188" s="253"/>
      <c r="Q2188" s="7"/>
      <c r="R2188" s="7"/>
      <c r="S2188" s="7"/>
      <c r="T2188" s="7"/>
      <c r="U2188" s="7"/>
      <c r="V2188" s="253"/>
      <c r="W2188" s="7"/>
      <c r="X2188" s="256"/>
      <c r="Y2188" s="256"/>
      <c r="Z2188" s="256"/>
      <c r="AA2188" s="256"/>
      <c r="AB2188" s="257"/>
      <c r="AC2188" s="258"/>
      <c r="AD2188" s="7"/>
      <c r="AE2188" s="253"/>
      <c r="AF2188" s="253"/>
      <c r="AG2188" s="259"/>
      <c r="AH2188" s="253"/>
      <c r="AI2188" s="253"/>
      <c r="AJ2188" s="7"/>
      <c r="AK2188" s="253"/>
      <c r="AL2188" s="253"/>
      <c r="AM2188" s="7"/>
      <c r="AN2188" s="253"/>
      <c r="AO2188" s="253"/>
      <c r="AP2188" s="253"/>
      <c r="AQ2188" s="253"/>
      <c r="AR2188" s="253"/>
      <c r="AS2188" s="253"/>
      <c r="AT2188" s="253"/>
      <c r="AU2188" s="253"/>
      <c r="AV2188" s="253"/>
      <c r="AW2188" s="253"/>
      <c r="AX2188" s="253"/>
      <c r="AY2188" s="253"/>
      <c r="AZ2188" s="253"/>
    </row>
    <row r="2189" spans="1:52" ht="15.5" customHeight="1">
      <c r="A2189" s="363"/>
      <c r="B2189" s="343"/>
      <c r="C2189" s="7"/>
      <c r="D2189" s="254"/>
      <c r="E2189" s="254"/>
      <c r="F2189" s="254"/>
      <c r="G2189" s="253"/>
      <c r="H2189" s="253"/>
      <c r="I2189" s="253"/>
      <c r="J2189" s="253"/>
      <c r="K2189" s="253"/>
      <c r="L2189" s="7"/>
      <c r="M2189" s="7"/>
      <c r="N2189" s="253"/>
      <c r="O2189" s="255"/>
      <c r="P2189" s="253"/>
      <c r="Q2189" s="7"/>
      <c r="R2189" s="7"/>
      <c r="S2189" s="7"/>
      <c r="T2189" s="7"/>
      <c r="U2189" s="7"/>
      <c r="V2189" s="253"/>
      <c r="W2189" s="7"/>
      <c r="X2189" s="256"/>
      <c r="Y2189" s="256"/>
      <c r="Z2189" s="256"/>
      <c r="AA2189" s="256"/>
      <c r="AB2189" s="257"/>
      <c r="AC2189" s="258"/>
      <c r="AD2189" s="7"/>
      <c r="AE2189" s="253"/>
      <c r="AF2189" s="253"/>
      <c r="AG2189" s="259"/>
      <c r="AH2189" s="253"/>
      <c r="AI2189" s="253"/>
      <c r="AJ2189" s="7"/>
      <c r="AK2189" s="253"/>
      <c r="AL2189" s="253"/>
      <c r="AM2189" s="7"/>
      <c r="AN2189" s="253"/>
      <c r="AO2189" s="253"/>
      <c r="AP2189" s="253"/>
      <c r="AQ2189" s="253"/>
      <c r="AR2189" s="253"/>
      <c r="AS2189" s="253"/>
      <c r="AT2189" s="253"/>
      <c r="AU2189" s="253"/>
      <c r="AV2189" s="253"/>
      <c r="AW2189" s="253"/>
      <c r="AX2189" s="253"/>
      <c r="AY2189" s="253"/>
      <c r="AZ2189" s="253"/>
    </row>
    <row r="2190" spans="1:52" ht="15.5" customHeight="1">
      <c r="A2190" s="363"/>
      <c r="B2190" s="343"/>
      <c r="C2190" s="7"/>
      <c r="D2190" s="254"/>
      <c r="E2190" s="254"/>
      <c r="F2190" s="254"/>
      <c r="G2190" s="253"/>
      <c r="H2190" s="253"/>
      <c r="I2190" s="253"/>
      <c r="J2190" s="253"/>
      <c r="K2190" s="253"/>
      <c r="L2190" s="7"/>
      <c r="M2190" s="7"/>
      <c r="N2190" s="253"/>
      <c r="O2190" s="255"/>
      <c r="P2190" s="253"/>
      <c r="Q2190" s="7"/>
      <c r="R2190" s="7"/>
      <c r="S2190" s="7"/>
      <c r="T2190" s="7"/>
      <c r="U2190" s="7"/>
      <c r="V2190" s="253"/>
      <c r="W2190" s="7"/>
      <c r="X2190" s="256"/>
      <c r="Y2190" s="256"/>
      <c r="Z2190" s="256"/>
      <c r="AA2190" s="256"/>
      <c r="AB2190" s="257"/>
      <c r="AC2190" s="258"/>
      <c r="AD2190" s="7"/>
      <c r="AE2190" s="253"/>
      <c r="AF2190" s="253"/>
      <c r="AG2190" s="259"/>
      <c r="AH2190" s="253"/>
      <c r="AI2190" s="253"/>
      <c r="AJ2190" s="7"/>
      <c r="AK2190" s="253"/>
      <c r="AL2190" s="253"/>
      <c r="AM2190" s="7"/>
      <c r="AN2190" s="253"/>
      <c r="AO2190" s="253"/>
      <c r="AP2190" s="253"/>
      <c r="AQ2190" s="253"/>
      <c r="AR2190" s="253"/>
      <c r="AS2190" s="253"/>
      <c r="AT2190" s="253"/>
      <c r="AU2190" s="253"/>
      <c r="AV2190" s="253"/>
      <c r="AW2190" s="253"/>
      <c r="AX2190" s="253"/>
      <c r="AY2190" s="253"/>
      <c r="AZ2190" s="253"/>
    </row>
    <row r="2191" spans="1:52" ht="15.5" customHeight="1">
      <c r="A2191" s="363"/>
      <c r="B2191" s="343"/>
      <c r="C2191" s="7"/>
      <c r="D2191" s="254"/>
      <c r="E2191" s="254"/>
      <c r="F2191" s="254"/>
      <c r="G2191" s="253"/>
      <c r="H2191" s="253"/>
      <c r="I2191" s="253"/>
      <c r="J2191" s="253"/>
      <c r="K2191" s="253"/>
      <c r="L2191" s="7"/>
      <c r="M2191" s="7"/>
      <c r="N2191" s="253"/>
      <c r="O2191" s="255"/>
      <c r="P2191" s="253"/>
      <c r="Q2191" s="7"/>
      <c r="R2191" s="7"/>
      <c r="S2191" s="7"/>
      <c r="T2191" s="7"/>
      <c r="U2191" s="7"/>
      <c r="V2191" s="253"/>
      <c r="W2191" s="7"/>
      <c r="X2191" s="256"/>
      <c r="Y2191" s="256"/>
      <c r="Z2191" s="256"/>
      <c r="AA2191" s="256"/>
      <c r="AB2191" s="257"/>
      <c r="AC2191" s="258"/>
      <c r="AD2191" s="7"/>
      <c r="AE2191" s="253"/>
      <c r="AF2191" s="253"/>
      <c r="AG2191" s="259"/>
      <c r="AH2191" s="253"/>
      <c r="AI2191" s="253"/>
      <c r="AJ2191" s="7"/>
      <c r="AK2191" s="253"/>
      <c r="AL2191" s="253"/>
      <c r="AM2191" s="7"/>
      <c r="AN2191" s="253"/>
      <c r="AO2191" s="253"/>
      <c r="AP2191" s="253"/>
      <c r="AQ2191" s="253"/>
      <c r="AR2191" s="253"/>
      <c r="AS2191" s="253"/>
      <c r="AT2191" s="253"/>
      <c r="AU2191" s="253"/>
      <c r="AV2191" s="253"/>
      <c r="AW2191" s="253"/>
      <c r="AX2191" s="253"/>
      <c r="AY2191" s="253"/>
      <c r="AZ2191" s="253"/>
    </row>
    <row r="2192" spans="1:52" ht="15.5" customHeight="1">
      <c r="A2192" s="363"/>
      <c r="B2192" s="343"/>
      <c r="C2192" s="7"/>
      <c r="D2192" s="254"/>
      <c r="E2192" s="254"/>
      <c r="F2192" s="254"/>
      <c r="G2192" s="253"/>
      <c r="H2192" s="253"/>
      <c r="I2192" s="253"/>
      <c r="J2192" s="253"/>
      <c r="K2192" s="253"/>
      <c r="L2192" s="7"/>
      <c r="M2192" s="7"/>
      <c r="N2192" s="253"/>
      <c r="O2192" s="255"/>
      <c r="P2192" s="253"/>
      <c r="Q2192" s="7"/>
      <c r="R2192" s="7"/>
      <c r="S2192" s="7"/>
      <c r="T2192" s="7"/>
      <c r="U2192" s="7"/>
      <c r="V2192" s="253"/>
      <c r="W2192" s="7"/>
      <c r="X2192" s="256"/>
      <c r="Y2192" s="256"/>
      <c r="Z2192" s="256"/>
      <c r="AA2192" s="256"/>
      <c r="AB2192" s="257"/>
      <c r="AC2192" s="258"/>
      <c r="AD2192" s="7"/>
      <c r="AE2192" s="253"/>
      <c r="AF2192" s="253"/>
      <c r="AG2192" s="259"/>
      <c r="AH2192" s="253"/>
      <c r="AI2192" s="253"/>
      <c r="AJ2192" s="7"/>
      <c r="AK2192" s="253"/>
      <c r="AL2192" s="253"/>
      <c r="AM2192" s="7"/>
      <c r="AN2192" s="253"/>
      <c r="AO2192" s="253"/>
      <c r="AP2192" s="253"/>
      <c r="AQ2192" s="253"/>
      <c r="AR2192" s="253"/>
      <c r="AS2192" s="253"/>
      <c r="AT2192" s="253"/>
      <c r="AU2192" s="253"/>
      <c r="AV2192" s="253"/>
      <c r="AW2192" s="253"/>
      <c r="AX2192" s="253"/>
      <c r="AY2192" s="253"/>
      <c r="AZ2192" s="253"/>
    </row>
    <row r="2193" spans="1:52" ht="15.5" customHeight="1">
      <c r="A2193" s="363"/>
      <c r="B2193" s="343"/>
      <c r="C2193" s="7"/>
      <c r="D2193" s="254"/>
      <c r="E2193" s="254"/>
      <c r="F2193" s="254"/>
      <c r="G2193" s="253"/>
      <c r="H2193" s="253"/>
      <c r="I2193" s="253"/>
      <c r="J2193" s="253"/>
      <c r="K2193" s="253"/>
      <c r="L2193" s="7"/>
      <c r="M2193" s="7"/>
      <c r="N2193" s="253"/>
      <c r="O2193" s="255"/>
      <c r="P2193" s="253"/>
      <c r="Q2193" s="7"/>
      <c r="R2193" s="7"/>
      <c r="S2193" s="7"/>
      <c r="T2193" s="7"/>
      <c r="U2193" s="7"/>
      <c r="V2193" s="253"/>
      <c r="W2193" s="7"/>
      <c r="X2193" s="256"/>
      <c r="Y2193" s="256"/>
      <c r="Z2193" s="256"/>
      <c r="AA2193" s="256"/>
      <c r="AB2193" s="257"/>
      <c r="AC2193" s="258"/>
      <c r="AD2193" s="7"/>
      <c r="AE2193" s="253"/>
      <c r="AF2193" s="253"/>
      <c r="AG2193" s="259"/>
      <c r="AH2193" s="253"/>
      <c r="AI2193" s="253"/>
      <c r="AJ2193" s="7"/>
      <c r="AK2193" s="253"/>
      <c r="AL2193" s="253"/>
      <c r="AM2193" s="7"/>
      <c r="AN2193" s="253"/>
      <c r="AO2193" s="253"/>
      <c r="AP2193" s="253"/>
      <c r="AQ2193" s="253"/>
      <c r="AR2193" s="253"/>
      <c r="AS2193" s="253"/>
      <c r="AT2193" s="253"/>
      <c r="AU2193" s="253"/>
      <c r="AV2193" s="253"/>
      <c r="AW2193" s="253"/>
      <c r="AX2193" s="253"/>
      <c r="AY2193" s="253"/>
      <c r="AZ2193" s="253"/>
    </row>
    <row r="2194" spans="1:52" ht="15.5" customHeight="1">
      <c r="A2194" s="363"/>
      <c r="B2194" s="343"/>
      <c r="C2194" s="7"/>
      <c r="D2194" s="254"/>
      <c r="E2194" s="254"/>
      <c r="F2194" s="254"/>
      <c r="G2194" s="253"/>
      <c r="H2194" s="253"/>
      <c r="I2194" s="253"/>
      <c r="J2194" s="253"/>
      <c r="K2194" s="253"/>
      <c r="L2194" s="7"/>
      <c r="M2194" s="7"/>
      <c r="N2194" s="253"/>
      <c r="O2194" s="255"/>
      <c r="P2194" s="253"/>
      <c r="Q2194" s="7"/>
      <c r="R2194" s="7"/>
      <c r="S2194" s="7"/>
      <c r="T2194" s="7"/>
      <c r="U2194" s="7"/>
      <c r="V2194" s="253"/>
      <c r="W2194" s="7"/>
      <c r="X2194" s="256"/>
      <c r="Y2194" s="256"/>
      <c r="Z2194" s="256"/>
      <c r="AA2194" s="256"/>
      <c r="AB2194" s="257"/>
      <c r="AC2194" s="258"/>
      <c r="AD2194" s="7"/>
      <c r="AE2194" s="253"/>
      <c r="AF2194" s="253"/>
      <c r="AG2194" s="259"/>
      <c r="AH2194" s="253"/>
      <c r="AI2194" s="253"/>
      <c r="AJ2194" s="7"/>
      <c r="AK2194" s="253"/>
      <c r="AL2194" s="253"/>
      <c r="AM2194" s="7"/>
      <c r="AN2194" s="253"/>
      <c r="AO2194" s="253"/>
      <c r="AP2194" s="253"/>
      <c r="AQ2194" s="253"/>
      <c r="AR2194" s="253"/>
      <c r="AS2194" s="253"/>
      <c r="AT2194" s="253"/>
      <c r="AU2194" s="253"/>
      <c r="AV2194" s="253"/>
      <c r="AW2194" s="253"/>
      <c r="AX2194" s="253"/>
      <c r="AY2194" s="253"/>
      <c r="AZ2194" s="253"/>
    </row>
    <row r="2195" spans="1:52" ht="15.5" customHeight="1">
      <c r="A2195" s="363"/>
      <c r="B2195" s="343"/>
      <c r="C2195" s="7"/>
      <c r="D2195" s="254"/>
      <c r="E2195" s="254"/>
      <c r="F2195" s="254"/>
      <c r="G2195" s="253"/>
      <c r="H2195" s="253"/>
      <c r="I2195" s="253"/>
      <c r="J2195" s="253"/>
      <c r="K2195" s="253"/>
      <c r="L2195" s="7"/>
      <c r="M2195" s="7"/>
      <c r="N2195" s="253"/>
      <c r="O2195" s="255"/>
      <c r="P2195" s="253"/>
      <c r="Q2195" s="7"/>
      <c r="R2195" s="7"/>
      <c r="S2195" s="7"/>
      <c r="T2195" s="7"/>
      <c r="U2195" s="7"/>
      <c r="V2195" s="253"/>
      <c r="W2195" s="7"/>
      <c r="X2195" s="256"/>
      <c r="Y2195" s="256"/>
      <c r="Z2195" s="256"/>
      <c r="AA2195" s="256"/>
      <c r="AB2195" s="257"/>
      <c r="AC2195" s="258"/>
      <c r="AD2195" s="7"/>
      <c r="AE2195" s="253"/>
      <c r="AF2195" s="253"/>
      <c r="AG2195" s="259"/>
      <c r="AH2195" s="253"/>
      <c r="AI2195" s="253"/>
      <c r="AJ2195" s="7"/>
      <c r="AK2195" s="253"/>
      <c r="AL2195" s="253"/>
      <c r="AM2195" s="7"/>
      <c r="AN2195" s="253"/>
      <c r="AO2195" s="253"/>
      <c r="AP2195" s="253"/>
      <c r="AQ2195" s="253"/>
      <c r="AR2195" s="253"/>
      <c r="AS2195" s="253"/>
      <c r="AT2195" s="253"/>
      <c r="AU2195" s="253"/>
      <c r="AV2195" s="253"/>
      <c r="AW2195" s="253"/>
      <c r="AX2195" s="253"/>
      <c r="AY2195" s="253"/>
      <c r="AZ2195" s="253"/>
    </row>
    <row r="2196" spans="1:52" ht="15.5" customHeight="1">
      <c r="A2196" s="363"/>
      <c r="B2196" s="343"/>
      <c r="C2196" s="7"/>
      <c r="D2196" s="254"/>
      <c r="E2196" s="254"/>
      <c r="F2196" s="254"/>
      <c r="G2196" s="253"/>
      <c r="H2196" s="253"/>
      <c r="I2196" s="253"/>
      <c r="J2196" s="253"/>
      <c r="K2196" s="253"/>
      <c r="L2196" s="7"/>
      <c r="M2196" s="7"/>
      <c r="N2196" s="253"/>
      <c r="O2196" s="255"/>
      <c r="P2196" s="253"/>
      <c r="Q2196" s="7"/>
      <c r="R2196" s="7"/>
      <c r="S2196" s="7"/>
      <c r="T2196" s="7"/>
      <c r="U2196" s="7"/>
      <c r="V2196" s="253"/>
      <c r="W2196" s="7"/>
      <c r="X2196" s="256"/>
      <c r="Y2196" s="256"/>
      <c r="Z2196" s="256"/>
      <c r="AA2196" s="256"/>
      <c r="AB2196" s="257"/>
      <c r="AC2196" s="258"/>
      <c r="AD2196" s="7"/>
      <c r="AE2196" s="253"/>
      <c r="AF2196" s="253"/>
      <c r="AG2196" s="259"/>
      <c r="AH2196" s="253"/>
      <c r="AI2196" s="253"/>
      <c r="AJ2196" s="7"/>
      <c r="AK2196" s="253"/>
      <c r="AL2196" s="253"/>
      <c r="AM2196" s="7"/>
      <c r="AN2196" s="253"/>
      <c r="AO2196" s="253"/>
      <c r="AP2196" s="253"/>
      <c r="AQ2196" s="253"/>
      <c r="AR2196" s="253"/>
      <c r="AS2196" s="253"/>
      <c r="AT2196" s="253"/>
      <c r="AU2196" s="253"/>
      <c r="AV2196" s="253"/>
      <c r="AW2196" s="253"/>
      <c r="AX2196" s="253"/>
      <c r="AY2196" s="253"/>
      <c r="AZ2196" s="253"/>
    </row>
    <row r="2197" spans="1:52" ht="15.5" customHeight="1">
      <c r="A2197" s="363"/>
      <c r="B2197" s="343"/>
      <c r="C2197" s="7"/>
      <c r="D2197" s="254"/>
      <c r="E2197" s="254"/>
      <c r="F2197" s="254"/>
      <c r="G2197" s="253"/>
      <c r="H2197" s="253"/>
      <c r="I2197" s="253"/>
      <c r="J2197" s="253"/>
      <c r="K2197" s="253"/>
      <c r="L2197" s="7"/>
      <c r="M2197" s="7"/>
      <c r="N2197" s="253"/>
      <c r="O2197" s="255"/>
      <c r="P2197" s="253"/>
      <c r="Q2197" s="7"/>
      <c r="R2197" s="7"/>
      <c r="S2197" s="7"/>
      <c r="T2197" s="7"/>
      <c r="U2197" s="7"/>
      <c r="V2197" s="253"/>
      <c r="W2197" s="7"/>
      <c r="X2197" s="256"/>
      <c r="Y2197" s="256"/>
      <c r="Z2197" s="256"/>
      <c r="AA2197" s="256"/>
      <c r="AB2197" s="257"/>
      <c r="AC2197" s="258"/>
      <c r="AD2197" s="7"/>
      <c r="AE2197" s="253"/>
      <c r="AF2197" s="253"/>
      <c r="AG2197" s="259"/>
      <c r="AH2197" s="253"/>
      <c r="AI2197" s="253"/>
      <c r="AJ2197" s="7"/>
      <c r="AK2197" s="253"/>
      <c r="AL2197" s="253"/>
      <c r="AM2197" s="7"/>
      <c r="AN2197" s="253"/>
      <c r="AO2197" s="253"/>
      <c r="AP2197" s="253"/>
      <c r="AQ2197" s="253"/>
      <c r="AR2197" s="253"/>
      <c r="AS2197" s="253"/>
      <c r="AT2197" s="253"/>
      <c r="AU2197" s="253"/>
      <c r="AV2197" s="253"/>
      <c r="AW2197" s="253"/>
      <c r="AX2197" s="253"/>
      <c r="AY2197" s="253"/>
      <c r="AZ2197" s="253"/>
    </row>
    <row r="2198" spans="1:52" ht="15.5" customHeight="1">
      <c r="A2198" s="363"/>
      <c r="B2198" s="343"/>
      <c r="C2198" s="7"/>
      <c r="D2198" s="254"/>
      <c r="E2198" s="254"/>
      <c r="F2198" s="254"/>
      <c r="G2198" s="253"/>
      <c r="H2198" s="253"/>
      <c r="I2198" s="253"/>
      <c r="J2198" s="253"/>
      <c r="K2198" s="253"/>
      <c r="L2198" s="7"/>
      <c r="M2198" s="7"/>
      <c r="N2198" s="253"/>
      <c r="O2198" s="255"/>
      <c r="P2198" s="253"/>
      <c r="Q2198" s="7"/>
      <c r="R2198" s="7"/>
      <c r="S2198" s="7"/>
      <c r="T2198" s="7"/>
      <c r="U2198" s="7"/>
      <c r="V2198" s="253"/>
      <c r="W2198" s="7"/>
      <c r="X2198" s="256"/>
      <c r="Y2198" s="256"/>
      <c r="Z2198" s="256"/>
      <c r="AA2198" s="256"/>
      <c r="AB2198" s="257"/>
      <c r="AC2198" s="258"/>
      <c r="AD2198" s="7"/>
      <c r="AE2198" s="253"/>
      <c r="AF2198" s="253"/>
      <c r="AG2198" s="259"/>
      <c r="AH2198" s="253"/>
      <c r="AI2198" s="253"/>
      <c r="AJ2198" s="7"/>
      <c r="AK2198" s="253"/>
      <c r="AL2198" s="253"/>
      <c r="AM2198" s="7"/>
      <c r="AN2198" s="253"/>
      <c r="AO2198" s="253"/>
      <c r="AP2198" s="253"/>
      <c r="AQ2198" s="253"/>
      <c r="AR2198" s="253"/>
      <c r="AS2198" s="253"/>
      <c r="AT2198" s="253"/>
      <c r="AU2198" s="253"/>
      <c r="AV2198" s="253"/>
      <c r="AW2198" s="253"/>
      <c r="AX2198" s="253"/>
      <c r="AY2198" s="253"/>
      <c r="AZ2198" s="253"/>
    </row>
    <row r="2199" spans="1:52" ht="15.5" customHeight="1">
      <c r="A2199" s="363"/>
      <c r="B2199" s="343"/>
      <c r="C2199" s="7"/>
      <c r="D2199" s="254"/>
      <c r="E2199" s="254"/>
      <c r="F2199" s="254"/>
      <c r="G2199" s="253"/>
      <c r="H2199" s="253"/>
      <c r="I2199" s="253"/>
      <c r="J2199" s="253"/>
      <c r="K2199" s="253"/>
      <c r="L2199" s="7"/>
      <c r="M2199" s="7"/>
      <c r="N2199" s="253"/>
      <c r="O2199" s="255"/>
      <c r="P2199" s="253"/>
      <c r="Q2199" s="7"/>
      <c r="R2199" s="7"/>
      <c r="S2199" s="7"/>
      <c r="T2199" s="7"/>
      <c r="U2199" s="7"/>
      <c r="V2199" s="253"/>
      <c r="W2199" s="7"/>
      <c r="X2199" s="256"/>
      <c r="Y2199" s="256"/>
      <c r="Z2199" s="256"/>
      <c r="AA2199" s="256"/>
      <c r="AB2199" s="257"/>
      <c r="AC2199" s="258"/>
      <c r="AD2199" s="7"/>
      <c r="AE2199" s="253"/>
      <c r="AF2199" s="253"/>
      <c r="AG2199" s="259"/>
      <c r="AH2199" s="253"/>
      <c r="AI2199" s="253"/>
      <c r="AJ2199" s="7"/>
      <c r="AK2199" s="253"/>
      <c r="AL2199" s="253"/>
      <c r="AM2199" s="7"/>
      <c r="AN2199" s="253"/>
      <c r="AO2199" s="253"/>
      <c r="AP2199" s="253"/>
      <c r="AQ2199" s="253"/>
      <c r="AR2199" s="253"/>
      <c r="AS2199" s="253"/>
      <c r="AT2199" s="253"/>
      <c r="AU2199" s="253"/>
      <c r="AV2199" s="253"/>
      <c r="AW2199" s="253"/>
      <c r="AX2199" s="253"/>
      <c r="AY2199" s="253"/>
      <c r="AZ2199" s="253"/>
    </row>
    <row r="2200" spans="1:52" ht="15.5" customHeight="1">
      <c r="A2200" s="363"/>
      <c r="B2200" s="343"/>
      <c r="C2200" s="7"/>
      <c r="D2200" s="254"/>
      <c r="E2200" s="254"/>
      <c r="F2200" s="254"/>
      <c r="G2200" s="253"/>
      <c r="H2200" s="253"/>
      <c r="I2200" s="253"/>
      <c r="J2200" s="253"/>
      <c r="K2200" s="253"/>
      <c r="L2200" s="7"/>
      <c r="M2200" s="7"/>
      <c r="N2200" s="253"/>
      <c r="O2200" s="255"/>
      <c r="P2200" s="253"/>
      <c r="Q2200" s="7"/>
      <c r="R2200" s="7"/>
      <c r="S2200" s="7"/>
      <c r="T2200" s="7"/>
      <c r="U2200" s="7"/>
      <c r="V2200" s="253"/>
      <c r="W2200" s="7"/>
      <c r="X2200" s="256"/>
      <c r="Y2200" s="256"/>
      <c r="Z2200" s="256"/>
      <c r="AA2200" s="256"/>
      <c r="AB2200" s="257"/>
      <c r="AC2200" s="258"/>
      <c r="AD2200" s="7"/>
      <c r="AE2200" s="253"/>
      <c r="AF2200" s="253"/>
      <c r="AG2200" s="259"/>
      <c r="AH2200" s="253"/>
      <c r="AI2200" s="253"/>
      <c r="AJ2200" s="7"/>
      <c r="AK2200" s="253"/>
      <c r="AL2200" s="253"/>
      <c r="AM2200" s="7"/>
      <c r="AN2200" s="253"/>
      <c r="AO2200" s="253"/>
      <c r="AP2200" s="253"/>
      <c r="AQ2200" s="253"/>
      <c r="AR2200" s="253"/>
      <c r="AS2200" s="253"/>
      <c r="AT2200" s="253"/>
      <c r="AU2200" s="253"/>
      <c r="AV2200" s="253"/>
      <c r="AW2200" s="253"/>
      <c r="AX2200" s="253"/>
      <c r="AY2200" s="253"/>
      <c r="AZ2200" s="253"/>
    </row>
    <row r="2201" spans="1:52" ht="15.5" customHeight="1">
      <c r="A2201" s="363"/>
      <c r="B2201" s="343"/>
      <c r="C2201" s="7"/>
      <c r="D2201" s="254"/>
      <c r="E2201" s="254"/>
      <c r="F2201" s="254"/>
      <c r="G2201" s="253"/>
      <c r="H2201" s="253"/>
      <c r="I2201" s="253"/>
      <c r="J2201" s="253"/>
      <c r="K2201" s="253"/>
      <c r="L2201" s="7"/>
      <c r="M2201" s="7"/>
      <c r="N2201" s="253"/>
      <c r="O2201" s="255"/>
      <c r="P2201" s="253"/>
      <c r="Q2201" s="7"/>
      <c r="R2201" s="7"/>
      <c r="S2201" s="7"/>
      <c r="T2201" s="7"/>
      <c r="U2201" s="7"/>
      <c r="V2201" s="253"/>
      <c r="W2201" s="7"/>
      <c r="X2201" s="256"/>
      <c r="Y2201" s="256"/>
      <c r="Z2201" s="256"/>
      <c r="AA2201" s="256"/>
      <c r="AB2201" s="257"/>
      <c r="AC2201" s="258"/>
      <c r="AD2201" s="7"/>
      <c r="AE2201" s="253"/>
      <c r="AF2201" s="253"/>
      <c r="AG2201" s="259"/>
      <c r="AH2201" s="253"/>
      <c r="AI2201" s="253"/>
      <c r="AJ2201" s="7"/>
      <c r="AK2201" s="253"/>
      <c r="AL2201" s="253"/>
      <c r="AM2201" s="7"/>
      <c r="AN2201" s="253"/>
      <c r="AO2201" s="253"/>
      <c r="AP2201" s="253"/>
      <c r="AQ2201" s="253"/>
      <c r="AR2201" s="253"/>
      <c r="AS2201" s="253"/>
      <c r="AT2201" s="253"/>
      <c r="AU2201" s="253"/>
      <c r="AV2201" s="253"/>
      <c r="AW2201" s="253"/>
      <c r="AX2201" s="253"/>
      <c r="AY2201" s="253"/>
      <c r="AZ2201" s="253"/>
    </row>
    <row r="2202" spans="1:52" ht="15.5" customHeight="1">
      <c r="A2202" s="363"/>
      <c r="B2202" s="343"/>
      <c r="C2202" s="7"/>
      <c r="D2202" s="254"/>
      <c r="E2202" s="254"/>
      <c r="F2202" s="254"/>
      <c r="G2202" s="253"/>
      <c r="H2202" s="253"/>
      <c r="I2202" s="253"/>
      <c r="J2202" s="253"/>
      <c r="K2202" s="253"/>
      <c r="L2202" s="7"/>
      <c r="M2202" s="7"/>
      <c r="N2202" s="253"/>
      <c r="O2202" s="255"/>
      <c r="P2202" s="253"/>
      <c r="Q2202" s="7"/>
      <c r="R2202" s="7"/>
      <c r="S2202" s="7"/>
      <c r="T2202" s="7"/>
      <c r="U2202" s="7"/>
      <c r="V2202" s="253"/>
      <c r="W2202" s="7"/>
      <c r="X2202" s="256"/>
      <c r="Y2202" s="256"/>
      <c r="Z2202" s="256"/>
      <c r="AA2202" s="256"/>
      <c r="AB2202" s="257"/>
      <c r="AC2202" s="258"/>
      <c r="AD2202" s="7"/>
      <c r="AE2202" s="253"/>
      <c r="AF2202" s="253"/>
      <c r="AG2202" s="259"/>
      <c r="AH2202" s="253"/>
      <c r="AI2202" s="253"/>
      <c r="AJ2202" s="7"/>
      <c r="AK2202" s="253"/>
      <c r="AL2202" s="253"/>
      <c r="AM2202" s="7"/>
      <c r="AN2202" s="253"/>
      <c r="AO2202" s="253"/>
      <c r="AP2202" s="253"/>
      <c r="AQ2202" s="253"/>
      <c r="AR2202" s="253"/>
      <c r="AS2202" s="253"/>
      <c r="AT2202" s="253"/>
      <c r="AU2202" s="253"/>
      <c r="AV2202" s="253"/>
      <c r="AW2202" s="253"/>
      <c r="AX2202" s="253"/>
      <c r="AY2202" s="253"/>
      <c r="AZ2202" s="253"/>
    </row>
    <row r="2203" spans="1:52" ht="15.5" customHeight="1">
      <c r="A2203" s="363"/>
      <c r="B2203" s="343"/>
      <c r="C2203" s="7"/>
      <c r="D2203" s="254"/>
      <c r="E2203" s="254"/>
      <c r="F2203" s="254"/>
      <c r="G2203" s="253"/>
      <c r="H2203" s="253"/>
      <c r="I2203" s="253"/>
      <c r="J2203" s="253"/>
      <c r="K2203" s="253"/>
      <c r="L2203" s="7"/>
      <c r="M2203" s="7"/>
      <c r="N2203" s="253"/>
      <c r="O2203" s="255"/>
      <c r="P2203" s="253"/>
      <c r="Q2203" s="7"/>
      <c r="R2203" s="7"/>
      <c r="S2203" s="7"/>
      <c r="T2203" s="7"/>
      <c r="U2203" s="7"/>
      <c r="V2203" s="253"/>
      <c r="W2203" s="7"/>
      <c r="X2203" s="256"/>
      <c r="Y2203" s="256"/>
      <c r="Z2203" s="256"/>
      <c r="AA2203" s="256"/>
      <c r="AB2203" s="257"/>
      <c r="AC2203" s="258"/>
      <c r="AD2203" s="7"/>
      <c r="AE2203" s="253"/>
      <c r="AF2203" s="253"/>
      <c r="AG2203" s="259"/>
      <c r="AH2203" s="253"/>
      <c r="AI2203" s="253"/>
      <c r="AJ2203" s="7"/>
      <c r="AK2203" s="253"/>
      <c r="AL2203" s="253"/>
      <c r="AM2203" s="7"/>
      <c r="AN2203" s="253"/>
      <c r="AO2203" s="253"/>
      <c r="AP2203" s="253"/>
      <c r="AQ2203" s="253"/>
      <c r="AR2203" s="253"/>
      <c r="AS2203" s="253"/>
      <c r="AT2203" s="253"/>
      <c r="AU2203" s="253"/>
      <c r="AV2203" s="253"/>
      <c r="AW2203" s="253"/>
      <c r="AX2203" s="253"/>
      <c r="AY2203" s="253"/>
      <c r="AZ2203" s="253"/>
    </row>
    <row r="2204" spans="1:52" ht="15.5" customHeight="1">
      <c r="A2204" s="363"/>
      <c r="B2204" s="343"/>
      <c r="C2204" s="7"/>
      <c r="D2204" s="254"/>
      <c r="E2204" s="254"/>
      <c r="F2204" s="254"/>
      <c r="G2204" s="253"/>
      <c r="H2204" s="253"/>
      <c r="I2204" s="253"/>
      <c r="J2204" s="253"/>
      <c r="K2204" s="253"/>
      <c r="L2204" s="7"/>
      <c r="M2204" s="7"/>
      <c r="N2204" s="253"/>
      <c r="O2204" s="255"/>
      <c r="P2204" s="253"/>
      <c r="Q2204" s="7"/>
      <c r="R2204" s="7"/>
      <c r="S2204" s="7"/>
      <c r="T2204" s="7"/>
      <c r="U2204" s="7"/>
      <c r="V2204" s="253"/>
      <c r="W2204" s="7"/>
      <c r="X2204" s="256"/>
      <c r="Y2204" s="256"/>
      <c r="Z2204" s="256"/>
      <c r="AA2204" s="256"/>
      <c r="AB2204" s="257"/>
      <c r="AC2204" s="258"/>
      <c r="AD2204" s="7"/>
      <c r="AE2204" s="253"/>
      <c r="AF2204" s="253"/>
      <c r="AG2204" s="259"/>
      <c r="AH2204" s="253"/>
      <c r="AI2204" s="253"/>
      <c r="AJ2204" s="7"/>
      <c r="AK2204" s="253"/>
      <c r="AL2204" s="253"/>
      <c r="AM2204" s="7"/>
      <c r="AN2204" s="253"/>
      <c r="AO2204" s="253"/>
      <c r="AP2204" s="253"/>
      <c r="AQ2204" s="253"/>
      <c r="AR2204" s="253"/>
      <c r="AS2204" s="253"/>
      <c r="AT2204" s="253"/>
      <c r="AU2204" s="253"/>
      <c r="AV2204" s="253"/>
      <c r="AW2204" s="253"/>
      <c r="AX2204" s="253"/>
      <c r="AY2204" s="253"/>
      <c r="AZ2204" s="253"/>
    </row>
    <row r="2205" spans="1:52" ht="15.5" customHeight="1">
      <c r="A2205" s="363"/>
      <c r="B2205" s="343"/>
      <c r="C2205" s="7"/>
      <c r="D2205" s="254"/>
      <c r="E2205" s="254"/>
      <c r="F2205" s="254"/>
      <c r="G2205" s="253"/>
      <c r="H2205" s="253"/>
      <c r="I2205" s="253"/>
      <c r="J2205" s="253"/>
      <c r="K2205" s="253"/>
      <c r="L2205" s="7"/>
      <c r="M2205" s="7"/>
      <c r="N2205" s="253"/>
      <c r="O2205" s="255"/>
      <c r="P2205" s="253"/>
      <c r="Q2205" s="7"/>
      <c r="R2205" s="7"/>
      <c r="S2205" s="7"/>
      <c r="T2205" s="7"/>
      <c r="U2205" s="7"/>
      <c r="V2205" s="253"/>
      <c r="W2205" s="7"/>
      <c r="X2205" s="256"/>
      <c r="Y2205" s="256"/>
      <c r="Z2205" s="256"/>
      <c r="AA2205" s="256"/>
      <c r="AB2205" s="257"/>
      <c r="AC2205" s="258"/>
      <c r="AD2205" s="7"/>
      <c r="AE2205" s="253"/>
      <c r="AF2205" s="253"/>
      <c r="AG2205" s="259"/>
      <c r="AH2205" s="253"/>
      <c r="AI2205" s="253"/>
      <c r="AJ2205" s="7"/>
      <c r="AK2205" s="253"/>
      <c r="AL2205" s="253"/>
      <c r="AM2205" s="7"/>
      <c r="AN2205" s="253"/>
      <c r="AO2205" s="253"/>
      <c r="AP2205" s="253"/>
      <c r="AQ2205" s="253"/>
      <c r="AR2205" s="253"/>
      <c r="AS2205" s="253"/>
      <c r="AT2205" s="253"/>
      <c r="AU2205" s="253"/>
      <c r="AV2205" s="253"/>
      <c r="AW2205" s="253"/>
      <c r="AX2205" s="253"/>
      <c r="AY2205" s="253"/>
      <c r="AZ2205" s="253"/>
    </row>
    <row r="2206" spans="1:52" ht="15.5" customHeight="1">
      <c r="A2206" s="363"/>
      <c r="B2206" s="343"/>
      <c r="C2206" s="7"/>
      <c r="D2206" s="254"/>
      <c r="E2206" s="254"/>
      <c r="F2206" s="254"/>
      <c r="G2206" s="253"/>
      <c r="H2206" s="253"/>
      <c r="I2206" s="253"/>
      <c r="J2206" s="253"/>
      <c r="K2206" s="253"/>
      <c r="L2206" s="7"/>
      <c r="M2206" s="7"/>
      <c r="N2206" s="253"/>
      <c r="O2206" s="255"/>
      <c r="P2206" s="253"/>
      <c r="Q2206" s="7"/>
      <c r="R2206" s="7"/>
      <c r="S2206" s="7"/>
      <c r="T2206" s="7"/>
      <c r="U2206" s="7"/>
      <c r="V2206" s="253"/>
      <c r="W2206" s="7"/>
      <c r="X2206" s="256"/>
      <c r="Y2206" s="256"/>
      <c r="Z2206" s="256"/>
      <c r="AA2206" s="256"/>
      <c r="AB2206" s="257"/>
      <c r="AC2206" s="258"/>
      <c r="AD2206" s="7"/>
      <c r="AE2206" s="253"/>
      <c r="AF2206" s="253"/>
      <c r="AG2206" s="259"/>
      <c r="AH2206" s="253"/>
      <c r="AI2206" s="253"/>
      <c r="AJ2206" s="7"/>
      <c r="AK2206" s="253"/>
      <c r="AL2206" s="253"/>
      <c r="AM2206" s="7"/>
      <c r="AN2206" s="253"/>
      <c r="AO2206" s="253"/>
      <c r="AP2206" s="253"/>
      <c r="AQ2206" s="253"/>
      <c r="AR2206" s="253"/>
      <c r="AS2206" s="253"/>
      <c r="AT2206" s="253"/>
      <c r="AU2206" s="253"/>
      <c r="AV2206" s="253"/>
      <c r="AW2206" s="253"/>
      <c r="AX2206" s="253"/>
      <c r="AY2206" s="253"/>
      <c r="AZ2206" s="253"/>
    </row>
    <row r="2207" spans="1:52" ht="15.5" customHeight="1">
      <c r="A2207" s="363"/>
      <c r="B2207" s="343"/>
      <c r="C2207" s="7"/>
      <c r="D2207" s="254"/>
      <c r="E2207" s="254"/>
      <c r="F2207" s="254"/>
      <c r="G2207" s="253"/>
      <c r="H2207" s="253"/>
      <c r="I2207" s="253"/>
      <c r="J2207" s="253"/>
      <c r="K2207" s="253"/>
      <c r="L2207" s="7"/>
      <c r="M2207" s="7"/>
      <c r="N2207" s="253"/>
      <c r="O2207" s="255"/>
      <c r="P2207" s="253"/>
      <c r="Q2207" s="7"/>
      <c r="R2207" s="7"/>
      <c r="S2207" s="7"/>
      <c r="T2207" s="7"/>
      <c r="U2207" s="7"/>
      <c r="V2207" s="253"/>
      <c r="W2207" s="7"/>
      <c r="X2207" s="256"/>
      <c r="Y2207" s="256"/>
      <c r="Z2207" s="256"/>
      <c r="AA2207" s="256"/>
      <c r="AB2207" s="257"/>
      <c r="AC2207" s="258"/>
      <c r="AD2207" s="7"/>
      <c r="AE2207" s="253"/>
      <c r="AF2207" s="253"/>
      <c r="AG2207" s="259"/>
      <c r="AH2207" s="253"/>
      <c r="AI2207" s="253"/>
      <c r="AJ2207" s="7"/>
      <c r="AK2207" s="253"/>
      <c r="AL2207" s="253"/>
      <c r="AM2207" s="7"/>
      <c r="AN2207" s="253"/>
      <c r="AO2207" s="253"/>
      <c r="AP2207" s="253"/>
      <c r="AQ2207" s="253"/>
      <c r="AR2207" s="253"/>
      <c r="AS2207" s="253"/>
      <c r="AT2207" s="253"/>
      <c r="AU2207" s="253"/>
      <c r="AV2207" s="253"/>
      <c r="AW2207" s="253"/>
      <c r="AX2207" s="253"/>
      <c r="AY2207" s="253"/>
      <c r="AZ2207" s="253"/>
    </row>
    <row r="2208" spans="1:52" ht="15.5" customHeight="1">
      <c r="A2208" s="363"/>
      <c r="B2208" s="343"/>
      <c r="C2208" s="7"/>
      <c r="D2208" s="254"/>
      <c r="E2208" s="254"/>
      <c r="F2208" s="254"/>
      <c r="G2208" s="253"/>
      <c r="H2208" s="253"/>
      <c r="I2208" s="253"/>
      <c r="J2208" s="253"/>
      <c r="K2208" s="253"/>
      <c r="L2208" s="7"/>
      <c r="M2208" s="7"/>
      <c r="N2208" s="253"/>
      <c r="O2208" s="255"/>
      <c r="P2208" s="253"/>
      <c r="Q2208" s="7"/>
      <c r="R2208" s="7"/>
      <c r="S2208" s="7"/>
      <c r="T2208" s="7"/>
      <c r="U2208" s="7"/>
      <c r="V2208" s="253"/>
      <c r="W2208" s="7"/>
      <c r="X2208" s="256"/>
      <c r="Y2208" s="256"/>
      <c r="Z2208" s="256"/>
      <c r="AA2208" s="256"/>
      <c r="AB2208" s="257"/>
      <c r="AC2208" s="258"/>
      <c r="AD2208" s="7"/>
      <c r="AE2208" s="253"/>
      <c r="AF2208" s="253"/>
      <c r="AG2208" s="259"/>
      <c r="AH2208" s="253"/>
      <c r="AI2208" s="253"/>
      <c r="AJ2208" s="7"/>
      <c r="AK2208" s="253"/>
      <c r="AL2208" s="253"/>
      <c r="AM2208" s="7"/>
      <c r="AN2208" s="253"/>
      <c r="AO2208" s="253"/>
      <c r="AP2208" s="253"/>
      <c r="AQ2208" s="253"/>
      <c r="AR2208" s="253"/>
      <c r="AS2208" s="253"/>
      <c r="AT2208" s="253"/>
      <c r="AU2208" s="253"/>
      <c r="AV2208" s="253"/>
      <c r="AW2208" s="253"/>
      <c r="AX2208" s="253"/>
      <c r="AY2208" s="253"/>
      <c r="AZ2208" s="253"/>
    </row>
    <row r="2209" spans="1:52" ht="15.5" customHeight="1">
      <c r="A2209" s="363"/>
      <c r="B2209" s="343"/>
      <c r="C2209" s="7"/>
      <c r="D2209" s="254"/>
      <c r="E2209" s="254"/>
      <c r="F2209" s="254"/>
      <c r="G2209" s="253"/>
      <c r="H2209" s="253"/>
      <c r="I2209" s="253"/>
      <c r="J2209" s="253"/>
      <c r="K2209" s="253"/>
      <c r="L2209" s="7"/>
      <c r="M2209" s="7"/>
      <c r="N2209" s="253"/>
      <c r="O2209" s="255"/>
      <c r="P2209" s="253"/>
      <c r="Q2209" s="7"/>
      <c r="R2209" s="7"/>
      <c r="S2209" s="7"/>
      <c r="T2209" s="7"/>
      <c r="U2209" s="7"/>
      <c r="V2209" s="253"/>
      <c r="W2209" s="7"/>
      <c r="X2209" s="256"/>
      <c r="Y2209" s="256"/>
      <c r="Z2209" s="256"/>
      <c r="AA2209" s="256"/>
      <c r="AB2209" s="257"/>
      <c r="AC2209" s="258"/>
      <c r="AD2209" s="7"/>
      <c r="AE2209" s="253"/>
      <c r="AF2209" s="253"/>
      <c r="AG2209" s="259"/>
      <c r="AH2209" s="253"/>
      <c r="AI2209" s="253"/>
      <c r="AJ2209" s="7"/>
      <c r="AK2209" s="253"/>
      <c r="AL2209" s="253"/>
      <c r="AM2209" s="7"/>
      <c r="AN2209" s="253"/>
      <c r="AO2209" s="253"/>
      <c r="AP2209" s="253"/>
      <c r="AQ2209" s="253"/>
      <c r="AR2209" s="253"/>
      <c r="AS2209" s="253"/>
      <c r="AT2209" s="253"/>
      <c r="AU2209" s="253"/>
      <c r="AV2209" s="253"/>
      <c r="AW2209" s="253"/>
      <c r="AX2209" s="253"/>
      <c r="AY2209" s="253"/>
      <c r="AZ2209" s="253"/>
    </row>
    <row r="2210" spans="1:52" ht="15.5" customHeight="1">
      <c r="A2210" s="363"/>
      <c r="B2210" s="343"/>
      <c r="C2210" s="7"/>
      <c r="D2210" s="254"/>
      <c r="E2210" s="254"/>
      <c r="F2210" s="254"/>
      <c r="G2210" s="253"/>
      <c r="H2210" s="253"/>
      <c r="I2210" s="253"/>
      <c r="J2210" s="253"/>
      <c r="K2210" s="253"/>
      <c r="L2210" s="7"/>
      <c r="M2210" s="7"/>
      <c r="N2210" s="253"/>
      <c r="O2210" s="255"/>
      <c r="P2210" s="253"/>
      <c r="Q2210" s="7"/>
      <c r="R2210" s="7"/>
      <c r="S2210" s="7"/>
      <c r="T2210" s="7"/>
      <c r="U2210" s="7"/>
      <c r="V2210" s="253"/>
      <c r="W2210" s="7"/>
      <c r="X2210" s="256"/>
      <c r="Y2210" s="256"/>
      <c r="Z2210" s="256"/>
      <c r="AA2210" s="256"/>
      <c r="AB2210" s="257"/>
      <c r="AC2210" s="258"/>
      <c r="AD2210" s="7"/>
      <c r="AE2210" s="253"/>
      <c r="AF2210" s="253"/>
      <c r="AG2210" s="259"/>
      <c r="AH2210" s="253"/>
      <c r="AI2210" s="253"/>
      <c r="AJ2210" s="7"/>
      <c r="AK2210" s="253"/>
      <c r="AL2210" s="253"/>
      <c r="AM2210" s="7"/>
      <c r="AN2210" s="253"/>
      <c r="AO2210" s="253"/>
      <c r="AP2210" s="253"/>
      <c r="AQ2210" s="253"/>
      <c r="AR2210" s="253"/>
      <c r="AS2210" s="253"/>
      <c r="AT2210" s="253"/>
      <c r="AU2210" s="253"/>
      <c r="AV2210" s="253"/>
      <c r="AW2210" s="253"/>
      <c r="AX2210" s="253"/>
      <c r="AY2210" s="253"/>
      <c r="AZ2210" s="253"/>
    </row>
    <row r="2211" spans="1:52" ht="15.5" customHeight="1">
      <c r="A2211" s="363"/>
      <c r="B2211" s="343"/>
      <c r="C2211" s="7"/>
      <c r="D2211" s="254"/>
      <c r="E2211" s="254"/>
      <c r="F2211" s="254"/>
      <c r="G2211" s="253"/>
      <c r="H2211" s="253"/>
      <c r="I2211" s="253"/>
      <c r="J2211" s="253"/>
      <c r="K2211" s="253"/>
      <c r="L2211" s="7"/>
      <c r="M2211" s="7"/>
      <c r="N2211" s="253"/>
      <c r="O2211" s="255"/>
      <c r="P2211" s="253"/>
      <c r="Q2211" s="7"/>
      <c r="R2211" s="7"/>
      <c r="S2211" s="7"/>
      <c r="T2211" s="7"/>
      <c r="U2211" s="7"/>
      <c r="V2211" s="253"/>
      <c r="W2211" s="7"/>
      <c r="X2211" s="256"/>
      <c r="Y2211" s="256"/>
      <c r="Z2211" s="256"/>
      <c r="AA2211" s="256"/>
      <c r="AB2211" s="257"/>
      <c r="AC2211" s="258"/>
      <c r="AD2211" s="7"/>
      <c r="AE2211" s="253"/>
      <c r="AF2211" s="253"/>
      <c r="AG2211" s="259"/>
      <c r="AH2211" s="253"/>
      <c r="AI2211" s="253"/>
      <c r="AJ2211" s="7"/>
      <c r="AK2211" s="253"/>
      <c r="AL2211" s="253"/>
      <c r="AM2211" s="7"/>
      <c r="AN2211" s="253"/>
      <c r="AO2211" s="253"/>
      <c r="AP2211" s="253"/>
      <c r="AQ2211" s="253"/>
      <c r="AR2211" s="253"/>
      <c r="AS2211" s="253"/>
      <c r="AT2211" s="253"/>
      <c r="AU2211" s="253"/>
      <c r="AV2211" s="253"/>
      <c r="AW2211" s="253"/>
      <c r="AX2211" s="253"/>
      <c r="AY2211" s="253"/>
      <c r="AZ2211" s="253"/>
    </row>
    <row r="2212" spans="1:52" ht="15.5" customHeight="1">
      <c r="A2212" s="363"/>
      <c r="B2212" s="343"/>
      <c r="C2212" s="7"/>
      <c r="D2212" s="254"/>
      <c r="E2212" s="254"/>
      <c r="F2212" s="254"/>
      <c r="G2212" s="253"/>
      <c r="H2212" s="253"/>
      <c r="I2212" s="253"/>
      <c r="J2212" s="253"/>
      <c r="K2212" s="253"/>
      <c r="L2212" s="7"/>
      <c r="M2212" s="7"/>
      <c r="N2212" s="253"/>
      <c r="O2212" s="255"/>
      <c r="P2212" s="253"/>
      <c r="Q2212" s="7"/>
      <c r="R2212" s="7"/>
      <c r="S2212" s="7"/>
      <c r="T2212" s="7"/>
      <c r="U2212" s="7"/>
      <c r="V2212" s="253"/>
      <c r="W2212" s="7"/>
      <c r="X2212" s="256"/>
      <c r="Y2212" s="256"/>
      <c r="Z2212" s="256"/>
      <c r="AA2212" s="256"/>
      <c r="AB2212" s="257"/>
      <c r="AC2212" s="258"/>
      <c r="AD2212" s="7"/>
      <c r="AE2212" s="253"/>
      <c r="AF2212" s="253"/>
      <c r="AG2212" s="259"/>
      <c r="AH2212" s="253"/>
      <c r="AI2212" s="253"/>
      <c r="AJ2212" s="7"/>
      <c r="AK2212" s="253"/>
      <c r="AL2212" s="253"/>
      <c r="AM2212" s="7"/>
      <c r="AN2212" s="253"/>
      <c r="AO2212" s="253"/>
      <c r="AP2212" s="253"/>
      <c r="AQ2212" s="253"/>
      <c r="AR2212" s="253"/>
      <c r="AS2212" s="253"/>
      <c r="AT2212" s="253"/>
      <c r="AU2212" s="253"/>
      <c r="AV2212" s="253"/>
      <c r="AW2212" s="253"/>
      <c r="AX2212" s="253"/>
      <c r="AY2212" s="253"/>
      <c r="AZ2212" s="253"/>
    </row>
    <row r="2213" spans="1:52" ht="15.5" customHeight="1">
      <c r="A2213" s="363"/>
      <c r="B2213" s="343"/>
      <c r="C2213" s="7"/>
      <c r="D2213" s="254"/>
      <c r="E2213" s="254"/>
      <c r="F2213" s="254"/>
      <c r="G2213" s="253"/>
      <c r="H2213" s="253"/>
      <c r="I2213" s="253"/>
      <c r="J2213" s="253"/>
      <c r="K2213" s="253"/>
      <c r="L2213" s="7"/>
      <c r="M2213" s="7"/>
      <c r="N2213" s="253"/>
      <c r="O2213" s="255"/>
      <c r="P2213" s="253"/>
      <c r="Q2213" s="7"/>
      <c r="R2213" s="7"/>
      <c r="S2213" s="7"/>
      <c r="T2213" s="7"/>
      <c r="U2213" s="7"/>
      <c r="V2213" s="253"/>
      <c r="W2213" s="7"/>
      <c r="X2213" s="256"/>
      <c r="Y2213" s="256"/>
      <c r="Z2213" s="256"/>
      <c r="AA2213" s="256"/>
      <c r="AB2213" s="257"/>
      <c r="AC2213" s="258"/>
      <c r="AD2213" s="7"/>
      <c r="AE2213" s="253"/>
      <c r="AF2213" s="253"/>
      <c r="AG2213" s="259"/>
      <c r="AH2213" s="253"/>
      <c r="AI2213" s="253"/>
      <c r="AJ2213" s="7"/>
      <c r="AK2213" s="253"/>
      <c r="AL2213" s="253"/>
      <c r="AM2213" s="7"/>
      <c r="AN2213" s="253"/>
      <c r="AO2213" s="253"/>
      <c r="AP2213" s="253"/>
      <c r="AQ2213" s="253"/>
      <c r="AR2213" s="253"/>
      <c r="AS2213" s="253"/>
      <c r="AT2213" s="253"/>
      <c r="AU2213" s="253"/>
      <c r="AV2213" s="253"/>
      <c r="AW2213" s="253"/>
      <c r="AX2213" s="253"/>
      <c r="AY2213" s="253"/>
      <c r="AZ2213" s="253"/>
    </row>
    <row r="2214" spans="1:52" ht="15.5" customHeight="1">
      <c r="A2214" s="363"/>
      <c r="B2214" s="343"/>
      <c r="C2214" s="7"/>
      <c r="D2214" s="254"/>
      <c r="E2214" s="254"/>
      <c r="F2214" s="254"/>
      <c r="G2214" s="253"/>
      <c r="H2214" s="253"/>
      <c r="I2214" s="253"/>
      <c r="J2214" s="253"/>
      <c r="K2214" s="253"/>
      <c r="L2214" s="7"/>
      <c r="M2214" s="7"/>
      <c r="N2214" s="253"/>
      <c r="O2214" s="255"/>
      <c r="P2214" s="253"/>
      <c r="Q2214" s="7"/>
      <c r="R2214" s="7"/>
      <c r="S2214" s="7"/>
      <c r="T2214" s="7"/>
      <c r="U2214" s="7"/>
      <c r="V2214" s="253"/>
      <c r="W2214" s="7"/>
      <c r="X2214" s="256"/>
      <c r="Y2214" s="256"/>
      <c r="Z2214" s="256"/>
      <c r="AA2214" s="256"/>
      <c r="AB2214" s="257"/>
      <c r="AC2214" s="258"/>
      <c r="AD2214" s="7"/>
      <c r="AE2214" s="253"/>
      <c r="AF2214" s="253"/>
      <c r="AG2214" s="259"/>
      <c r="AH2214" s="253"/>
      <c r="AI2214" s="253"/>
      <c r="AJ2214" s="7"/>
      <c r="AK2214" s="253"/>
      <c r="AL2214" s="253"/>
      <c r="AM2214" s="7"/>
      <c r="AN2214" s="253"/>
      <c r="AO2214" s="253"/>
      <c r="AP2214" s="253"/>
      <c r="AQ2214" s="253"/>
      <c r="AR2214" s="253"/>
      <c r="AS2214" s="253"/>
      <c r="AT2214" s="253"/>
      <c r="AU2214" s="253"/>
      <c r="AV2214" s="253"/>
      <c r="AW2214" s="253"/>
      <c r="AX2214" s="253"/>
      <c r="AY2214" s="253"/>
      <c r="AZ2214" s="253"/>
    </row>
    <row r="2215" spans="1:52" ht="15.5" customHeight="1">
      <c r="A2215" s="363"/>
      <c r="B2215" s="343"/>
      <c r="C2215" s="7"/>
      <c r="D2215" s="254"/>
      <c r="E2215" s="254"/>
      <c r="F2215" s="254"/>
      <c r="G2215" s="253"/>
      <c r="H2215" s="253"/>
      <c r="I2215" s="253"/>
      <c r="J2215" s="253"/>
      <c r="K2215" s="253"/>
      <c r="L2215" s="7"/>
      <c r="M2215" s="7"/>
      <c r="N2215" s="253"/>
      <c r="O2215" s="255"/>
      <c r="P2215" s="253"/>
      <c r="Q2215" s="7"/>
      <c r="R2215" s="7"/>
      <c r="S2215" s="7"/>
      <c r="T2215" s="7"/>
      <c r="U2215" s="7"/>
      <c r="V2215" s="253"/>
      <c r="W2215" s="7"/>
      <c r="X2215" s="256"/>
      <c r="Y2215" s="256"/>
      <c r="Z2215" s="256"/>
      <c r="AA2215" s="256"/>
      <c r="AB2215" s="257"/>
      <c r="AC2215" s="258"/>
      <c r="AD2215" s="7"/>
      <c r="AE2215" s="253"/>
      <c r="AF2215" s="253"/>
      <c r="AG2215" s="259"/>
      <c r="AH2215" s="253"/>
      <c r="AI2215" s="253"/>
      <c r="AJ2215" s="7"/>
      <c r="AK2215" s="253"/>
      <c r="AL2215" s="253"/>
      <c r="AM2215" s="7"/>
      <c r="AN2215" s="253"/>
      <c r="AO2215" s="253"/>
      <c r="AP2215" s="253"/>
      <c r="AQ2215" s="253"/>
      <c r="AR2215" s="253"/>
      <c r="AS2215" s="253"/>
      <c r="AT2215" s="253"/>
      <c r="AU2215" s="253"/>
      <c r="AV2215" s="253"/>
      <c r="AW2215" s="253"/>
      <c r="AX2215" s="253"/>
      <c r="AY2215" s="253"/>
      <c r="AZ2215" s="253"/>
    </row>
    <row r="2216" spans="1:52" ht="15.5" customHeight="1">
      <c r="A2216" s="363"/>
      <c r="B2216" s="343"/>
      <c r="C2216" s="7"/>
      <c r="D2216" s="254"/>
      <c r="E2216" s="254"/>
      <c r="F2216" s="254"/>
      <c r="G2216" s="253"/>
      <c r="H2216" s="253"/>
      <c r="I2216" s="253"/>
      <c r="J2216" s="253"/>
      <c r="K2216" s="253"/>
      <c r="L2216" s="7"/>
      <c r="M2216" s="7"/>
      <c r="N2216" s="253"/>
      <c r="O2216" s="255"/>
      <c r="P2216" s="253"/>
      <c r="Q2216" s="7"/>
      <c r="R2216" s="7"/>
      <c r="S2216" s="7"/>
      <c r="T2216" s="7"/>
      <c r="U2216" s="7"/>
      <c r="V2216" s="253"/>
      <c r="W2216" s="7"/>
      <c r="X2216" s="256"/>
      <c r="Y2216" s="256"/>
      <c r="Z2216" s="256"/>
      <c r="AA2216" s="256"/>
      <c r="AB2216" s="257"/>
      <c r="AC2216" s="258"/>
      <c r="AD2216" s="7"/>
      <c r="AE2216" s="253"/>
      <c r="AF2216" s="253"/>
      <c r="AG2216" s="259"/>
      <c r="AH2216" s="253"/>
      <c r="AI2216" s="253"/>
      <c r="AJ2216" s="7"/>
      <c r="AK2216" s="253"/>
      <c r="AL2216" s="253"/>
      <c r="AM2216" s="7"/>
      <c r="AN2216" s="253"/>
      <c r="AO2216" s="253"/>
      <c r="AP2216" s="253"/>
      <c r="AQ2216" s="253"/>
      <c r="AR2216" s="253"/>
      <c r="AS2216" s="253"/>
      <c r="AT2216" s="253"/>
      <c r="AU2216" s="253"/>
      <c r="AV2216" s="253"/>
      <c r="AW2216" s="253"/>
      <c r="AX2216" s="253"/>
      <c r="AY2216" s="253"/>
      <c r="AZ2216" s="253"/>
    </row>
    <row r="2217" spans="1:52" ht="15.5" customHeight="1">
      <c r="A2217" s="363"/>
      <c r="B2217" s="343"/>
      <c r="C2217" s="7"/>
      <c r="D2217" s="254"/>
      <c r="E2217" s="254"/>
      <c r="F2217" s="254"/>
      <c r="G2217" s="253"/>
      <c r="H2217" s="253"/>
      <c r="I2217" s="253"/>
      <c r="J2217" s="253"/>
      <c r="K2217" s="253"/>
      <c r="L2217" s="7"/>
      <c r="M2217" s="7"/>
      <c r="N2217" s="253"/>
      <c r="O2217" s="255"/>
      <c r="P2217" s="253"/>
      <c r="Q2217" s="7"/>
      <c r="R2217" s="7"/>
      <c r="S2217" s="7"/>
      <c r="T2217" s="7"/>
      <c r="U2217" s="7"/>
      <c r="V2217" s="253"/>
      <c r="W2217" s="7"/>
      <c r="X2217" s="256"/>
      <c r="Y2217" s="256"/>
      <c r="Z2217" s="256"/>
      <c r="AA2217" s="256"/>
      <c r="AB2217" s="257"/>
      <c r="AC2217" s="258"/>
      <c r="AD2217" s="7"/>
      <c r="AE2217" s="253"/>
      <c r="AF2217" s="253"/>
      <c r="AG2217" s="259"/>
      <c r="AH2217" s="253"/>
      <c r="AI2217" s="253"/>
      <c r="AJ2217" s="7"/>
      <c r="AK2217" s="253"/>
      <c r="AL2217" s="253"/>
      <c r="AM2217" s="7"/>
      <c r="AN2217" s="253"/>
      <c r="AO2217" s="253"/>
      <c r="AP2217" s="253"/>
      <c r="AQ2217" s="253"/>
      <c r="AR2217" s="253"/>
      <c r="AS2217" s="253"/>
      <c r="AT2217" s="253"/>
      <c r="AU2217" s="253"/>
      <c r="AV2217" s="253"/>
      <c r="AW2217" s="253"/>
      <c r="AX2217" s="253"/>
      <c r="AY2217" s="253"/>
      <c r="AZ2217" s="253"/>
    </row>
    <row r="2218" spans="1:52" ht="15.5" customHeight="1">
      <c r="A2218" s="363"/>
      <c r="B2218" s="343"/>
      <c r="C2218" s="7"/>
      <c r="D2218" s="254"/>
      <c r="E2218" s="254"/>
      <c r="F2218" s="254"/>
      <c r="G2218" s="253"/>
      <c r="H2218" s="253"/>
      <c r="I2218" s="253"/>
      <c r="J2218" s="253"/>
      <c r="K2218" s="253"/>
      <c r="L2218" s="7"/>
      <c r="M2218" s="7"/>
      <c r="N2218" s="253"/>
      <c r="O2218" s="255"/>
      <c r="P2218" s="253"/>
      <c r="Q2218" s="7"/>
      <c r="R2218" s="7"/>
      <c r="S2218" s="7"/>
      <c r="T2218" s="7"/>
      <c r="U2218" s="7"/>
      <c r="V2218" s="253"/>
      <c r="W2218" s="7"/>
      <c r="X2218" s="256"/>
      <c r="Y2218" s="256"/>
      <c r="Z2218" s="256"/>
      <c r="AA2218" s="256"/>
      <c r="AB2218" s="257"/>
      <c r="AC2218" s="258"/>
      <c r="AD2218" s="7"/>
      <c r="AE2218" s="253"/>
      <c r="AF2218" s="253"/>
      <c r="AG2218" s="259"/>
      <c r="AH2218" s="253"/>
      <c r="AI2218" s="253"/>
      <c r="AJ2218" s="7"/>
      <c r="AK2218" s="253"/>
      <c r="AL2218" s="253"/>
      <c r="AM2218" s="7"/>
      <c r="AN2218" s="253"/>
      <c r="AO2218" s="253"/>
      <c r="AP2218" s="253"/>
      <c r="AQ2218" s="253"/>
      <c r="AR2218" s="253"/>
      <c r="AS2218" s="253"/>
      <c r="AT2218" s="253"/>
      <c r="AU2218" s="253"/>
      <c r="AV2218" s="253"/>
      <c r="AW2218" s="253"/>
      <c r="AX2218" s="253"/>
      <c r="AY2218" s="253"/>
      <c r="AZ2218" s="253"/>
    </row>
    <row r="2219" spans="1:52" ht="15.5" customHeight="1">
      <c r="A2219" s="363"/>
      <c r="B2219" s="343"/>
      <c r="C2219" s="7"/>
      <c r="D2219" s="254"/>
      <c r="E2219" s="254"/>
      <c r="F2219" s="254"/>
      <c r="G2219" s="253"/>
      <c r="H2219" s="253"/>
      <c r="I2219" s="253"/>
      <c r="J2219" s="253"/>
      <c r="K2219" s="253"/>
      <c r="L2219" s="7"/>
      <c r="M2219" s="7"/>
      <c r="N2219" s="253"/>
      <c r="O2219" s="255"/>
      <c r="P2219" s="253"/>
      <c r="Q2219" s="7"/>
      <c r="R2219" s="7"/>
      <c r="S2219" s="7"/>
      <c r="T2219" s="7"/>
      <c r="U2219" s="7"/>
      <c r="V2219" s="253"/>
      <c r="W2219" s="7"/>
      <c r="X2219" s="256"/>
      <c r="Y2219" s="256"/>
      <c r="Z2219" s="256"/>
      <c r="AA2219" s="256"/>
      <c r="AB2219" s="257"/>
      <c r="AC2219" s="258"/>
      <c r="AD2219" s="7"/>
      <c r="AE2219" s="253"/>
      <c r="AF2219" s="253"/>
      <c r="AG2219" s="259"/>
      <c r="AH2219" s="253"/>
      <c r="AI2219" s="253"/>
      <c r="AJ2219" s="7"/>
      <c r="AK2219" s="253"/>
      <c r="AL2219" s="253"/>
      <c r="AM2219" s="7"/>
      <c r="AN2219" s="253"/>
      <c r="AO2219" s="253"/>
      <c r="AP2219" s="253"/>
      <c r="AQ2219" s="253"/>
      <c r="AR2219" s="253"/>
      <c r="AS2219" s="253"/>
      <c r="AT2219" s="253"/>
      <c r="AU2219" s="253"/>
      <c r="AV2219" s="253"/>
      <c r="AW2219" s="253"/>
      <c r="AX2219" s="253"/>
      <c r="AY2219" s="253"/>
      <c r="AZ2219" s="253"/>
    </row>
    <row r="2220" spans="1:52" ht="15.5" customHeight="1">
      <c r="A2220" s="363"/>
      <c r="B2220" s="343"/>
      <c r="C2220" s="7"/>
      <c r="D2220" s="254"/>
      <c r="E2220" s="254"/>
      <c r="F2220" s="254"/>
      <c r="G2220" s="253"/>
      <c r="H2220" s="253"/>
      <c r="I2220" s="253"/>
      <c r="J2220" s="253"/>
      <c r="K2220" s="253"/>
      <c r="L2220" s="7"/>
      <c r="M2220" s="7"/>
      <c r="N2220" s="253"/>
      <c r="O2220" s="255"/>
      <c r="P2220" s="253"/>
      <c r="Q2220" s="7"/>
      <c r="R2220" s="7"/>
      <c r="S2220" s="7"/>
      <c r="T2220" s="7"/>
      <c r="U2220" s="7"/>
      <c r="V2220" s="253"/>
      <c r="W2220" s="7"/>
      <c r="X2220" s="256"/>
      <c r="Y2220" s="256"/>
      <c r="Z2220" s="256"/>
      <c r="AA2220" s="256"/>
      <c r="AB2220" s="257"/>
      <c r="AC2220" s="258"/>
      <c r="AD2220" s="7"/>
      <c r="AE2220" s="253"/>
      <c r="AF2220" s="253"/>
      <c r="AG2220" s="259"/>
      <c r="AH2220" s="253"/>
      <c r="AI2220" s="253"/>
      <c r="AJ2220" s="7"/>
      <c r="AK2220" s="253"/>
      <c r="AL2220" s="253"/>
      <c r="AM2220" s="7"/>
      <c r="AN2220" s="253"/>
      <c r="AO2220" s="253"/>
      <c r="AP2220" s="253"/>
      <c r="AQ2220" s="253"/>
      <c r="AR2220" s="253"/>
      <c r="AS2220" s="253"/>
      <c r="AT2220" s="253"/>
      <c r="AU2220" s="253"/>
      <c r="AV2220" s="253"/>
      <c r="AW2220" s="253"/>
      <c r="AX2220" s="253"/>
      <c r="AY2220" s="253"/>
      <c r="AZ2220" s="253"/>
    </row>
    <row r="2221" spans="1:52" ht="15.5" customHeight="1">
      <c r="A2221" s="363"/>
      <c r="B2221" s="343"/>
      <c r="C2221" s="7"/>
      <c r="D2221" s="254"/>
      <c r="E2221" s="254"/>
      <c r="F2221" s="254"/>
      <c r="G2221" s="253"/>
      <c r="H2221" s="253"/>
      <c r="I2221" s="253"/>
      <c r="J2221" s="253"/>
      <c r="K2221" s="253"/>
      <c r="L2221" s="7"/>
      <c r="M2221" s="7"/>
      <c r="N2221" s="253"/>
      <c r="O2221" s="255"/>
      <c r="P2221" s="253"/>
      <c r="Q2221" s="7"/>
      <c r="R2221" s="7"/>
      <c r="S2221" s="7"/>
      <c r="T2221" s="7"/>
      <c r="U2221" s="7"/>
      <c r="V2221" s="253"/>
      <c r="W2221" s="7"/>
      <c r="X2221" s="256"/>
      <c r="Y2221" s="256"/>
      <c r="Z2221" s="256"/>
      <c r="AA2221" s="256"/>
      <c r="AB2221" s="257"/>
      <c r="AC2221" s="258"/>
      <c r="AD2221" s="7"/>
      <c r="AE2221" s="253"/>
      <c r="AF2221" s="253"/>
      <c r="AG2221" s="259"/>
      <c r="AH2221" s="253"/>
      <c r="AI2221" s="253"/>
      <c r="AJ2221" s="7"/>
      <c r="AK2221" s="253"/>
      <c r="AL2221" s="253"/>
      <c r="AM2221" s="7"/>
      <c r="AN2221" s="253"/>
      <c r="AO2221" s="253"/>
      <c r="AP2221" s="253"/>
      <c r="AQ2221" s="253"/>
      <c r="AR2221" s="253"/>
      <c r="AS2221" s="253"/>
      <c r="AT2221" s="253"/>
      <c r="AU2221" s="253"/>
      <c r="AV2221" s="253"/>
      <c r="AW2221" s="253"/>
      <c r="AX2221" s="253"/>
      <c r="AY2221" s="253"/>
      <c r="AZ2221" s="253"/>
    </row>
    <row r="2222" spans="1:52" ht="15.5" customHeight="1">
      <c r="A2222" s="363"/>
      <c r="B2222" s="343"/>
      <c r="C2222" s="7"/>
      <c r="D2222" s="254"/>
      <c r="E2222" s="254"/>
      <c r="F2222" s="254"/>
      <c r="G2222" s="253"/>
      <c r="H2222" s="253"/>
      <c r="I2222" s="253"/>
      <c r="J2222" s="253"/>
      <c r="K2222" s="253"/>
      <c r="L2222" s="7"/>
      <c r="M2222" s="7"/>
      <c r="N2222" s="253"/>
      <c r="O2222" s="255"/>
      <c r="P2222" s="253"/>
      <c r="Q2222" s="7"/>
      <c r="R2222" s="7"/>
      <c r="S2222" s="7"/>
      <c r="T2222" s="7"/>
      <c r="U2222" s="7"/>
      <c r="V2222" s="253"/>
      <c r="W2222" s="7"/>
      <c r="X2222" s="256"/>
      <c r="Y2222" s="256"/>
      <c r="Z2222" s="256"/>
      <c r="AA2222" s="256"/>
      <c r="AB2222" s="257"/>
      <c r="AC2222" s="258"/>
      <c r="AD2222" s="7"/>
      <c r="AE2222" s="253"/>
      <c r="AF2222" s="253"/>
      <c r="AG2222" s="259"/>
      <c r="AH2222" s="253"/>
      <c r="AI2222" s="253"/>
      <c r="AJ2222" s="7"/>
      <c r="AK2222" s="253"/>
      <c r="AL2222" s="253"/>
      <c r="AM2222" s="7"/>
      <c r="AN2222" s="253"/>
      <c r="AO2222" s="253"/>
      <c r="AP2222" s="253"/>
      <c r="AQ2222" s="253"/>
      <c r="AR2222" s="253"/>
      <c r="AS2222" s="253"/>
      <c r="AT2222" s="253"/>
      <c r="AU2222" s="253"/>
      <c r="AV2222" s="253"/>
      <c r="AW2222" s="253"/>
      <c r="AX2222" s="253"/>
      <c r="AY2222" s="253"/>
      <c r="AZ2222" s="253"/>
    </row>
    <row r="2223" spans="1:52" ht="15.5" customHeight="1">
      <c r="A2223" s="363"/>
      <c r="B2223" s="343"/>
      <c r="C2223" s="7"/>
      <c r="D2223" s="254"/>
      <c r="E2223" s="254"/>
      <c r="F2223" s="254"/>
      <c r="G2223" s="253"/>
      <c r="H2223" s="253"/>
      <c r="I2223" s="253"/>
      <c r="J2223" s="253"/>
      <c r="K2223" s="253"/>
      <c r="L2223" s="7"/>
      <c r="M2223" s="7"/>
      <c r="N2223" s="253"/>
      <c r="O2223" s="255"/>
      <c r="P2223" s="253"/>
      <c r="Q2223" s="7"/>
      <c r="R2223" s="7"/>
      <c r="S2223" s="7"/>
      <c r="T2223" s="7"/>
      <c r="U2223" s="7"/>
      <c r="V2223" s="253"/>
      <c r="W2223" s="7"/>
      <c r="X2223" s="256"/>
      <c r="Y2223" s="256"/>
      <c r="Z2223" s="256"/>
      <c r="AA2223" s="256"/>
      <c r="AB2223" s="257"/>
      <c r="AC2223" s="258"/>
      <c r="AD2223" s="7"/>
      <c r="AE2223" s="253"/>
      <c r="AF2223" s="253"/>
      <c r="AG2223" s="259"/>
      <c r="AH2223" s="253"/>
      <c r="AI2223" s="253"/>
      <c r="AJ2223" s="7"/>
      <c r="AK2223" s="253"/>
      <c r="AL2223" s="253"/>
      <c r="AM2223" s="7"/>
      <c r="AN2223" s="253"/>
      <c r="AO2223" s="253"/>
      <c r="AP2223" s="253"/>
      <c r="AQ2223" s="253"/>
      <c r="AR2223" s="253"/>
      <c r="AS2223" s="253"/>
      <c r="AT2223" s="253"/>
      <c r="AU2223" s="253"/>
      <c r="AV2223" s="253"/>
      <c r="AW2223" s="253"/>
      <c r="AX2223" s="253"/>
      <c r="AY2223" s="253"/>
      <c r="AZ2223" s="253"/>
    </row>
    <row r="2224" spans="1:52" ht="15.5" customHeight="1">
      <c r="A2224" s="363"/>
      <c r="B2224" s="343"/>
      <c r="C2224" s="7"/>
      <c r="D2224" s="254"/>
      <c r="E2224" s="254"/>
      <c r="F2224" s="254"/>
      <c r="G2224" s="253"/>
      <c r="H2224" s="253"/>
      <c r="I2224" s="253"/>
      <c r="J2224" s="253"/>
      <c r="K2224" s="253"/>
      <c r="L2224" s="7"/>
      <c r="M2224" s="7"/>
      <c r="N2224" s="253"/>
      <c r="O2224" s="255"/>
      <c r="P2224" s="253"/>
      <c r="Q2224" s="7"/>
      <c r="R2224" s="7"/>
      <c r="S2224" s="7"/>
      <c r="T2224" s="7"/>
      <c r="U2224" s="7"/>
      <c r="V2224" s="253"/>
      <c r="W2224" s="7"/>
      <c r="X2224" s="256"/>
      <c r="Y2224" s="256"/>
      <c r="Z2224" s="256"/>
      <c r="AA2224" s="256"/>
      <c r="AB2224" s="257"/>
      <c r="AC2224" s="258"/>
      <c r="AD2224" s="7"/>
      <c r="AE2224" s="253"/>
      <c r="AF2224" s="253"/>
      <c r="AG2224" s="259"/>
      <c r="AH2224" s="253"/>
      <c r="AI2224" s="253"/>
      <c r="AJ2224" s="7"/>
      <c r="AK2224" s="253"/>
      <c r="AL2224" s="253"/>
      <c r="AM2224" s="7"/>
      <c r="AN2224" s="253"/>
      <c r="AO2224" s="253"/>
      <c r="AP2224" s="253"/>
      <c r="AQ2224" s="253"/>
      <c r="AR2224" s="253"/>
      <c r="AS2224" s="253"/>
      <c r="AT2224" s="253"/>
      <c r="AU2224" s="253"/>
      <c r="AV2224" s="253"/>
      <c r="AW2224" s="253"/>
      <c r="AX2224" s="253"/>
      <c r="AY2224" s="253"/>
      <c r="AZ2224" s="253"/>
    </row>
    <row r="2225" spans="1:52" ht="15.5" customHeight="1">
      <c r="A2225" s="363"/>
      <c r="B2225" s="343"/>
      <c r="C2225" s="7"/>
      <c r="D2225" s="254"/>
      <c r="E2225" s="254"/>
      <c r="F2225" s="254"/>
      <c r="G2225" s="253"/>
      <c r="H2225" s="253"/>
      <c r="I2225" s="253"/>
      <c r="J2225" s="253"/>
      <c r="K2225" s="253"/>
      <c r="L2225" s="7"/>
      <c r="M2225" s="7"/>
      <c r="N2225" s="253"/>
      <c r="O2225" s="255"/>
      <c r="P2225" s="253"/>
      <c r="Q2225" s="7"/>
      <c r="R2225" s="7"/>
      <c r="S2225" s="7"/>
      <c r="T2225" s="7"/>
      <c r="U2225" s="7"/>
      <c r="V2225" s="253"/>
      <c r="W2225" s="7"/>
      <c r="X2225" s="256"/>
      <c r="Y2225" s="256"/>
      <c r="Z2225" s="256"/>
      <c r="AA2225" s="256"/>
      <c r="AB2225" s="257"/>
      <c r="AC2225" s="258"/>
      <c r="AD2225" s="7"/>
      <c r="AE2225" s="253"/>
      <c r="AF2225" s="253"/>
      <c r="AG2225" s="259"/>
      <c r="AH2225" s="253"/>
      <c r="AI2225" s="253"/>
      <c r="AJ2225" s="7"/>
      <c r="AK2225" s="253"/>
      <c r="AL2225" s="253"/>
      <c r="AM2225" s="7"/>
      <c r="AN2225" s="253"/>
      <c r="AO2225" s="253"/>
      <c r="AP2225" s="253"/>
      <c r="AQ2225" s="253"/>
      <c r="AR2225" s="253"/>
      <c r="AS2225" s="253"/>
      <c r="AT2225" s="253"/>
      <c r="AU2225" s="253"/>
      <c r="AV2225" s="253"/>
      <c r="AW2225" s="253"/>
      <c r="AX2225" s="253"/>
      <c r="AY2225" s="253"/>
      <c r="AZ2225" s="253"/>
    </row>
    <row r="2226" spans="1:52" ht="15.5" customHeight="1">
      <c r="A2226" s="363"/>
      <c r="B2226" s="343"/>
      <c r="C2226" s="7"/>
      <c r="D2226" s="254"/>
      <c r="E2226" s="254"/>
      <c r="F2226" s="254"/>
      <c r="G2226" s="253"/>
      <c r="H2226" s="253"/>
      <c r="I2226" s="253"/>
      <c r="J2226" s="253"/>
      <c r="K2226" s="253"/>
      <c r="L2226" s="7"/>
      <c r="M2226" s="7"/>
      <c r="N2226" s="253"/>
      <c r="O2226" s="255"/>
      <c r="P2226" s="253"/>
      <c r="Q2226" s="7"/>
      <c r="R2226" s="7"/>
      <c r="S2226" s="7"/>
      <c r="T2226" s="7"/>
      <c r="U2226" s="7"/>
      <c r="V2226" s="253"/>
      <c r="W2226" s="7"/>
      <c r="X2226" s="256"/>
      <c r="Y2226" s="256"/>
      <c r="Z2226" s="256"/>
      <c r="AA2226" s="256"/>
      <c r="AB2226" s="257"/>
      <c r="AC2226" s="258"/>
      <c r="AD2226" s="7"/>
      <c r="AE2226" s="253"/>
      <c r="AF2226" s="253"/>
      <c r="AG2226" s="259"/>
      <c r="AH2226" s="253"/>
      <c r="AI2226" s="253"/>
      <c r="AJ2226" s="7"/>
      <c r="AK2226" s="253"/>
      <c r="AL2226" s="253"/>
      <c r="AM2226" s="7"/>
      <c r="AN2226" s="253"/>
      <c r="AO2226" s="253"/>
      <c r="AP2226" s="253"/>
      <c r="AQ2226" s="253"/>
      <c r="AR2226" s="253"/>
      <c r="AS2226" s="253"/>
      <c r="AT2226" s="253"/>
      <c r="AU2226" s="253"/>
      <c r="AV2226" s="253"/>
      <c r="AW2226" s="253"/>
      <c r="AX2226" s="253"/>
      <c r="AY2226" s="253"/>
      <c r="AZ2226" s="253"/>
    </row>
    <row r="2227" spans="1:52" ht="15.5" customHeight="1">
      <c r="A2227" s="363"/>
      <c r="B2227" s="343"/>
      <c r="C2227" s="7"/>
      <c r="D2227" s="254"/>
      <c r="E2227" s="254"/>
      <c r="F2227" s="254"/>
      <c r="G2227" s="253"/>
      <c r="H2227" s="253"/>
      <c r="I2227" s="253"/>
      <c r="J2227" s="253"/>
      <c r="K2227" s="253"/>
      <c r="L2227" s="7"/>
      <c r="M2227" s="7"/>
      <c r="N2227" s="253"/>
      <c r="O2227" s="255"/>
      <c r="P2227" s="253"/>
      <c r="Q2227" s="7"/>
      <c r="R2227" s="7"/>
      <c r="S2227" s="7"/>
      <c r="T2227" s="7"/>
      <c r="U2227" s="7"/>
      <c r="V2227" s="253"/>
      <c r="W2227" s="7"/>
      <c r="X2227" s="256"/>
      <c r="Y2227" s="256"/>
      <c r="Z2227" s="256"/>
      <c r="AA2227" s="256"/>
      <c r="AB2227" s="257"/>
      <c r="AC2227" s="258"/>
      <c r="AD2227" s="7"/>
      <c r="AE2227" s="253"/>
      <c r="AF2227" s="253"/>
      <c r="AG2227" s="259"/>
      <c r="AH2227" s="253"/>
      <c r="AI2227" s="253"/>
      <c r="AJ2227" s="7"/>
      <c r="AK2227" s="253"/>
      <c r="AL2227" s="253"/>
      <c r="AM2227" s="7"/>
      <c r="AN2227" s="253"/>
      <c r="AO2227" s="253"/>
      <c r="AP2227" s="253"/>
      <c r="AQ2227" s="253"/>
      <c r="AR2227" s="253"/>
      <c r="AS2227" s="253"/>
      <c r="AT2227" s="253"/>
      <c r="AU2227" s="253"/>
      <c r="AV2227" s="253"/>
      <c r="AW2227" s="253"/>
      <c r="AX2227" s="253"/>
      <c r="AY2227" s="253"/>
      <c r="AZ2227" s="253"/>
    </row>
    <row r="2228" spans="1:52" ht="15.5" customHeight="1">
      <c r="A2228" s="363"/>
      <c r="B2228" s="343"/>
      <c r="C2228" s="7"/>
      <c r="D2228" s="254"/>
      <c r="E2228" s="254"/>
      <c r="F2228" s="254"/>
      <c r="G2228" s="253"/>
      <c r="H2228" s="253"/>
      <c r="I2228" s="253"/>
      <c r="J2228" s="253"/>
      <c r="K2228" s="253"/>
      <c r="L2228" s="7"/>
      <c r="M2228" s="7"/>
      <c r="N2228" s="253"/>
      <c r="O2228" s="255"/>
      <c r="P2228" s="253"/>
      <c r="Q2228" s="7"/>
      <c r="R2228" s="7"/>
      <c r="S2228" s="7"/>
      <c r="T2228" s="7"/>
      <c r="U2228" s="7"/>
      <c r="V2228" s="253"/>
      <c r="W2228" s="7"/>
      <c r="X2228" s="256"/>
      <c r="Y2228" s="256"/>
      <c r="Z2228" s="256"/>
      <c r="AA2228" s="256"/>
      <c r="AB2228" s="257"/>
      <c r="AC2228" s="258"/>
      <c r="AD2228" s="7"/>
      <c r="AE2228" s="253"/>
      <c r="AF2228" s="253"/>
      <c r="AG2228" s="259"/>
      <c r="AH2228" s="253"/>
      <c r="AI2228" s="253"/>
      <c r="AJ2228" s="7"/>
      <c r="AK2228" s="253"/>
      <c r="AL2228" s="253"/>
      <c r="AM2228" s="7"/>
      <c r="AN2228" s="253"/>
      <c r="AO2228" s="253"/>
      <c r="AP2228" s="253"/>
      <c r="AQ2228" s="253"/>
      <c r="AR2228" s="253"/>
      <c r="AS2228" s="253"/>
      <c r="AT2228" s="253"/>
      <c r="AU2228" s="253"/>
      <c r="AV2228" s="253"/>
      <c r="AW2228" s="253"/>
      <c r="AX2228" s="253"/>
      <c r="AY2228" s="253"/>
      <c r="AZ2228" s="253"/>
    </row>
    <row r="2229" spans="1:52" ht="15.5" customHeight="1">
      <c r="A2229" s="363"/>
      <c r="B2229" s="343"/>
      <c r="C2229" s="7"/>
      <c r="D2229" s="254"/>
      <c r="E2229" s="254"/>
      <c r="F2229" s="254"/>
      <c r="G2229" s="253"/>
      <c r="H2229" s="253"/>
      <c r="I2229" s="253"/>
      <c r="J2229" s="253"/>
      <c r="K2229" s="253"/>
      <c r="L2229" s="7"/>
      <c r="M2229" s="7"/>
      <c r="N2229" s="253"/>
      <c r="O2229" s="255"/>
      <c r="P2229" s="253"/>
      <c r="Q2229" s="7"/>
      <c r="R2229" s="7"/>
      <c r="S2229" s="7"/>
      <c r="T2229" s="7"/>
      <c r="U2229" s="7"/>
      <c r="V2229" s="253"/>
      <c r="W2229" s="7"/>
      <c r="X2229" s="256"/>
      <c r="Y2229" s="256"/>
      <c r="Z2229" s="256"/>
      <c r="AA2229" s="256"/>
      <c r="AB2229" s="257"/>
      <c r="AC2229" s="258"/>
      <c r="AD2229" s="7"/>
      <c r="AE2229" s="253"/>
      <c r="AF2229" s="253"/>
      <c r="AG2229" s="259"/>
      <c r="AH2229" s="253"/>
      <c r="AI2229" s="253"/>
      <c r="AJ2229" s="7"/>
      <c r="AK2229" s="253"/>
      <c r="AL2229" s="253"/>
      <c r="AM2229" s="7"/>
      <c r="AN2229" s="253"/>
      <c r="AO2229" s="253"/>
      <c r="AP2229" s="253"/>
      <c r="AQ2229" s="253"/>
      <c r="AR2229" s="253"/>
      <c r="AS2229" s="253"/>
      <c r="AT2229" s="253"/>
      <c r="AU2229" s="253"/>
      <c r="AV2229" s="253"/>
      <c r="AW2229" s="253"/>
      <c r="AX2229" s="253"/>
      <c r="AY2229" s="253"/>
      <c r="AZ2229" s="253"/>
    </row>
    <row r="2230" spans="1:52" ht="15.5" customHeight="1">
      <c r="A2230" s="363"/>
      <c r="B2230" s="343"/>
      <c r="C2230" s="7"/>
      <c r="D2230" s="254"/>
      <c r="E2230" s="254"/>
      <c r="F2230" s="254"/>
      <c r="G2230" s="253"/>
      <c r="H2230" s="253"/>
      <c r="I2230" s="253"/>
      <c r="J2230" s="253"/>
      <c r="K2230" s="253"/>
      <c r="L2230" s="7"/>
      <c r="M2230" s="7"/>
      <c r="N2230" s="253"/>
      <c r="O2230" s="255"/>
      <c r="P2230" s="253"/>
      <c r="Q2230" s="7"/>
      <c r="R2230" s="7"/>
      <c r="S2230" s="7"/>
      <c r="T2230" s="7"/>
      <c r="U2230" s="7"/>
      <c r="V2230" s="253"/>
      <c r="W2230" s="7"/>
      <c r="X2230" s="256"/>
      <c r="Y2230" s="256"/>
      <c r="Z2230" s="256"/>
      <c r="AA2230" s="256"/>
      <c r="AB2230" s="257"/>
      <c r="AC2230" s="258"/>
      <c r="AD2230" s="7"/>
      <c r="AE2230" s="253"/>
      <c r="AF2230" s="253"/>
      <c r="AG2230" s="259"/>
      <c r="AH2230" s="253"/>
      <c r="AI2230" s="253"/>
      <c r="AJ2230" s="7"/>
      <c r="AK2230" s="253"/>
      <c r="AL2230" s="253"/>
      <c r="AM2230" s="7"/>
      <c r="AN2230" s="253"/>
      <c r="AO2230" s="253"/>
      <c r="AP2230" s="253"/>
      <c r="AQ2230" s="253"/>
      <c r="AR2230" s="253"/>
      <c r="AS2230" s="253"/>
      <c r="AT2230" s="253"/>
      <c r="AU2230" s="253"/>
      <c r="AV2230" s="253"/>
      <c r="AW2230" s="253"/>
      <c r="AX2230" s="253"/>
      <c r="AY2230" s="253"/>
      <c r="AZ2230" s="253"/>
    </row>
    <row r="2231" spans="1:52" ht="15.5" customHeight="1">
      <c r="A2231" s="363"/>
      <c r="B2231" s="343"/>
      <c r="C2231" s="7"/>
      <c r="D2231" s="254"/>
      <c r="E2231" s="254"/>
      <c r="F2231" s="254"/>
      <c r="G2231" s="253"/>
      <c r="H2231" s="253"/>
      <c r="I2231" s="253"/>
      <c r="J2231" s="253"/>
      <c r="K2231" s="253"/>
      <c r="L2231" s="7"/>
      <c r="M2231" s="7"/>
      <c r="N2231" s="253"/>
      <c r="O2231" s="255"/>
      <c r="P2231" s="253"/>
      <c r="Q2231" s="7"/>
      <c r="R2231" s="7"/>
      <c r="S2231" s="7"/>
      <c r="T2231" s="7"/>
      <c r="U2231" s="7"/>
      <c r="V2231" s="253"/>
      <c r="W2231" s="7"/>
      <c r="X2231" s="256"/>
      <c r="Y2231" s="256"/>
      <c r="Z2231" s="256"/>
      <c r="AA2231" s="256"/>
      <c r="AB2231" s="257"/>
      <c r="AC2231" s="258"/>
      <c r="AD2231" s="7"/>
      <c r="AE2231" s="253"/>
      <c r="AF2231" s="253"/>
      <c r="AG2231" s="259"/>
      <c r="AH2231" s="253"/>
      <c r="AI2231" s="253"/>
      <c r="AJ2231" s="7"/>
      <c r="AK2231" s="253"/>
      <c r="AL2231" s="253"/>
      <c r="AM2231" s="7"/>
      <c r="AN2231" s="253"/>
      <c r="AO2231" s="253"/>
      <c r="AP2231" s="253"/>
      <c r="AQ2231" s="253"/>
      <c r="AR2231" s="253"/>
      <c r="AS2231" s="253"/>
      <c r="AT2231" s="253"/>
      <c r="AU2231" s="253"/>
      <c r="AV2231" s="253"/>
      <c r="AW2231" s="253"/>
      <c r="AX2231" s="253"/>
      <c r="AY2231" s="253"/>
      <c r="AZ2231" s="253"/>
    </row>
    <row r="2232" spans="1:52" ht="15.5" customHeight="1">
      <c r="A2232" s="363"/>
      <c r="B2232" s="343"/>
      <c r="C2232" s="7"/>
      <c r="D2232" s="254"/>
      <c r="E2232" s="254"/>
      <c r="F2232" s="254"/>
      <c r="G2232" s="253"/>
      <c r="H2232" s="253"/>
      <c r="I2232" s="253"/>
      <c r="J2232" s="253"/>
      <c r="K2232" s="253"/>
      <c r="L2232" s="7"/>
      <c r="M2232" s="7"/>
      <c r="N2232" s="253"/>
      <c r="O2232" s="255"/>
      <c r="P2232" s="253"/>
      <c r="Q2232" s="7"/>
      <c r="R2232" s="7"/>
      <c r="S2232" s="7"/>
      <c r="T2232" s="7"/>
      <c r="U2232" s="7"/>
      <c r="V2232" s="253"/>
      <c r="W2232" s="7"/>
      <c r="X2232" s="256"/>
      <c r="Y2232" s="256"/>
      <c r="Z2232" s="256"/>
      <c r="AA2232" s="256"/>
      <c r="AB2232" s="257"/>
      <c r="AC2232" s="258"/>
      <c r="AD2232" s="7"/>
      <c r="AE2232" s="253"/>
      <c r="AF2232" s="253"/>
      <c r="AG2232" s="259"/>
      <c r="AH2232" s="253"/>
      <c r="AI2232" s="253"/>
      <c r="AJ2232" s="7"/>
      <c r="AK2232" s="253"/>
      <c r="AL2232" s="253"/>
      <c r="AM2232" s="7"/>
      <c r="AN2232" s="253"/>
      <c r="AO2232" s="253"/>
      <c r="AP2232" s="253"/>
      <c r="AQ2232" s="253"/>
      <c r="AR2232" s="253"/>
      <c r="AS2232" s="253"/>
      <c r="AT2232" s="253"/>
      <c r="AU2232" s="253"/>
      <c r="AV2232" s="253"/>
      <c r="AW2232" s="253"/>
      <c r="AX2232" s="253"/>
      <c r="AY2232" s="253"/>
      <c r="AZ2232" s="253"/>
    </row>
    <row r="2233" spans="1:52" ht="15.5" customHeight="1">
      <c r="A2233" s="363"/>
      <c r="B2233" s="343"/>
      <c r="C2233" s="7"/>
      <c r="D2233" s="254"/>
      <c r="E2233" s="254"/>
      <c r="F2233" s="254"/>
      <c r="G2233" s="253"/>
      <c r="H2233" s="253"/>
      <c r="I2233" s="253"/>
      <c r="J2233" s="253"/>
      <c r="K2233" s="253"/>
      <c r="L2233" s="7"/>
      <c r="M2233" s="7"/>
      <c r="N2233" s="253"/>
      <c r="O2233" s="255"/>
      <c r="P2233" s="253"/>
      <c r="Q2233" s="7"/>
      <c r="R2233" s="7"/>
      <c r="S2233" s="7"/>
      <c r="T2233" s="7"/>
      <c r="U2233" s="7"/>
      <c r="V2233" s="253"/>
      <c r="W2233" s="7"/>
      <c r="X2233" s="256"/>
      <c r="Y2233" s="256"/>
      <c r="Z2233" s="256"/>
      <c r="AA2233" s="256"/>
      <c r="AB2233" s="257"/>
      <c r="AC2233" s="258"/>
      <c r="AD2233" s="7"/>
      <c r="AE2233" s="253"/>
      <c r="AF2233" s="253"/>
      <c r="AG2233" s="259"/>
      <c r="AH2233" s="253"/>
      <c r="AI2233" s="253"/>
      <c r="AJ2233" s="7"/>
      <c r="AK2233" s="253"/>
      <c r="AL2233" s="253"/>
      <c r="AM2233" s="7"/>
      <c r="AN2233" s="253"/>
      <c r="AO2233" s="253"/>
      <c r="AP2233" s="253"/>
      <c r="AQ2233" s="253"/>
      <c r="AR2233" s="253"/>
      <c r="AS2233" s="253"/>
      <c r="AT2233" s="253"/>
      <c r="AU2233" s="253"/>
      <c r="AV2233" s="253"/>
      <c r="AW2233" s="253"/>
      <c r="AX2233" s="253"/>
      <c r="AY2233" s="253"/>
      <c r="AZ2233" s="253"/>
    </row>
    <row r="2234" spans="1:52" ht="15.5" customHeight="1">
      <c r="A2234" s="363"/>
      <c r="B2234" s="343"/>
      <c r="C2234" s="7"/>
      <c r="D2234" s="254"/>
      <c r="E2234" s="254"/>
      <c r="F2234" s="254"/>
      <c r="G2234" s="253"/>
      <c r="H2234" s="253"/>
      <c r="I2234" s="253"/>
      <c r="J2234" s="253"/>
      <c r="K2234" s="253"/>
      <c r="L2234" s="7"/>
      <c r="M2234" s="7"/>
      <c r="N2234" s="253"/>
      <c r="O2234" s="255"/>
      <c r="P2234" s="253"/>
      <c r="Q2234" s="7"/>
      <c r="R2234" s="7"/>
      <c r="S2234" s="7"/>
      <c r="T2234" s="7"/>
      <c r="U2234" s="7"/>
      <c r="V2234" s="253"/>
      <c r="W2234" s="7"/>
      <c r="X2234" s="256"/>
      <c r="Y2234" s="256"/>
      <c r="Z2234" s="256"/>
      <c r="AA2234" s="256"/>
      <c r="AB2234" s="257"/>
      <c r="AC2234" s="258"/>
      <c r="AD2234" s="7"/>
      <c r="AE2234" s="253"/>
      <c r="AF2234" s="253"/>
      <c r="AG2234" s="259"/>
      <c r="AH2234" s="253"/>
      <c r="AI2234" s="253"/>
      <c r="AJ2234" s="7"/>
      <c r="AK2234" s="253"/>
      <c r="AL2234" s="253"/>
      <c r="AM2234" s="7"/>
      <c r="AN2234" s="253"/>
      <c r="AO2234" s="253"/>
      <c r="AP2234" s="253"/>
      <c r="AQ2234" s="253"/>
      <c r="AR2234" s="253"/>
      <c r="AS2234" s="253"/>
      <c r="AT2234" s="253"/>
      <c r="AU2234" s="253"/>
      <c r="AV2234" s="253"/>
      <c r="AW2234" s="253"/>
      <c r="AX2234" s="253"/>
      <c r="AY2234" s="253"/>
      <c r="AZ2234" s="253"/>
    </row>
    <row r="2235" spans="1:52" ht="15.5" customHeight="1">
      <c r="A2235" s="363"/>
      <c r="B2235" s="343"/>
      <c r="C2235" s="7"/>
      <c r="D2235" s="254"/>
      <c r="E2235" s="254"/>
      <c r="F2235" s="254"/>
      <c r="G2235" s="253"/>
      <c r="H2235" s="253"/>
      <c r="I2235" s="253"/>
      <c r="J2235" s="253"/>
      <c r="K2235" s="253"/>
      <c r="L2235" s="7"/>
      <c r="M2235" s="7"/>
      <c r="N2235" s="253"/>
      <c r="O2235" s="255"/>
      <c r="P2235" s="253"/>
      <c r="Q2235" s="7"/>
      <c r="R2235" s="7"/>
      <c r="S2235" s="7"/>
      <c r="T2235" s="7"/>
      <c r="U2235" s="7"/>
      <c r="V2235" s="253"/>
      <c r="W2235" s="7"/>
      <c r="X2235" s="256"/>
      <c r="Y2235" s="256"/>
      <c r="Z2235" s="256"/>
      <c r="AA2235" s="256"/>
      <c r="AB2235" s="257"/>
      <c r="AC2235" s="258"/>
      <c r="AD2235" s="7"/>
      <c r="AE2235" s="253"/>
      <c r="AF2235" s="253"/>
      <c r="AG2235" s="259"/>
      <c r="AH2235" s="253"/>
      <c r="AI2235" s="253"/>
      <c r="AJ2235" s="7"/>
      <c r="AK2235" s="253"/>
      <c r="AL2235" s="253"/>
      <c r="AM2235" s="7"/>
      <c r="AN2235" s="253"/>
      <c r="AO2235" s="253"/>
      <c r="AP2235" s="253"/>
      <c r="AQ2235" s="253"/>
      <c r="AR2235" s="253"/>
      <c r="AS2235" s="253"/>
      <c r="AT2235" s="253"/>
      <c r="AU2235" s="253"/>
      <c r="AV2235" s="253"/>
      <c r="AW2235" s="253"/>
      <c r="AX2235" s="253"/>
      <c r="AY2235" s="253"/>
      <c r="AZ2235" s="253"/>
    </row>
    <row r="2236" spans="1:52" ht="15.5" customHeight="1">
      <c r="A2236" s="363"/>
      <c r="B2236" s="343"/>
      <c r="C2236" s="7"/>
      <c r="D2236" s="254"/>
      <c r="E2236" s="254"/>
      <c r="F2236" s="254"/>
      <c r="G2236" s="253"/>
      <c r="H2236" s="253"/>
      <c r="I2236" s="253"/>
      <c r="J2236" s="253"/>
      <c r="K2236" s="253"/>
      <c r="L2236" s="7"/>
      <c r="M2236" s="7"/>
      <c r="N2236" s="253"/>
      <c r="O2236" s="255"/>
      <c r="P2236" s="253"/>
      <c r="Q2236" s="7"/>
      <c r="R2236" s="7"/>
      <c r="S2236" s="7"/>
      <c r="T2236" s="7"/>
      <c r="U2236" s="7"/>
      <c r="V2236" s="253"/>
      <c r="W2236" s="7"/>
      <c r="X2236" s="256"/>
      <c r="Y2236" s="256"/>
      <c r="Z2236" s="256"/>
      <c r="AA2236" s="256"/>
      <c r="AB2236" s="257"/>
      <c r="AC2236" s="258"/>
      <c r="AD2236" s="7"/>
      <c r="AE2236" s="253"/>
      <c r="AF2236" s="253"/>
      <c r="AG2236" s="259"/>
      <c r="AH2236" s="253"/>
      <c r="AI2236" s="253"/>
      <c r="AJ2236" s="7"/>
      <c r="AK2236" s="253"/>
      <c r="AL2236" s="253"/>
      <c r="AM2236" s="7"/>
      <c r="AN2236" s="253"/>
      <c r="AO2236" s="253"/>
      <c r="AP2236" s="253"/>
      <c r="AQ2236" s="253"/>
      <c r="AR2236" s="253"/>
      <c r="AS2236" s="253"/>
      <c r="AT2236" s="253"/>
      <c r="AU2236" s="253"/>
      <c r="AV2236" s="253"/>
      <c r="AW2236" s="253"/>
      <c r="AX2236" s="253"/>
      <c r="AY2236" s="253"/>
      <c r="AZ2236" s="253"/>
    </row>
    <row r="2237" spans="1:52" ht="15.5" customHeight="1">
      <c r="A2237" s="363"/>
      <c r="B2237" s="343"/>
      <c r="C2237" s="7"/>
      <c r="D2237" s="254"/>
      <c r="E2237" s="254"/>
      <c r="F2237" s="254"/>
      <c r="G2237" s="253"/>
      <c r="H2237" s="253"/>
      <c r="I2237" s="253"/>
      <c r="J2237" s="253"/>
      <c r="K2237" s="253"/>
      <c r="L2237" s="7"/>
      <c r="M2237" s="7"/>
      <c r="N2237" s="253"/>
      <c r="O2237" s="255"/>
      <c r="P2237" s="253"/>
      <c r="Q2237" s="7"/>
      <c r="R2237" s="7"/>
      <c r="S2237" s="7"/>
      <c r="T2237" s="7"/>
      <c r="U2237" s="7"/>
      <c r="V2237" s="253"/>
      <c r="W2237" s="7"/>
      <c r="X2237" s="256"/>
      <c r="Y2237" s="256"/>
      <c r="Z2237" s="256"/>
      <c r="AA2237" s="256"/>
      <c r="AB2237" s="257"/>
      <c r="AC2237" s="258"/>
      <c r="AD2237" s="7"/>
      <c r="AE2237" s="253"/>
      <c r="AF2237" s="253"/>
      <c r="AG2237" s="259"/>
      <c r="AH2237" s="253"/>
      <c r="AI2237" s="253"/>
      <c r="AJ2237" s="7"/>
      <c r="AK2237" s="253"/>
      <c r="AL2237" s="253"/>
      <c r="AM2237" s="7"/>
      <c r="AN2237" s="253"/>
      <c r="AO2237" s="253"/>
      <c r="AP2237" s="253"/>
      <c r="AQ2237" s="253"/>
      <c r="AR2237" s="253"/>
      <c r="AS2237" s="253"/>
      <c r="AT2237" s="253"/>
      <c r="AU2237" s="253"/>
      <c r="AV2237" s="253"/>
      <c r="AW2237" s="253"/>
      <c r="AX2237" s="253"/>
      <c r="AY2237" s="253"/>
      <c r="AZ2237" s="253"/>
    </row>
    <row r="2238" spans="1:52" ht="15.5" customHeight="1">
      <c r="A2238" s="363"/>
      <c r="B2238" s="343"/>
      <c r="C2238" s="7"/>
      <c r="D2238" s="254"/>
      <c r="E2238" s="254"/>
      <c r="F2238" s="254"/>
      <c r="G2238" s="253"/>
      <c r="H2238" s="253"/>
      <c r="I2238" s="253"/>
      <c r="J2238" s="253"/>
      <c r="K2238" s="253"/>
      <c r="L2238" s="7"/>
      <c r="M2238" s="7"/>
      <c r="N2238" s="253"/>
      <c r="O2238" s="255"/>
      <c r="P2238" s="253"/>
      <c r="Q2238" s="7"/>
      <c r="R2238" s="7"/>
      <c r="S2238" s="7"/>
      <c r="T2238" s="7"/>
      <c r="U2238" s="7"/>
      <c r="V2238" s="253"/>
      <c r="W2238" s="7"/>
      <c r="X2238" s="256"/>
      <c r="Y2238" s="256"/>
      <c r="Z2238" s="256"/>
      <c r="AA2238" s="256"/>
      <c r="AB2238" s="257"/>
      <c r="AC2238" s="258"/>
      <c r="AD2238" s="7"/>
      <c r="AE2238" s="253"/>
      <c r="AF2238" s="253"/>
      <c r="AG2238" s="259"/>
      <c r="AH2238" s="253"/>
      <c r="AI2238" s="253"/>
      <c r="AJ2238" s="7"/>
      <c r="AK2238" s="253"/>
      <c r="AL2238" s="253"/>
      <c r="AM2238" s="7"/>
      <c r="AN2238" s="253"/>
      <c r="AO2238" s="253"/>
      <c r="AP2238" s="253"/>
      <c r="AQ2238" s="253"/>
      <c r="AR2238" s="253"/>
      <c r="AS2238" s="253"/>
      <c r="AT2238" s="253"/>
      <c r="AU2238" s="253"/>
      <c r="AV2238" s="253"/>
      <c r="AW2238" s="253"/>
      <c r="AX2238" s="253"/>
      <c r="AY2238" s="253"/>
      <c r="AZ2238" s="253"/>
    </row>
    <row r="2239" spans="1:52" ht="15.5" customHeight="1">
      <c r="A2239" s="363"/>
      <c r="B2239" s="343"/>
      <c r="C2239" s="7"/>
      <c r="D2239" s="254"/>
      <c r="E2239" s="254"/>
      <c r="F2239" s="254"/>
      <c r="G2239" s="253"/>
      <c r="H2239" s="253"/>
      <c r="I2239" s="253"/>
      <c r="J2239" s="253"/>
      <c r="K2239" s="253"/>
      <c r="L2239" s="7"/>
      <c r="M2239" s="7"/>
      <c r="N2239" s="253"/>
      <c r="O2239" s="255"/>
      <c r="P2239" s="253"/>
      <c r="Q2239" s="7"/>
      <c r="R2239" s="7"/>
      <c r="S2239" s="7"/>
      <c r="T2239" s="7"/>
      <c r="U2239" s="7"/>
      <c r="V2239" s="253"/>
      <c r="W2239" s="7"/>
      <c r="X2239" s="256"/>
      <c r="Y2239" s="256"/>
      <c r="Z2239" s="256"/>
      <c r="AA2239" s="256"/>
      <c r="AB2239" s="257"/>
      <c r="AC2239" s="258"/>
      <c r="AD2239" s="7"/>
      <c r="AE2239" s="253"/>
      <c r="AF2239" s="253"/>
      <c r="AG2239" s="259"/>
      <c r="AH2239" s="253"/>
      <c r="AI2239" s="253"/>
      <c r="AJ2239" s="7"/>
      <c r="AK2239" s="253"/>
      <c r="AL2239" s="253"/>
      <c r="AM2239" s="7"/>
      <c r="AN2239" s="253"/>
      <c r="AO2239" s="253"/>
      <c r="AP2239" s="253"/>
      <c r="AQ2239" s="253"/>
      <c r="AR2239" s="253"/>
      <c r="AS2239" s="253"/>
      <c r="AT2239" s="253"/>
      <c r="AU2239" s="253"/>
      <c r="AV2239" s="253"/>
      <c r="AW2239" s="253"/>
      <c r="AX2239" s="253"/>
      <c r="AY2239" s="253"/>
      <c r="AZ2239" s="253"/>
    </row>
    <row r="2240" spans="1:52" ht="15.5" customHeight="1">
      <c r="A2240" s="363"/>
      <c r="B2240" s="343"/>
      <c r="C2240" s="7"/>
      <c r="D2240" s="254"/>
      <c r="E2240" s="254"/>
      <c r="F2240" s="254"/>
      <c r="G2240" s="253"/>
      <c r="H2240" s="253"/>
      <c r="I2240" s="253"/>
      <c r="J2240" s="253"/>
      <c r="K2240" s="253"/>
      <c r="L2240" s="7"/>
      <c r="M2240" s="7"/>
      <c r="N2240" s="253"/>
      <c r="O2240" s="255"/>
      <c r="P2240" s="253"/>
      <c r="Q2240" s="7"/>
      <c r="R2240" s="7"/>
      <c r="S2240" s="7"/>
      <c r="T2240" s="7"/>
      <c r="U2240" s="7"/>
      <c r="V2240" s="253"/>
      <c r="W2240" s="7"/>
      <c r="X2240" s="256"/>
      <c r="Y2240" s="256"/>
      <c r="Z2240" s="256"/>
      <c r="AA2240" s="256"/>
      <c r="AB2240" s="257"/>
      <c r="AC2240" s="258"/>
      <c r="AD2240" s="7"/>
      <c r="AE2240" s="253"/>
      <c r="AF2240" s="253"/>
      <c r="AG2240" s="259"/>
      <c r="AH2240" s="253"/>
      <c r="AI2240" s="253"/>
      <c r="AJ2240" s="7"/>
      <c r="AK2240" s="253"/>
      <c r="AL2240" s="253"/>
      <c r="AM2240" s="7"/>
      <c r="AN2240" s="253"/>
      <c r="AO2240" s="253"/>
      <c r="AP2240" s="253"/>
      <c r="AQ2240" s="253"/>
      <c r="AR2240" s="253"/>
      <c r="AS2240" s="253"/>
      <c r="AT2240" s="253"/>
      <c r="AU2240" s="253"/>
      <c r="AV2240" s="253"/>
      <c r="AW2240" s="253"/>
      <c r="AX2240" s="253"/>
      <c r="AY2240" s="253"/>
      <c r="AZ2240" s="253"/>
    </row>
    <row r="2241" spans="1:52" ht="15.5" customHeight="1">
      <c r="A2241" s="363"/>
      <c r="B2241" s="343"/>
      <c r="C2241" s="7"/>
      <c r="D2241" s="254"/>
      <c r="E2241" s="254"/>
      <c r="F2241" s="254"/>
      <c r="G2241" s="253"/>
      <c r="H2241" s="253"/>
      <c r="I2241" s="253"/>
      <c r="J2241" s="253"/>
      <c r="K2241" s="253"/>
      <c r="L2241" s="7"/>
      <c r="M2241" s="7"/>
      <c r="N2241" s="253"/>
      <c r="O2241" s="255"/>
      <c r="P2241" s="253"/>
      <c r="Q2241" s="7"/>
      <c r="R2241" s="7"/>
      <c r="S2241" s="7"/>
      <c r="T2241" s="7"/>
      <c r="U2241" s="7"/>
      <c r="V2241" s="253"/>
      <c r="W2241" s="7"/>
      <c r="X2241" s="256"/>
      <c r="Y2241" s="256"/>
      <c r="Z2241" s="256"/>
      <c r="AA2241" s="256"/>
      <c r="AB2241" s="257"/>
      <c r="AC2241" s="258"/>
      <c r="AD2241" s="7"/>
      <c r="AE2241" s="253"/>
      <c r="AF2241" s="253"/>
      <c r="AG2241" s="259"/>
      <c r="AH2241" s="253"/>
      <c r="AI2241" s="253"/>
      <c r="AJ2241" s="7"/>
      <c r="AK2241" s="253"/>
      <c r="AL2241" s="253"/>
      <c r="AM2241" s="7"/>
      <c r="AN2241" s="253"/>
      <c r="AO2241" s="253"/>
      <c r="AP2241" s="253"/>
      <c r="AQ2241" s="253"/>
      <c r="AR2241" s="253"/>
      <c r="AS2241" s="253"/>
      <c r="AT2241" s="253"/>
      <c r="AU2241" s="253"/>
      <c r="AV2241" s="253"/>
      <c r="AW2241" s="253"/>
      <c r="AX2241" s="253"/>
      <c r="AY2241" s="253"/>
      <c r="AZ2241" s="253"/>
    </row>
    <row r="2242" spans="1:52" ht="15.5" customHeight="1">
      <c r="A2242" s="363"/>
      <c r="B2242" s="343"/>
      <c r="C2242" s="7"/>
      <c r="D2242" s="254"/>
      <c r="E2242" s="254"/>
      <c r="F2242" s="254"/>
      <c r="G2242" s="253"/>
      <c r="H2242" s="253"/>
      <c r="I2242" s="253"/>
      <c r="J2242" s="253"/>
      <c r="K2242" s="253"/>
      <c r="L2242" s="7"/>
      <c r="M2242" s="7"/>
      <c r="N2242" s="253"/>
      <c r="O2242" s="255"/>
      <c r="P2242" s="253"/>
      <c r="Q2242" s="7"/>
      <c r="R2242" s="7"/>
      <c r="S2242" s="7"/>
      <c r="T2242" s="7"/>
      <c r="U2242" s="7"/>
      <c r="V2242" s="253"/>
      <c r="W2242" s="7"/>
      <c r="X2242" s="256"/>
      <c r="Y2242" s="256"/>
      <c r="Z2242" s="256"/>
      <c r="AA2242" s="256"/>
      <c r="AB2242" s="257"/>
      <c r="AC2242" s="258"/>
      <c r="AD2242" s="7"/>
      <c r="AE2242" s="253"/>
      <c r="AF2242" s="253"/>
      <c r="AG2242" s="259"/>
      <c r="AH2242" s="253"/>
      <c r="AI2242" s="253"/>
      <c r="AJ2242" s="7"/>
      <c r="AK2242" s="253"/>
      <c r="AL2242" s="253"/>
      <c r="AM2242" s="7"/>
      <c r="AN2242" s="253"/>
      <c r="AO2242" s="253"/>
      <c r="AP2242" s="253"/>
      <c r="AQ2242" s="253"/>
      <c r="AR2242" s="253"/>
      <c r="AS2242" s="253"/>
      <c r="AT2242" s="253"/>
      <c r="AU2242" s="253"/>
      <c r="AV2242" s="253"/>
      <c r="AW2242" s="253"/>
      <c r="AX2242" s="253"/>
      <c r="AY2242" s="253"/>
      <c r="AZ2242" s="253"/>
    </row>
    <row r="2243" spans="1:52" ht="15.5" customHeight="1">
      <c r="A2243" s="363"/>
      <c r="B2243" s="343"/>
      <c r="C2243" s="7"/>
      <c r="D2243" s="254"/>
      <c r="E2243" s="254"/>
      <c r="F2243" s="254"/>
      <c r="G2243" s="253"/>
      <c r="H2243" s="253"/>
      <c r="I2243" s="253"/>
      <c r="J2243" s="253"/>
      <c r="K2243" s="253"/>
      <c r="L2243" s="7"/>
      <c r="M2243" s="7"/>
      <c r="N2243" s="253"/>
      <c r="O2243" s="255"/>
      <c r="P2243" s="253"/>
      <c r="Q2243" s="7"/>
      <c r="R2243" s="7"/>
      <c r="S2243" s="7"/>
      <c r="T2243" s="7"/>
      <c r="U2243" s="7"/>
      <c r="V2243" s="253"/>
      <c r="W2243" s="7"/>
      <c r="X2243" s="256"/>
      <c r="Y2243" s="256"/>
      <c r="Z2243" s="256"/>
      <c r="AA2243" s="256"/>
      <c r="AB2243" s="257"/>
      <c r="AC2243" s="258"/>
      <c r="AD2243" s="7"/>
      <c r="AE2243" s="253"/>
      <c r="AF2243" s="253"/>
      <c r="AG2243" s="259"/>
      <c r="AH2243" s="253"/>
      <c r="AI2243" s="253"/>
      <c r="AJ2243" s="7"/>
      <c r="AK2243" s="253"/>
      <c r="AL2243" s="253"/>
      <c r="AM2243" s="7"/>
      <c r="AN2243" s="253"/>
      <c r="AO2243" s="253"/>
      <c r="AP2243" s="253"/>
      <c r="AQ2243" s="253"/>
      <c r="AR2243" s="253"/>
      <c r="AS2243" s="253"/>
      <c r="AT2243" s="253"/>
      <c r="AU2243" s="253"/>
      <c r="AV2243" s="253"/>
      <c r="AW2243" s="253"/>
      <c r="AX2243" s="253"/>
      <c r="AY2243" s="253"/>
      <c r="AZ2243" s="253"/>
    </row>
    <row r="2244" spans="1:52" ht="15.5" customHeight="1">
      <c r="A2244" s="363"/>
      <c r="B2244" s="343"/>
      <c r="C2244" s="7"/>
      <c r="D2244" s="254"/>
      <c r="E2244" s="254"/>
      <c r="F2244" s="254"/>
      <c r="G2244" s="253"/>
      <c r="H2244" s="253"/>
      <c r="I2244" s="253"/>
      <c r="J2244" s="253"/>
      <c r="K2244" s="253"/>
      <c r="L2244" s="7"/>
      <c r="M2244" s="7"/>
      <c r="N2244" s="253"/>
      <c r="O2244" s="255"/>
      <c r="P2244" s="253"/>
      <c r="Q2244" s="7"/>
      <c r="R2244" s="7"/>
      <c r="S2244" s="7"/>
      <c r="T2244" s="7"/>
      <c r="U2244" s="7"/>
      <c r="V2244" s="253"/>
      <c r="W2244" s="7"/>
      <c r="X2244" s="256"/>
      <c r="Y2244" s="256"/>
      <c r="Z2244" s="256"/>
      <c r="AA2244" s="256"/>
      <c r="AB2244" s="257"/>
      <c r="AC2244" s="258"/>
      <c r="AD2244" s="7"/>
      <c r="AE2244" s="253"/>
      <c r="AF2244" s="253"/>
      <c r="AG2244" s="259"/>
      <c r="AH2244" s="253"/>
      <c r="AI2244" s="253"/>
      <c r="AJ2244" s="7"/>
      <c r="AK2244" s="253"/>
      <c r="AL2244" s="253"/>
      <c r="AM2244" s="7"/>
      <c r="AN2244" s="253"/>
      <c r="AO2244" s="253"/>
      <c r="AP2244" s="253"/>
      <c r="AQ2244" s="253"/>
      <c r="AR2244" s="253"/>
      <c r="AS2244" s="253"/>
      <c r="AT2244" s="253"/>
      <c r="AU2244" s="253"/>
      <c r="AV2244" s="253"/>
      <c r="AW2244" s="253"/>
      <c r="AX2244" s="253"/>
      <c r="AY2244" s="253"/>
      <c r="AZ2244" s="253"/>
    </row>
    <row r="2245" spans="1:52" ht="15.5" customHeight="1">
      <c r="A2245" s="363"/>
      <c r="B2245" s="343"/>
      <c r="C2245" s="7"/>
      <c r="D2245" s="254"/>
      <c r="E2245" s="254"/>
      <c r="F2245" s="254"/>
      <c r="G2245" s="253"/>
      <c r="H2245" s="253"/>
      <c r="I2245" s="253"/>
      <c r="J2245" s="253"/>
      <c r="K2245" s="253"/>
      <c r="L2245" s="7"/>
      <c r="M2245" s="7"/>
      <c r="N2245" s="253"/>
      <c r="O2245" s="255"/>
      <c r="P2245" s="253"/>
      <c r="Q2245" s="7"/>
      <c r="R2245" s="7"/>
      <c r="S2245" s="7"/>
      <c r="T2245" s="7"/>
      <c r="U2245" s="7"/>
      <c r="V2245" s="253"/>
      <c r="W2245" s="7"/>
      <c r="X2245" s="256"/>
      <c r="Y2245" s="256"/>
      <c r="Z2245" s="256"/>
      <c r="AA2245" s="256"/>
      <c r="AB2245" s="257"/>
      <c r="AC2245" s="258"/>
      <c r="AD2245" s="7"/>
      <c r="AE2245" s="253"/>
      <c r="AF2245" s="253"/>
      <c r="AG2245" s="259"/>
      <c r="AH2245" s="253"/>
      <c r="AI2245" s="253"/>
      <c r="AJ2245" s="7"/>
      <c r="AK2245" s="253"/>
      <c r="AL2245" s="253"/>
      <c r="AM2245" s="7"/>
      <c r="AN2245" s="253"/>
      <c r="AO2245" s="253"/>
      <c r="AP2245" s="253"/>
      <c r="AQ2245" s="253"/>
      <c r="AR2245" s="253"/>
      <c r="AS2245" s="253"/>
      <c r="AT2245" s="253"/>
      <c r="AU2245" s="253"/>
      <c r="AV2245" s="253"/>
      <c r="AW2245" s="253"/>
      <c r="AX2245" s="253"/>
      <c r="AY2245" s="253"/>
      <c r="AZ2245" s="253"/>
    </row>
    <row r="2246" spans="1:52" ht="15.5" customHeight="1">
      <c r="A2246" s="363"/>
      <c r="B2246" s="343"/>
      <c r="C2246" s="7"/>
      <c r="D2246" s="254"/>
      <c r="E2246" s="254"/>
      <c r="F2246" s="254"/>
      <c r="G2246" s="253"/>
      <c r="H2246" s="253"/>
      <c r="I2246" s="253"/>
      <c r="J2246" s="253"/>
      <c r="K2246" s="253"/>
      <c r="L2246" s="7"/>
      <c r="M2246" s="7"/>
      <c r="N2246" s="253"/>
      <c r="O2246" s="255"/>
      <c r="P2246" s="253"/>
      <c r="Q2246" s="7"/>
      <c r="R2246" s="7"/>
      <c r="S2246" s="7"/>
      <c r="T2246" s="7"/>
      <c r="U2246" s="7"/>
      <c r="V2246" s="253"/>
      <c r="W2246" s="7"/>
      <c r="X2246" s="256"/>
      <c r="Y2246" s="256"/>
      <c r="Z2246" s="256"/>
      <c r="AA2246" s="256"/>
      <c r="AB2246" s="257"/>
      <c r="AC2246" s="258"/>
      <c r="AD2246" s="7"/>
      <c r="AE2246" s="253"/>
      <c r="AF2246" s="253"/>
      <c r="AG2246" s="259"/>
      <c r="AH2246" s="253"/>
      <c r="AI2246" s="253"/>
      <c r="AJ2246" s="7"/>
      <c r="AK2246" s="253"/>
      <c r="AL2246" s="253"/>
      <c r="AM2246" s="7"/>
      <c r="AN2246" s="253"/>
      <c r="AO2246" s="253"/>
      <c r="AP2246" s="253"/>
      <c r="AQ2246" s="253"/>
      <c r="AR2246" s="253"/>
      <c r="AS2246" s="253"/>
      <c r="AT2246" s="253"/>
      <c r="AU2246" s="253"/>
      <c r="AV2246" s="253"/>
      <c r="AW2246" s="253"/>
      <c r="AX2246" s="253"/>
      <c r="AY2246" s="253"/>
      <c r="AZ2246" s="253"/>
    </row>
    <row r="2247" spans="1:52" ht="15.5" customHeight="1">
      <c r="A2247" s="363"/>
      <c r="B2247" s="343"/>
      <c r="C2247" s="7"/>
      <c r="D2247" s="254"/>
      <c r="E2247" s="254"/>
      <c r="F2247" s="254"/>
      <c r="G2247" s="253"/>
      <c r="H2247" s="253"/>
      <c r="I2247" s="253"/>
      <c r="J2247" s="253"/>
      <c r="K2247" s="253"/>
      <c r="L2247" s="7"/>
      <c r="M2247" s="7"/>
      <c r="N2247" s="253"/>
      <c r="O2247" s="255"/>
      <c r="P2247" s="253"/>
      <c r="Q2247" s="7"/>
      <c r="R2247" s="7"/>
      <c r="S2247" s="7"/>
      <c r="T2247" s="7"/>
      <c r="U2247" s="7"/>
      <c r="V2247" s="253"/>
      <c r="W2247" s="7"/>
      <c r="X2247" s="256"/>
      <c r="Y2247" s="256"/>
      <c r="Z2247" s="256"/>
      <c r="AA2247" s="256"/>
      <c r="AB2247" s="257"/>
      <c r="AC2247" s="258"/>
      <c r="AD2247" s="7"/>
      <c r="AE2247" s="253"/>
      <c r="AF2247" s="253"/>
      <c r="AG2247" s="259"/>
      <c r="AH2247" s="253"/>
      <c r="AI2247" s="253"/>
      <c r="AJ2247" s="7"/>
      <c r="AK2247" s="253"/>
      <c r="AL2247" s="253"/>
      <c r="AM2247" s="7"/>
      <c r="AN2247" s="253"/>
      <c r="AO2247" s="253"/>
      <c r="AP2247" s="253"/>
      <c r="AQ2247" s="253"/>
      <c r="AR2247" s="253"/>
      <c r="AS2247" s="253"/>
      <c r="AT2247" s="253"/>
      <c r="AU2247" s="253"/>
      <c r="AV2247" s="253"/>
      <c r="AW2247" s="253"/>
      <c r="AX2247" s="253"/>
      <c r="AY2247" s="253"/>
      <c r="AZ2247" s="253"/>
    </row>
    <row r="2248" spans="1:52" ht="15.5" customHeight="1">
      <c r="A2248" s="363"/>
      <c r="B2248" s="343"/>
      <c r="C2248" s="7"/>
      <c r="D2248" s="254"/>
      <c r="E2248" s="254"/>
      <c r="F2248" s="254"/>
      <c r="G2248" s="253"/>
      <c r="H2248" s="253"/>
      <c r="I2248" s="253"/>
      <c r="J2248" s="253"/>
      <c r="K2248" s="253"/>
      <c r="L2248" s="7"/>
      <c r="M2248" s="7"/>
      <c r="N2248" s="253"/>
      <c r="O2248" s="255"/>
      <c r="P2248" s="253"/>
      <c r="Q2248" s="7"/>
      <c r="R2248" s="7"/>
      <c r="S2248" s="7"/>
      <c r="T2248" s="7"/>
      <c r="U2248" s="7"/>
      <c r="V2248" s="253"/>
      <c r="W2248" s="7"/>
      <c r="X2248" s="256"/>
      <c r="Y2248" s="256"/>
      <c r="Z2248" s="256"/>
      <c r="AA2248" s="256"/>
      <c r="AB2248" s="257"/>
      <c r="AC2248" s="258"/>
      <c r="AD2248" s="7"/>
      <c r="AE2248" s="253"/>
      <c r="AF2248" s="253"/>
      <c r="AG2248" s="259"/>
      <c r="AH2248" s="253"/>
      <c r="AI2248" s="253"/>
      <c r="AJ2248" s="7"/>
      <c r="AK2248" s="253"/>
      <c r="AL2248" s="253"/>
      <c r="AM2248" s="7"/>
      <c r="AN2248" s="253"/>
      <c r="AO2248" s="253"/>
      <c r="AP2248" s="253"/>
      <c r="AQ2248" s="253"/>
      <c r="AR2248" s="253"/>
      <c r="AS2248" s="253"/>
      <c r="AT2248" s="253"/>
      <c r="AU2248" s="253"/>
      <c r="AV2248" s="253"/>
      <c r="AW2248" s="253"/>
      <c r="AX2248" s="253"/>
      <c r="AY2248" s="253"/>
      <c r="AZ2248" s="253"/>
    </row>
    <row r="2249" spans="1:52" ht="15.5" customHeight="1">
      <c r="A2249" s="363"/>
      <c r="B2249" s="343"/>
      <c r="C2249" s="7"/>
      <c r="D2249" s="254"/>
      <c r="E2249" s="254"/>
      <c r="F2249" s="254"/>
      <c r="G2249" s="253"/>
      <c r="H2249" s="253"/>
      <c r="I2249" s="253"/>
      <c r="J2249" s="253"/>
      <c r="K2249" s="253"/>
      <c r="L2249" s="7"/>
      <c r="M2249" s="7"/>
      <c r="N2249" s="253"/>
      <c r="O2249" s="255"/>
      <c r="P2249" s="253"/>
      <c r="Q2249" s="7"/>
      <c r="R2249" s="7"/>
      <c r="S2249" s="7"/>
      <c r="T2249" s="7"/>
      <c r="U2249" s="7"/>
      <c r="V2249" s="253"/>
      <c r="W2249" s="7"/>
      <c r="X2249" s="256"/>
      <c r="Y2249" s="256"/>
      <c r="Z2249" s="256"/>
      <c r="AA2249" s="256"/>
      <c r="AB2249" s="257"/>
      <c r="AC2249" s="258"/>
      <c r="AD2249" s="7"/>
      <c r="AE2249" s="253"/>
      <c r="AF2249" s="253"/>
      <c r="AG2249" s="259"/>
      <c r="AH2249" s="253"/>
      <c r="AI2249" s="253"/>
      <c r="AJ2249" s="7"/>
      <c r="AK2249" s="253"/>
      <c r="AL2249" s="253"/>
      <c r="AM2249" s="7"/>
      <c r="AN2249" s="253"/>
      <c r="AO2249" s="253"/>
      <c r="AP2249" s="253"/>
      <c r="AQ2249" s="253"/>
      <c r="AR2249" s="253"/>
      <c r="AS2249" s="253"/>
      <c r="AT2249" s="253"/>
      <c r="AU2249" s="253"/>
      <c r="AV2249" s="253"/>
      <c r="AW2249" s="253"/>
      <c r="AX2249" s="253"/>
      <c r="AY2249" s="253"/>
      <c r="AZ2249" s="253"/>
    </row>
    <row r="2250" spans="1:52" ht="15.5" customHeight="1">
      <c r="A2250" s="363"/>
      <c r="B2250" s="343"/>
      <c r="C2250" s="7"/>
      <c r="D2250" s="254"/>
      <c r="E2250" s="254"/>
      <c r="F2250" s="254"/>
      <c r="G2250" s="253"/>
      <c r="H2250" s="253"/>
      <c r="I2250" s="253"/>
      <c r="J2250" s="253"/>
      <c r="K2250" s="253"/>
      <c r="L2250" s="7"/>
      <c r="M2250" s="7"/>
      <c r="N2250" s="253"/>
      <c r="O2250" s="255"/>
      <c r="P2250" s="253"/>
      <c r="Q2250" s="7"/>
      <c r="R2250" s="7"/>
      <c r="S2250" s="7"/>
      <c r="T2250" s="7"/>
      <c r="U2250" s="7"/>
      <c r="V2250" s="253"/>
      <c r="W2250" s="7"/>
      <c r="X2250" s="256"/>
      <c r="Y2250" s="256"/>
      <c r="Z2250" s="256"/>
      <c r="AA2250" s="256"/>
      <c r="AB2250" s="257"/>
      <c r="AC2250" s="258"/>
      <c r="AD2250" s="7"/>
      <c r="AE2250" s="253"/>
      <c r="AF2250" s="253"/>
      <c r="AG2250" s="259"/>
      <c r="AH2250" s="253"/>
      <c r="AI2250" s="253"/>
      <c r="AJ2250" s="7"/>
      <c r="AK2250" s="253"/>
      <c r="AL2250" s="253"/>
      <c r="AM2250" s="7"/>
      <c r="AN2250" s="253"/>
      <c r="AO2250" s="253"/>
      <c r="AP2250" s="253"/>
      <c r="AQ2250" s="253"/>
      <c r="AR2250" s="253"/>
      <c r="AS2250" s="253"/>
      <c r="AT2250" s="253"/>
      <c r="AU2250" s="253"/>
      <c r="AV2250" s="253"/>
      <c r="AW2250" s="253"/>
      <c r="AX2250" s="253"/>
      <c r="AY2250" s="253"/>
      <c r="AZ2250" s="253"/>
    </row>
    <row r="2251" spans="1:52" ht="15.5" customHeight="1">
      <c r="A2251" s="363"/>
      <c r="B2251" s="343"/>
      <c r="C2251" s="7"/>
      <c r="D2251" s="254"/>
      <c r="E2251" s="254"/>
      <c r="F2251" s="254"/>
      <c r="G2251" s="253"/>
      <c r="H2251" s="253"/>
      <c r="I2251" s="253"/>
      <c r="J2251" s="253"/>
      <c r="K2251" s="253"/>
      <c r="L2251" s="7"/>
      <c r="M2251" s="7"/>
      <c r="N2251" s="253"/>
      <c r="O2251" s="255"/>
      <c r="P2251" s="253"/>
      <c r="Q2251" s="7"/>
      <c r="R2251" s="7"/>
      <c r="S2251" s="7"/>
      <c r="T2251" s="7"/>
      <c r="U2251" s="7"/>
      <c r="V2251" s="253"/>
      <c r="W2251" s="7"/>
      <c r="X2251" s="256"/>
      <c r="Y2251" s="256"/>
      <c r="Z2251" s="256"/>
      <c r="AA2251" s="256"/>
      <c r="AB2251" s="257"/>
      <c r="AC2251" s="258"/>
      <c r="AD2251" s="7"/>
      <c r="AE2251" s="253"/>
      <c r="AF2251" s="253"/>
      <c r="AG2251" s="259"/>
      <c r="AH2251" s="253"/>
      <c r="AI2251" s="253"/>
      <c r="AJ2251" s="7"/>
      <c r="AK2251" s="253"/>
      <c r="AL2251" s="253"/>
      <c r="AM2251" s="7"/>
      <c r="AN2251" s="253"/>
      <c r="AO2251" s="253"/>
      <c r="AP2251" s="253"/>
      <c r="AQ2251" s="253"/>
      <c r="AR2251" s="253"/>
      <c r="AS2251" s="253"/>
      <c r="AT2251" s="253"/>
      <c r="AU2251" s="253"/>
      <c r="AV2251" s="253"/>
      <c r="AW2251" s="253"/>
      <c r="AX2251" s="253"/>
      <c r="AY2251" s="253"/>
      <c r="AZ2251" s="253"/>
    </row>
    <row r="2252" spans="1:52" ht="15.5" customHeight="1">
      <c r="A2252" s="363"/>
      <c r="B2252" s="343"/>
      <c r="C2252" s="7"/>
      <c r="D2252" s="254"/>
      <c r="E2252" s="254"/>
      <c r="F2252" s="254"/>
      <c r="G2252" s="253"/>
      <c r="H2252" s="253"/>
      <c r="I2252" s="253"/>
      <c r="J2252" s="253"/>
      <c r="K2252" s="253"/>
      <c r="L2252" s="7"/>
      <c r="M2252" s="7"/>
      <c r="N2252" s="253"/>
      <c r="O2252" s="255"/>
      <c r="P2252" s="253"/>
      <c r="Q2252" s="7"/>
      <c r="R2252" s="7"/>
      <c r="S2252" s="7"/>
      <c r="T2252" s="7"/>
      <c r="U2252" s="7"/>
      <c r="V2252" s="253"/>
      <c r="W2252" s="7"/>
      <c r="X2252" s="256"/>
      <c r="Y2252" s="256"/>
      <c r="Z2252" s="256"/>
      <c r="AA2252" s="256"/>
      <c r="AB2252" s="257"/>
      <c r="AC2252" s="258"/>
      <c r="AD2252" s="7"/>
      <c r="AE2252" s="253"/>
      <c r="AF2252" s="253"/>
      <c r="AG2252" s="259"/>
      <c r="AH2252" s="253"/>
      <c r="AI2252" s="253"/>
      <c r="AJ2252" s="7"/>
      <c r="AK2252" s="253"/>
      <c r="AL2252" s="253"/>
      <c r="AM2252" s="7"/>
      <c r="AN2252" s="253"/>
      <c r="AO2252" s="253"/>
      <c r="AP2252" s="253"/>
      <c r="AQ2252" s="253"/>
      <c r="AR2252" s="253"/>
      <c r="AS2252" s="253"/>
      <c r="AT2252" s="253"/>
      <c r="AU2252" s="253"/>
      <c r="AV2252" s="253"/>
      <c r="AW2252" s="253"/>
      <c r="AX2252" s="253"/>
      <c r="AY2252" s="253"/>
      <c r="AZ2252" s="253"/>
    </row>
    <row r="2253" spans="1:52" ht="15.5" customHeight="1">
      <c r="A2253" s="363"/>
      <c r="B2253" s="343"/>
      <c r="C2253" s="7"/>
      <c r="D2253" s="254"/>
      <c r="E2253" s="254"/>
      <c r="F2253" s="254"/>
      <c r="G2253" s="253"/>
      <c r="H2253" s="253"/>
      <c r="I2253" s="253"/>
      <c r="J2253" s="253"/>
      <c r="K2253" s="253"/>
      <c r="L2253" s="7"/>
      <c r="M2253" s="7"/>
      <c r="N2253" s="253"/>
      <c r="O2253" s="255"/>
      <c r="P2253" s="253"/>
      <c r="Q2253" s="7"/>
      <c r="R2253" s="7"/>
      <c r="S2253" s="7"/>
      <c r="T2253" s="7"/>
      <c r="U2253" s="7"/>
      <c r="V2253" s="253"/>
      <c r="W2253" s="7"/>
      <c r="X2253" s="256"/>
      <c r="Y2253" s="256"/>
      <c r="Z2253" s="256"/>
      <c r="AA2253" s="256"/>
      <c r="AB2253" s="257"/>
      <c r="AC2253" s="258"/>
      <c r="AD2253" s="7"/>
      <c r="AE2253" s="253"/>
      <c r="AF2253" s="253"/>
      <c r="AG2253" s="259"/>
      <c r="AH2253" s="253"/>
      <c r="AI2253" s="253"/>
      <c r="AJ2253" s="7"/>
      <c r="AK2253" s="253"/>
      <c r="AL2253" s="253"/>
      <c r="AM2253" s="7"/>
      <c r="AN2253" s="253"/>
      <c r="AO2253" s="253"/>
      <c r="AP2253" s="253"/>
      <c r="AQ2253" s="253"/>
      <c r="AR2253" s="253"/>
      <c r="AS2253" s="253"/>
      <c r="AT2253" s="253"/>
      <c r="AU2253" s="253"/>
      <c r="AV2253" s="253"/>
      <c r="AW2253" s="253"/>
      <c r="AX2253" s="253"/>
      <c r="AY2253" s="253"/>
      <c r="AZ2253" s="253"/>
    </row>
    <row r="2254" spans="1:52" ht="15.5" customHeight="1">
      <c r="A2254" s="363"/>
      <c r="B2254" s="343"/>
      <c r="C2254" s="7"/>
      <c r="D2254" s="254"/>
      <c r="E2254" s="254"/>
      <c r="F2254" s="254"/>
      <c r="G2254" s="253"/>
      <c r="H2254" s="253"/>
      <c r="I2254" s="253"/>
      <c r="J2254" s="253"/>
      <c r="K2254" s="253"/>
      <c r="L2254" s="7"/>
      <c r="M2254" s="7"/>
      <c r="N2254" s="253"/>
      <c r="O2254" s="255"/>
      <c r="P2254" s="253"/>
      <c r="Q2254" s="7"/>
      <c r="R2254" s="7"/>
      <c r="S2254" s="7"/>
      <c r="T2254" s="7"/>
      <c r="U2254" s="7"/>
      <c r="V2254" s="253"/>
      <c r="W2254" s="7"/>
      <c r="X2254" s="256"/>
      <c r="Y2254" s="256"/>
      <c r="Z2254" s="256"/>
      <c r="AA2254" s="256"/>
      <c r="AB2254" s="257"/>
      <c r="AC2254" s="258"/>
      <c r="AD2254" s="7"/>
      <c r="AE2254" s="253"/>
      <c r="AF2254" s="253"/>
      <c r="AG2254" s="259"/>
      <c r="AH2254" s="253"/>
      <c r="AI2254" s="253"/>
      <c r="AJ2254" s="7"/>
      <c r="AK2254" s="253"/>
      <c r="AL2254" s="253"/>
      <c r="AM2254" s="7"/>
      <c r="AN2254" s="253"/>
      <c r="AO2254" s="253"/>
      <c r="AP2254" s="253"/>
      <c r="AQ2254" s="253"/>
      <c r="AR2254" s="253"/>
      <c r="AS2254" s="253"/>
      <c r="AT2254" s="253"/>
      <c r="AU2254" s="253"/>
      <c r="AV2254" s="253"/>
      <c r="AW2254" s="253"/>
      <c r="AX2254" s="253"/>
      <c r="AY2254" s="253"/>
      <c r="AZ2254" s="253"/>
    </row>
    <row r="2255" spans="1:52" ht="15.5" customHeight="1">
      <c r="A2255" s="363"/>
      <c r="B2255" s="343"/>
      <c r="C2255" s="7"/>
      <c r="D2255" s="254"/>
      <c r="E2255" s="254"/>
      <c r="F2255" s="254"/>
      <c r="G2255" s="253"/>
      <c r="H2255" s="253"/>
      <c r="I2255" s="253"/>
      <c r="J2255" s="253"/>
      <c r="K2255" s="253"/>
      <c r="L2255" s="7"/>
      <c r="M2255" s="7"/>
      <c r="N2255" s="253"/>
      <c r="O2255" s="255"/>
      <c r="P2255" s="253"/>
      <c r="Q2255" s="7"/>
      <c r="R2255" s="7"/>
      <c r="S2255" s="7"/>
      <c r="T2255" s="7"/>
      <c r="U2255" s="7"/>
      <c r="V2255" s="253"/>
      <c r="W2255" s="7"/>
      <c r="X2255" s="256"/>
      <c r="Y2255" s="256"/>
      <c r="Z2255" s="256"/>
      <c r="AA2255" s="256"/>
      <c r="AB2255" s="257"/>
      <c r="AC2255" s="258"/>
      <c r="AD2255" s="7"/>
      <c r="AE2255" s="253"/>
      <c r="AF2255" s="253"/>
      <c r="AG2255" s="259"/>
      <c r="AH2255" s="253"/>
      <c r="AI2255" s="253"/>
      <c r="AJ2255" s="7"/>
      <c r="AK2255" s="253"/>
      <c r="AL2255" s="253"/>
      <c r="AM2255" s="7"/>
      <c r="AN2255" s="253"/>
      <c r="AO2255" s="253"/>
      <c r="AP2255" s="253"/>
      <c r="AQ2255" s="253"/>
      <c r="AR2255" s="253"/>
      <c r="AS2255" s="253"/>
      <c r="AT2255" s="253"/>
      <c r="AU2255" s="253"/>
      <c r="AV2255" s="253"/>
      <c r="AW2255" s="253"/>
      <c r="AX2255" s="253"/>
      <c r="AY2255" s="253"/>
      <c r="AZ2255" s="253"/>
    </row>
    <row r="2256" spans="1:52" ht="15.5" customHeight="1">
      <c r="A2256" s="363"/>
      <c r="B2256" s="343"/>
      <c r="C2256" s="7"/>
      <c r="D2256" s="254"/>
      <c r="E2256" s="254"/>
      <c r="F2256" s="254"/>
      <c r="G2256" s="253"/>
      <c r="H2256" s="253"/>
      <c r="I2256" s="253"/>
      <c r="J2256" s="253"/>
      <c r="K2256" s="253"/>
      <c r="L2256" s="7"/>
      <c r="M2256" s="7"/>
      <c r="N2256" s="253"/>
      <c r="O2256" s="255"/>
      <c r="P2256" s="253"/>
      <c r="Q2256" s="7"/>
      <c r="R2256" s="7"/>
      <c r="S2256" s="7"/>
      <c r="T2256" s="7"/>
      <c r="U2256" s="7"/>
      <c r="V2256" s="253"/>
      <c r="W2256" s="7"/>
      <c r="X2256" s="256"/>
      <c r="Y2256" s="256"/>
      <c r="Z2256" s="256"/>
      <c r="AA2256" s="256"/>
      <c r="AB2256" s="257"/>
      <c r="AC2256" s="258"/>
      <c r="AD2256" s="7"/>
      <c r="AE2256" s="253"/>
      <c r="AF2256" s="253"/>
      <c r="AG2256" s="259"/>
      <c r="AH2256" s="253"/>
      <c r="AI2256" s="253"/>
      <c r="AJ2256" s="7"/>
      <c r="AK2256" s="253"/>
      <c r="AL2256" s="253"/>
      <c r="AM2256" s="7"/>
      <c r="AN2256" s="253"/>
      <c r="AO2256" s="253"/>
      <c r="AP2256" s="253"/>
      <c r="AQ2256" s="253"/>
      <c r="AR2256" s="253"/>
      <c r="AS2256" s="253"/>
      <c r="AT2256" s="253"/>
      <c r="AU2256" s="253"/>
      <c r="AV2256" s="253"/>
      <c r="AW2256" s="253"/>
      <c r="AX2256" s="253"/>
      <c r="AY2256" s="253"/>
      <c r="AZ2256" s="253"/>
    </row>
    <row r="2257" spans="1:52" ht="15.5" customHeight="1">
      <c r="A2257" s="363"/>
      <c r="B2257" s="343"/>
      <c r="C2257" s="7"/>
      <c r="D2257" s="254"/>
      <c r="E2257" s="254"/>
      <c r="F2257" s="254"/>
      <c r="G2257" s="253"/>
      <c r="H2257" s="253"/>
      <c r="I2257" s="253"/>
      <c r="J2257" s="253"/>
      <c r="K2257" s="253"/>
      <c r="L2257" s="7"/>
      <c r="M2257" s="7"/>
      <c r="N2257" s="253"/>
      <c r="O2257" s="255"/>
      <c r="P2257" s="253"/>
      <c r="Q2257" s="7"/>
      <c r="R2257" s="7"/>
      <c r="S2257" s="7"/>
      <c r="T2257" s="7"/>
      <c r="U2257" s="7"/>
      <c r="V2257" s="253"/>
      <c r="W2257" s="7"/>
      <c r="X2257" s="256"/>
      <c r="Y2257" s="256"/>
      <c r="Z2257" s="256"/>
      <c r="AA2257" s="256"/>
      <c r="AB2257" s="257"/>
      <c r="AC2257" s="258"/>
      <c r="AD2257" s="7"/>
      <c r="AE2257" s="253"/>
      <c r="AF2257" s="253"/>
      <c r="AG2257" s="259"/>
      <c r="AH2257" s="253"/>
      <c r="AI2257" s="253"/>
      <c r="AJ2257" s="7"/>
      <c r="AK2257" s="253"/>
      <c r="AL2257" s="253"/>
      <c r="AM2257" s="7"/>
      <c r="AN2257" s="253"/>
      <c r="AO2257" s="253"/>
      <c r="AP2257" s="253"/>
      <c r="AQ2257" s="253"/>
      <c r="AR2257" s="253"/>
      <c r="AS2257" s="253"/>
      <c r="AT2257" s="253"/>
      <c r="AU2257" s="253"/>
      <c r="AV2257" s="253"/>
      <c r="AW2257" s="253"/>
      <c r="AX2257" s="253"/>
      <c r="AY2257" s="253"/>
      <c r="AZ2257" s="253"/>
    </row>
    <row r="2258" spans="1:52" ht="15.5" customHeight="1">
      <c r="A2258" s="363"/>
      <c r="B2258" s="343"/>
      <c r="C2258" s="7"/>
      <c r="D2258" s="254"/>
      <c r="E2258" s="254"/>
      <c r="F2258" s="254"/>
      <c r="G2258" s="253"/>
      <c r="H2258" s="253"/>
      <c r="I2258" s="253"/>
      <c r="J2258" s="253"/>
      <c r="K2258" s="253"/>
      <c r="L2258" s="7"/>
      <c r="M2258" s="7"/>
      <c r="N2258" s="253"/>
      <c r="O2258" s="255"/>
      <c r="P2258" s="253"/>
      <c r="Q2258" s="7"/>
      <c r="R2258" s="7"/>
      <c r="S2258" s="7"/>
      <c r="T2258" s="7"/>
      <c r="U2258" s="7"/>
      <c r="V2258" s="253"/>
      <c r="W2258" s="7"/>
      <c r="X2258" s="256"/>
      <c r="Y2258" s="256"/>
      <c r="Z2258" s="256"/>
      <c r="AA2258" s="256"/>
      <c r="AB2258" s="257"/>
      <c r="AC2258" s="258"/>
      <c r="AD2258" s="7"/>
      <c r="AE2258" s="253"/>
      <c r="AF2258" s="253"/>
      <c r="AG2258" s="259"/>
      <c r="AH2258" s="253"/>
      <c r="AI2258" s="253"/>
      <c r="AJ2258" s="7"/>
      <c r="AK2258" s="253"/>
      <c r="AL2258" s="253"/>
      <c r="AM2258" s="7"/>
      <c r="AN2258" s="253"/>
      <c r="AO2258" s="253"/>
      <c r="AP2258" s="253"/>
      <c r="AQ2258" s="253"/>
      <c r="AR2258" s="253"/>
      <c r="AS2258" s="253"/>
      <c r="AT2258" s="253"/>
      <c r="AU2258" s="253"/>
      <c r="AV2258" s="253"/>
      <c r="AW2258" s="253"/>
      <c r="AX2258" s="253"/>
      <c r="AY2258" s="253"/>
      <c r="AZ2258" s="253"/>
    </row>
    <row r="2259" spans="1:52" ht="15.5" customHeight="1">
      <c r="A2259" s="363"/>
      <c r="B2259" s="343"/>
      <c r="C2259" s="7"/>
      <c r="D2259" s="254"/>
      <c r="E2259" s="254"/>
      <c r="F2259" s="254"/>
      <c r="G2259" s="253"/>
      <c r="H2259" s="253"/>
      <c r="I2259" s="253"/>
      <c r="J2259" s="253"/>
      <c r="K2259" s="253"/>
      <c r="L2259" s="7"/>
      <c r="M2259" s="7"/>
      <c r="N2259" s="253"/>
      <c r="O2259" s="255"/>
      <c r="P2259" s="253"/>
      <c r="Q2259" s="7"/>
      <c r="R2259" s="7"/>
      <c r="S2259" s="7"/>
      <c r="T2259" s="7"/>
      <c r="U2259" s="7"/>
      <c r="V2259" s="253"/>
      <c r="W2259" s="7"/>
      <c r="X2259" s="256"/>
      <c r="Y2259" s="256"/>
      <c r="Z2259" s="256"/>
      <c r="AA2259" s="256"/>
      <c r="AB2259" s="257"/>
      <c r="AC2259" s="258"/>
      <c r="AD2259" s="7"/>
      <c r="AE2259" s="253"/>
      <c r="AF2259" s="253"/>
      <c r="AG2259" s="259"/>
      <c r="AH2259" s="253"/>
      <c r="AI2259" s="253"/>
      <c r="AJ2259" s="7"/>
      <c r="AK2259" s="253"/>
      <c r="AL2259" s="253"/>
      <c r="AM2259" s="7"/>
      <c r="AN2259" s="253"/>
      <c r="AO2259" s="253"/>
      <c r="AP2259" s="253"/>
      <c r="AQ2259" s="253"/>
      <c r="AR2259" s="253"/>
      <c r="AS2259" s="253"/>
      <c r="AT2259" s="253"/>
      <c r="AU2259" s="253"/>
      <c r="AV2259" s="253"/>
      <c r="AW2259" s="253"/>
      <c r="AX2259" s="253"/>
      <c r="AY2259" s="253"/>
      <c r="AZ2259" s="253"/>
    </row>
    <row r="2260" spans="1:52" ht="15.5" customHeight="1">
      <c r="A2260" s="363"/>
      <c r="B2260" s="343"/>
      <c r="C2260" s="7"/>
      <c r="D2260" s="254"/>
      <c r="E2260" s="254"/>
      <c r="F2260" s="254"/>
      <c r="G2260" s="253"/>
      <c r="H2260" s="253"/>
      <c r="I2260" s="253"/>
      <c r="J2260" s="253"/>
      <c r="K2260" s="253"/>
      <c r="L2260" s="7"/>
      <c r="M2260" s="7"/>
      <c r="N2260" s="253"/>
      <c r="O2260" s="255"/>
      <c r="P2260" s="253"/>
      <c r="Q2260" s="7"/>
      <c r="R2260" s="7"/>
      <c r="S2260" s="7"/>
      <c r="T2260" s="7"/>
      <c r="U2260" s="7"/>
      <c r="V2260" s="253"/>
      <c r="W2260" s="7"/>
      <c r="X2260" s="256"/>
      <c r="Y2260" s="256"/>
      <c r="Z2260" s="256"/>
      <c r="AA2260" s="256"/>
      <c r="AB2260" s="257"/>
      <c r="AC2260" s="258"/>
      <c r="AD2260" s="7"/>
      <c r="AE2260" s="253"/>
      <c r="AF2260" s="253"/>
      <c r="AG2260" s="259"/>
      <c r="AH2260" s="253"/>
      <c r="AI2260" s="253"/>
      <c r="AJ2260" s="7"/>
      <c r="AK2260" s="253"/>
      <c r="AL2260" s="253"/>
      <c r="AM2260" s="7"/>
      <c r="AN2260" s="253"/>
      <c r="AO2260" s="253"/>
      <c r="AP2260" s="253"/>
      <c r="AQ2260" s="253"/>
      <c r="AR2260" s="253"/>
      <c r="AS2260" s="253"/>
      <c r="AT2260" s="253"/>
      <c r="AU2260" s="253"/>
      <c r="AV2260" s="253"/>
      <c r="AW2260" s="253"/>
      <c r="AX2260" s="253"/>
      <c r="AY2260" s="253"/>
      <c r="AZ2260" s="253"/>
    </row>
    <row r="2261" spans="1:52" ht="15.5" customHeight="1">
      <c r="A2261" s="363"/>
      <c r="B2261" s="343"/>
      <c r="C2261" s="7"/>
      <c r="D2261" s="254"/>
      <c r="E2261" s="254"/>
      <c r="F2261" s="254"/>
      <c r="G2261" s="253"/>
      <c r="H2261" s="253"/>
      <c r="I2261" s="253"/>
      <c r="J2261" s="253"/>
      <c r="K2261" s="253"/>
      <c r="L2261" s="7"/>
      <c r="M2261" s="7"/>
      <c r="N2261" s="253"/>
      <c r="O2261" s="255"/>
      <c r="P2261" s="253"/>
      <c r="Q2261" s="7"/>
      <c r="R2261" s="7"/>
      <c r="S2261" s="7"/>
      <c r="T2261" s="7"/>
      <c r="U2261" s="7"/>
      <c r="V2261" s="253"/>
      <c r="W2261" s="7"/>
      <c r="X2261" s="256"/>
      <c r="Y2261" s="256"/>
      <c r="Z2261" s="256"/>
      <c r="AA2261" s="256"/>
      <c r="AB2261" s="257"/>
      <c r="AC2261" s="258"/>
      <c r="AD2261" s="7"/>
      <c r="AE2261" s="253"/>
      <c r="AF2261" s="253"/>
      <c r="AG2261" s="259"/>
      <c r="AH2261" s="253"/>
      <c r="AI2261" s="253"/>
      <c r="AJ2261" s="7"/>
      <c r="AK2261" s="253"/>
      <c r="AL2261" s="253"/>
      <c r="AM2261" s="7"/>
      <c r="AN2261" s="253"/>
      <c r="AO2261" s="253"/>
      <c r="AP2261" s="253"/>
      <c r="AQ2261" s="253"/>
      <c r="AR2261" s="253"/>
      <c r="AS2261" s="253"/>
      <c r="AT2261" s="253"/>
      <c r="AU2261" s="253"/>
      <c r="AV2261" s="253"/>
      <c r="AW2261" s="253"/>
      <c r="AX2261" s="253"/>
      <c r="AY2261" s="253"/>
      <c r="AZ2261" s="253"/>
    </row>
    <row r="2262" spans="1:52" ht="15.5" customHeight="1">
      <c r="A2262" s="363"/>
      <c r="B2262" s="343"/>
      <c r="C2262" s="7"/>
      <c r="D2262" s="254"/>
      <c r="E2262" s="254"/>
      <c r="F2262" s="254"/>
      <c r="G2262" s="253"/>
      <c r="H2262" s="253"/>
      <c r="I2262" s="253"/>
      <c r="J2262" s="253"/>
      <c r="K2262" s="253"/>
      <c r="L2262" s="7"/>
      <c r="M2262" s="7"/>
      <c r="N2262" s="253"/>
      <c r="O2262" s="255"/>
      <c r="P2262" s="253"/>
      <c r="Q2262" s="7"/>
      <c r="R2262" s="7"/>
      <c r="S2262" s="7"/>
      <c r="T2262" s="7"/>
      <c r="U2262" s="7"/>
      <c r="V2262" s="253"/>
      <c r="W2262" s="7"/>
      <c r="X2262" s="256"/>
      <c r="Y2262" s="256"/>
      <c r="Z2262" s="256"/>
      <c r="AA2262" s="256"/>
      <c r="AB2262" s="257"/>
      <c r="AC2262" s="258"/>
      <c r="AD2262" s="7"/>
      <c r="AE2262" s="253"/>
      <c r="AF2262" s="253"/>
      <c r="AG2262" s="259"/>
      <c r="AH2262" s="253"/>
      <c r="AI2262" s="253"/>
      <c r="AJ2262" s="7"/>
      <c r="AK2262" s="253"/>
      <c r="AL2262" s="253"/>
      <c r="AM2262" s="7"/>
      <c r="AN2262" s="253"/>
      <c r="AO2262" s="253"/>
      <c r="AP2262" s="253"/>
      <c r="AQ2262" s="253"/>
      <c r="AR2262" s="253"/>
      <c r="AS2262" s="253"/>
      <c r="AT2262" s="253"/>
      <c r="AU2262" s="253"/>
      <c r="AV2262" s="253"/>
      <c r="AW2262" s="253"/>
      <c r="AX2262" s="253"/>
      <c r="AY2262" s="253"/>
      <c r="AZ2262" s="253"/>
    </row>
    <row r="2263" spans="1:52" ht="15.5" customHeight="1">
      <c r="A2263" s="363"/>
      <c r="B2263" s="343"/>
      <c r="C2263" s="7"/>
      <c r="D2263" s="254"/>
      <c r="E2263" s="254"/>
      <c r="F2263" s="254"/>
      <c r="G2263" s="253"/>
      <c r="H2263" s="253"/>
      <c r="I2263" s="253"/>
      <c r="J2263" s="253"/>
      <c r="K2263" s="253"/>
      <c r="L2263" s="7"/>
      <c r="M2263" s="7"/>
      <c r="N2263" s="253"/>
      <c r="O2263" s="255"/>
      <c r="P2263" s="253"/>
      <c r="Q2263" s="7"/>
      <c r="R2263" s="7"/>
      <c r="S2263" s="7"/>
      <c r="T2263" s="7"/>
      <c r="U2263" s="7"/>
      <c r="V2263" s="253"/>
      <c r="W2263" s="7"/>
      <c r="X2263" s="256"/>
      <c r="Y2263" s="256"/>
      <c r="Z2263" s="256"/>
      <c r="AA2263" s="256"/>
      <c r="AB2263" s="257"/>
      <c r="AC2263" s="258"/>
      <c r="AD2263" s="7"/>
      <c r="AE2263" s="253"/>
      <c r="AF2263" s="253"/>
      <c r="AG2263" s="259"/>
      <c r="AH2263" s="253"/>
      <c r="AI2263" s="253"/>
      <c r="AJ2263" s="7"/>
      <c r="AK2263" s="253"/>
      <c r="AL2263" s="253"/>
      <c r="AM2263" s="7"/>
      <c r="AN2263" s="253"/>
      <c r="AO2263" s="253"/>
      <c r="AP2263" s="253"/>
      <c r="AQ2263" s="253"/>
      <c r="AR2263" s="253"/>
      <c r="AS2263" s="253"/>
      <c r="AT2263" s="253"/>
      <c r="AU2263" s="253"/>
      <c r="AV2263" s="253"/>
      <c r="AW2263" s="253"/>
      <c r="AX2263" s="253"/>
      <c r="AY2263" s="253"/>
      <c r="AZ2263" s="253"/>
    </row>
    <row r="2264" spans="1:52" ht="15.5" customHeight="1">
      <c r="A2264" s="363"/>
      <c r="B2264" s="343"/>
      <c r="C2264" s="7"/>
      <c r="D2264" s="254"/>
      <c r="E2264" s="254"/>
      <c r="F2264" s="254"/>
      <c r="G2264" s="253"/>
      <c r="H2264" s="253"/>
      <c r="I2264" s="253"/>
      <c r="J2264" s="253"/>
      <c r="K2264" s="253"/>
      <c r="L2264" s="7"/>
      <c r="M2264" s="7"/>
      <c r="N2264" s="253"/>
      <c r="O2264" s="255"/>
      <c r="P2264" s="253"/>
      <c r="Q2264" s="7"/>
      <c r="R2264" s="7"/>
      <c r="S2264" s="7"/>
      <c r="T2264" s="7"/>
      <c r="U2264" s="7"/>
      <c r="V2264" s="253"/>
      <c r="W2264" s="7"/>
      <c r="X2264" s="256"/>
      <c r="Y2264" s="256"/>
      <c r="Z2264" s="256"/>
      <c r="AA2264" s="256"/>
      <c r="AB2264" s="257"/>
      <c r="AC2264" s="258"/>
      <c r="AD2264" s="7"/>
      <c r="AE2264" s="253"/>
      <c r="AF2264" s="253"/>
      <c r="AG2264" s="259"/>
      <c r="AH2264" s="253"/>
      <c r="AI2264" s="253"/>
      <c r="AJ2264" s="7"/>
      <c r="AK2264" s="253"/>
      <c r="AL2264" s="253"/>
      <c r="AM2264" s="7"/>
      <c r="AN2264" s="253"/>
      <c r="AO2264" s="253"/>
      <c r="AP2264" s="253"/>
      <c r="AQ2264" s="253"/>
      <c r="AR2264" s="253"/>
      <c r="AS2264" s="253"/>
      <c r="AT2264" s="253"/>
      <c r="AU2264" s="253"/>
      <c r="AV2264" s="253"/>
      <c r="AW2264" s="253"/>
      <c r="AX2264" s="253"/>
      <c r="AY2264" s="253"/>
      <c r="AZ2264" s="253"/>
    </row>
    <row r="2265" spans="1:52" ht="15.5" customHeight="1">
      <c r="A2265" s="363"/>
      <c r="B2265" s="343"/>
      <c r="C2265" s="7"/>
      <c r="D2265" s="254"/>
      <c r="E2265" s="254"/>
      <c r="F2265" s="254"/>
      <c r="G2265" s="253"/>
      <c r="H2265" s="253"/>
      <c r="I2265" s="253"/>
      <c r="J2265" s="253"/>
      <c r="K2265" s="253"/>
      <c r="L2265" s="7"/>
      <c r="M2265" s="7"/>
      <c r="N2265" s="253"/>
      <c r="O2265" s="255"/>
      <c r="P2265" s="253"/>
      <c r="Q2265" s="7"/>
      <c r="R2265" s="7"/>
      <c r="S2265" s="7"/>
      <c r="T2265" s="7"/>
      <c r="U2265" s="7"/>
      <c r="V2265" s="253"/>
      <c r="W2265" s="7"/>
      <c r="X2265" s="256"/>
      <c r="Y2265" s="256"/>
      <c r="Z2265" s="256"/>
      <c r="AA2265" s="256"/>
      <c r="AB2265" s="257"/>
      <c r="AC2265" s="258"/>
      <c r="AD2265" s="7"/>
      <c r="AE2265" s="253"/>
      <c r="AF2265" s="253"/>
      <c r="AG2265" s="259"/>
      <c r="AH2265" s="253"/>
      <c r="AI2265" s="253"/>
      <c r="AJ2265" s="7"/>
      <c r="AK2265" s="253"/>
      <c r="AL2265" s="253"/>
      <c r="AM2265" s="7"/>
      <c r="AN2265" s="253"/>
      <c r="AO2265" s="253"/>
      <c r="AP2265" s="253"/>
      <c r="AQ2265" s="253"/>
      <c r="AR2265" s="253"/>
      <c r="AS2265" s="253"/>
      <c r="AT2265" s="253"/>
      <c r="AU2265" s="253"/>
      <c r="AV2265" s="253"/>
      <c r="AW2265" s="253"/>
      <c r="AX2265" s="253"/>
      <c r="AY2265" s="253"/>
      <c r="AZ2265" s="253"/>
    </row>
    <row r="2266" spans="1:52" ht="15.5" customHeight="1">
      <c r="A2266" s="363"/>
      <c r="B2266" s="343"/>
      <c r="C2266" s="7"/>
      <c r="D2266" s="254"/>
      <c r="E2266" s="254"/>
      <c r="F2266" s="254"/>
      <c r="G2266" s="253"/>
      <c r="H2266" s="253"/>
      <c r="I2266" s="253"/>
      <c r="J2266" s="253"/>
      <c r="K2266" s="253"/>
      <c r="L2266" s="7"/>
      <c r="M2266" s="7"/>
      <c r="N2266" s="253"/>
      <c r="O2266" s="255"/>
      <c r="P2266" s="253"/>
      <c r="Q2266" s="7"/>
      <c r="R2266" s="7"/>
      <c r="S2266" s="7"/>
      <c r="T2266" s="7"/>
      <c r="U2266" s="7"/>
      <c r="V2266" s="253"/>
      <c r="W2266" s="7"/>
      <c r="X2266" s="256"/>
      <c r="Y2266" s="256"/>
      <c r="Z2266" s="256"/>
      <c r="AA2266" s="256"/>
      <c r="AB2266" s="257"/>
      <c r="AC2266" s="258"/>
      <c r="AD2266" s="7"/>
      <c r="AE2266" s="253"/>
      <c r="AF2266" s="253"/>
      <c r="AG2266" s="259"/>
      <c r="AH2266" s="253"/>
      <c r="AI2266" s="253"/>
      <c r="AJ2266" s="7"/>
      <c r="AK2266" s="253"/>
      <c r="AL2266" s="253"/>
      <c r="AM2266" s="7"/>
      <c r="AN2266" s="253"/>
      <c r="AO2266" s="253"/>
      <c r="AP2266" s="253"/>
      <c r="AQ2266" s="253"/>
      <c r="AR2266" s="253"/>
      <c r="AS2266" s="253"/>
      <c r="AT2266" s="253"/>
      <c r="AU2266" s="253"/>
      <c r="AV2266" s="253"/>
      <c r="AW2266" s="253"/>
      <c r="AX2266" s="253"/>
      <c r="AY2266" s="253"/>
      <c r="AZ2266" s="253"/>
    </row>
    <row r="2267" spans="1:52" ht="15.5" customHeight="1">
      <c r="A2267" s="363"/>
      <c r="B2267" s="343"/>
      <c r="C2267" s="7"/>
      <c r="D2267" s="254"/>
      <c r="E2267" s="254"/>
      <c r="F2267" s="254"/>
      <c r="G2267" s="253"/>
      <c r="H2267" s="253"/>
      <c r="I2267" s="253"/>
      <c r="J2267" s="253"/>
      <c r="K2267" s="253"/>
      <c r="L2267" s="7"/>
      <c r="M2267" s="7"/>
      <c r="N2267" s="253"/>
      <c r="O2267" s="255"/>
      <c r="P2267" s="253"/>
      <c r="Q2267" s="7"/>
      <c r="R2267" s="7"/>
      <c r="S2267" s="7"/>
      <c r="T2267" s="7"/>
      <c r="U2267" s="7"/>
      <c r="V2267" s="253"/>
      <c r="W2267" s="7"/>
      <c r="X2267" s="256"/>
      <c r="Y2267" s="256"/>
      <c r="Z2267" s="256"/>
      <c r="AA2267" s="256"/>
      <c r="AB2267" s="257"/>
      <c r="AC2267" s="258"/>
      <c r="AD2267" s="7"/>
      <c r="AE2267" s="253"/>
      <c r="AF2267" s="253"/>
      <c r="AG2267" s="259"/>
      <c r="AH2267" s="253"/>
      <c r="AI2267" s="253"/>
      <c r="AJ2267" s="7"/>
      <c r="AK2267" s="253"/>
      <c r="AL2267" s="253"/>
      <c r="AM2267" s="7"/>
      <c r="AN2267" s="253"/>
      <c r="AO2267" s="253"/>
      <c r="AP2267" s="253"/>
      <c r="AQ2267" s="253"/>
      <c r="AR2267" s="253"/>
      <c r="AS2267" s="253"/>
      <c r="AT2267" s="253"/>
      <c r="AU2267" s="253"/>
      <c r="AV2267" s="253"/>
      <c r="AW2267" s="253"/>
      <c r="AX2267" s="253"/>
      <c r="AY2267" s="253"/>
      <c r="AZ2267" s="253"/>
    </row>
    <row r="2268" spans="1:52" ht="15.5" customHeight="1">
      <c r="A2268" s="363"/>
      <c r="B2268" s="343"/>
      <c r="C2268" s="7"/>
      <c r="D2268" s="254"/>
      <c r="E2268" s="254"/>
      <c r="F2268" s="254"/>
      <c r="G2268" s="253"/>
      <c r="H2268" s="253"/>
      <c r="I2268" s="253"/>
      <c r="J2268" s="253"/>
      <c r="K2268" s="253"/>
      <c r="L2268" s="7"/>
      <c r="M2268" s="7"/>
      <c r="N2268" s="253"/>
      <c r="O2268" s="255"/>
      <c r="P2268" s="253"/>
      <c r="Q2268" s="7"/>
      <c r="R2268" s="7"/>
      <c r="S2268" s="7"/>
      <c r="T2268" s="7"/>
      <c r="U2268" s="7"/>
      <c r="V2268" s="253"/>
      <c r="W2268" s="7"/>
      <c r="X2268" s="256"/>
      <c r="Y2268" s="256"/>
      <c r="Z2268" s="256"/>
      <c r="AA2268" s="256"/>
      <c r="AB2268" s="257"/>
      <c r="AC2268" s="258"/>
      <c r="AD2268" s="7"/>
      <c r="AE2268" s="253"/>
      <c r="AF2268" s="253"/>
      <c r="AG2268" s="259"/>
      <c r="AH2268" s="253"/>
      <c r="AI2268" s="253"/>
      <c r="AJ2268" s="7"/>
      <c r="AK2268" s="253"/>
      <c r="AL2268" s="253"/>
      <c r="AM2268" s="7"/>
      <c r="AN2268" s="253"/>
      <c r="AO2268" s="253"/>
      <c r="AP2268" s="253"/>
      <c r="AQ2268" s="253"/>
      <c r="AR2268" s="253"/>
      <c r="AS2268" s="253"/>
      <c r="AT2268" s="253"/>
      <c r="AU2268" s="253"/>
      <c r="AV2268" s="253"/>
      <c r="AW2268" s="253"/>
      <c r="AX2268" s="253"/>
      <c r="AY2268" s="253"/>
      <c r="AZ2268" s="253"/>
    </row>
    <row r="2269" spans="1:52" ht="15.5" customHeight="1">
      <c r="A2269" s="363"/>
      <c r="B2269" s="343"/>
      <c r="C2269" s="7"/>
      <c r="D2269" s="254"/>
      <c r="E2269" s="254"/>
      <c r="F2269" s="254"/>
      <c r="G2269" s="253"/>
      <c r="H2269" s="253"/>
      <c r="I2269" s="253"/>
      <c r="J2269" s="253"/>
      <c r="K2269" s="253"/>
      <c r="L2269" s="7"/>
      <c r="M2269" s="7"/>
      <c r="N2269" s="253"/>
      <c r="O2269" s="255"/>
      <c r="P2269" s="253"/>
      <c r="Q2269" s="7"/>
      <c r="R2269" s="7"/>
      <c r="S2269" s="7"/>
      <c r="T2269" s="7"/>
      <c r="U2269" s="7"/>
      <c r="V2269" s="253"/>
      <c r="W2269" s="7"/>
      <c r="X2269" s="256"/>
      <c r="Y2269" s="256"/>
      <c r="Z2269" s="256"/>
      <c r="AA2269" s="256"/>
      <c r="AB2269" s="257"/>
      <c r="AC2269" s="258"/>
      <c r="AD2269" s="7"/>
      <c r="AE2269" s="253"/>
      <c r="AF2269" s="253"/>
      <c r="AG2269" s="259"/>
      <c r="AH2269" s="253"/>
      <c r="AI2269" s="253"/>
      <c r="AJ2269" s="7"/>
      <c r="AK2269" s="253"/>
      <c r="AL2269" s="253"/>
      <c r="AM2269" s="7"/>
      <c r="AN2269" s="253"/>
      <c r="AO2269" s="253"/>
      <c r="AP2269" s="253"/>
      <c r="AQ2269" s="253"/>
      <c r="AR2269" s="253"/>
      <c r="AS2269" s="253"/>
      <c r="AT2269" s="253"/>
      <c r="AU2269" s="253"/>
      <c r="AV2269" s="253"/>
      <c r="AW2269" s="253"/>
      <c r="AX2269" s="253"/>
      <c r="AY2269" s="253"/>
      <c r="AZ2269" s="253"/>
    </row>
    <row r="2270" spans="1:52" ht="15.5" customHeight="1">
      <c r="A2270" s="363"/>
      <c r="B2270" s="343"/>
      <c r="C2270" s="7"/>
      <c r="D2270" s="254"/>
      <c r="E2270" s="254"/>
      <c r="F2270" s="254"/>
      <c r="G2270" s="253"/>
      <c r="H2270" s="253"/>
      <c r="I2270" s="253"/>
      <c r="J2270" s="253"/>
      <c r="K2270" s="253"/>
      <c r="L2270" s="7"/>
      <c r="M2270" s="7"/>
      <c r="N2270" s="253"/>
      <c r="O2270" s="255"/>
      <c r="P2270" s="253"/>
      <c r="Q2270" s="7"/>
      <c r="R2270" s="7"/>
      <c r="S2270" s="7"/>
      <c r="T2270" s="7"/>
      <c r="U2270" s="7"/>
      <c r="V2270" s="253"/>
      <c r="W2270" s="7"/>
      <c r="X2270" s="256"/>
      <c r="Y2270" s="256"/>
      <c r="Z2270" s="256"/>
      <c r="AA2270" s="256"/>
      <c r="AB2270" s="257"/>
      <c r="AC2270" s="258"/>
      <c r="AD2270" s="7"/>
      <c r="AE2270" s="253"/>
      <c r="AF2270" s="253"/>
      <c r="AG2270" s="259"/>
      <c r="AH2270" s="253"/>
      <c r="AI2270" s="253"/>
      <c r="AJ2270" s="7"/>
      <c r="AK2270" s="253"/>
      <c r="AL2270" s="253"/>
      <c r="AM2270" s="7"/>
      <c r="AN2270" s="253"/>
      <c r="AO2270" s="253"/>
      <c r="AP2270" s="253"/>
      <c r="AQ2270" s="253"/>
      <c r="AR2270" s="253"/>
      <c r="AS2270" s="253"/>
      <c r="AT2270" s="253"/>
      <c r="AU2270" s="253"/>
      <c r="AV2270" s="253"/>
      <c r="AW2270" s="253"/>
      <c r="AX2270" s="253"/>
      <c r="AY2270" s="253"/>
      <c r="AZ2270" s="253"/>
    </row>
    <row r="2271" spans="1:52" ht="15.5" customHeight="1">
      <c r="A2271" s="363"/>
      <c r="B2271" s="343"/>
      <c r="C2271" s="7"/>
      <c r="D2271" s="254"/>
      <c r="E2271" s="254"/>
      <c r="F2271" s="254"/>
      <c r="G2271" s="253"/>
      <c r="H2271" s="253"/>
      <c r="I2271" s="253"/>
      <c r="J2271" s="253"/>
      <c r="K2271" s="253"/>
      <c r="L2271" s="7"/>
      <c r="M2271" s="7"/>
      <c r="N2271" s="253"/>
      <c r="O2271" s="255"/>
      <c r="P2271" s="253"/>
      <c r="Q2271" s="7"/>
      <c r="R2271" s="7"/>
      <c r="S2271" s="7"/>
      <c r="T2271" s="7"/>
      <c r="U2271" s="7"/>
      <c r="V2271" s="253"/>
      <c r="W2271" s="7"/>
      <c r="X2271" s="256"/>
      <c r="Y2271" s="256"/>
      <c r="Z2271" s="256"/>
      <c r="AA2271" s="256"/>
      <c r="AB2271" s="257"/>
      <c r="AC2271" s="258"/>
      <c r="AD2271" s="7"/>
      <c r="AE2271" s="253"/>
      <c r="AF2271" s="253"/>
      <c r="AG2271" s="259"/>
      <c r="AH2271" s="253"/>
      <c r="AI2271" s="253"/>
      <c r="AJ2271" s="7"/>
      <c r="AK2271" s="253"/>
      <c r="AL2271" s="253"/>
      <c r="AM2271" s="7"/>
      <c r="AN2271" s="253"/>
      <c r="AO2271" s="253"/>
      <c r="AP2271" s="253"/>
      <c r="AQ2271" s="253"/>
      <c r="AR2271" s="253"/>
      <c r="AS2271" s="253"/>
      <c r="AT2271" s="253"/>
      <c r="AU2271" s="253"/>
      <c r="AV2271" s="253"/>
      <c r="AW2271" s="253"/>
      <c r="AX2271" s="253"/>
      <c r="AY2271" s="253"/>
      <c r="AZ2271" s="253"/>
    </row>
    <row r="2272" spans="1:52" ht="15.5" customHeight="1">
      <c r="A2272" s="363"/>
      <c r="B2272" s="343"/>
      <c r="C2272" s="7"/>
      <c r="D2272" s="254"/>
      <c r="E2272" s="254"/>
      <c r="F2272" s="254"/>
      <c r="G2272" s="253"/>
      <c r="H2272" s="253"/>
      <c r="I2272" s="253"/>
      <c r="J2272" s="253"/>
      <c r="K2272" s="253"/>
      <c r="L2272" s="7"/>
      <c r="M2272" s="7"/>
      <c r="N2272" s="253"/>
      <c r="O2272" s="255"/>
      <c r="P2272" s="253"/>
      <c r="Q2272" s="7"/>
      <c r="R2272" s="7"/>
      <c r="S2272" s="7"/>
      <c r="T2272" s="7"/>
      <c r="U2272" s="7"/>
      <c r="V2272" s="253"/>
      <c r="W2272" s="7"/>
      <c r="X2272" s="256"/>
      <c r="Y2272" s="256"/>
      <c r="Z2272" s="256"/>
      <c r="AA2272" s="256"/>
      <c r="AB2272" s="257"/>
      <c r="AC2272" s="258"/>
      <c r="AD2272" s="7"/>
      <c r="AE2272" s="253"/>
      <c r="AF2272" s="253"/>
      <c r="AG2272" s="259"/>
      <c r="AH2272" s="253"/>
      <c r="AI2272" s="253"/>
      <c r="AJ2272" s="7"/>
      <c r="AK2272" s="253"/>
      <c r="AL2272" s="253"/>
      <c r="AM2272" s="7"/>
      <c r="AN2272" s="253"/>
      <c r="AO2272" s="253"/>
      <c r="AP2272" s="253"/>
      <c r="AQ2272" s="253"/>
      <c r="AR2272" s="253"/>
      <c r="AS2272" s="253"/>
      <c r="AT2272" s="253"/>
      <c r="AU2272" s="253"/>
      <c r="AV2272" s="253"/>
      <c r="AW2272" s="253"/>
      <c r="AX2272" s="253"/>
      <c r="AY2272" s="253"/>
      <c r="AZ2272" s="253"/>
    </row>
    <row r="2273" spans="1:52" ht="15.5" customHeight="1">
      <c r="A2273" s="363"/>
      <c r="B2273" s="343"/>
      <c r="C2273" s="7"/>
      <c r="D2273" s="254"/>
      <c r="E2273" s="254"/>
      <c r="F2273" s="254"/>
      <c r="G2273" s="253"/>
      <c r="H2273" s="253"/>
      <c r="I2273" s="253"/>
      <c r="J2273" s="253"/>
      <c r="K2273" s="253"/>
      <c r="L2273" s="7"/>
      <c r="M2273" s="7"/>
      <c r="N2273" s="253"/>
      <c r="O2273" s="255"/>
      <c r="P2273" s="253"/>
      <c r="Q2273" s="7"/>
      <c r="R2273" s="7"/>
      <c r="S2273" s="7"/>
      <c r="T2273" s="7"/>
      <c r="U2273" s="7"/>
      <c r="V2273" s="253"/>
      <c r="W2273" s="7"/>
      <c r="X2273" s="256"/>
      <c r="Y2273" s="256"/>
      <c r="Z2273" s="256"/>
      <c r="AA2273" s="256"/>
      <c r="AB2273" s="257"/>
      <c r="AC2273" s="258"/>
      <c r="AD2273" s="7"/>
      <c r="AE2273" s="253"/>
      <c r="AF2273" s="253"/>
      <c r="AG2273" s="259"/>
      <c r="AH2273" s="253"/>
      <c r="AI2273" s="253"/>
      <c r="AJ2273" s="7"/>
      <c r="AK2273" s="253"/>
      <c r="AL2273" s="253"/>
      <c r="AM2273" s="7"/>
      <c r="AN2273" s="253"/>
      <c r="AO2273" s="253"/>
      <c r="AP2273" s="253"/>
      <c r="AQ2273" s="253"/>
      <c r="AR2273" s="253"/>
      <c r="AS2273" s="253"/>
      <c r="AT2273" s="253"/>
      <c r="AU2273" s="253"/>
      <c r="AV2273" s="253"/>
      <c r="AW2273" s="253"/>
      <c r="AX2273" s="253"/>
      <c r="AY2273" s="253"/>
      <c r="AZ2273" s="253"/>
    </row>
    <row r="2274" spans="1:52" ht="15.5" customHeight="1">
      <c r="A2274" s="363"/>
      <c r="B2274" s="343"/>
      <c r="C2274" s="7"/>
      <c r="D2274" s="254"/>
      <c r="E2274" s="254"/>
      <c r="F2274" s="254"/>
      <c r="G2274" s="253"/>
      <c r="H2274" s="253"/>
      <c r="I2274" s="253"/>
      <c r="J2274" s="253"/>
      <c r="K2274" s="253"/>
      <c r="L2274" s="7"/>
      <c r="M2274" s="7"/>
      <c r="N2274" s="253"/>
      <c r="O2274" s="255"/>
      <c r="P2274" s="253"/>
      <c r="Q2274" s="7"/>
      <c r="R2274" s="7"/>
      <c r="S2274" s="7"/>
      <c r="T2274" s="7"/>
      <c r="U2274" s="7"/>
      <c r="V2274" s="253"/>
      <c r="W2274" s="7"/>
      <c r="X2274" s="256"/>
      <c r="Y2274" s="256"/>
      <c r="Z2274" s="256"/>
      <c r="AA2274" s="256"/>
      <c r="AB2274" s="257"/>
      <c r="AC2274" s="258"/>
      <c r="AD2274" s="7"/>
      <c r="AE2274" s="253"/>
      <c r="AF2274" s="253"/>
      <c r="AG2274" s="259"/>
      <c r="AH2274" s="253"/>
      <c r="AI2274" s="253"/>
      <c r="AJ2274" s="7"/>
      <c r="AK2274" s="253"/>
      <c r="AL2274" s="253"/>
      <c r="AM2274" s="7"/>
      <c r="AN2274" s="253"/>
      <c r="AO2274" s="253"/>
      <c r="AP2274" s="253"/>
      <c r="AQ2274" s="253"/>
      <c r="AR2274" s="253"/>
      <c r="AS2274" s="253"/>
      <c r="AT2274" s="253"/>
      <c r="AU2274" s="253"/>
      <c r="AV2274" s="253"/>
      <c r="AW2274" s="253"/>
      <c r="AX2274" s="253"/>
      <c r="AY2274" s="253"/>
      <c r="AZ2274" s="253"/>
    </row>
    <row r="2275" spans="1:52" ht="15.5" customHeight="1">
      <c r="A2275" s="363"/>
      <c r="B2275" s="343"/>
      <c r="C2275" s="7"/>
      <c r="D2275" s="254"/>
      <c r="E2275" s="254"/>
      <c r="F2275" s="254"/>
      <c r="G2275" s="253"/>
      <c r="H2275" s="253"/>
      <c r="I2275" s="253"/>
      <c r="J2275" s="253"/>
      <c r="K2275" s="253"/>
      <c r="L2275" s="7"/>
      <c r="M2275" s="7"/>
      <c r="N2275" s="253"/>
      <c r="O2275" s="255"/>
      <c r="P2275" s="253"/>
      <c r="Q2275" s="7"/>
      <c r="R2275" s="7"/>
      <c r="S2275" s="7"/>
      <c r="T2275" s="7"/>
      <c r="U2275" s="7"/>
      <c r="V2275" s="253"/>
      <c r="W2275" s="7"/>
      <c r="X2275" s="256"/>
      <c r="Y2275" s="256"/>
      <c r="Z2275" s="256"/>
      <c r="AA2275" s="256"/>
      <c r="AB2275" s="257"/>
      <c r="AC2275" s="258"/>
      <c r="AD2275" s="7"/>
      <c r="AE2275" s="253"/>
      <c r="AF2275" s="253"/>
      <c r="AG2275" s="259"/>
      <c r="AH2275" s="253"/>
      <c r="AI2275" s="253"/>
      <c r="AJ2275" s="7"/>
      <c r="AK2275" s="253"/>
      <c r="AL2275" s="253"/>
      <c r="AM2275" s="7"/>
      <c r="AN2275" s="253"/>
      <c r="AO2275" s="253"/>
      <c r="AP2275" s="253"/>
      <c r="AQ2275" s="253"/>
      <c r="AR2275" s="253"/>
      <c r="AS2275" s="253"/>
      <c r="AT2275" s="253"/>
      <c r="AU2275" s="253"/>
      <c r="AV2275" s="253"/>
      <c r="AW2275" s="253"/>
      <c r="AX2275" s="253"/>
      <c r="AY2275" s="253"/>
      <c r="AZ2275" s="253"/>
    </row>
    <row r="2276" spans="1:52" ht="15.5" customHeight="1">
      <c r="A2276" s="363"/>
      <c r="B2276" s="343"/>
      <c r="C2276" s="7"/>
      <c r="D2276" s="254"/>
      <c r="E2276" s="254"/>
      <c r="F2276" s="254"/>
      <c r="G2276" s="253"/>
      <c r="H2276" s="253"/>
      <c r="I2276" s="253"/>
      <c r="J2276" s="253"/>
      <c r="K2276" s="253"/>
      <c r="L2276" s="7"/>
      <c r="M2276" s="7"/>
      <c r="N2276" s="253"/>
      <c r="O2276" s="255"/>
      <c r="P2276" s="253"/>
      <c r="Q2276" s="7"/>
      <c r="R2276" s="7"/>
      <c r="S2276" s="7"/>
      <c r="T2276" s="7"/>
      <c r="U2276" s="7"/>
      <c r="V2276" s="253"/>
      <c r="W2276" s="7"/>
      <c r="X2276" s="256"/>
      <c r="Y2276" s="256"/>
      <c r="Z2276" s="256"/>
      <c r="AA2276" s="256"/>
      <c r="AB2276" s="257"/>
      <c r="AC2276" s="258"/>
      <c r="AD2276" s="7"/>
      <c r="AE2276" s="253"/>
      <c r="AF2276" s="253"/>
      <c r="AG2276" s="259"/>
      <c r="AH2276" s="253"/>
      <c r="AI2276" s="253"/>
      <c r="AJ2276" s="7"/>
      <c r="AK2276" s="253"/>
      <c r="AL2276" s="253"/>
      <c r="AM2276" s="7"/>
      <c r="AN2276" s="253"/>
      <c r="AO2276" s="253"/>
      <c r="AP2276" s="253"/>
      <c r="AQ2276" s="253"/>
      <c r="AR2276" s="253"/>
      <c r="AS2276" s="253"/>
      <c r="AT2276" s="253"/>
      <c r="AU2276" s="253"/>
      <c r="AV2276" s="253"/>
      <c r="AW2276" s="253"/>
      <c r="AX2276" s="253"/>
      <c r="AY2276" s="253"/>
      <c r="AZ2276" s="253"/>
    </row>
    <row r="2277" spans="1:52" ht="15.5" customHeight="1">
      <c r="A2277" s="363"/>
      <c r="B2277" s="343"/>
      <c r="C2277" s="7"/>
      <c r="D2277" s="254"/>
      <c r="E2277" s="254"/>
      <c r="F2277" s="254"/>
      <c r="G2277" s="253"/>
      <c r="H2277" s="253"/>
      <c r="I2277" s="253"/>
      <c r="J2277" s="253"/>
      <c r="K2277" s="253"/>
      <c r="L2277" s="7"/>
      <c r="M2277" s="7"/>
      <c r="N2277" s="253"/>
      <c r="O2277" s="255"/>
      <c r="P2277" s="253"/>
      <c r="Q2277" s="7"/>
      <c r="R2277" s="7"/>
      <c r="S2277" s="7"/>
      <c r="T2277" s="7"/>
      <c r="U2277" s="7"/>
      <c r="V2277" s="253"/>
      <c r="W2277" s="7"/>
      <c r="X2277" s="256"/>
      <c r="Y2277" s="256"/>
      <c r="Z2277" s="256"/>
      <c r="AA2277" s="256"/>
      <c r="AB2277" s="257"/>
      <c r="AC2277" s="258"/>
      <c r="AD2277" s="7"/>
      <c r="AE2277" s="253"/>
      <c r="AF2277" s="253"/>
      <c r="AG2277" s="259"/>
      <c r="AH2277" s="253"/>
      <c r="AI2277" s="253"/>
      <c r="AJ2277" s="7"/>
      <c r="AK2277" s="253"/>
      <c r="AL2277" s="253"/>
      <c r="AM2277" s="7"/>
      <c r="AN2277" s="253"/>
      <c r="AO2277" s="253"/>
      <c r="AP2277" s="253"/>
      <c r="AQ2277" s="253"/>
      <c r="AR2277" s="253"/>
      <c r="AS2277" s="253"/>
      <c r="AT2277" s="253"/>
      <c r="AU2277" s="253"/>
      <c r="AV2277" s="253"/>
      <c r="AW2277" s="253"/>
      <c r="AX2277" s="253"/>
      <c r="AY2277" s="253"/>
      <c r="AZ2277" s="253"/>
    </row>
    <row r="2278" spans="1:52" ht="15.5" customHeight="1">
      <c r="A2278" s="363"/>
      <c r="B2278" s="343"/>
      <c r="C2278" s="7"/>
      <c r="D2278" s="254"/>
      <c r="E2278" s="254"/>
      <c r="F2278" s="254"/>
      <c r="G2278" s="253"/>
      <c r="H2278" s="253"/>
      <c r="I2278" s="253"/>
      <c r="J2278" s="253"/>
      <c r="K2278" s="253"/>
      <c r="L2278" s="7"/>
      <c r="M2278" s="7"/>
      <c r="N2278" s="253"/>
      <c r="O2278" s="255"/>
      <c r="P2278" s="253"/>
      <c r="Q2278" s="7"/>
      <c r="R2278" s="7"/>
      <c r="S2278" s="7"/>
      <c r="T2278" s="7"/>
      <c r="U2278" s="7"/>
      <c r="V2278" s="253"/>
      <c r="W2278" s="7"/>
      <c r="X2278" s="256"/>
      <c r="Y2278" s="256"/>
      <c r="Z2278" s="256"/>
      <c r="AA2278" s="256"/>
      <c r="AB2278" s="257"/>
      <c r="AC2278" s="258"/>
      <c r="AD2278" s="7"/>
      <c r="AE2278" s="253"/>
      <c r="AF2278" s="253"/>
      <c r="AG2278" s="259"/>
      <c r="AH2278" s="253"/>
      <c r="AI2278" s="253"/>
      <c r="AJ2278" s="7"/>
      <c r="AK2278" s="253"/>
      <c r="AL2278" s="253"/>
      <c r="AM2278" s="7"/>
      <c r="AN2278" s="253"/>
      <c r="AO2278" s="253"/>
      <c r="AP2278" s="253"/>
      <c r="AQ2278" s="253"/>
      <c r="AR2278" s="253"/>
      <c r="AS2278" s="253"/>
      <c r="AT2278" s="253"/>
      <c r="AU2278" s="253"/>
      <c r="AV2278" s="253"/>
      <c r="AW2278" s="253"/>
      <c r="AX2278" s="253"/>
      <c r="AY2278" s="253"/>
      <c r="AZ2278" s="253"/>
    </row>
    <row r="2279" spans="1:52" ht="15.5" customHeight="1">
      <c r="A2279" s="363"/>
      <c r="B2279" s="343"/>
      <c r="C2279" s="7"/>
      <c r="D2279" s="254"/>
      <c r="E2279" s="254"/>
      <c r="F2279" s="254"/>
      <c r="G2279" s="253"/>
      <c r="H2279" s="253"/>
      <c r="I2279" s="253"/>
      <c r="J2279" s="253"/>
      <c r="K2279" s="253"/>
      <c r="L2279" s="7"/>
      <c r="M2279" s="7"/>
      <c r="N2279" s="253"/>
      <c r="O2279" s="255"/>
      <c r="P2279" s="253"/>
      <c r="Q2279" s="7"/>
      <c r="R2279" s="7"/>
      <c r="S2279" s="7"/>
      <c r="T2279" s="7"/>
      <c r="U2279" s="7"/>
      <c r="V2279" s="253"/>
      <c r="W2279" s="7"/>
      <c r="X2279" s="256"/>
      <c r="Y2279" s="256"/>
      <c r="Z2279" s="256"/>
      <c r="AA2279" s="256"/>
      <c r="AB2279" s="257"/>
      <c r="AC2279" s="258"/>
      <c r="AD2279" s="7"/>
      <c r="AE2279" s="253"/>
      <c r="AF2279" s="253"/>
      <c r="AG2279" s="259"/>
      <c r="AH2279" s="253"/>
      <c r="AI2279" s="253"/>
      <c r="AJ2279" s="7"/>
      <c r="AK2279" s="253"/>
      <c r="AL2279" s="253"/>
      <c r="AM2279" s="7"/>
      <c r="AN2279" s="253"/>
      <c r="AO2279" s="253"/>
      <c r="AP2279" s="253"/>
      <c r="AQ2279" s="253"/>
      <c r="AR2279" s="253"/>
      <c r="AS2279" s="253"/>
      <c r="AT2279" s="253"/>
      <c r="AU2279" s="253"/>
      <c r="AV2279" s="253"/>
      <c r="AW2279" s="253"/>
      <c r="AX2279" s="253"/>
      <c r="AY2279" s="253"/>
      <c r="AZ2279" s="253"/>
    </row>
    <row r="2280" spans="1:52" ht="15.5" customHeight="1">
      <c r="A2280" s="363"/>
      <c r="B2280" s="343"/>
      <c r="C2280" s="7"/>
      <c r="D2280" s="254"/>
      <c r="E2280" s="254"/>
      <c r="F2280" s="254"/>
      <c r="G2280" s="253"/>
      <c r="H2280" s="253"/>
      <c r="I2280" s="253"/>
      <c r="J2280" s="253"/>
      <c r="K2280" s="253"/>
      <c r="L2280" s="7"/>
      <c r="M2280" s="7"/>
      <c r="N2280" s="253"/>
      <c r="O2280" s="255"/>
      <c r="P2280" s="253"/>
      <c r="Q2280" s="7"/>
      <c r="R2280" s="7"/>
      <c r="S2280" s="7"/>
      <c r="T2280" s="7"/>
      <c r="U2280" s="7"/>
      <c r="V2280" s="253"/>
      <c r="W2280" s="7"/>
      <c r="X2280" s="256"/>
      <c r="Y2280" s="256"/>
      <c r="Z2280" s="256"/>
      <c r="AA2280" s="256"/>
      <c r="AB2280" s="257"/>
      <c r="AC2280" s="258"/>
      <c r="AD2280" s="7"/>
      <c r="AE2280" s="253"/>
      <c r="AF2280" s="253"/>
      <c r="AG2280" s="259"/>
      <c r="AH2280" s="253"/>
      <c r="AI2280" s="253"/>
      <c r="AJ2280" s="7"/>
      <c r="AK2280" s="253"/>
      <c r="AL2280" s="253"/>
      <c r="AM2280" s="7"/>
      <c r="AN2280" s="253"/>
      <c r="AO2280" s="253"/>
      <c r="AP2280" s="253"/>
      <c r="AQ2280" s="253"/>
      <c r="AR2280" s="253"/>
      <c r="AS2280" s="253"/>
      <c r="AT2280" s="253"/>
      <c r="AU2280" s="253"/>
      <c r="AV2280" s="253"/>
      <c r="AW2280" s="253"/>
      <c r="AX2280" s="253"/>
      <c r="AY2280" s="253"/>
      <c r="AZ2280" s="253"/>
    </row>
    <row r="2281" spans="1:52" ht="15.5" customHeight="1">
      <c r="A2281" s="363"/>
      <c r="B2281" s="343"/>
      <c r="C2281" s="7"/>
      <c r="D2281" s="254"/>
      <c r="E2281" s="254"/>
      <c r="F2281" s="254"/>
      <c r="G2281" s="253"/>
      <c r="H2281" s="253"/>
      <c r="I2281" s="253"/>
      <c r="J2281" s="253"/>
      <c r="K2281" s="253"/>
      <c r="L2281" s="7"/>
      <c r="M2281" s="7"/>
      <c r="N2281" s="253"/>
      <c r="O2281" s="255"/>
      <c r="P2281" s="253"/>
      <c r="Q2281" s="7"/>
      <c r="R2281" s="7"/>
      <c r="S2281" s="7"/>
      <c r="T2281" s="7"/>
      <c r="U2281" s="7"/>
      <c r="V2281" s="253"/>
      <c r="W2281" s="7"/>
      <c r="X2281" s="256"/>
      <c r="Y2281" s="256"/>
      <c r="Z2281" s="256"/>
      <c r="AA2281" s="256"/>
      <c r="AB2281" s="257"/>
      <c r="AC2281" s="258"/>
      <c r="AD2281" s="7"/>
      <c r="AE2281" s="253"/>
      <c r="AF2281" s="253"/>
      <c r="AG2281" s="259"/>
      <c r="AH2281" s="253"/>
      <c r="AI2281" s="253"/>
      <c r="AJ2281" s="7"/>
      <c r="AK2281" s="253"/>
      <c r="AL2281" s="253"/>
      <c r="AM2281" s="7"/>
      <c r="AN2281" s="253"/>
      <c r="AO2281" s="253"/>
      <c r="AP2281" s="253"/>
      <c r="AQ2281" s="253"/>
      <c r="AR2281" s="253"/>
      <c r="AS2281" s="253"/>
      <c r="AT2281" s="253"/>
      <c r="AU2281" s="253"/>
      <c r="AV2281" s="253"/>
      <c r="AW2281" s="253"/>
      <c r="AX2281" s="253"/>
      <c r="AY2281" s="253"/>
      <c r="AZ2281" s="253"/>
    </row>
    <row r="2282" spans="1:52" ht="15.5" customHeight="1">
      <c r="A2282" s="363"/>
      <c r="B2282" s="343"/>
      <c r="C2282" s="7"/>
      <c r="D2282" s="254"/>
      <c r="E2282" s="254"/>
      <c r="F2282" s="254"/>
      <c r="G2282" s="253"/>
      <c r="H2282" s="253"/>
      <c r="I2282" s="253"/>
      <c r="J2282" s="253"/>
      <c r="K2282" s="253"/>
      <c r="L2282" s="7"/>
      <c r="M2282" s="7"/>
      <c r="N2282" s="253"/>
      <c r="O2282" s="255"/>
      <c r="P2282" s="253"/>
      <c r="Q2282" s="7"/>
      <c r="R2282" s="7"/>
      <c r="S2282" s="7"/>
      <c r="T2282" s="7"/>
      <c r="U2282" s="7"/>
      <c r="V2282" s="253"/>
      <c r="W2282" s="7"/>
      <c r="X2282" s="256"/>
      <c r="Y2282" s="256"/>
      <c r="Z2282" s="256"/>
      <c r="AA2282" s="256"/>
      <c r="AB2282" s="257"/>
      <c r="AC2282" s="258"/>
      <c r="AD2282" s="7"/>
      <c r="AE2282" s="253"/>
      <c r="AF2282" s="253"/>
      <c r="AG2282" s="259"/>
      <c r="AH2282" s="253"/>
      <c r="AI2282" s="253"/>
      <c r="AJ2282" s="7"/>
      <c r="AK2282" s="253"/>
      <c r="AL2282" s="253"/>
      <c r="AM2282" s="7"/>
      <c r="AN2282" s="253"/>
      <c r="AO2282" s="253"/>
      <c r="AP2282" s="253"/>
      <c r="AQ2282" s="253"/>
      <c r="AR2282" s="253"/>
      <c r="AS2282" s="253"/>
      <c r="AT2282" s="253"/>
      <c r="AU2282" s="253"/>
      <c r="AV2282" s="253"/>
      <c r="AW2282" s="253"/>
      <c r="AX2282" s="253"/>
      <c r="AY2282" s="253"/>
      <c r="AZ2282" s="253"/>
    </row>
    <row r="2283" spans="1:52" ht="15.5" customHeight="1">
      <c r="A2283" s="363"/>
      <c r="B2283" s="343"/>
      <c r="C2283" s="7"/>
      <c r="D2283" s="254"/>
      <c r="E2283" s="254"/>
      <c r="F2283" s="254"/>
      <c r="G2283" s="253"/>
      <c r="H2283" s="253"/>
      <c r="I2283" s="253"/>
      <c r="J2283" s="253"/>
      <c r="K2283" s="253"/>
      <c r="L2283" s="7"/>
      <c r="M2283" s="7"/>
      <c r="N2283" s="253"/>
      <c r="O2283" s="255"/>
      <c r="P2283" s="253"/>
      <c r="Q2283" s="7"/>
      <c r="R2283" s="7"/>
      <c r="S2283" s="7"/>
      <c r="T2283" s="7"/>
      <c r="U2283" s="7"/>
      <c r="V2283" s="253"/>
      <c r="W2283" s="7"/>
      <c r="X2283" s="256"/>
      <c r="Y2283" s="256"/>
      <c r="Z2283" s="256"/>
      <c r="AA2283" s="256"/>
      <c r="AB2283" s="257"/>
      <c r="AC2283" s="258"/>
      <c r="AD2283" s="7"/>
      <c r="AE2283" s="253"/>
      <c r="AF2283" s="253"/>
      <c r="AG2283" s="259"/>
      <c r="AH2283" s="253"/>
      <c r="AI2283" s="253"/>
      <c r="AJ2283" s="7"/>
      <c r="AK2283" s="253"/>
      <c r="AL2283" s="253"/>
      <c r="AM2283" s="7"/>
      <c r="AN2283" s="253"/>
      <c r="AO2283" s="253"/>
      <c r="AP2283" s="253"/>
      <c r="AQ2283" s="253"/>
      <c r="AR2283" s="253"/>
      <c r="AS2283" s="253"/>
      <c r="AT2283" s="253"/>
      <c r="AU2283" s="253"/>
      <c r="AV2283" s="253"/>
      <c r="AW2283" s="253"/>
      <c r="AX2283" s="253"/>
      <c r="AY2283" s="253"/>
      <c r="AZ2283" s="253"/>
    </row>
    <row r="2284" spans="1:52" ht="15.5" customHeight="1">
      <c r="A2284" s="363"/>
      <c r="B2284" s="343"/>
      <c r="C2284" s="7"/>
      <c r="D2284" s="254"/>
      <c r="E2284" s="254"/>
      <c r="F2284" s="254"/>
      <c r="G2284" s="253"/>
      <c r="H2284" s="253"/>
      <c r="I2284" s="253"/>
      <c r="J2284" s="253"/>
      <c r="K2284" s="253"/>
      <c r="L2284" s="7"/>
      <c r="M2284" s="7"/>
      <c r="N2284" s="253"/>
      <c r="O2284" s="255"/>
      <c r="P2284" s="253"/>
      <c r="Q2284" s="7"/>
      <c r="R2284" s="7"/>
      <c r="S2284" s="7"/>
      <c r="T2284" s="7"/>
      <c r="U2284" s="7"/>
      <c r="V2284" s="253"/>
      <c r="W2284" s="7"/>
      <c r="X2284" s="256"/>
      <c r="Y2284" s="256"/>
      <c r="Z2284" s="256"/>
      <c r="AA2284" s="256"/>
      <c r="AB2284" s="257"/>
      <c r="AC2284" s="258"/>
      <c r="AD2284" s="7"/>
      <c r="AE2284" s="253"/>
      <c r="AF2284" s="253"/>
      <c r="AG2284" s="259"/>
      <c r="AH2284" s="253"/>
      <c r="AI2284" s="253"/>
      <c r="AJ2284" s="7"/>
      <c r="AK2284" s="253"/>
      <c r="AL2284" s="253"/>
      <c r="AM2284" s="7"/>
      <c r="AN2284" s="253"/>
      <c r="AO2284" s="253"/>
      <c r="AP2284" s="253"/>
      <c r="AQ2284" s="253"/>
      <c r="AR2284" s="253"/>
      <c r="AS2284" s="253"/>
      <c r="AT2284" s="253"/>
      <c r="AU2284" s="253"/>
      <c r="AV2284" s="253"/>
      <c r="AW2284" s="253"/>
      <c r="AX2284" s="253"/>
      <c r="AY2284" s="253"/>
      <c r="AZ2284" s="253"/>
    </row>
    <row r="2285" spans="1:52" ht="15.5" customHeight="1">
      <c r="A2285" s="363"/>
      <c r="B2285" s="343"/>
      <c r="C2285" s="7"/>
      <c r="D2285" s="254"/>
      <c r="E2285" s="254"/>
      <c r="F2285" s="254"/>
      <c r="G2285" s="253"/>
      <c r="H2285" s="253"/>
      <c r="I2285" s="253"/>
      <c r="J2285" s="253"/>
      <c r="K2285" s="253"/>
      <c r="L2285" s="7"/>
      <c r="M2285" s="7"/>
      <c r="N2285" s="253"/>
      <c r="O2285" s="255"/>
      <c r="P2285" s="253"/>
      <c r="Q2285" s="7"/>
      <c r="R2285" s="7"/>
      <c r="S2285" s="7"/>
      <c r="T2285" s="7"/>
      <c r="U2285" s="7"/>
      <c r="V2285" s="253"/>
      <c r="W2285" s="7"/>
      <c r="X2285" s="256"/>
      <c r="Y2285" s="256"/>
      <c r="Z2285" s="256"/>
      <c r="AA2285" s="256"/>
      <c r="AB2285" s="257"/>
      <c r="AC2285" s="258"/>
      <c r="AD2285" s="7"/>
      <c r="AE2285" s="253"/>
      <c r="AF2285" s="253"/>
      <c r="AG2285" s="259"/>
      <c r="AH2285" s="253"/>
      <c r="AI2285" s="253"/>
      <c r="AJ2285" s="7"/>
      <c r="AK2285" s="253"/>
      <c r="AL2285" s="253"/>
      <c r="AM2285" s="7"/>
      <c r="AN2285" s="253"/>
      <c r="AO2285" s="253"/>
      <c r="AP2285" s="253"/>
      <c r="AQ2285" s="253"/>
      <c r="AR2285" s="253"/>
      <c r="AS2285" s="253"/>
      <c r="AT2285" s="253"/>
      <c r="AU2285" s="253"/>
      <c r="AV2285" s="253"/>
      <c r="AW2285" s="253"/>
      <c r="AX2285" s="253"/>
      <c r="AY2285" s="253"/>
      <c r="AZ2285" s="253"/>
    </row>
    <row r="2286" spans="1:52" ht="15.5" customHeight="1">
      <c r="A2286" s="363"/>
      <c r="B2286" s="343"/>
      <c r="C2286" s="7"/>
      <c r="D2286" s="254"/>
      <c r="E2286" s="254"/>
      <c r="F2286" s="254"/>
      <c r="G2286" s="253"/>
      <c r="H2286" s="253"/>
      <c r="I2286" s="253"/>
      <c r="J2286" s="253"/>
      <c r="K2286" s="253"/>
      <c r="L2286" s="7"/>
      <c r="M2286" s="7"/>
      <c r="N2286" s="253"/>
      <c r="O2286" s="255"/>
      <c r="P2286" s="253"/>
      <c r="Q2286" s="7"/>
      <c r="R2286" s="7"/>
      <c r="S2286" s="7"/>
      <c r="T2286" s="7"/>
      <c r="U2286" s="7"/>
      <c r="V2286" s="253"/>
      <c r="W2286" s="7"/>
      <c r="X2286" s="256"/>
      <c r="Y2286" s="256"/>
      <c r="Z2286" s="256"/>
      <c r="AA2286" s="256"/>
      <c r="AB2286" s="257"/>
      <c r="AC2286" s="258"/>
      <c r="AD2286" s="7"/>
      <c r="AE2286" s="253"/>
      <c r="AF2286" s="253"/>
      <c r="AG2286" s="259"/>
      <c r="AH2286" s="253"/>
      <c r="AI2286" s="253"/>
      <c r="AJ2286" s="7"/>
      <c r="AK2286" s="253"/>
      <c r="AL2286" s="253"/>
      <c r="AM2286" s="7"/>
      <c r="AN2286" s="253"/>
      <c r="AO2286" s="253"/>
      <c r="AP2286" s="253"/>
      <c r="AQ2286" s="253"/>
      <c r="AR2286" s="253"/>
      <c r="AS2286" s="253"/>
      <c r="AT2286" s="253"/>
      <c r="AU2286" s="253"/>
      <c r="AV2286" s="253"/>
      <c r="AW2286" s="253"/>
      <c r="AX2286" s="253"/>
      <c r="AY2286" s="253"/>
      <c r="AZ2286" s="253"/>
    </row>
    <row r="2287" spans="1:52" ht="15.5" customHeight="1">
      <c r="A2287" s="363"/>
      <c r="B2287" s="343"/>
      <c r="C2287" s="7"/>
      <c r="D2287" s="254"/>
      <c r="E2287" s="254"/>
      <c r="F2287" s="254"/>
      <c r="G2287" s="253"/>
      <c r="H2287" s="253"/>
      <c r="I2287" s="253"/>
      <c r="J2287" s="253"/>
      <c r="K2287" s="253"/>
      <c r="L2287" s="7"/>
      <c r="M2287" s="7"/>
      <c r="N2287" s="253"/>
      <c r="O2287" s="255"/>
      <c r="P2287" s="253"/>
      <c r="Q2287" s="7"/>
      <c r="R2287" s="7"/>
      <c r="S2287" s="7"/>
      <c r="T2287" s="7"/>
      <c r="U2287" s="7"/>
      <c r="V2287" s="253"/>
      <c r="W2287" s="7"/>
      <c r="X2287" s="256"/>
      <c r="Y2287" s="256"/>
      <c r="Z2287" s="256"/>
      <c r="AA2287" s="256"/>
      <c r="AB2287" s="257"/>
      <c r="AC2287" s="258"/>
      <c r="AD2287" s="7"/>
      <c r="AE2287" s="253"/>
      <c r="AF2287" s="253"/>
      <c r="AG2287" s="259"/>
      <c r="AH2287" s="253"/>
      <c r="AI2287" s="253"/>
      <c r="AJ2287" s="7"/>
      <c r="AK2287" s="253"/>
      <c r="AL2287" s="253"/>
      <c r="AM2287" s="7"/>
      <c r="AN2287" s="253"/>
      <c r="AO2287" s="253"/>
      <c r="AP2287" s="253"/>
      <c r="AQ2287" s="253"/>
      <c r="AR2287" s="253"/>
      <c r="AS2287" s="253"/>
      <c r="AT2287" s="253"/>
      <c r="AU2287" s="253"/>
      <c r="AV2287" s="253"/>
      <c r="AW2287" s="253"/>
      <c r="AX2287" s="253"/>
      <c r="AY2287" s="253"/>
      <c r="AZ2287" s="253"/>
    </row>
    <row r="2288" spans="1:52" ht="15.5" customHeight="1">
      <c r="A2288" s="363"/>
      <c r="B2288" s="343"/>
      <c r="C2288" s="7"/>
      <c r="D2288" s="254"/>
      <c r="E2288" s="254"/>
      <c r="F2288" s="254"/>
      <c r="G2288" s="253"/>
      <c r="H2288" s="253"/>
      <c r="I2288" s="253"/>
      <c r="J2288" s="253"/>
      <c r="K2288" s="253"/>
      <c r="L2288" s="7"/>
      <c r="M2288" s="7"/>
      <c r="N2288" s="253"/>
      <c r="O2288" s="255"/>
      <c r="P2288" s="253"/>
      <c r="Q2288" s="7"/>
      <c r="R2288" s="7"/>
      <c r="S2288" s="7"/>
      <c r="T2288" s="7"/>
      <c r="U2288" s="7"/>
      <c r="V2288" s="253"/>
      <c r="W2288" s="7"/>
      <c r="X2288" s="256"/>
      <c r="Y2288" s="256"/>
      <c r="Z2288" s="256"/>
      <c r="AA2288" s="256"/>
      <c r="AB2288" s="257"/>
      <c r="AC2288" s="258"/>
      <c r="AD2288" s="7"/>
      <c r="AE2288" s="253"/>
      <c r="AF2288" s="253"/>
      <c r="AG2288" s="259"/>
      <c r="AH2288" s="253"/>
      <c r="AI2288" s="253"/>
      <c r="AJ2288" s="7"/>
      <c r="AK2288" s="253"/>
      <c r="AL2288" s="253"/>
      <c r="AM2288" s="7"/>
      <c r="AN2288" s="253"/>
      <c r="AO2288" s="253"/>
      <c r="AP2288" s="253"/>
      <c r="AQ2288" s="253"/>
      <c r="AR2288" s="253"/>
      <c r="AS2288" s="253"/>
      <c r="AT2288" s="253"/>
      <c r="AU2288" s="253"/>
      <c r="AV2288" s="253"/>
      <c r="AW2288" s="253"/>
      <c r="AX2288" s="253"/>
      <c r="AY2288" s="253"/>
      <c r="AZ2288" s="253"/>
    </row>
    <row r="2289" spans="1:52" ht="15.5" customHeight="1">
      <c r="A2289" s="363"/>
      <c r="B2289" s="343"/>
      <c r="C2289" s="7"/>
      <c r="D2289" s="254"/>
      <c r="E2289" s="254"/>
      <c r="F2289" s="254"/>
      <c r="G2289" s="253"/>
      <c r="H2289" s="253"/>
      <c r="I2289" s="253"/>
      <c r="J2289" s="253"/>
      <c r="K2289" s="253"/>
      <c r="L2289" s="7"/>
      <c r="M2289" s="7"/>
      <c r="N2289" s="253"/>
      <c r="O2289" s="255"/>
      <c r="P2289" s="253"/>
      <c r="Q2289" s="7"/>
      <c r="R2289" s="7"/>
      <c r="S2289" s="7"/>
      <c r="T2289" s="7"/>
      <c r="U2289" s="7"/>
      <c r="V2289" s="253"/>
      <c r="W2289" s="7"/>
      <c r="X2289" s="256"/>
      <c r="Y2289" s="256"/>
      <c r="Z2289" s="256"/>
      <c r="AA2289" s="256"/>
      <c r="AB2289" s="257"/>
      <c r="AC2289" s="258"/>
      <c r="AD2289" s="7"/>
      <c r="AE2289" s="253"/>
      <c r="AF2289" s="253"/>
      <c r="AG2289" s="259"/>
      <c r="AH2289" s="253"/>
      <c r="AI2289" s="253"/>
      <c r="AJ2289" s="7"/>
      <c r="AK2289" s="253"/>
      <c r="AL2289" s="253"/>
      <c r="AM2289" s="7"/>
      <c r="AN2289" s="253"/>
      <c r="AO2289" s="253"/>
      <c r="AP2289" s="253"/>
      <c r="AQ2289" s="253"/>
      <c r="AR2289" s="253"/>
      <c r="AS2289" s="253"/>
      <c r="AT2289" s="253"/>
      <c r="AU2289" s="253"/>
      <c r="AV2289" s="253"/>
      <c r="AW2289" s="253"/>
      <c r="AX2289" s="253"/>
      <c r="AY2289" s="253"/>
      <c r="AZ2289" s="253"/>
    </row>
    <row r="2290" spans="1:52" ht="15.5" customHeight="1">
      <c r="A2290" s="363"/>
      <c r="B2290" s="343"/>
      <c r="C2290" s="7"/>
      <c r="D2290" s="254"/>
      <c r="E2290" s="254"/>
      <c r="F2290" s="254"/>
      <c r="G2290" s="253"/>
      <c r="H2290" s="253"/>
      <c r="I2290" s="253"/>
      <c r="J2290" s="253"/>
      <c r="K2290" s="253"/>
      <c r="L2290" s="7"/>
      <c r="M2290" s="7"/>
      <c r="N2290" s="253"/>
      <c r="O2290" s="255"/>
      <c r="P2290" s="253"/>
      <c r="Q2290" s="7"/>
      <c r="R2290" s="7"/>
      <c r="S2290" s="7"/>
      <c r="T2290" s="7"/>
      <c r="U2290" s="7"/>
      <c r="V2290" s="253"/>
      <c r="W2290" s="7"/>
      <c r="X2290" s="256"/>
      <c r="Y2290" s="256"/>
      <c r="Z2290" s="256"/>
      <c r="AA2290" s="256"/>
      <c r="AB2290" s="257"/>
      <c r="AC2290" s="258"/>
      <c r="AD2290" s="7"/>
      <c r="AE2290" s="253"/>
      <c r="AF2290" s="253"/>
      <c r="AG2290" s="259"/>
      <c r="AH2290" s="253"/>
      <c r="AI2290" s="253"/>
      <c r="AJ2290" s="7"/>
      <c r="AK2290" s="253"/>
      <c r="AL2290" s="253"/>
      <c r="AM2290" s="7"/>
      <c r="AN2290" s="253"/>
      <c r="AO2290" s="253"/>
      <c r="AP2290" s="253"/>
      <c r="AQ2290" s="253"/>
      <c r="AR2290" s="253"/>
      <c r="AS2290" s="253"/>
      <c r="AT2290" s="253"/>
      <c r="AU2290" s="253"/>
      <c r="AV2290" s="253"/>
      <c r="AW2290" s="253"/>
      <c r="AX2290" s="253"/>
      <c r="AY2290" s="253"/>
      <c r="AZ2290" s="253"/>
    </row>
    <row r="2291" spans="1:52" ht="15.5" customHeight="1">
      <c r="A2291" s="363"/>
      <c r="B2291" s="343"/>
      <c r="C2291" s="7"/>
      <c r="D2291" s="254"/>
      <c r="E2291" s="254"/>
      <c r="F2291" s="254"/>
      <c r="G2291" s="253"/>
      <c r="H2291" s="253"/>
      <c r="I2291" s="253"/>
      <c r="J2291" s="253"/>
      <c r="K2291" s="253"/>
      <c r="L2291" s="7"/>
      <c r="M2291" s="7"/>
      <c r="N2291" s="253"/>
      <c r="O2291" s="255"/>
      <c r="P2291" s="253"/>
      <c r="Q2291" s="7"/>
      <c r="R2291" s="7"/>
      <c r="S2291" s="7"/>
      <c r="T2291" s="7"/>
      <c r="U2291" s="7"/>
      <c r="V2291" s="253"/>
      <c r="W2291" s="7"/>
      <c r="X2291" s="256"/>
      <c r="Y2291" s="256"/>
      <c r="Z2291" s="256"/>
      <c r="AA2291" s="256"/>
      <c r="AB2291" s="257"/>
      <c r="AC2291" s="258"/>
      <c r="AD2291" s="7"/>
      <c r="AE2291" s="253"/>
      <c r="AF2291" s="253"/>
      <c r="AG2291" s="259"/>
      <c r="AH2291" s="253"/>
      <c r="AI2291" s="253"/>
      <c r="AJ2291" s="7"/>
      <c r="AK2291" s="253"/>
      <c r="AL2291" s="253"/>
      <c r="AM2291" s="7"/>
      <c r="AN2291" s="253"/>
      <c r="AO2291" s="253"/>
      <c r="AP2291" s="253"/>
      <c r="AQ2291" s="253"/>
      <c r="AR2291" s="253"/>
      <c r="AS2291" s="253"/>
      <c r="AT2291" s="253"/>
      <c r="AU2291" s="253"/>
      <c r="AV2291" s="253"/>
      <c r="AW2291" s="253"/>
      <c r="AX2291" s="253"/>
      <c r="AY2291" s="253"/>
      <c r="AZ2291" s="253"/>
    </row>
    <row r="2292" spans="1:52" ht="15.5" customHeight="1">
      <c r="A2292" s="363"/>
      <c r="B2292" s="343"/>
      <c r="C2292" s="7"/>
      <c r="D2292" s="254"/>
      <c r="E2292" s="254"/>
      <c r="F2292" s="254"/>
      <c r="G2292" s="253"/>
      <c r="H2292" s="253"/>
      <c r="I2292" s="253"/>
      <c r="J2292" s="253"/>
      <c r="K2292" s="253"/>
      <c r="L2292" s="7"/>
      <c r="M2292" s="7"/>
      <c r="N2292" s="253"/>
      <c r="O2292" s="255"/>
      <c r="P2292" s="253"/>
      <c r="Q2292" s="7"/>
      <c r="R2292" s="7"/>
      <c r="S2292" s="7"/>
      <c r="T2292" s="7"/>
      <c r="U2292" s="7"/>
      <c r="V2292" s="253"/>
      <c r="W2292" s="7"/>
      <c r="X2292" s="256"/>
      <c r="Y2292" s="256"/>
      <c r="Z2292" s="256"/>
      <c r="AA2292" s="256"/>
      <c r="AB2292" s="257"/>
      <c r="AC2292" s="258"/>
      <c r="AD2292" s="7"/>
      <c r="AE2292" s="253"/>
      <c r="AF2292" s="253"/>
      <c r="AG2292" s="259"/>
      <c r="AH2292" s="253"/>
      <c r="AI2292" s="253"/>
      <c r="AJ2292" s="7"/>
      <c r="AK2292" s="253"/>
      <c r="AL2292" s="253"/>
      <c r="AM2292" s="7"/>
      <c r="AN2292" s="253"/>
      <c r="AO2292" s="253"/>
      <c r="AP2292" s="253"/>
      <c r="AQ2292" s="253"/>
      <c r="AR2292" s="253"/>
      <c r="AS2292" s="253"/>
      <c r="AT2292" s="253"/>
      <c r="AU2292" s="253"/>
      <c r="AV2292" s="253"/>
      <c r="AW2292" s="253"/>
      <c r="AX2292" s="253"/>
      <c r="AY2292" s="253"/>
      <c r="AZ2292" s="253"/>
    </row>
    <row r="2293" spans="1:52" ht="15.5" customHeight="1">
      <c r="A2293" s="363"/>
      <c r="B2293" s="343"/>
      <c r="C2293" s="7"/>
      <c r="D2293" s="254"/>
      <c r="E2293" s="254"/>
      <c r="F2293" s="254"/>
      <c r="G2293" s="253"/>
      <c r="H2293" s="253"/>
      <c r="I2293" s="253"/>
      <c r="J2293" s="253"/>
      <c r="K2293" s="253"/>
      <c r="L2293" s="7"/>
      <c r="M2293" s="7"/>
      <c r="N2293" s="253"/>
      <c r="O2293" s="255"/>
      <c r="P2293" s="253"/>
      <c r="Q2293" s="7"/>
      <c r="R2293" s="7"/>
      <c r="S2293" s="7"/>
      <c r="T2293" s="7"/>
      <c r="U2293" s="7"/>
      <c r="V2293" s="253"/>
      <c r="W2293" s="7"/>
      <c r="X2293" s="256"/>
      <c r="Y2293" s="256"/>
      <c r="Z2293" s="256"/>
      <c r="AA2293" s="256"/>
      <c r="AB2293" s="257"/>
      <c r="AC2293" s="258"/>
      <c r="AD2293" s="7"/>
      <c r="AE2293" s="253"/>
      <c r="AF2293" s="253"/>
      <c r="AG2293" s="259"/>
      <c r="AH2293" s="253"/>
      <c r="AI2293" s="253"/>
      <c r="AJ2293" s="7"/>
      <c r="AK2293" s="253"/>
      <c r="AL2293" s="253"/>
      <c r="AM2293" s="7"/>
      <c r="AN2293" s="253"/>
      <c r="AO2293" s="253"/>
      <c r="AP2293" s="253"/>
      <c r="AQ2293" s="253"/>
      <c r="AR2293" s="253"/>
      <c r="AS2293" s="253"/>
      <c r="AT2293" s="253"/>
      <c r="AU2293" s="253"/>
      <c r="AV2293" s="253"/>
      <c r="AW2293" s="253"/>
      <c r="AX2293" s="253"/>
      <c r="AY2293" s="253"/>
      <c r="AZ2293" s="253"/>
    </row>
    <row r="2294" spans="1:52" ht="15.5" customHeight="1">
      <c r="A2294" s="363"/>
      <c r="B2294" s="343"/>
      <c r="C2294" s="7"/>
      <c r="D2294" s="254"/>
      <c r="E2294" s="254"/>
      <c r="F2294" s="254"/>
      <c r="G2294" s="253"/>
      <c r="H2294" s="253"/>
      <c r="I2294" s="253"/>
      <c r="J2294" s="253"/>
      <c r="K2294" s="253"/>
      <c r="L2294" s="7"/>
      <c r="M2294" s="7"/>
      <c r="N2294" s="253"/>
      <c r="O2294" s="255"/>
      <c r="P2294" s="253"/>
      <c r="Q2294" s="7"/>
      <c r="R2294" s="7"/>
      <c r="S2294" s="7"/>
      <c r="T2294" s="7"/>
      <c r="U2294" s="7"/>
      <c r="V2294" s="253"/>
      <c r="W2294" s="7"/>
      <c r="X2294" s="256"/>
      <c r="Y2294" s="256"/>
      <c r="Z2294" s="256"/>
      <c r="AA2294" s="256"/>
      <c r="AB2294" s="257"/>
      <c r="AC2294" s="258"/>
      <c r="AD2294" s="7"/>
      <c r="AE2294" s="253"/>
      <c r="AF2294" s="253"/>
      <c r="AG2294" s="259"/>
      <c r="AH2294" s="253"/>
      <c r="AI2294" s="253"/>
      <c r="AJ2294" s="7"/>
      <c r="AK2294" s="253"/>
      <c r="AL2294" s="253"/>
      <c r="AM2294" s="7"/>
      <c r="AN2294" s="253"/>
      <c r="AO2294" s="253"/>
      <c r="AP2294" s="253"/>
      <c r="AQ2294" s="253"/>
      <c r="AR2294" s="253"/>
      <c r="AS2294" s="253"/>
      <c r="AT2294" s="253"/>
      <c r="AU2294" s="253"/>
      <c r="AV2294" s="253"/>
      <c r="AW2294" s="253"/>
      <c r="AX2294" s="253"/>
      <c r="AY2294" s="253"/>
      <c r="AZ2294" s="253"/>
    </row>
    <row r="2295" spans="1:52" ht="15.5" customHeight="1">
      <c r="A2295" s="363"/>
      <c r="B2295" s="343"/>
      <c r="C2295" s="7"/>
      <c r="D2295" s="254"/>
      <c r="E2295" s="254"/>
      <c r="F2295" s="254"/>
      <c r="G2295" s="253"/>
      <c r="H2295" s="253"/>
      <c r="I2295" s="253"/>
      <c r="J2295" s="253"/>
      <c r="K2295" s="253"/>
      <c r="L2295" s="7"/>
      <c r="M2295" s="7"/>
      <c r="N2295" s="253"/>
      <c r="O2295" s="255"/>
      <c r="P2295" s="253"/>
      <c r="Q2295" s="7"/>
      <c r="R2295" s="7"/>
      <c r="S2295" s="7"/>
      <c r="T2295" s="7"/>
      <c r="U2295" s="7"/>
      <c r="V2295" s="253"/>
      <c r="W2295" s="7"/>
      <c r="X2295" s="256"/>
      <c r="Y2295" s="256"/>
      <c r="Z2295" s="256"/>
      <c r="AA2295" s="256"/>
      <c r="AB2295" s="257"/>
      <c r="AC2295" s="258"/>
      <c r="AD2295" s="7"/>
      <c r="AE2295" s="253"/>
      <c r="AF2295" s="253"/>
      <c r="AG2295" s="259"/>
      <c r="AH2295" s="253"/>
      <c r="AI2295" s="253"/>
      <c r="AJ2295" s="7"/>
      <c r="AK2295" s="253"/>
      <c r="AL2295" s="253"/>
      <c r="AM2295" s="7"/>
      <c r="AN2295" s="253"/>
      <c r="AO2295" s="253"/>
      <c r="AP2295" s="253"/>
      <c r="AQ2295" s="253"/>
      <c r="AR2295" s="253"/>
      <c r="AS2295" s="253"/>
      <c r="AT2295" s="253"/>
      <c r="AU2295" s="253"/>
      <c r="AV2295" s="253"/>
      <c r="AW2295" s="253"/>
      <c r="AX2295" s="253"/>
      <c r="AY2295" s="253"/>
      <c r="AZ2295" s="253"/>
    </row>
    <row r="2296" spans="1:52" ht="15.5" customHeight="1">
      <c r="A2296" s="363"/>
      <c r="B2296" s="343"/>
      <c r="C2296" s="7"/>
      <c r="D2296" s="254"/>
      <c r="E2296" s="254"/>
      <c r="F2296" s="254"/>
      <c r="G2296" s="253"/>
      <c r="H2296" s="253"/>
      <c r="I2296" s="253"/>
      <c r="J2296" s="253"/>
      <c r="K2296" s="253"/>
      <c r="L2296" s="7"/>
      <c r="M2296" s="7"/>
      <c r="N2296" s="253"/>
      <c r="O2296" s="255"/>
      <c r="P2296" s="253"/>
      <c r="Q2296" s="7"/>
      <c r="R2296" s="7"/>
      <c r="S2296" s="7"/>
      <c r="T2296" s="7"/>
      <c r="U2296" s="7"/>
      <c r="V2296" s="253"/>
      <c r="W2296" s="7"/>
      <c r="X2296" s="256"/>
      <c r="Y2296" s="256"/>
      <c r="Z2296" s="256"/>
      <c r="AA2296" s="256"/>
      <c r="AB2296" s="257"/>
      <c r="AC2296" s="258"/>
      <c r="AD2296" s="7"/>
      <c r="AE2296" s="253"/>
      <c r="AF2296" s="253"/>
      <c r="AG2296" s="259"/>
      <c r="AH2296" s="253"/>
      <c r="AI2296" s="253"/>
      <c r="AJ2296" s="7"/>
      <c r="AK2296" s="253"/>
      <c r="AL2296" s="253"/>
      <c r="AM2296" s="7"/>
      <c r="AN2296" s="253"/>
      <c r="AO2296" s="253"/>
      <c r="AP2296" s="253"/>
      <c r="AQ2296" s="253"/>
      <c r="AR2296" s="253"/>
      <c r="AS2296" s="253"/>
      <c r="AT2296" s="253"/>
      <c r="AU2296" s="253"/>
      <c r="AV2296" s="253"/>
      <c r="AW2296" s="253"/>
      <c r="AX2296" s="253"/>
      <c r="AY2296" s="253"/>
      <c r="AZ2296" s="253"/>
    </row>
    <row r="2297" spans="1:52" ht="15.5" customHeight="1">
      <c r="A2297" s="363"/>
      <c r="B2297" s="343"/>
      <c r="C2297" s="7"/>
      <c r="D2297" s="254"/>
      <c r="E2297" s="254"/>
      <c r="F2297" s="254"/>
      <c r="G2297" s="253"/>
      <c r="H2297" s="253"/>
      <c r="I2297" s="253"/>
      <c r="J2297" s="253"/>
      <c r="K2297" s="253"/>
      <c r="L2297" s="7"/>
      <c r="M2297" s="7"/>
      <c r="N2297" s="253"/>
      <c r="O2297" s="255"/>
      <c r="P2297" s="253"/>
      <c r="Q2297" s="7"/>
      <c r="R2297" s="7"/>
      <c r="S2297" s="7"/>
      <c r="T2297" s="7"/>
      <c r="U2297" s="7"/>
      <c r="V2297" s="253"/>
      <c r="W2297" s="7"/>
      <c r="X2297" s="256"/>
      <c r="Y2297" s="256"/>
      <c r="Z2297" s="256"/>
      <c r="AA2297" s="256"/>
      <c r="AB2297" s="257"/>
      <c r="AC2297" s="258"/>
      <c r="AD2297" s="7"/>
      <c r="AE2297" s="253"/>
      <c r="AF2297" s="253"/>
      <c r="AG2297" s="259"/>
      <c r="AH2297" s="253"/>
      <c r="AI2297" s="253"/>
      <c r="AJ2297" s="7"/>
      <c r="AK2297" s="253"/>
      <c r="AL2297" s="253"/>
      <c r="AM2297" s="7"/>
      <c r="AN2297" s="253"/>
      <c r="AO2297" s="253"/>
      <c r="AP2297" s="253"/>
      <c r="AQ2297" s="253"/>
      <c r="AR2297" s="253"/>
      <c r="AS2297" s="253"/>
      <c r="AT2297" s="253"/>
      <c r="AU2297" s="253"/>
      <c r="AV2297" s="253"/>
      <c r="AW2297" s="253"/>
      <c r="AX2297" s="253"/>
      <c r="AY2297" s="253"/>
      <c r="AZ2297" s="253"/>
    </row>
    <row r="2298" spans="1:52" ht="15.5" customHeight="1">
      <c r="A2298" s="363"/>
      <c r="B2298" s="343"/>
      <c r="C2298" s="7"/>
      <c r="D2298" s="254"/>
      <c r="E2298" s="254"/>
      <c r="F2298" s="254"/>
      <c r="G2298" s="253"/>
      <c r="H2298" s="253"/>
      <c r="I2298" s="253"/>
      <c r="J2298" s="253"/>
      <c r="K2298" s="253"/>
      <c r="L2298" s="7"/>
      <c r="M2298" s="7"/>
      <c r="N2298" s="253"/>
      <c r="O2298" s="255"/>
      <c r="P2298" s="253"/>
      <c r="Q2298" s="7"/>
      <c r="R2298" s="7"/>
      <c r="S2298" s="7"/>
      <c r="T2298" s="7"/>
      <c r="U2298" s="7"/>
      <c r="V2298" s="253"/>
      <c r="W2298" s="7"/>
      <c r="X2298" s="256"/>
      <c r="Y2298" s="256"/>
      <c r="Z2298" s="256"/>
      <c r="AA2298" s="256"/>
      <c r="AB2298" s="257"/>
      <c r="AC2298" s="258"/>
      <c r="AD2298" s="7"/>
      <c r="AE2298" s="253"/>
      <c r="AF2298" s="253"/>
      <c r="AG2298" s="259"/>
      <c r="AH2298" s="253"/>
      <c r="AI2298" s="253"/>
      <c r="AJ2298" s="7"/>
      <c r="AK2298" s="253"/>
      <c r="AL2298" s="253"/>
      <c r="AM2298" s="7"/>
      <c r="AN2298" s="253"/>
      <c r="AO2298" s="253"/>
      <c r="AP2298" s="253"/>
      <c r="AQ2298" s="253"/>
      <c r="AR2298" s="253"/>
      <c r="AS2298" s="253"/>
      <c r="AT2298" s="253"/>
      <c r="AU2298" s="253"/>
      <c r="AV2298" s="253"/>
      <c r="AW2298" s="253"/>
      <c r="AX2298" s="253"/>
      <c r="AY2298" s="253"/>
      <c r="AZ2298" s="253"/>
    </row>
    <row r="2299" spans="1:52" ht="15.5" customHeight="1">
      <c r="A2299" s="363"/>
      <c r="B2299" s="343"/>
      <c r="C2299" s="7"/>
      <c r="D2299" s="254"/>
      <c r="E2299" s="254"/>
      <c r="F2299" s="254"/>
      <c r="G2299" s="253"/>
      <c r="H2299" s="253"/>
      <c r="I2299" s="253"/>
      <c r="J2299" s="253"/>
      <c r="K2299" s="253"/>
      <c r="L2299" s="7"/>
      <c r="M2299" s="7"/>
      <c r="N2299" s="253"/>
      <c r="O2299" s="255"/>
      <c r="P2299" s="253"/>
      <c r="Q2299" s="7"/>
      <c r="R2299" s="7"/>
      <c r="S2299" s="7"/>
      <c r="T2299" s="7"/>
      <c r="U2299" s="7"/>
      <c r="V2299" s="253"/>
      <c r="W2299" s="7"/>
      <c r="X2299" s="256"/>
      <c r="Y2299" s="256"/>
      <c r="Z2299" s="256"/>
      <c r="AA2299" s="256"/>
      <c r="AB2299" s="257"/>
      <c r="AC2299" s="258"/>
      <c r="AD2299" s="7"/>
      <c r="AE2299" s="253"/>
      <c r="AF2299" s="253"/>
      <c r="AG2299" s="259"/>
      <c r="AH2299" s="253"/>
      <c r="AI2299" s="253"/>
      <c r="AJ2299" s="7"/>
      <c r="AK2299" s="253"/>
      <c r="AL2299" s="253"/>
      <c r="AM2299" s="7"/>
      <c r="AN2299" s="253"/>
      <c r="AO2299" s="253"/>
      <c r="AP2299" s="253"/>
      <c r="AQ2299" s="253"/>
      <c r="AR2299" s="253"/>
      <c r="AS2299" s="253"/>
      <c r="AT2299" s="253"/>
      <c r="AU2299" s="253"/>
      <c r="AV2299" s="253"/>
      <c r="AW2299" s="253"/>
      <c r="AX2299" s="253"/>
      <c r="AY2299" s="253"/>
      <c r="AZ2299" s="253"/>
    </row>
    <row r="2300" spans="1:52" ht="15.5" customHeight="1">
      <c r="A2300" s="363"/>
      <c r="B2300" s="343"/>
      <c r="C2300" s="7"/>
      <c r="D2300" s="254"/>
      <c r="E2300" s="254"/>
      <c r="F2300" s="254"/>
      <c r="G2300" s="253"/>
      <c r="H2300" s="253"/>
      <c r="I2300" s="253"/>
      <c r="J2300" s="253"/>
      <c r="K2300" s="253"/>
      <c r="L2300" s="7"/>
      <c r="M2300" s="7"/>
      <c r="N2300" s="253"/>
      <c r="O2300" s="255"/>
      <c r="P2300" s="253"/>
      <c r="Q2300" s="7"/>
      <c r="R2300" s="7"/>
      <c r="S2300" s="7"/>
      <c r="T2300" s="7"/>
      <c r="U2300" s="7"/>
      <c r="V2300" s="253"/>
      <c r="W2300" s="7"/>
      <c r="X2300" s="256"/>
      <c r="Y2300" s="256"/>
      <c r="Z2300" s="256"/>
      <c r="AA2300" s="256"/>
      <c r="AB2300" s="257"/>
      <c r="AC2300" s="258"/>
      <c r="AD2300" s="7"/>
      <c r="AE2300" s="253"/>
      <c r="AF2300" s="253"/>
      <c r="AG2300" s="259"/>
      <c r="AH2300" s="253"/>
      <c r="AI2300" s="253"/>
      <c r="AJ2300" s="7"/>
      <c r="AK2300" s="253"/>
      <c r="AL2300" s="253"/>
      <c r="AM2300" s="7"/>
      <c r="AN2300" s="253"/>
      <c r="AO2300" s="253"/>
      <c r="AP2300" s="253"/>
      <c r="AQ2300" s="253"/>
      <c r="AR2300" s="253"/>
      <c r="AS2300" s="253"/>
      <c r="AT2300" s="253"/>
      <c r="AU2300" s="253"/>
      <c r="AV2300" s="253"/>
      <c r="AW2300" s="253"/>
      <c r="AX2300" s="253"/>
      <c r="AY2300" s="253"/>
      <c r="AZ2300" s="253"/>
    </row>
    <row r="2301" spans="1:52" ht="15.5" customHeight="1">
      <c r="A2301" s="363"/>
      <c r="B2301" s="343"/>
      <c r="C2301" s="7"/>
      <c r="D2301" s="254"/>
      <c r="E2301" s="254"/>
      <c r="F2301" s="254"/>
      <c r="G2301" s="253"/>
      <c r="H2301" s="253"/>
      <c r="I2301" s="253"/>
      <c r="J2301" s="253"/>
      <c r="K2301" s="253"/>
      <c r="L2301" s="7"/>
      <c r="M2301" s="7"/>
      <c r="N2301" s="253"/>
      <c r="O2301" s="255"/>
      <c r="P2301" s="253"/>
      <c r="Q2301" s="7"/>
      <c r="R2301" s="7"/>
      <c r="S2301" s="7"/>
      <c r="T2301" s="7"/>
      <c r="U2301" s="7"/>
      <c r="V2301" s="253"/>
      <c r="W2301" s="7"/>
      <c r="X2301" s="256"/>
      <c r="Y2301" s="256"/>
      <c r="Z2301" s="256"/>
      <c r="AA2301" s="256"/>
      <c r="AB2301" s="257"/>
      <c r="AC2301" s="258"/>
      <c r="AD2301" s="7"/>
      <c r="AE2301" s="253"/>
      <c r="AF2301" s="253"/>
      <c r="AG2301" s="259"/>
      <c r="AH2301" s="253"/>
      <c r="AI2301" s="253"/>
      <c r="AJ2301" s="7"/>
      <c r="AK2301" s="253"/>
      <c r="AL2301" s="253"/>
      <c r="AM2301" s="7"/>
      <c r="AN2301" s="253"/>
      <c r="AO2301" s="253"/>
      <c r="AP2301" s="253"/>
      <c r="AQ2301" s="253"/>
      <c r="AR2301" s="253"/>
      <c r="AS2301" s="253"/>
      <c r="AT2301" s="253"/>
      <c r="AU2301" s="253"/>
      <c r="AV2301" s="253"/>
      <c r="AW2301" s="253"/>
      <c r="AX2301" s="253"/>
      <c r="AY2301" s="253"/>
      <c r="AZ2301" s="253"/>
    </row>
    <row r="2302" spans="1:52" ht="15.5" customHeight="1">
      <c r="A2302" s="363"/>
      <c r="B2302" s="343"/>
      <c r="C2302" s="7"/>
      <c r="D2302" s="254"/>
      <c r="E2302" s="254"/>
      <c r="F2302" s="254"/>
      <c r="G2302" s="253"/>
      <c r="H2302" s="253"/>
      <c r="I2302" s="253"/>
      <c r="J2302" s="253"/>
      <c r="K2302" s="253"/>
      <c r="L2302" s="7"/>
      <c r="M2302" s="7"/>
      <c r="N2302" s="253"/>
      <c r="O2302" s="255"/>
      <c r="P2302" s="253"/>
      <c r="Q2302" s="7"/>
      <c r="R2302" s="7"/>
      <c r="S2302" s="7"/>
      <c r="T2302" s="7"/>
      <c r="U2302" s="7"/>
      <c r="V2302" s="253"/>
      <c r="W2302" s="7"/>
      <c r="X2302" s="256"/>
      <c r="Y2302" s="256"/>
      <c r="Z2302" s="256"/>
      <c r="AA2302" s="256"/>
      <c r="AB2302" s="257"/>
      <c r="AC2302" s="258"/>
      <c r="AD2302" s="7"/>
      <c r="AE2302" s="253"/>
      <c r="AF2302" s="253"/>
      <c r="AG2302" s="259"/>
      <c r="AH2302" s="253"/>
      <c r="AI2302" s="253"/>
      <c r="AJ2302" s="7"/>
      <c r="AK2302" s="253"/>
      <c r="AL2302" s="253"/>
      <c r="AM2302" s="7"/>
      <c r="AN2302" s="253"/>
      <c r="AO2302" s="253"/>
      <c r="AP2302" s="253"/>
      <c r="AQ2302" s="253"/>
      <c r="AR2302" s="253"/>
      <c r="AS2302" s="253"/>
      <c r="AT2302" s="253"/>
      <c r="AU2302" s="253"/>
      <c r="AV2302" s="253"/>
      <c r="AW2302" s="253"/>
      <c r="AX2302" s="253"/>
      <c r="AY2302" s="253"/>
      <c r="AZ2302" s="253"/>
    </row>
    <row r="2303" spans="1:52" ht="15.5" customHeight="1">
      <c r="A2303" s="363"/>
      <c r="B2303" s="343"/>
      <c r="C2303" s="7"/>
      <c r="D2303" s="254"/>
      <c r="E2303" s="254"/>
      <c r="F2303" s="254"/>
      <c r="G2303" s="253"/>
      <c r="H2303" s="253"/>
      <c r="I2303" s="253"/>
      <c r="J2303" s="253"/>
      <c r="K2303" s="253"/>
      <c r="L2303" s="7"/>
      <c r="M2303" s="7"/>
      <c r="N2303" s="253"/>
      <c r="O2303" s="255"/>
      <c r="P2303" s="253"/>
      <c r="Q2303" s="7"/>
      <c r="R2303" s="7"/>
      <c r="S2303" s="7"/>
      <c r="T2303" s="7"/>
      <c r="U2303" s="7"/>
      <c r="V2303" s="253"/>
      <c r="W2303" s="7"/>
      <c r="X2303" s="256"/>
      <c r="Y2303" s="256"/>
      <c r="Z2303" s="256"/>
      <c r="AA2303" s="256"/>
      <c r="AB2303" s="257"/>
      <c r="AC2303" s="258"/>
      <c r="AD2303" s="7"/>
      <c r="AE2303" s="253"/>
      <c r="AF2303" s="253"/>
      <c r="AG2303" s="259"/>
      <c r="AH2303" s="253"/>
      <c r="AI2303" s="253"/>
      <c r="AJ2303" s="7"/>
      <c r="AK2303" s="253"/>
      <c r="AL2303" s="253"/>
      <c r="AM2303" s="7"/>
      <c r="AN2303" s="253"/>
      <c r="AO2303" s="253"/>
      <c r="AP2303" s="253"/>
      <c r="AQ2303" s="253"/>
      <c r="AR2303" s="253"/>
      <c r="AS2303" s="253"/>
      <c r="AT2303" s="253"/>
      <c r="AU2303" s="253"/>
      <c r="AV2303" s="253"/>
      <c r="AW2303" s="253"/>
      <c r="AX2303" s="253"/>
      <c r="AY2303" s="253"/>
      <c r="AZ2303" s="253"/>
    </row>
    <row r="2304" spans="1:52" ht="15.5" customHeight="1">
      <c r="A2304" s="363"/>
      <c r="B2304" s="343"/>
      <c r="C2304" s="7"/>
      <c r="D2304" s="254"/>
      <c r="E2304" s="254"/>
      <c r="F2304" s="254"/>
      <c r="G2304" s="253"/>
      <c r="H2304" s="253"/>
      <c r="I2304" s="253"/>
      <c r="J2304" s="253"/>
      <c r="K2304" s="253"/>
      <c r="L2304" s="7"/>
      <c r="M2304" s="7"/>
      <c r="N2304" s="253"/>
      <c r="O2304" s="255"/>
      <c r="P2304" s="253"/>
      <c r="Q2304" s="7"/>
      <c r="R2304" s="7"/>
      <c r="S2304" s="7"/>
      <c r="T2304" s="7"/>
      <c r="U2304" s="7"/>
      <c r="V2304" s="253"/>
      <c r="W2304" s="7"/>
      <c r="X2304" s="256"/>
      <c r="Y2304" s="256"/>
      <c r="Z2304" s="256"/>
      <c r="AA2304" s="256"/>
      <c r="AB2304" s="257"/>
      <c r="AC2304" s="258"/>
      <c r="AD2304" s="7"/>
      <c r="AE2304" s="253"/>
      <c r="AF2304" s="253"/>
      <c r="AG2304" s="259"/>
      <c r="AH2304" s="253"/>
      <c r="AI2304" s="253"/>
      <c r="AJ2304" s="7"/>
      <c r="AK2304" s="253"/>
      <c r="AL2304" s="253"/>
      <c r="AM2304" s="7"/>
      <c r="AN2304" s="253"/>
      <c r="AO2304" s="253"/>
      <c r="AP2304" s="253"/>
      <c r="AQ2304" s="253"/>
      <c r="AR2304" s="253"/>
      <c r="AS2304" s="253"/>
      <c r="AT2304" s="253"/>
      <c r="AU2304" s="253"/>
      <c r="AV2304" s="253"/>
      <c r="AW2304" s="253"/>
      <c r="AX2304" s="253"/>
      <c r="AY2304" s="253"/>
      <c r="AZ2304" s="253"/>
    </row>
    <row r="2305" spans="1:52" ht="15.5" customHeight="1">
      <c r="A2305" s="363"/>
      <c r="B2305" s="343"/>
      <c r="C2305" s="7"/>
      <c r="D2305" s="254"/>
      <c r="E2305" s="254"/>
      <c r="F2305" s="254"/>
      <c r="G2305" s="253"/>
      <c r="H2305" s="253"/>
      <c r="I2305" s="253"/>
      <c r="J2305" s="253"/>
      <c r="K2305" s="253"/>
      <c r="L2305" s="7"/>
      <c r="M2305" s="7"/>
      <c r="N2305" s="253"/>
      <c r="O2305" s="255"/>
      <c r="P2305" s="253"/>
      <c r="Q2305" s="7"/>
      <c r="R2305" s="7"/>
      <c r="S2305" s="7"/>
      <c r="T2305" s="7"/>
      <c r="U2305" s="7"/>
      <c r="V2305" s="253"/>
      <c r="W2305" s="7"/>
      <c r="X2305" s="256"/>
      <c r="Y2305" s="256"/>
      <c r="Z2305" s="256"/>
      <c r="AA2305" s="256"/>
      <c r="AB2305" s="257"/>
      <c r="AC2305" s="258"/>
      <c r="AD2305" s="7"/>
      <c r="AE2305" s="253"/>
      <c r="AF2305" s="253"/>
      <c r="AG2305" s="259"/>
      <c r="AH2305" s="253"/>
      <c r="AI2305" s="253"/>
      <c r="AJ2305" s="7"/>
      <c r="AK2305" s="253"/>
      <c r="AL2305" s="253"/>
      <c r="AM2305" s="7"/>
      <c r="AN2305" s="253"/>
      <c r="AO2305" s="253"/>
      <c r="AP2305" s="253"/>
      <c r="AQ2305" s="253"/>
      <c r="AR2305" s="253"/>
      <c r="AS2305" s="253"/>
      <c r="AT2305" s="253"/>
      <c r="AU2305" s="253"/>
      <c r="AV2305" s="253"/>
      <c r="AW2305" s="253"/>
      <c r="AX2305" s="253"/>
      <c r="AY2305" s="253"/>
      <c r="AZ2305" s="253"/>
    </row>
    <row r="2306" spans="1:52" ht="15.5" customHeight="1">
      <c r="A2306" s="363"/>
      <c r="B2306" s="343"/>
      <c r="C2306" s="7"/>
      <c r="D2306" s="254"/>
      <c r="E2306" s="254"/>
      <c r="F2306" s="254"/>
      <c r="G2306" s="253"/>
      <c r="H2306" s="253"/>
      <c r="I2306" s="253"/>
      <c r="J2306" s="253"/>
      <c r="K2306" s="253"/>
      <c r="L2306" s="7"/>
      <c r="M2306" s="7"/>
      <c r="N2306" s="253"/>
      <c r="O2306" s="255"/>
      <c r="P2306" s="253"/>
      <c r="Q2306" s="7"/>
      <c r="R2306" s="7"/>
      <c r="S2306" s="7"/>
      <c r="T2306" s="7"/>
      <c r="U2306" s="7"/>
      <c r="V2306" s="253"/>
      <c r="W2306" s="7"/>
      <c r="X2306" s="256"/>
      <c r="Y2306" s="256"/>
      <c r="Z2306" s="256"/>
      <c r="AA2306" s="256"/>
      <c r="AB2306" s="257"/>
      <c r="AC2306" s="258"/>
      <c r="AD2306" s="7"/>
      <c r="AE2306" s="253"/>
      <c r="AF2306" s="253"/>
      <c r="AG2306" s="259"/>
      <c r="AH2306" s="253"/>
      <c r="AI2306" s="253"/>
      <c r="AJ2306" s="7"/>
      <c r="AK2306" s="253"/>
      <c r="AL2306" s="253"/>
      <c r="AM2306" s="7"/>
      <c r="AN2306" s="253"/>
      <c r="AO2306" s="253"/>
      <c r="AP2306" s="253"/>
      <c r="AQ2306" s="253"/>
      <c r="AR2306" s="253"/>
      <c r="AS2306" s="253"/>
      <c r="AT2306" s="253"/>
      <c r="AU2306" s="253"/>
      <c r="AV2306" s="253"/>
      <c r="AW2306" s="253"/>
      <c r="AX2306" s="253"/>
      <c r="AY2306" s="253"/>
      <c r="AZ2306" s="253"/>
    </row>
    <row r="2307" spans="1:52" ht="15.5" customHeight="1">
      <c r="A2307" s="363"/>
      <c r="B2307" s="343"/>
      <c r="C2307" s="7"/>
      <c r="D2307" s="254"/>
      <c r="E2307" s="254"/>
      <c r="F2307" s="254"/>
      <c r="G2307" s="253"/>
      <c r="H2307" s="253"/>
      <c r="I2307" s="253"/>
      <c r="J2307" s="253"/>
      <c r="K2307" s="253"/>
      <c r="L2307" s="7"/>
      <c r="M2307" s="7"/>
      <c r="N2307" s="253"/>
      <c r="O2307" s="255"/>
      <c r="P2307" s="253"/>
      <c r="Q2307" s="7"/>
      <c r="R2307" s="7"/>
      <c r="S2307" s="7"/>
      <c r="T2307" s="7"/>
      <c r="U2307" s="7"/>
      <c r="V2307" s="253"/>
      <c r="W2307" s="7"/>
      <c r="X2307" s="256"/>
      <c r="Y2307" s="256"/>
      <c r="Z2307" s="256"/>
      <c r="AA2307" s="256"/>
      <c r="AB2307" s="257"/>
      <c r="AC2307" s="258"/>
      <c r="AD2307" s="7"/>
      <c r="AE2307" s="253"/>
      <c r="AF2307" s="253"/>
      <c r="AG2307" s="259"/>
      <c r="AH2307" s="253"/>
      <c r="AI2307" s="253"/>
      <c r="AJ2307" s="7"/>
      <c r="AK2307" s="253"/>
      <c r="AL2307" s="253"/>
      <c r="AM2307" s="7"/>
      <c r="AN2307" s="253"/>
      <c r="AO2307" s="253"/>
      <c r="AP2307" s="253"/>
      <c r="AQ2307" s="253"/>
      <c r="AR2307" s="253"/>
      <c r="AS2307" s="253"/>
      <c r="AT2307" s="253"/>
      <c r="AU2307" s="253"/>
      <c r="AV2307" s="253"/>
      <c r="AW2307" s="253"/>
      <c r="AX2307" s="253"/>
      <c r="AY2307" s="253"/>
      <c r="AZ2307" s="253"/>
    </row>
    <row r="2308" spans="1:52" ht="15.5" customHeight="1">
      <c r="A2308" s="363"/>
      <c r="B2308" s="343"/>
      <c r="C2308" s="7"/>
      <c r="D2308" s="254"/>
      <c r="E2308" s="254"/>
      <c r="F2308" s="254"/>
      <c r="G2308" s="253"/>
      <c r="H2308" s="253"/>
      <c r="I2308" s="253"/>
      <c r="J2308" s="253"/>
      <c r="K2308" s="253"/>
      <c r="L2308" s="7"/>
      <c r="M2308" s="7"/>
      <c r="N2308" s="253"/>
      <c r="O2308" s="255"/>
      <c r="P2308" s="253"/>
      <c r="Q2308" s="7"/>
      <c r="R2308" s="7"/>
      <c r="S2308" s="7"/>
      <c r="T2308" s="7"/>
      <c r="U2308" s="7"/>
      <c r="V2308" s="253"/>
      <c r="W2308" s="7"/>
      <c r="X2308" s="256"/>
      <c r="Y2308" s="256"/>
      <c r="Z2308" s="256"/>
      <c r="AA2308" s="256"/>
      <c r="AB2308" s="257"/>
      <c r="AC2308" s="258"/>
      <c r="AD2308" s="7"/>
      <c r="AE2308" s="253"/>
      <c r="AF2308" s="253"/>
      <c r="AG2308" s="259"/>
      <c r="AH2308" s="253"/>
      <c r="AI2308" s="253"/>
      <c r="AJ2308" s="7"/>
      <c r="AK2308" s="253"/>
      <c r="AL2308" s="253"/>
      <c r="AM2308" s="7"/>
      <c r="AN2308" s="253"/>
      <c r="AO2308" s="253"/>
      <c r="AP2308" s="253"/>
      <c r="AQ2308" s="253"/>
      <c r="AR2308" s="253"/>
      <c r="AS2308" s="253"/>
      <c r="AT2308" s="253"/>
      <c r="AU2308" s="253"/>
      <c r="AV2308" s="253"/>
      <c r="AW2308" s="253"/>
      <c r="AX2308" s="253"/>
      <c r="AY2308" s="253"/>
      <c r="AZ2308" s="253"/>
    </row>
    <row r="2309" spans="1:52" ht="15.5" customHeight="1">
      <c r="A2309" s="363"/>
      <c r="B2309" s="343"/>
      <c r="C2309" s="7"/>
      <c r="D2309" s="254"/>
      <c r="E2309" s="254"/>
      <c r="F2309" s="254"/>
      <c r="G2309" s="253"/>
      <c r="H2309" s="253"/>
      <c r="I2309" s="253"/>
      <c r="J2309" s="253"/>
      <c r="K2309" s="253"/>
      <c r="L2309" s="7"/>
      <c r="M2309" s="7"/>
      <c r="N2309" s="253"/>
      <c r="O2309" s="255"/>
      <c r="P2309" s="253"/>
      <c r="Q2309" s="7"/>
      <c r="R2309" s="7"/>
      <c r="S2309" s="7"/>
      <c r="T2309" s="7"/>
      <c r="U2309" s="7"/>
      <c r="V2309" s="253"/>
      <c r="W2309" s="7"/>
      <c r="X2309" s="256"/>
      <c r="Y2309" s="256"/>
      <c r="Z2309" s="256"/>
      <c r="AA2309" s="256"/>
      <c r="AB2309" s="257"/>
      <c r="AC2309" s="258"/>
      <c r="AD2309" s="7"/>
      <c r="AE2309" s="253"/>
      <c r="AF2309" s="253"/>
      <c r="AG2309" s="259"/>
      <c r="AH2309" s="253"/>
      <c r="AI2309" s="253"/>
      <c r="AJ2309" s="7"/>
      <c r="AK2309" s="253"/>
      <c r="AL2309" s="253"/>
      <c r="AM2309" s="7"/>
      <c r="AN2309" s="253"/>
      <c r="AO2309" s="253"/>
      <c r="AP2309" s="253"/>
      <c r="AQ2309" s="253"/>
      <c r="AR2309" s="253"/>
      <c r="AS2309" s="253"/>
      <c r="AT2309" s="253"/>
      <c r="AU2309" s="253"/>
      <c r="AV2309" s="253"/>
      <c r="AW2309" s="253"/>
      <c r="AX2309" s="253"/>
      <c r="AY2309" s="253"/>
      <c r="AZ2309" s="253"/>
    </row>
    <row r="2310" spans="1:52" ht="15.5" customHeight="1">
      <c r="A2310" s="363"/>
      <c r="B2310" s="343"/>
      <c r="C2310" s="7"/>
      <c r="D2310" s="254"/>
      <c r="E2310" s="254"/>
      <c r="F2310" s="254"/>
      <c r="G2310" s="253"/>
      <c r="H2310" s="253"/>
      <c r="I2310" s="253"/>
      <c r="J2310" s="253"/>
      <c r="K2310" s="253"/>
      <c r="L2310" s="7"/>
      <c r="M2310" s="7"/>
      <c r="N2310" s="253"/>
      <c r="O2310" s="255"/>
      <c r="P2310" s="253"/>
      <c r="Q2310" s="7"/>
      <c r="R2310" s="7"/>
      <c r="S2310" s="7"/>
      <c r="T2310" s="7"/>
      <c r="U2310" s="7"/>
      <c r="V2310" s="253"/>
      <c r="W2310" s="7"/>
      <c r="X2310" s="256"/>
      <c r="Y2310" s="256"/>
      <c r="Z2310" s="256"/>
      <c r="AA2310" s="256"/>
      <c r="AB2310" s="257"/>
      <c r="AC2310" s="258"/>
      <c r="AD2310" s="7"/>
      <c r="AE2310" s="253"/>
      <c r="AF2310" s="253"/>
      <c r="AG2310" s="259"/>
      <c r="AH2310" s="253"/>
      <c r="AI2310" s="253"/>
      <c r="AJ2310" s="7"/>
      <c r="AK2310" s="253"/>
      <c r="AL2310" s="253"/>
      <c r="AM2310" s="7"/>
      <c r="AN2310" s="253"/>
      <c r="AO2310" s="253"/>
      <c r="AP2310" s="253"/>
      <c r="AQ2310" s="253"/>
      <c r="AR2310" s="253"/>
      <c r="AS2310" s="253"/>
      <c r="AT2310" s="253"/>
      <c r="AU2310" s="253"/>
      <c r="AV2310" s="253"/>
      <c r="AW2310" s="253"/>
      <c r="AX2310" s="253"/>
      <c r="AY2310" s="253"/>
      <c r="AZ2310" s="253"/>
    </row>
    <row r="2311" spans="1:52" ht="15.5" customHeight="1">
      <c r="A2311" s="363"/>
      <c r="B2311" s="343"/>
      <c r="C2311" s="7"/>
      <c r="D2311" s="254"/>
      <c r="E2311" s="254"/>
      <c r="F2311" s="254"/>
      <c r="G2311" s="253"/>
      <c r="H2311" s="253"/>
      <c r="I2311" s="253"/>
      <c r="J2311" s="253"/>
      <c r="K2311" s="253"/>
      <c r="L2311" s="7"/>
      <c r="M2311" s="7"/>
      <c r="N2311" s="253"/>
      <c r="O2311" s="255"/>
      <c r="P2311" s="253"/>
      <c r="Q2311" s="7"/>
      <c r="R2311" s="7"/>
      <c r="S2311" s="7"/>
      <c r="T2311" s="7"/>
      <c r="U2311" s="7"/>
      <c r="V2311" s="253"/>
      <c r="W2311" s="7"/>
      <c r="X2311" s="256"/>
      <c r="Y2311" s="256"/>
      <c r="Z2311" s="256"/>
      <c r="AA2311" s="256"/>
      <c r="AB2311" s="257"/>
      <c r="AC2311" s="258"/>
      <c r="AD2311" s="7"/>
      <c r="AE2311" s="253"/>
      <c r="AF2311" s="253"/>
      <c r="AG2311" s="259"/>
      <c r="AH2311" s="253"/>
      <c r="AI2311" s="253"/>
      <c r="AJ2311" s="7"/>
      <c r="AK2311" s="253"/>
      <c r="AL2311" s="253"/>
      <c r="AM2311" s="7"/>
      <c r="AN2311" s="253"/>
      <c r="AO2311" s="253"/>
      <c r="AP2311" s="253"/>
      <c r="AQ2311" s="253"/>
      <c r="AR2311" s="253"/>
      <c r="AS2311" s="253"/>
      <c r="AT2311" s="253"/>
      <c r="AU2311" s="253"/>
      <c r="AV2311" s="253"/>
      <c r="AW2311" s="253"/>
      <c r="AX2311" s="253"/>
      <c r="AY2311" s="253"/>
      <c r="AZ2311" s="253"/>
    </row>
    <row r="2312" spans="1:52" ht="15.5" customHeight="1">
      <c r="A2312" s="363"/>
      <c r="B2312" s="343"/>
      <c r="C2312" s="7"/>
      <c r="D2312" s="254"/>
      <c r="E2312" s="254"/>
      <c r="F2312" s="254"/>
      <c r="G2312" s="253"/>
      <c r="H2312" s="253"/>
      <c r="I2312" s="253"/>
      <c r="J2312" s="253"/>
      <c r="K2312" s="253"/>
      <c r="L2312" s="7"/>
      <c r="M2312" s="7"/>
      <c r="N2312" s="253"/>
      <c r="O2312" s="255"/>
      <c r="P2312" s="253"/>
      <c r="Q2312" s="7"/>
      <c r="R2312" s="7"/>
      <c r="S2312" s="7"/>
      <c r="T2312" s="7"/>
      <c r="U2312" s="7"/>
      <c r="V2312" s="253"/>
      <c r="W2312" s="7"/>
      <c r="X2312" s="256"/>
      <c r="Y2312" s="256"/>
      <c r="Z2312" s="256"/>
      <c r="AA2312" s="256"/>
      <c r="AB2312" s="257"/>
      <c r="AC2312" s="258"/>
      <c r="AD2312" s="7"/>
      <c r="AE2312" s="253"/>
      <c r="AF2312" s="253"/>
      <c r="AG2312" s="259"/>
      <c r="AH2312" s="253"/>
      <c r="AI2312" s="253"/>
      <c r="AJ2312" s="7"/>
      <c r="AK2312" s="253"/>
      <c r="AL2312" s="253"/>
      <c r="AM2312" s="7"/>
      <c r="AN2312" s="253"/>
      <c r="AO2312" s="253"/>
      <c r="AP2312" s="253"/>
      <c r="AQ2312" s="253"/>
      <c r="AR2312" s="253"/>
      <c r="AS2312" s="253"/>
      <c r="AT2312" s="253"/>
      <c r="AU2312" s="253"/>
      <c r="AV2312" s="253"/>
      <c r="AW2312" s="253"/>
      <c r="AX2312" s="253"/>
      <c r="AY2312" s="253"/>
      <c r="AZ2312" s="253"/>
    </row>
    <row r="2313" spans="1:52" ht="15.5" customHeight="1">
      <c r="A2313" s="363"/>
      <c r="B2313" s="343"/>
      <c r="C2313" s="7"/>
      <c r="D2313" s="254"/>
      <c r="E2313" s="254"/>
      <c r="F2313" s="254"/>
      <c r="G2313" s="253"/>
      <c r="H2313" s="253"/>
      <c r="I2313" s="253"/>
      <c r="J2313" s="253"/>
      <c r="K2313" s="253"/>
      <c r="L2313" s="7"/>
      <c r="M2313" s="7"/>
      <c r="N2313" s="253"/>
      <c r="O2313" s="255"/>
      <c r="P2313" s="253"/>
      <c r="Q2313" s="7"/>
      <c r="R2313" s="7"/>
      <c r="S2313" s="7"/>
      <c r="T2313" s="7"/>
      <c r="U2313" s="7"/>
      <c r="V2313" s="253"/>
      <c r="W2313" s="7"/>
      <c r="X2313" s="256"/>
      <c r="Y2313" s="256"/>
      <c r="Z2313" s="256"/>
      <c r="AA2313" s="256"/>
      <c r="AB2313" s="257"/>
      <c r="AC2313" s="258"/>
      <c r="AD2313" s="7"/>
      <c r="AE2313" s="253"/>
      <c r="AF2313" s="253"/>
      <c r="AG2313" s="259"/>
      <c r="AH2313" s="253"/>
      <c r="AI2313" s="253"/>
      <c r="AJ2313" s="7"/>
      <c r="AK2313" s="253"/>
      <c r="AL2313" s="253"/>
      <c r="AM2313" s="7"/>
      <c r="AN2313" s="253"/>
      <c r="AO2313" s="253"/>
      <c r="AP2313" s="253"/>
      <c r="AQ2313" s="253"/>
      <c r="AR2313" s="253"/>
      <c r="AS2313" s="253"/>
      <c r="AT2313" s="253"/>
      <c r="AU2313" s="253"/>
      <c r="AV2313" s="253"/>
      <c r="AW2313" s="253"/>
      <c r="AX2313" s="253"/>
      <c r="AY2313" s="253"/>
      <c r="AZ2313" s="253"/>
    </row>
    <row r="2314" spans="1:52" ht="15.5" customHeight="1">
      <c r="A2314" s="363"/>
      <c r="B2314" s="343"/>
      <c r="C2314" s="7"/>
      <c r="D2314" s="254"/>
      <c r="E2314" s="254"/>
      <c r="F2314" s="254"/>
      <c r="G2314" s="253"/>
      <c r="H2314" s="253"/>
      <c r="I2314" s="253"/>
      <c r="J2314" s="253"/>
      <c r="K2314" s="253"/>
      <c r="L2314" s="7"/>
      <c r="M2314" s="7"/>
      <c r="N2314" s="253"/>
      <c r="O2314" s="255"/>
      <c r="P2314" s="253"/>
      <c r="Q2314" s="7"/>
      <c r="R2314" s="7"/>
      <c r="S2314" s="7"/>
      <c r="T2314" s="7"/>
      <c r="U2314" s="7"/>
      <c r="V2314" s="253"/>
      <c r="W2314" s="7"/>
      <c r="X2314" s="256"/>
      <c r="Y2314" s="256"/>
      <c r="Z2314" s="256"/>
      <c r="AA2314" s="256"/>
      <c r="AB2314" s="257"/>
      <c r="AC2314" s="258"/>
      <c r="AD2314" s="7"/>
      <c r="AE2314" s="253"/>
      <c r="AF2314" s="253"/>
      <c r="AG2314" s="259"/>
      <c r="AH2314" s="253"/>
      <c r="AI2314" s="253"/>
      <c r="AJ2314" s="7"/>
      <c r="AK2314" s="253"/>
      <c r="AL2314" s="253"/>
      <c r="AM2314" s="7"/>
      <c r="AN2314" s="253"/>
      <c r="AO2314" s="253"/>
      <c r="AP2314" s="253"/>
      <c r="AQ2314" s="253"/>
      <c r="AR2314" s="253"/>
      <c r="AS2314" s="253"/>
      <c r="AT2314" s="253"/>
      <c r="AU2314" s="253"/>
      <c r="AV2314" s="253"/>
      <c r="AW2314" s="253"/>
      <c r="AX2314" s="253"/>
      <c r="AY2314" s="253"/>
      <c r="AZ2314" s="253"/>
    </row>
    <row r="2315" spans="1:52" ht="15.5" customHeight="1">
      <c r="A2315" s="363"/>
      <c r="B2315" s="343"/>
      <c r="C2315" s="7"/>
      <c r="D2315" s="254"/>
      <c r="E2315" s="254"/>
      <c r="F2315" s="254"/>
      <c r="G2315" s="253"/>
      <c r="H2315" s="253"/>
      <c r="I2315" s="253"/>
      <c r="J2315" s="253"/>
      <c r="K2315" s="253"/>
      <c r="L2315" s="7"/>
      <c r="M2315" s="7"/>
      <c r="N2315" s="253"/>
      <c r="O2315" s="255"/>
      <c r="P2315" s="253"/>
      <c r="Q2315" s="7"/>
      <c r="R2315" s="7"/>
      <c r="S2315" s="7"/>
      <c r="T2315" s="7"/>
      <c r="U2315" s="7"/>
      <c r="V2315" s="253"/>
      <c r="W2315" s="7"/>
      <c r="X2315" s="256"/>
      <c r="Y2315" s="256"/>
      <c r="Z2315" s="256"/>
      <c r="AA2315" s="256"/>
      <c r="AB2315" s="257"/>
      <c r="AC2315" s="258"/>
      <c r="AD2315" s="7"/>
      <c r="AE2315" s="253"/>
      <c r="AF2315" s="253"/>
      <c r="AG2315" s="259"/>
      <c r="AH2315" s="253"/>
      <c r="AI2315" s="253"/>
      <c r="AJ2315" s="7"/>
      <c r="AK2315" s="253"/>
      <c r="AL2315" s="253"/>
      <c r="AM2315" s="7"/>
      <c r="AN2315" s="253"/>
      <c r="AO2315" s="253"/>
      <c r="AP2315" s="253"/>
      <c r="AQ2315" s="253"/>
      <c r="AR2315" s="253"/>
      <c r="AS2315" s="253"/>
      <c r="AT2315" s="253"/>
      <c r="AU2315" s="253"/>
      <c r="AV2315" s="253"/>
      <c r="AW2315" s="253"/>
      <c r="AX2315" s="253"/>
      <c r="AY2315" s="253"/>
      <c r="AZ2315" s="253"/>
    </row>
    <row r="2316" spans="1:52" ht="15.5" customHeight="1">
      <c r="A2316" s="363"/>
      <c r="B2316" s="343"/>
      <c r="C2316" s="7"/>
      <c r="D2316" s="254"/>
      <c r="E2316" s="254"/>
      <c r="F2316" s="254"/>
      <c r="G2316" s="253"/>
      <c r="H2316" s="253"/>
      <c r="I2316" s="253"/>
      <c r="J2316" s="253"/>
      <c r="K2316" s="253"/>
      <c r="L2316" s="7"/>
      <c r="M2316" s="7"/>
      <c r="N2316" s="253"/>
      <c r="O2316" s="255"/>
      <c r="P2316" s="253"/>
      <c r="Q2316" s="7"/>
      <c r="R2316" s="7"/>
      <c r="S2316" s="7"/>
      <c r="T2316" s="7"/>
      <c r="U2316" s="7"/>
      <c r="V2316" s="253"/>
      <c r="W2316" s="7"/>
      <c r="X2316" s="256"/>
      <c r="Y2316" s="256"/>
      <c r="Z2316" s="256"/>
      <c r="AA2316" s="256"/>
      <c r="AB2316" s="257"/>
      <c r="AC2316" s="258"/>
      <c r="AD2316" s="7"/>
      <c r="AE2316" s="253"/>
      <c r="AF2316" s="253"/>
      <c r="AG2316" s="259"/>
      <c r="AH2316" s="253"/>
      <c r="AI2316" s="253"/>
      <c r="AJ2316" s="7"/>
      <c r="AK2316" s="253"/>
      <c r="AL2316" s="253"/>
      <c r="AM2316" s="7"/>
      <c r="AN2316" s="253"/>
      <c r="AO2316" s="253"/>
      <c r="AP2316" s="253"/>
      <c r="AQ2316" s="253"/>
      <c r="AR2316" s="253"/>
      <c r="AS2316" s="253"/>
      <c r="AT2316" s="253"/>
      <c r="AU2316" s="253"/>
      <c r="AV2316" s="253"/>
      <c r="AW2316" s="253"/>
      <c r="AX2316" s="253"/>
      <c r="AY2316" s="253"/>
      <c r="AZ2316" s="253"/>
    </row>
    <row r="2317" spans="1:52" ht="15.5" customHeight="1">
      <c r="A2317" s="363"/>
      <c r="B2317" s="343"/>
      <c r="C2317" s="7"/>
      <c r="D2317" s="254"/>
      <c r="E2317" s="254"/>
      <c r="F2317" s="254"/>
      <c r="G2317" s="253"/>
      <c r="H2317" s="253"/>
      <c r="I2317" s="253"/>
      <c r="J2317" s="253"/>
      <c r="K2317" s="253"/>
      <c r="L2317" s="7"/>
      <c r="M2317" s="7"/>
      <c r="N2317" s="253"/>
      <c r="O2317" s="255"/>
      <c r="P2317" s="253"/>
      <c r="Q2317" s="7"/>
      <c r="R2317" s="7"/>
      <c r="S2317" s="7"/>
      <c r="T2317" s="7"/>
      <c r="U2317" s="7"/>
      <c r="V2317" s="253"/>
      <c r="W2317" s="7"/>
      <c r="X2317" s="256"/>
      <c r="Y2317" s="256"/>
      <c r="Z2317" s="256"/>
      <c r="AA2317" s="256"/>
      <c r="AB2317" s="257"/>
      <c r="AC2317" s="258"/>
      <c r="AD2317" s="7"/>
      <c r="AE2317" s="253"/>
      <c r="AF2317" s="253"/>
      <c r="AG2317" s="259"/>
      <c r="AH2317" s="253"/>
      <c r="AI2317" s="253"/>
      <c r="AJ2317" s="7"/>
      <c r="AK2317" s="253"/>
      <c r="AL2317" s="253"/>
      <c r="AM2317" s="7"/>
      <c r="AN2317" s="253"/>
      <c r="AO2317" s="253"/>
      <c r="AP2317" s="253"/>
      <c r="AQ2317" s="253"/>
      <c r="AR2317" s="253"/>
      <c r="AS2317" s="253"/>
      <c r="AT2317" s="253"/>
      <c r="AU2317" s="253"/>
      <c r="AV2317" s="253"/>
      <c r="AW2317" s="253"/>
      <c r="AX2317" s="253"/>
      <c r="AY2317" s="253"/>
      <c r="AZ2317" s="253"/>
    </row>
    <row r="2318" spans="1:52" ht="15.5" customHeight="1">
      <c r="A2318" s="363"/>
      <c r="B2318" s="343"/>
      <c r="C2318" s="7"/>
      <c r="D2318" s="254"/>
      <c r="E2318" s="254"/>
      <c r="F2318" s="254"/>
      <c r="G2318" s="253"/>
      <c r="H2318" s="253"/>
      <c r="I2318" s="253"/>
      <c r="J2318" s="253"/>
      <c r="K2318" s="253"/>
      <c r="L2318" s="7"/>
      <c r="M2318" s="7"/>
      <c r="N2318" s="253"/>
      <c r="O2318" s="255"/>
      <c r="P2318" s="253"/>
      <c r="Q2318" s="7"/>
      <c r="R2318" s="7"/>
      <c r="S2318" s="7"/>
      <c r="T2318" s="7"/>
      <c r="U2318" s="7"/>
      <c r="V2318" s="253"/>
      <c r="W2318" s="7"/>
      <c r="X2318" s="256"/>
      <c r="Y2318" s="256"/>
      <c r="Z2318" s="256"/>
      <c r="AA2318" s="256"/>
      <c r="AB2318" s="257"/>
      <c r="AC2318" s="258"/>
      <c r="AD2318" s="7"/>
      <c r="AE2318" s="253"/>
      <c r="AF2318" s="253"/>
      <c r="AG2318" s="259"/>
      <c r="AH2318" s="253"/>
      <c r="AI2318" s="253"/>
      <c r="AJ2318" s="7"/>
      <c r="AK2318" s="253"/>
      <c r="AL2318" s="253"/>
      <c r="AM2318" s="7"/>
      <c r="AN2318" s="253"/>
      <c r="AO2318" s="253"/>
      <c r="AP2318" s="253"/>
      <c r="AQ2318" s="253"/>
      <c r="AR2318" s="253"/>
      <c r="AS2318" s="253"/>
      <c r="AT2318" s="253"/>
      <c r="AU2318" s="253"/>
      <c r="AV2318" s="253"/>
      <c r="AW2318" s="253"/>
      <c r="AX2318" s="253"/>
      <c r="AY2318" s="253"/>
      <c r="AZ2318" s="253"/>
    </row>
    <row r="2319" spans="1:52" ht="15.5" customHeight="1">
      <c r="A2319" s="363"/>
      <c r="B2319" s="343"/>
      <c r="C2319" s="7"/>
      <c r="D2319" s="254"/>
      <c r="E2319" s="254"/>
      <c r="F2319" s="254"/>
      <c r="G2319" s="253"/>
      <c r="H2319" s="253"/>
      <c r="I2319" s="253"/>
      <c r="J2319" s="253"/>
      <c r="K2319" s="253"/>
      <c r="L2319" s="7"/>
      <c r="M2319" s="7"/>
      <c r="N2319" s="253"/>
      <c r="O2319" s="255"/>
      <c r="P2319" s="253"/>
      <c r="Q2319" s="7"/>
      <c r="R2319" s="7"/>
      <c r="S2319" s="7"/>
      <c r="T2319" s="7"/>
      <c r="U2319" s="7"/>
      <c r="V2319" s="253"/>
      <c r="W2319" s="7"/>
      <c r="X2319" s="256"/>
      <c r="Y2319" s="256"/>
      <c r="Z2319" s="256"/>
      <c r="AA2319" s="256"/>
      <c r="AB2319" s="257"/>
      <c r="AC2319" s="258"/>
      <c r="AD2319" s="7"/>
      <c r="AE2319" s="253"/>
      <c r="AF2319" s="253"/>
      <c r="AG2319" s="259"/>
      <c r="AH2319" s="253"/>
      <c r="AI2319" s="253"/>
      <c r="AJ2319" s="7"/>
      <c r="AK2319" s="253"/>
      <c r="AL2319" s="253"/>
      <c r="AM2319" s="7"/>
      <c r="AN2319" s="253"/>
      <c r="AO2319" s="253"/>
      <c r="AP2319" s="253"/>
      <c r="AQ2319" s="253"/>
      <c r="AR2319" s="253"/>
      <c r="AS2319" s="253"/>
      <c r="AT2319" s="253"/>
      <c r="AU2319" s="253"/>
      <c r="AV2319" s="253"/>
      <c r="AW2319" s="253"/>
      <c r="AX2319" s="253"/>
      <c r="AY2319" s="253"/>
      <c r="AZ2319" s="253"/>
    </row>
    <row r="2320" spans="1:52" ht="15.5" customHeight="1">
      <c r="A2320" s="363"/>
      <c r="B2320" s="343"/>
      <c r="C2320" s="7"/>
      <c r="D2320" s="254"/>
      <c r="E2320" s="254"/>
      <c r="F2320" s="254"/>
      <c r="G2320" s="253"/>
      <c r="H2320" s="253"/>
      <c r="I2320" s="253"/>
      <c r="J2320" s="253"/>
      <c r="K2320" s="253"/>
      <c r="L2320" s="7"/>
      <c r="M2320" s="7"/>
      <c r="N2320" s="253"/>
      <c r="O2320" s="255"/>
      <c r="P2320" s="253"/>
      <c r="Q2320" s="7"/>
      <c r="R2320" s="7"/>
      <c r="S2320" s="7"/>
      <c r="T2320" s="7"/>
      <c r="U2320" s="7"/>
      <c r="V2320" s="253"/>
      <c r="W2320" s="7"/>
      <c r="X2320" s="256"/>
      <c r="Y2320" s="256"/>
      <c r="Z2320" s="256"/>
      <c r="AA2320" s="256"/>
      <c r="AB2320" s="257"/>
      <c r="AC2320" s="258"/>
      <c r="AD2320" s="7"/>
      <c r="AE2320" s="253"/>
      <c r="AF2320" s="253"/>
      <c r="AG2320" s="259"/>
      <c r="AH2320" s="253"/>
      <c r="AI2320" s="253"/>
      <c r="AJ2320" s="7"/>
      <c r="AK2320" s="253"/>
      <c r="AL2320" s="253"/>
      <c r="AM2320" s="7"/>
      <c r="AN2320" s="253"/>
      <c r="AO2320" s="253"/>
      <c r="AP2320" s="253"/>
      <c r="AQ2320" s="253"/>
      <c r="AR2320" s="253"/>
      <c r="AS2320" s="253"/>
      <c r="AT2320" s="253"/>
      <c r="AU2320" s="253"/>
      <c r="AV2320" s="253"/>
      <c r="AW2320" s="253"/>
      <c r="AX2320" s="253"/>
      <c r="AY2320" s="253"/>
      <c r="AZ2320" s="253"/>
    </row>
    <row r="2321" spans="1:52" ht="15.5" customHeight="1">
      <c r="A2321" s="363"/>
      <c r="B2321" s="343"/>
      <c r="C2321" s="7"/>
      <c r="D2321" s="254"/>
      <c r="E2321" s="254"/>
      <c r="F2321" s="254"/>
      <c r="G2321" s="253"/>
      <c r="H2321" s="253"/>
      <c r="I2321" s="253"/>
      <c r="J2321" s="253"/>
      <c r="K2321" s="253"/>
      <c r="L2321" s="7"/>
      <c r="M2321" s="7"/>
      <c r="N2321" s="253"/>
      <c r="O2321" s="255"/>
      <c r="P2321" s="253"/>
      <c r="Q2321" s="7"/>
      <c r="R2321" s="7"/>
      <c r="S2321" s="7"/>
      <c r="T2321" s="7"/>
      <c r="U2321" s="7"/>
      <c r="V2321" s="253"/>
      <c r="W2321" s="7"/>
      <c r="X2321" s="256"/>
      <c r="Y2321" s="256"/>
      <c r="Z2321" s="256"/>
      <c r="AA2321" s="256"/>
      <c r="AB2321" s="257"/>
      <c r="AC2321" s="258"/>
      <c r="AD2321" s="7"/>
      <c r="AE2321" s="253"/>
      <c r="AF2321" s="253"/>
      <c r="AG2321" s="259"/>
      <c r="AH2321" s="253"/>
      <c r="AI2321" s="253"/>
      <c r="AJ2321" s="7"/>
      <c r="AK2321" s="253"/>
      <c r="AL2321" s="253"/>
      <c r="AM2321" s="7"/>
      <c r="AN2321" s="253"/>
      <c r="AO2321" s="253"/>
      <c r="AP2321" s="253"/>
      <c r="AQ2321" s="253"/>
      <c r="AR2321" s="253"/>
      <c r="AS2321" s="253"/>
      <c r="AT2321" s="253"/>
      <c r="AU2321" s="253"/>
      <c r="AV2321" s="253"/>
      <c r="AW2321" s="253"/>
      <c r="AX2321" s="253"/>
      <c r="AY2321" s="253"/>
      <c r="AZ2321" s="253"/>
    </row>
    <row r="2322" spans="1:52" ht="15.5" customHeight="1">
      <c r="A2322" s="363"/>
      <c r="B2322" s="343"/>
      <c r="C2322" s="7"/>
      <c r="D2322" s="254"/>
      <c r="E2322" s="254"/>
      <c r="F2322" s="254"/>
      <c r="G2322" s="253"/>
      <c r="H2322" s="253"/>
      <c r="I2322" s="253"/>
      <c r="J2322" s="253"/>
      <c r="K2322" s="253"/>
      <c r="L2322" s="7"/>
      <c r="M2322" s="7"/>
      <c r="N2322" s="253"/>
      <c r="O2322" s="255"/>
      <c r="P2322" s="253"/>
      <c r="Q2322" s="7"/>
      <c r="R2322" s="7"/>
      <c r="S2322" s="7"/>
      <c r="T2322" s="7"/>
      <c r="U2322" s="7"/>
      <c r="V2322" s="253"/>
      <c r="W2322" s="7"/>
      <c r="X2322" s="256"/>
      <c r="Y2322" s="256"/>
      <c r="Z2322" s="256"/>
      <c r="AA2322" s="256"/>
      <c r="AB2322" s="257"/>
      <c r="AC2322" s="258"/>
      <c r="AD2322" s="7"/>
      <c r="AE2322" s="253"/>
      <c r="AF2322" s="253"/>
      <c r="AG2322" s="259"/>
      <c r="AH2322" s="253"/>
      <c r="AI2322" s="253"/>
      <c r="AJ2322" s="7"/>
      <c r="AK2322" s="253"/>
      <c r="AL2322" s="253"/>
      <c r="AM2322" s="7"/>
      <c r="AN2322" s="253"/>
      <c r="AO2322" s="253"/>
      <c r="AP2322" s="253"/>
      <c r="AQ2322" s="253"/>
      <c r="AR2322" s="253"/>
      <c r="AS2322" s="253"/>
      <c r="AT2322" s="253"/>
      <c r="AU2322" s="253"/>
      <c r="AV2322" s="253"/>
      <c r="AW2322" s="253"/>
      <c r="AX2322" s="253"/>
      <c r="AY2322" s="253"/>
      <c r="AZ2322" s="253"/>
    </row>
    <row r="2323" spans="1:52" ht="15.5" customHeight="1">
      <c r="A2323" s="363"/>
      <c r="B2323" s="343"/>
      <c r="C2323" s="7"/>
      <c r="D2323" s="254"/>
      <c r="E2323" s="254"/>
      <c r="F2323" s="254"/>
      <c r="G2323" s="253"/>
      <c r="H2323" s="253"/>
      <c r="I2323" s="253"/>
      <c r="J2323" s="253"/>
      <c r="K2323" s="253"/>
      <c r="L2323" s="7"/>
      <c r="M2323" s="7"/>
      <c r="N2323" s="253"/>
      <c r="O2323" s="255"/>
      <c r="P2323" s="253"/>
      <c r="Q2323" s="7"/>
      <c r="R2323" s="7"/>
      <c r="S2323" s="7"/>
      <c r="T2323" s="7"/>
      <c r="U2323" s="7"/>
      <c r="V2323" s="253"/>
      <c r="W2323" s="7"/>
      <c r="X2323" s="256"/>
      <c r="Y2323" s="256"/>
      <c r="Z2323" s="256"/>
      <c r="AA2323" s="256"/>
      <c r="AB2323" s="257"/>
      <c r="AC2323" s="258"/>
      <c r="AD2323" s="7"/>
      <c r="AE2323" s="253"/>
      <c r="AF2323" s="253"/>
      <c r="AG2323" s="259"/>
      <c r="AH2323" s="253"/>
      <c r="AI2323" s="253"/>
      <c r="AJ2323" s="7"/>
      <c r="AK2323" s="253"/>
      <c r="AL2323" s="253"/>
      <c r="AM2323" s="7"/>
      <c r="AN2323" s="253"/>
      <c r="AO2323" s="253"/>
      <c r="AP2323" s="253"/>
      <c r="AQ2323" s="253"/>
      <c r="AR2323" s="253"/>
      <c r="AS2323" s="253"/>
      <c r="AT2323" s="253"/>
      <c r="AU2323" s="253"/>
      <c r="AV2323" s="253"/>
      <c r="AW2323" s="253"/>
      <c r="AX2323" s="253"/>
      <c r="AY2323" s="253"/>
      <c r="AZ2323" s="253"/>
    </row>
    <row r="2324" spans="1:52" ht="15.5" customHeight="1">
      <c r="A2324" s="363"/>
      <c r="B2324" s="343"/>
      <c r="C2324" s="7"/>
      <c r="D2324" s="254"/>
      <c r="E2324" s="254"/>
      <c r="F2324" s="254"/>
      <c r="G2324" s="253"/>
      <c r="H2324" s="253"/>
      <c r="I2324" s="253"/>
      <c r="J2324" s="253"/>
      <c r="K2324" s="253"/>
      <c r="L2324" s="7"/>
      <c r="M2324" s="7"/>
      <c r="N2324" s="253"/>
      <c r="O2324" s="255"/>
      <c r="P2324" s="253"/>
      <c r="Q2324" s="7"/>
      <c r="R2324" s="7"/>
      <c r="S2324" s="7"/>
      <c r="T2324" s="7"/>
      <c r="U2324" s="7"/>
      <c r="V2324" s="253"/>
      <c r="W2324" s="7"/>
      <c r="X2324" s="256"/>
      <c r="Y2324" s="256"/>
      <c r="Z2324" s="256"/>
      <c r="AA2324" s="256"/>
      <c r="AB2324" s="257"/>
      <c r="AC2324" s="258"/>
      <c r="AD2324" s="7"/>
      <c r="AE2324" s="253"/>
      <c r="AF2324" s="253"/>
      <c r="AG2324" s="259"/>
      <c r="AH2324" s="253"/>
      <c r="AI2324" s="253"/>
      <c r="AJ2324" s="7"/>
      <c r="AK2324" s="253"/>
      <c r="AL2324" s="253"/>
      <c r="AM2324" s="7"/>
      <c r="AN2324" s="253"/>
      <c r="AO2324" s="253"/>
      <c r="AP2324" s="253"/>
      <c r="AQ2324" s="253"/>
      <c r="AR2324" s="253"/>
      <c r="AS2324" s="253"/>
      <c r="AT2324" s="253"/>
      <c r="AU2324" s="253"/>
      <c r="AV2324" s="253"/>
      <c r="AW2324" s="253"/>
      <c r="AX2324" s="253"/>
      <c r="AY2324" s="253"/>
      <c r="AZ2324" s="253"/>
    </row>
    <row r="2325" spans="1:52" ht="15.5" customHeight="1">
      <c r="A2325" s="363"/>
      <c r="B2325" s="343"/>
      <c r="C2325" s="7"/>
      <c r="D2325" s="254"/>
      <c r="E2325" s="254"/>
      <c r="F2325" s="254"/>
      <c r="G2325" s="253"/>
      <c r="H2325" s="253"/>
      <c r="I2325" s="253"/>
      <c r="J2325" s="253"/>
      <c r="K2325" s="253"/>
      <c r="L2325" s="7"/>
      <c r="M2325" s="7"/>
      <c r="N2325" s="253"/>
      <c r="O2325" s="255"/>
      <c r="P2325" s="253"/>
      <c r="Q2325" s="7"/>
      <c r="R2325" s="7"/>
      <c r="S2325" s="7"/>
      <c r="T2325" s="7"/>
      <c r="U2325" s="7"/>
      <c r="V2325" s="253"/>
      <c r="W2325" s="7"/>
      <c r="X2325" s="256"/>
      <c r="Y2325" s="256"/>
      <c r="Z2325" s="256"/>
      <c r="AA2325" s="256"/>
      <c r="AB2325" s="257"/>
      <c r="AC2325" s="258"/>
      <c r="AD2325" s="7"/>
      <c r="AE2325" s="253"/>
      <c r="AF2325" s="253"/>
      <c r="AG2325" s="259"/>
      <c r="AH2325" s="253"/>
      <c r="AI2325" s="253"/>
      <c r="AJ2325" s="7"/>
      <c r="AK2325" s="253"/>
      <c r="AL2325" s="253"/>
      <c r="AM2325" s="7"/>
      <c r="AN2325" s="253"/>
      <c r="AO2325" s="253"/>
      <c r="AP2325" s="253"/>
      <c r="AQ2325" s="253"/>
      <c r="AR2325" s="253"/>
      <c r="AS2325" s="253"/>
      <c r="AT2325" s="253"/>
      <c r="AU2325" s="253"/>
      <c r="AV2325" s="253"/>
      <c r="AW2325" s="253"/>
      <c r="AX2325" s="253"/>
      <c r="AY2325" s="253"/>
      <c r="AZ2325" s="253"/>
    </row>
    <row r="2326" spans="1:52" ht="15.5" customHeight="1">
      <c r="A2326" s="363"/>
      <c r="B2326" s="343"/>
      <c r="C2326" s="7"/>
      <c r="D2326" s="254"/>
      <c r="E2326" s="254"/>
      <c r="F2326" s="254"/>
      <c r="G2326" s="253"/>
      <c r="H2326" s="253"/>
      <c r="I2326" s="253"/>
      <c r="J2326" s="253"/>
      <c r="K2326" s="253"/>
      <c r="L2326" s="7"/>
      <c r="M2326" s="7"/>
      <c r="N2326" s="253"/>
      <c r="O2326" s="255"/>
      <c r="P2326" s="253"/>
      <c r="Q2326" s="7"/>
      <c r="R2326" s="7"/>
      <c r="S2326" s="7"/>
      <c r="T2326" s="7"/>
      <c r="U2326" s="7"/>
      <c r="V2326" s="253"/>
      <c r="W2326" s="7"/>
      <c r="X2326" s="256"/>
      <c r="Y2326" s="256"/>
      <c r="Z2326" s="256"/>
      <c r="AA2326" s="256"/>
      <c r="AB2326" s="257"/>
      <c r="AC2326" s="258"/>
      <c r="AD2326" s="7"/>
      <c r="AE2326" s="253"/>
      <c r="AF2326" s="253"/>
      <c r="AG2326" s="259"/>
      <c r="AH2326" s="253"/>
      <c r="AI2326" s="253"/>
      <c r="AJ2326" s="7"/>
      <c r="AK2326" s="253"/>
      <c r="AL2326" s="253"/>
      <c r="AM2326" s="7"/>
      <c r="AN2326" s="253"/>
      <c r="AO2326" s="253"/>
      <c r="AP2326" s="253"/>
      <c r="AQ2326" s="253"/>
      <c r="AR2326" s="253"/>
      <c r="AS2326" s="253"/>
      <c r="AT2326" s="253"/>
      <c r="AU2326" s="253"/>
      <c r="AV2326" s="253"/>
      <c r="AW2326" s="253"/>
      <c r="AX2326" s="253"/>
      <c r="AY2326" s="253"/>
      <c r="AZ2326" s="253"/>
    </row>
    <row r="2327" spans="1:52" ht="15.5" customHeight="1">
      <c r="A2327" s="363"/>
      <c r="B2327" s="343"/>
      <c r="C2327" s="7"/>
      <c r="D2327" s="254"/>
      <c r="E2327" s="254"/>
      <c r="F2327" s="254"/>
      <c r="G2327" s="253"/>
      <c r="H2327" s="253"/>
      <c r="I2327" s="253"/>
      <c r="J2327" s="253"/>
      <c r="K2327" s="253"/>
      <c r="L2327" s="7"/>
      <c r="M2327" s="7"/>
      <c r="N2327" s="253"/>
      <c r="O2327" s="255"/>
      <c r="P2327" s="253"/>
      <c r="Q2327" s="7"/>
      <c r="R2327" s="7"/>
      <c r="S2327" s="7"/>
      <c r="T2327" s="7"/>
      <c r="U2327" s="7"/>
      <c r="V2327" s="253"/>
      <c r="W2327" s="7"/>
      <c r="X2327" s="256"/>
      <c r="Y2327" s="256"/>
      <c r="Z2327" s="256"/>
      <c r="AA2327" s="256"/>
      <c r="AB2327" s="257"/>
      <c r="AC2327" s="258"/>
      <c r="AD2327" s="7"/>
      <c r="AE2327" s="253"/>
      <c r="AF2327" s="253"/>
      <c r="AG2327" s="259"/>
      <c r="AH2327" s="253"/>
      <c r="AI2327" s="253"/>
      <c r="AJ2327" s="7"/>
      <c r="AK2327" s="253"/>
      <c r="AL2327" s="253"/>
      <c r="AM2327" s="7"/>
      <c r="AN2327" s="253"/>
      <c r="AO2327" s="253"/>
      <c r="AP2327" s="253"/>
      <c r="AQ2327" s="253"/>
      <c r="AR2327" s="253"/>
      <c r="AS2327" s="253"/>
      <c r="AT2327" s="253"/>
      <c r="AU2327" s="253"/>
      <c r="AV2327" s="253"/>
      <c r="AW2327" s="253"/>
      <c r="AX2327" s="253"/>
      <c r="AY2327" s="253"/>
      <c r="AZ2327" s="253"/>
    </row>
    <row r="2328" spans="1:52" ht="15.5" customHeight="1">
      <c r="A2328" s="363"/>
      <c r="B2328" s="343"/>
      <c r="C2328" s="7"/>
      <c r="D2328" s="254"/>
      <c r="E2328" s="254"/>
      <c r="F2328" s="254"/>
      <c r="G2328" s="253"/>
      <c r="H2328" s="253"/>
      <c r="I2328" s="253"/>
      <c r="J2328" s="253"/>
      <c r="K2328" s="253"/>
      <c r="L2328" s="7"/>
      <c r="M2328" s="7"/>
      <c r="N2328" s="253"/>
      <c r="O2328" s="255"/>
      <c r="P2328" s="253"/>
      <c r="Q2328" s="7"/>
      <c r="R2328" s="7"/>
      <c r="S2328" s="7"/>
      <c r="T2328" s="7"/>
      <c r="U2328" s="7"/>
      <c r="V2328" s="253"/>
      <c r="W2328" s="7"/>
      <c r="X2328" s="256"/>
      <c r="Y2328" s="256"/>
      <c r="Z2328" s="256"/>
      <c r="AA2328" s="256"/>
      <c r="AB2328" s="257"/>
      <c r="AC2328" s="258"/>
      <c r="AD2328" s="7"/>
      <c r="AE2328" s="253"/>
      <c r="AF2328" s="253"/>
      <c r="AG2328" s="259"/>
      <c r="AH2328" s="253"/>
      <c r="AI2328" s="253"/>
      <c r="AJ2328" s="7"/>
      <c r="AK2328" s="253"/>
      <c r="AL2328" s="253"/>
      <c r="AM2328" s="7"/>
      <c r="AN2328" s="253"/>
      <c r="AO2328" s="253"/>
      <c r="AP2328" s="253"/>
      <c r="AQ2328" s="253"/>
      <c r="AR2328" s="253"/>
      <c r="AS2328" s="253"/>
      <c r="AT2328" s="253"/>
      <c r="AU2328" s="253"/>
      <c r="AV2328" s="253"/>
      <c r="AW2328" s="253"/>
      <c r="AX2328" s="253"/>
      <c r="AY2328" s="253"/>
      <c r="AZ2328" s="253"/>
    </row>
    <row r="2329" spans="1:52" ht="15.5" customHeight="1">
      <c r="A2329" s="363"/>
      <c r="B2329" s="343"/>
      <c r="C2329" s="7"/>
      <c r="D2329" s="254"/>
      <c r="E2329" s="254"/>
      <c r="F2329" s="254"/>
      <c r="G2329" s="253"/>
      <c r="H2329" s="253"/>
      <c r="I2329" s="253"/>
      <c r="J2329" s="253"/>
      <c r="K2329" s="253"/>
      <c r="L2329" s="7"/>
      <c r="M2329" s="7"/>
      <c r="N2329" s="253"/>
      <c r="O2329" s="255"/>
      <c r="P2329" s="253"/>
      <c r="Q2329" s="7"/>
      <c r="R2329" s="7"/>
      <c r="S2329" s="7"/>
      <c r="T2329" s="7"/>
      <c r="U2329" s="7"/>
      <c r="V2329" s="253"/>
      <c r="W2329" s="7"/>
      <c r="X2329" s="256"/>
      <c r="Y2329" s="256"/>
      <c r="Z2329" s="256"/>
      <c r="AA2329" s="256"/>
      <c r="AB2329" s="257"/>
      <c r="AC2329" s="258"/>
      <c r="AD2329" s="7"/>
      <c r="AE2329" s="253"/>
      <c r="AF2329" s="253"/>
      <c r="AG2329" s="259"/>
      <c r="AH2329" s="253"/>
      <c r="AI2329" s="253"/>
      <c r="AJ2329" s="7"/>
      <c r="AK2329" s="253"/>
      <c r="AL2329" s="253"/>
      <c r="AM2329" s="7"/>
      <c r="AN2329" s="253"/>
      <c r="AO2329" s="253"/>
      <c r="AP2329" s="253"/>
      <c r="AQ2329" s="253"/>
      <c r="AR2329" s="253"/>
      <c r="AS2329" s="253"/>
      <c r="AT2329" s="253"/>
      <c r="AU2329" s="253"/>
      <c r="AV2329" s="253"/>
      <c r="AW2329" s="253"/>
      <c r="AX2329" s="253"/>
      <c r="AY2329" s="253"/>
      <c r="AZ2329" s="253"/>
    </row>
    <row r="2330" spans="1:52" ht="15.5" customHeight="1">
      <c r="A2330" s="363"/>
      <c r="B2330" s="343"/>
      <c r="C2330" s="7"/>
      <c r="D2330" s="254"/>
      <c r="E2330" s="254"/>
      <c r="F2330" s="254"/>
      <c r="G2330" s="253"/>
      <c r="H2330" s="253"/>
      <c r="I2330" s="253"/>
      <c r="J2330" s="253"/>
      <c r="K2330" s="253"/>
      <c r="L2330" s="7"/>
      <c r="M2330" s="7"/>
      <c r="N2330" s="253"/>
      <c r="O2330" s="255"/>
      <c r="P2330" s="253"/>
      <c r="Q2330" s="7"/>
      <c r="R2330" s="7"/>
      <c r="S2330" s="7"/>
      <c r="T2330" s="7"/>
      <c r="U2330" s="7"/>
      <c r="V2330" s="253"/>
      <c r="W2330" s="7"/>
      <c r="X2330" s="256"/>
      <c r="Y2330" s="256"/>
      <c r="Z2330" s="256"/>
      <c r="AA2330" s="256"/>
      <c r="AB2330" s="257"/>
      <c r="AC2330" s="258"/>
      <c r="AD2330" s="7"/>
      <c r="AE2330" s="253"/>
      <c r="AF2330" s="253"/>
      <c r="AG2330" s="259"/>
      <c r="AH2330" s="253"/>
      <c r="AI2330" s="253"/>
      <c r="AJ2330" s="7"/>
      <c r="AK2330" s="253"/>
      <c r="AL2330" s="253"/>
      <c r="AM2330" s="7"/>
      <c r="AN2330" s="253"/>
      <c r="AO2330" s="253"/>
      <c r="AP2330" s="253"/>
      <c r="AQ2330" s="253"/>
      <c r="AR2330" s="253"/>
      <c r="AS2330" s="253"/>
      <c r="AT2330" s="253"/>
      <c r="AU2330" s="253"/>
      <c r="AV2330" s="253"/>
      <c r="AW2330" s="253"/>
      <c r="AX2330" s="253"/>
      <c r="AY2330" s="253"/>
      <c r="AZ2330" s="253"/>
    </row>
    <row r="2331" spans="1:52" ht="15.5" customHeight="1">
      <c r="A2331" s="363"/>
      <c r="B2331" s="343"/>
      <c r="C2331" s="7"/>
      <c r="D2331" s="254"/>
      <c r="E2331" s="254"/>
      <c r="F2331" s="254"/>
      <c r="G2331" s="253"/>
      <c r="H2331" s="253"/>
      <c r="I2331" s="253"/>
      <c r="J2331" s="253"/>
      <c r="K2331" s="253"/>
      <c r="L2331" s="7"/>
      <c r="M2331" s="7"/>
      <c r="N2331" s="253"/>
      <c r="O2331" s="255"/>
      <c r="P2331" s="253"/>
      <c r="Q2331" s="7"/>
      <c r="R2331" s="7"/>
      <c r="S2331" s="7"/>
      <c r="T2331" s="7"/>
      <c r="U2331" s="7"/>
      <c r="V2331" s="253"/>
      <c r="W2331" s="7"/>
      <c r="X2331" s="256"/>
      <c r="Y2331" s="256"/>
      <c r="Z2331" s="256"/>
      <c r="AA2331" s="256"/>
      <c r="AB2331" s="257"/>
      <c r="AC2331" s="258"/>
      <c r="AD2331" s="7"/>
      <c r="AE2331" s="253"/>
      <c r="AF2331" s="253"/>
      <c r="AG2331" s="259"/>
      <c r="AH2331" s="253"/>
      <c r="AI2331" s="253"/>
      <c r="AJ2331" s="7"/>
      <c r="AK2331" s="253"/>
      <c r="AL2331" s="253"/>
      <c r="AM2331" s="7"/>
      <c r="AN2331" s="253"/>
      <c r="AO2331" s="253"/>
      <c r="AP2331" s="253"/>
      <c r="AQ2331" s="253"/>
      <c r="AR2331" s="253"/>
      <c r="AS2331" s="253"/>
      <c r="AT2331" s="253"/>
      <c r="AU2331" s="253"/>
      <c r="AV2331" s="253"/>
      <c r="AW2331" s="253"/>
      <c r="AX2331" s="253"/>
      <c r="AY2331" s="253"/>
      <c r="AZ2331" s="253"/>
    </row>
    <row r="2332" spans="1:52" ht="15.5" customHeight="1">
      <c r="A2332" s="363"/>
      <c r="B2332" s="343"/>
      <c r="C2332" s="7"/>
      <c r="D2332" s="254"/>
      <c r="E2332" s="254"/>
      <c r="F2332" s="254"/>
      <c r="G2332" s="253"/>
      <c r="H2332" s="253"/>
      <c r="I2332" s="253"/>
      <c r="J2332" s="253"/>
      <c r="K2332" s="253"/>
      <c r="L2332" s="7"/>
      <c r="M2332" s="7"/>
      <c r="N2332" s="253"/>
      <c r="O2332" s="255"/>
      <c r="P2332" s="253"/>
      <c r="Q2332" s="7"/>
      <c r="R2332" s="7"/>
      <c r="S2332" s="7"/>
      <c r="T2332" s="7"/>
      <c r="U2332" s="7"/>
      <c r="V2332" s="253"/>
      <c r="W2332" s="7"/>
      <c r="X2332" s="256"/>
      <c r="Y2332" s="256"/>
      <c r="Z2332" s="256"/>
      <c r="AA2332" s="256"/>
      <c r="AB2332" s="257"/>
      <c r="AC2332" s="258"/>
      <c r="AD2332" s="7"/>
      <c r="AE2332" s="253"/>
      <c r="AF2332" s="253"/>
      <c r="AG2332" s="259"/>
      <c r="AH2332" s="253"/>
      <c r="AI2332" s="253"/>
      <c r="AJ2332" s="7"/>
      <c r="AK2332" s="253"/>
      <c r="AL2332" s="253"/>
      <c r="AM2332" s="7"/>
      <c r="AN2332" s="253"/>
      <c r="AO2332" s="253"/>
      <c r="AP2332" s="253"/>
      <c r="AQ2332" s="253"/>
      <c r="AR2332" s="253"/>
      <c r="AS2332" s="253"/>
      <c r="AT2332" s="253"/>
      <c r="AU2332" s="253"/>
      <c r="AV2332" s="253"/>
      <c r="AW2332" s="253"/>
      <c r="AX2332" s="253"/>
      <c r="AY2332" s="253"/>
      <c r="AZ2332" s="253"/>
    </row>
    <row r="2333" spans="1:52" ht="15.5" customHeight="1">
      <c r="A2333" s="363"/>
      <c r="B2333" s="343"/>
      <c r="C2333" s="7"/>
      <c r="D2333" s="254"/>
      <c r="E2333" s="254"/>
      <c r="F2333" s="254"/>
      <c r="G2333" s="253"/>
      <c r="H2333" s="253"/>
      <c r="I2333" s="253"/>
      <c r="J2333" s="253"/>
      <c r="K2333" s="253"/>
      <c r="L2333" s="7"/>
      <c r="M2333" s="7"/>
      <c r="N2333" s="253"/>
      <c r="O2333" s="255"/>
      <c r="P2333" s="253"/>
      <c r="Q2333" s="7"/>
      <c r="R2333" s="7"/>
      <c r="S2333" s="7"/>
      <c r="T2333" s="7"/>
      <c r="U2333" s="7"/>
      <c r="V2333" s="253"/>
      <c r="W2333" s="7"/>
      <c r="X2333" s="256"/>
      <c r="Y2333" s="256"/>
      <c r="Z2333" s="256"/>
      <c r="AA2333" s="256"/>
      <c r="AB2333" s="257"/>
      <c r="AC2333" s="258"/>
      <c r="AD2333" s="7"/>
      <c r="AE2333" s="253"/>
      <c r="AF2333" s="253"/>
      <c r="AG2333" s="259"/>
      <c r="AH2333" s="253"/>
      <c r="AI2333" s="253"/>
      <c r="AJ2333" s="7"/>
      <c r="AK2333" s="253"/>
      <c r="AL2333" s="253"/>
      <c r="AM2333" s="7"/>
      <c r="AN2333" s="253"/>
      <c r="AO2333" s="253"/>
      <c r="AP2333" s="253"/>
      <c r="AQ2333" s="253"/>
      <c r="AR2333" s="253"/>
      <c r="AS2333" s="253"/>
      <c r="AT2333" s="253"/>
      <c r="AU2333" s="253"/>
      <c r="AV2333" s="253"/>
      <c r="AW2333" s="253"/>
      <c r="AX2333" s="253"/>
      <c r="AY2333" s="253"/>
      <c r="AZ2333" s="253"/>
    </row>
    <row r="2334" spans="1:52" ht="15.5" customHeight="1">
      <c r="A2334" s="363"/>
      <c r="B2334" s="343"/>
      <c r="C2334" s="7"/>
      <c r="D2334" s="254"/>
      <c r="E2334" s="254"/>
      <c r="F2334" s="254"/>
      <c r="G2334" s="253"/>
      <c r="H2334" s="253"/>
      <c r="I2334" s="253"/>
      <c r="J2334" s="253"/>
      <c r="K2334" s="253"/>
      <c r="L2334" s="7"/>
      <c r="M2334" s="7"/>
      <c r="N2334" s="253"/>
      <c r="O2334" s="255"/>
      <c r="P2334" s="253"/>
      <c r="Q2334" s="7"/>
      <c r="R2334" s="7"/>
      <c r="S2334" s="7"/>
      <c r="T2334" s="7"/>
      <c r="U2334" s="7"/>
      <c r="V2334" s="253"/>
      <c r="W2334" s="7"/>
      <c r="X2334" s="256"/>
      <c r="Y2334" s="256"/>
      <c r="Z2334" s="256"/>
      <c r="AA2334" s="256"/>
      <c r="AB2334" s="257"/>
      <c r="AC2334" s="258"/>
      <c r="AD2334" s="7"/>
      <c r="AE2334" s="253"/>
      <c r="AF2334" s="253"/>
      <c r="AG2334" s="259"/>
      <c r="AH2334" s="253"/>
      <c r="AI2334" s="253"/>
      <c r="AJ2334" s="7"/>
      <c r="AK2334" s="253"/>
      <c r="AL2334" s="253"/>
      <c r="AM2334" s="7"/>
      <c r="AN2334" s="253"/>
      <c r="AO2334" s="253"/>
      <c r="AP2334" s="253"/>
      <c r="AQ2334" s="253"/>
      <c r="AR2334" s="253"/>
      <c r="AS2334" s="253"/>
      <c r="AT2334" s="253"/>
      <c r="AU2334" s="253"/>
      <c r="AV2334" s="253"/>
      <c r="AW2334" s="253"/>
      <c r="AX2334" s="253"/>
      <c r="AY2334" s="253"/>
      <c r="AZ2334" s="253"/>
    </row>
    <row r="2335" spans="1:52" ht="15.5" customHeight="1">
      <c r="A2335" s="363"/>
      <c r="B2335" s="343"/>
      <c r="C2335" s="7"/>
      <c r="D2335" s="254"/>
      <c r="E2335" s="254"/>
      <c r="F2335" s="254"/>
      <c r="G2335" s="253"/>
      <c r="H2335" s="253"/>
      <c r="I2335" s="253"/>
      <c r="J2335" s="253"/>
      <c r="K2335" s="253"/>
      <c r="L2335" s="7"/>
      <c r="M2335" s="7"/>
      <c r="N2335" s="253"/>
      <c r="O2335" s="255"/>
      <c r="P2335" s="253"/>
      <c r="Q2335" s="7"/>
      <c r="R2335" s="7"/>
      <c r="S2335" s="7"/>
      <c r="T2335" s="7"/>
      <c r="U2335" s="7"/>
      <c r="V2335" s="253"/>
      <c r="W2335" s="7"/>
      <c r="X2335" s="256"/>
      <c r="Y2335" s="256"/>
      <c r="Z2335" s="256"/>
      <c r="AA2335" s="256"/>
      <c r="AB2335" s="257"/>
      <c r="AC2335" s="258"/>
      <c r="AD2335" s="7"/>
      <c r="AE2335" s="253"/>
      <c r="AF2335" s="253"/>
      <c r="AG2335" s="259"/>
      <c r="AH2335" s="253"/>
      <c r="AI2335" s="253"/>
      <c r="AJ2335" s="7"/>
      <c r="AK2335" s="253"/>
      <c r="AL2335" s="253"/>
      <c r="AM2335" s="7"/>
      <c r="AN2335" s="253"/>
      <c r="AO2335" s="253"/>
      <c r="AP2335" s="253"/>
      <c r="AQ2335" s="253"/>
      <c r="AR2335" s="253"/>
      <c r="AS2335" s="253"/>
      <c r="AT2335" s="253"/>
      <c r="AU2335" s="253"/>
      <c r="AV2335" s="253"/>
      <c r="AW2335" s="253"/>
      <c r="AX2335" s="253"/>
      <c r="AY2335" s="253"/>
      <c r="AZ2335" s="253"/>
    </row>
    <row r="2336" spans="1:52" ht="15.5" customHeight="1">
      <c r="A2336" s="363"/>
      <c r="B2336" s="343"/>
      <c r="C2336" s="7"/>
      <c r="D2336" s="254"/>
      <c r="E2336" s="254"/>
      <c r="F2336" s="254"/>
      <c r="G2336" s="253"/>
      <c r="H2336" s="253"/>
      <c r="I2336" s="253"/>
      <c r="J2336" s="253"/>
      <c r="K2336" s="253"/>
      <c r="L2336" s="7"/>
      <c r="M2336" s="7"/>
      <c r="N2336" s="253"/>
      <c r="O2336" s="255"/>
      <c r="P2336" s="253"/>
      <c r="Q2336" s="7"/>
      <c r="R2336" s="7"/>
      <c r="S2336" s="7"/>
      <c r="T2336" s="7"/>
      <c r="U2336" s="7"/>
      <c r="V2336" s="253"/>
      <c r="W2336" s="7"/>
      <c r="X2336" s="256"/>
      <c r="Y2336" s="256"/>
      <c r="Z2336" s="256"/>
      <c r="AA2336" s="256"/>
      <c r="AB2336" s="257"/>
      <c r="AC2336" s="258"/>
      <c r="AD2336" s="7"/>
      <c r="AE2336" s="253"/>
      <c r="AF2336" s="253"/>
      <c r="AG2336" s="259"/>
      <c r="AH2336" s="253"/>
      <c r="AI2336" s="253"/>
      <c r="AJ2336" s="7"/>
      <c r="AK2336" s="253"/>
      <c r="AL2336" s="253"/>
      <c r="AM2336" s="7"/>
      <c r="AN2336" s="253"/>
      <c r="AO2336" s="253"/>
      <c r="AP2336" s="253"/>
      <c r="AQ2336" s="253"/>
      <c r="AR2336" s="253"/>
      <c r="AS2336" s="253"/>
      <c r="AT2336" s="253"/>
      <c r="AU2336" s="253"/>
      <c r="AV2336" s="253"/>
      <c r="AW2336" s="253"/>
      <c r="AX2336" s="253"/>
      <c r="AY2336" s="253"/>
      <c r="AZ2336" s="253"/>
    </row>
    <row r="2337" spans="1:52" ht="15.5" customHeight="1">
      <c r="A2337" s="363"/>
      <c r="B2337" s="343"/>
      <c r="C2337" s="7"/>
      <c r="D2337" s="254"/>
      <c r="E2337" s="254"/>
      <c r="F2337" s="254"/>
      <c r="G2337" s="253"/>
      <c r="H2337" s="253"/>
      <c r="I2337" s="253"/>
      <c r="J2337" s="253"/>
      <c r="K2337" s="253"/>
      <c r="L2337" s="7"/>
      <c r="M2337" s="7"/>
      <c r="N2337" s="253"/>
      <c r="O2337" s="255"/>
      <c r="P2337" s="253"/>
      <c r="Q2337" s="7"/>
      <c r="R2337" s="7"/>
      <c r="S2337" s="7"/>
      <c r="T2337" s="7"/>
      <c r="U2337" s="7"/>
      <c r="V2337" s="253"/>
      <c r="W2337" s="7"/>
      <c r="X2337" s="256"/>
      <c r="Y2337" s="256"/>
      <c r="Z2337" s="256"/>
      <c r="AA2337" s="256"/>
      <c r="AB2337" s="257"/>
      <c r="AC2337" s="258"/>
      <c r="AD2337" s="7"/>
      <c r="AE2337" s="253"/>
      <c r="AF2337" s="253"/>
      <c r="AG2337" s="259"/>
      <c r="AH2337" s="253"/>
      <c r="AI2337" s="253"/>
      <c r="AJ2337" s="7"/>
      <c r="AK2337" s="253"/>
      <c r="AL2337" s="253"/>
      <c r="AM2337" s="7"/>
      <c r="AN2337" s="253"/>
      <c r="AO2337" s="253"/>
      <c r="AP2337" s="253"/>
      <c r="AQ2337" s="253"/>
      <c r="AR2337" s="253"/>
      <c r="AS2337" s="253"/>
      <c r="AT2337" s="253"/>
      <c r="AU2337" s="253"/>
      <c r="AV2337" s="253"/>
      <c r="AW2337" s="253"/>
      <c r="AX2337" s="253"/>
      <c r="AY2337" s="253"/>
      <c r="AZ2337" s="253"/>
    </row>
    <row r="2338" spans="1:52" ht="15.5" customHeight="1">
      <c r="A2338" s="363"/>
      <c r="B2338" s="343"/>
      <c r="C2338" s="7"/>
      <c r="D2338" s="254"/>
      <c r="E2338" s="254"/>
      <c r="F2338" s="254"/>
      <c r="G2338" s="253"/>
      <c r="H2338" s="253"/>
      <c r="I2338" s="253"/>
      <c r="J2338" s="253"/>
      <c r="K2338" s="253"/>
      <c r="L2338" s="7"/>
      <c r="M2338" s="7"/>
      <c r="N2338" s="253"/>
      <c r="O2338" s="255"/>
      <c r="P2338" s="253"/>
      <c r="Q2338" s="7"/>
      <c r="R2338" s="7"/>
      <c r="S2338" s="7"/>
      <c r="T2338" s="7"/>
      <c r="U2338" s="7"/>
      <c r="V2338" s="253"/>
      <c r="W2338" s="7"/>
      <c r="X2338" s="256"/>
      <c r="Y2338" s="256"/>
      <c r="Z2338" s="256"/>
      <c r="AA2338" s="256"/>
      <c r="AB2338" s="257"/>
      <c r="AC2338" s="258"/>
      <c r="AD2338" s="7"/>
      <c r="AE2338" s="253"/>
      <c r="AF2338" s="253"/>
      <c r="AG2338" s="259"/>
      <c r="AH2338" s="253"/>
      <c r="AI2338" s="253"/>
      <c r="AJ2338" s="7"/>
      <c r="AK2338" s="253"/>
      <c r="AL2338" s="253"/>
      <c r="AM2338" s="7"/>
      <c r="AN2338" s="253"/>
      <c r="AO2338" s="253"/>
      <c r="AP2338" s="253"/>
      <c r="AQ2338" s="253"/>
      <c r="AR2338" s="253"/>
      <c r="AS2338" s="253"/>
      <c r="AT2338" s="253"/>
      <c r="AU2338" s="253"/>
      <c r="AV2338" s="253"/>
      <c r="AW2338" s="253"/>
      <c r="AX2338" s="253"/>
      <c r="AY2338" s="253"/>
      <c r="AZ2338" s="253"/>
    </row>
    <row r="2339" spans="1:52" ht="15.5" customHeight="1">
      <c r="A2339" s="363"/>
      <c r="B2339" s="343"/>
      <c r="C2339" s="7"/>
      <c r="D2339" s="254"/>
      <c r="E2339" s="254"/>
      <c r="F2339" s="254"/>
      <c r="G2339" s="253"/>
      <c r="H2339" s="253"/>
      <c r="I2339" s="253"/>
      <c r="J2339" s="253"/>
      <c r="K2339" s="253"/>
      <c r="L2339" s="7"/>
      <c r="M2339" s="7"/>
      <c r="N2339" s="253"/>
      <c r="O2339" s="255"/>
      <c r="P2339" s="253"/>
      <c r="Q2339" s="7"/>
      <c r="R2339" s="7"/>
      <c r="S2339" s="7"/>
      <c r="T2339" s="7"/>
      <c r="U2339" s="7"/>
      <c r="V2339" s="253"/>
      <c r="W2339" s="7"/>
      <c r="X2339" s="256"/>
      <c r="Y2339" s="256"/>
      <c r="Z2339" s="256"/>
      <c r="AA2339" s="256"/>
      <c r="AB2339" s="257"/>
      <c r="AC2339" s="258"/>
      <c r="AD2339" s="7"/>
      <c r="AE2339" s="253"/>
      <c r="AF2339" s="253"/>
      <c r="AG2339" s="259"/>
      <c r="AH2339" s="253"/>
      <c r="AI2339" s="253"/>
      <c r="AJ2339" s="7"/>
      <c r="AK2339" s="253"/>
      <c r="AL2339" s="253"/>
      <c r="AM2339" s="7"/>
      <c r="AN2339" s="253"/>
      <c r="AO2339" s="253"/>
      <c r="AP2339" s="253"/>
      <c r="AQ2339" s="253"/>
      <c r="AR2339" s="253"/>
      <c r="AS2339" s="253"/>
      <c r="AT2339" s="253"/>
      <c r="AU2339" s="253"/>
      <c r="AV2339" s="253"/>
      <c r="AW2339" s="253"/>
      <c r="AX2339" s="253"/>
      <c r="AY2339" s="253"/>
      <c r="AZ2339" s="253"/>
    </row>
    <row r="2340" spans="1:52" ht="15.5" customHeight="1">
      <c r="A2340" s="363"/>
      <c r="B2340" s="343"/>
      <c r="C2340" s="7"/>
      <c r="D2340" s="254"/>
      <c r="E2340" s="254"/>
      <c r="F2340" s="254"/>
      <c r="G2340" s="253"/>
      <c r="H2340" s="253"/>
      <c r="I2340" s="253"/>
      <c r="J2340" s="253"/>
      <c r="K2340" s="253"/>
      <c r="L2340" s="7"/>
      <c r="M2340" s="7"/>
      <c r="N2340" s="253"/>
      <c r="O2340" s="255"/>
      <c r="P2340" s="253"/>
      <c r="Q2340" s="7"/>
      <c r="R2340" s="7"/>
      <c r="S2340" s="7"/>
      <c r="T2340" s="7"/>
      <c r="U2340" s="7"/>
      <c r="V2340" s="253"/>
      <c r="W2340" s="7"/>
      <c r="X2340" s="256"/>
      <c r="Y2340" s="256"/>
      <c r="Z2340" s="256"/>
      <c r="AA2340" s="256"/>
      <c r="AB2340" s="257"/>
      <c r="AC2340" s="258"/>
      <c r="AD2340" s="7"/>
      <c r="AE2340" s="253"/>
      <c r="AF2340" s="253"/>
      <c r="AG2340" s="259"/>
      <c r="AH2340" s="253"/>
      <c r="AI2340" s="253"/>
      <c r="AJ2340" s="7"/>
      <c r="AK2340" s="253"/>
      <c r="AL2340" s="253"/>
      <c r="AM2340" s="7"/>
      <c r="AN2340" s="253"/>
      <c r="AO2340" s="253"/>
      <c r="AP2340" s="253"/>
      <c r="AQ2340" s="253"/>
      <c r="AR2340" s="253"/>
      <c r="AS2340" s="253"/>
      <c r="AT2340" s="253"/>
      <c r="AU2340" s="253"/>
      <c r="AV2340" s="253"/>
      <c r="AW2340" s="253"/>
      <c r="AX2340" s="253"/>
      <c r="AY2340" s="253"/>
      <c r="AZ2340" s="253"/>
    </row>
    <row r="2341" spans="1:52" ht="15.5" customHeight="1">
      <c r="A2341" s="363"/>
      <c r="B2341" s="343"/>
      <c r="C2341" s="7"/>
      <c r="D2341" s="254"/>
      <c r="E2341" s="254"/>
      <c r="F2341" s="254"/>
      <c r="G2341" s="253"/>
      <c r="H2341" s="253"/>
      <c r="I2341" s="253"/>
      <c r="J2341" s="253"/>
      <c r="K2341" s="253"/>
      <c r="L2341" s="7"/>
      <c r="M2341" s="7"/>
      <c r="N2341" s="253"/>
      <c r="O2341" s="255"/>
      <c r="P2341" s="253"/>
      <c r="Q2341" s="7"/>
      <c r="R2341" s="7"/>
      <c r="S2341" s="7"/>
      <c r="T2341" s="7"/>
      <c r="U2341" s="7"/>
      <c r="V2341" s="253"/>
      <c r="W2341" s="7"/>
      <c r="X2341" s="256"/>
      <c r="Y2341" s="256"/>
      <c r="Z2341" s="256"/>
      <c r="AA2341" s="256"/>
      <c r="AB2341" s="257"/>
      <c r="AC2341" s="258"/>
      <c r="AD2341" s="7"/>
      <c r="AE2341" s="253"/>
      <c r="AF2341" s="253"/>
      <c r="AG2341" s="259"/>
      <c r="AH2341" s="253"/>
      <c r="AI2341" s="253"/>
      <c r="AJ2341" s="7"/>
      <c r="AK2341" s="253"/>
      <c r="AL2341" s="253"/>
      <c r="AM2341" s="7"/>
      <c r="AN2341" s="253"/>
      <c r="AO2341" s="253"/>
      <c r="AP2341" s="253"/>
      <c r="AQ2341" s="253"/>
      <c r="AR2341" s="253"/>
      <c r="AS2341" s="253"/>
      <c r="AT2341" s="253"/>
      <c r="AU2341" s="253"/>
      <c r="AV2341" s="253"/>
      <c r="AW2341" s="253"/>
      <c r="AX2341" s="253"/>
      <c r="AY2341" s="253"/>
      <c r="AZ2341" s="253"/>
    </row>
    <row r="2342" spans="1:52" ht="15.5" customHeight="1">
      <c r="A2342" s="363"/>
      <c r="B2342" s="343"/>
      <c r="C2342" s="7"/>
      <c r="D2342" s="254"/>
      <c r="E2342" s="254"/>
      <c r="F2342" s="254"/>
      <c r="G2342" s="253"/>
      <c r="H2342" s="253"/>
      <c r="I2342" s="253"/>
      <c r="J2342" s="253"/>
      <c r="K2342" s="253"/>
      <c r="L2342" s="7"/>
      <c r="M2342" s="7"/>
      <c r="N2342" s="253"/>
      <c r="O2342" s="255"/>
      <c r="P2342" s="253"/>
      <c r="Q2342" s="7"/>
      <c r="R2342" s="7"/>
      <c r="S2342" s="7"/>
      <c r="T2342" s="7"/>
      <c r="U2342" s="7"/>
      <c r="V2342" s="253"/>
      <c r="W2342" s="7"/>
      <c r="X2342" s="256"/>
      <c r="Y2342" s="256"/>
      <c r="Z2342" s="256"/>
      <c r="AA2342" s="256"/>
      <c r="AB2342" s="257"/>
      <c r="AC2342" s="258"/>
      <c r="AD2342" s="7"/>
      <c r="AE2342" s="253"/>
      <c r="AF2342" s="253"/>
      <c r="AG2342" s="259"/>
      <c r="AH2342" s="253"/>
      <c r="AI2342" s="253"/>
      <c r="AJ2342" s="7"/>
      <c r="AK2342" s="253"/>
      <c r="AL2342" s="253"/>
      <c r="AM2342" s="7"/>
      <c r="AN2342" s="253"/>
      <c r="AO2342" s="253"/>
      <c r="AP2342" s="253"/>
      <c r="AQ2342" s="253"/>
      <c r="AR2342" s="253"/>
      <c r="AS2342" s="253"/>
      <c r="AT2342" s="253"/>
      <c r="AU2342" s="253"/>
      <c r="AV2342" s="253"/>
      <c r="AW2342" s="253"/>
      <c r="AX2342" s="253"/>
      <c r="AY2342" s="253"/>
      <c r="AZ2342" s="253"/>
    </row>
    <row r="2343" spans="1:52" ht="15.5" customHeight="1">
      <c r="A2343" s="363"/>
      <c r="B2343" s="343"/>
      <c r="C2343" s="7"/>
      <c r="D2343" s="254"/>
      <c r="E2343" s="254"/>
      <c r="F2343" s="254"/>
      <c r="G2343" s="253"/>
      <c r="H2343" s="253"/>
      <c r="I2343" s="253"/>
      <c r="J2343" s="253"/>
      <c r="K2343" s="253"/>
      <c r="L2343" s="7"/>
      <c r="M2343" s="7"/>
      <c r="N2343" s="253"/>
      <c r="O2343" s="255"/>
      <c r="P2343" s="253"/>
      <c r="Q2343" s="7"/>
      <c r="R2343" s="7"/>
      <c r="S2343" s="7"/>
      <c r="T2343" s="7"/>
      <c r="U2343" s="7"/>
      <c r="V2343" s="253"/>
      <c r="W2343" s="7"/>
      <c r="X2343" s="256"/>
      <c r="Y2343" s="256"/>
      <c r="Z2343" s="256"/>
      <c r="AA2343" s="256"/>
      <c r="AB2343" s="257"/>
      <c r="AC2343" s="258"/>
      <c r="AD2343" s="7"/>
      <c r="AE2343" s="253"/>
      <c r="AF2343" s="253"/>
      <c r="AG2343" s="259"/>
      <c r="AH2343" s="253"/>
      <c r="AI2343" s="253"/>
      <c r="AJ2343" s="7"/>
      <c r="AK2343" s="253"/>
      <c r="AL2343" s="253"/>
      <c r="AM2343" s="7"/>
      <c r="AN2343" s="253"/>
      <c r="AO2343" s="253"/>
      <c r="AP2343" s="253"/>
      <c r="AQ2343" s="253"/>
      <c r="AR2343" s="253"/>
      <c r="AS2343" s="253"/>
      <c r="AT2343" s="253"/>
      <c r="AU2343" s="253"/>
      <c r="AV2343" s="253"/>
      <c r="AW2343" s="253"/>
      <c r="AX2343" s="253"/>
      <c r="AY2343" s="253"/>
      <c r="AZ2343" s="253"/>
    </row>
    <row r="2344" spans="1:52" ht="15.5" customHeight="1">
      <c r="A2344" s="363"/>
      <c r="B2344" s="343"/>
      <c r="C2344" s="7"/>
      <c r="D2344" s="254"/>
      <c r="E2344" s="254"/>
      <c r="F2344" s="254"/>
      <c r="G2344" s="253"/>
      <c r="H2344" s="253"/>
      <c r="I2344" s="253"/>
      <c r="J2344" s="253"/>
      <c r="K2344" s="253"/>
      <c r="L2344" s="7"/>
      <c r="M2344" s="7"/>
      <c r="N2344" s="253"/>
      <c r="O2344" s="255"/>
      <c r="P2344" s="253"/>
      <c r="Q2344" s="7"/>
      <c r="R2344" s="7"/>
      <c r="S2344" s="7"/>
      <c r="T2344" s="7"/>
      <c r="U2344" s="7"/>
      <c r="V2344" s="253"/>
      <c r="W2344" s="7"/>
      <c r="X2344" s="256"/>
      <c r="Y2344" s="256"/>
      <c r="Z2344" s="256"/>
      <c r="AA2344" s="256"/>
      <c r="AB2344" s="257"/>
      <c r="AC2344" s="258"/>
      <c r="AD2344" s="7"/>
      <c r="AE2344" s="253"/>
      <c r="AF2344" s="253"/>
      <c r="AG2344" s="259"/>
      <c r="AH2344" s="253"/>
      <c r="AI2344" s="253"/>
      <c r="AJ2344" s="7"/>
      <c r="AK2344" s="253"/>
      <c r="AL2344" s="253"/>
      <c r="AM2344" s="7"/>
      <c r="AN2344" s="253"/>
      <c r="AO2344" s="253"/>
      <c r="AP2344" s="253"/>
      <c r="AQ2344" s="253"/>
      <c r="AR2344" s="253"/>
      <c r="AS2344" s="253"/>
      <c r="AT2344" s="253"/>
      <c r="AU2344" s="253"/>
      <c r="AV2344" s="253"/>
      <c r="AW2344" s="253"/>
      <c r="AX2344" s="253"/>
      <c r="AY2344" s="253"/>
      <c r="AZ2344" s="253"/>
    </row>
    <row r="2345" spans="1:52" ht="15.5" customHeight="1">
      <c r="A2345" s="363"/>
      <c r="B2345" s="343"/>
      <c r="C2345" s="7"/>
      <c r="D2345" s="254"/>
      <c r="E2345" s="254"/>
      <c r="F2345" s="254"/>
      <c r="G2345" s="253"/>
      <c r="H2345" s="253"/>
      <c r="I2345" s="253"/>
      <c r="J2345" s="253"/>
      <c r="K2345" s="253"/>
      <c r="L2345" s="7"/>
      <c r="M2345" s="7"/>
      <c r="N2345" s="253"/>
      <c r="O2345" s="255"/>
      <c r="P2345" s="253"/>
      <c r="Q2345" s="7"/>
      <c r="R2345" s="7"/>
      <c r="S2345" s="7"/>
      <c r="T2345" s="7"/>
      <c r="U2345" s="7"/>
      <c r="V2345" s="253"/>
      <c r="W2345" s="7"/>
      <c r="X2345" s="256"/>
      <c r="Y2345" s="256"/>
      <c r="Z2345" s="256"/>
      <c r="AA2345" s="256"/>
      <c r="AB2345" s="257"/>
      <c r="AC2345" s="258"/>
      <c r="AD2345" s="7"/>
      <c r="AE2345" s="253"/>
      <c r="AF2345" s="253"/>
      <c r="AG2345" s="259"/>
      <c r="AH2345" s="253"/>
      <c r="AI2345" s="253"/>
      <c r="AJ2345" s="7"/>
      <c r="AK2345" s="253"/>
      <c r="AL2345" s="253"/>
      <c r="AM2345" s="7"/>
      <c r="AN2345" s="253"/>
      <c r="AO2345" s="253"/>
      <c r="AP2345" s="253"/>
      <c r="AQ2345" s="253"/>
      <c r="AR2345" s="253"/>
      <c r="AS2345" s="253"/>
      <c r="AT2345" s="253"/>
      <c r="AU2345" s="253"/>
      <c r="AV2345" s="253"/>
      <c r="AW2345" s="253"/>
      <c r="AX2345" s="253"/>
      <c r="AY2345" s="253"/>
      <c r="AZ2345" s="253"/>
    </row>
    <row r="2346" spans="1:52" ht="15.5" customHeight="1">
      <c r="A2346" s="363"/>
      <c r="B2346" s="343"/>
      <c r="C2346" s="7"/>
      <c r="D2346" s="254"/>
      <c r="E2346" s="254"/>
      <c r="F2346" s="254"/>
      <c r="G2346" s="253"/>
      <c r="H2346" s="253"/>
      <c r="I2346" s="253"/>
      <c r="J2346" s="253"/>
      <c r="K2346" s="253"/>
      <c r="L2346" s="7"/>
      <c r="M2346" s="7"/>
      <c r="N2346" s="253"/>
      <c r="O2346" s="255"/>
      <c r="P2346" s="253"/>
      <c r="Q2346" s="7"/>
      <c r="R2346" s="7"/>
      <c r="S2346" s="7"/>
      <c r="T2346" s="7"/>
      <c r="U2346" s="7"/>
      <c r="V2346" s="253"/>
      <c r="W2346" s="7"/>
      <c r="X2346" s="256"/>
      <c r="Y2346" s="256"/>
      <c r="Z2346" s="256"/>
      <c r="AA2346" s="256"/>
      <c r="AB2346" s="257"/>
      <c r="AC2346" s="258"/>
      <c r="AD2346" s="7"/>
      <c r="AE2346" s="253"/>
      <c r="AF2346" s="253"/>
      <c r="AG2346" s="259"/>
      <c r="AH2346" s="253"/>
      <c r="AI2346" s="253"/>
      <c r="AJ2346" s="7"/>
      <c r="AK2346" s="253"/>
      <c r="AL2346" s="253"/>
      <c r="AM2346" s="7"/>
      <c r="AN2346" s="253"/>
      <c r="AO2346" s="253"/>
      <c r="AP2346" s="253"/>
      <c r="AQ2346" s="253"/>
      <c r="AR2346" s="253"/>
      <c r="AS2346" s="253"/>
      <c r="AT2346" s="253"/>
      <c r="AU2346" s="253"/>
      <c r="AV2346" s="253"/>
      <c r="AW2346" s="253"/>
      <c r="AX2346" s="253"/>
      <c r="AY2346" s="253"/>
      <c r="AZ2346" s="253"/>
    </row>
    <row r="2347" spans="1:52" ht="15.5" customHeight="1">
      <c r="A2347" s="363"/>
      <c r="B2347" s="343"/>
      <c r="C2347" s="7"/>
      <c r="D2347" s="254"/>
      <c r="E2347" s="254"/>
      <c r="F2347" s="254"/>
      <c r="G2347" s="253"/>
      <c r="H2347" s="253"/>
      <c r="I2347" s="253"/>
      <c r="J2347" s="253"/>
      <c r="K2347" s="253"/>
      <c r="L2347" s="7"/>
      <c r="M2347" s="7"/>
      <c r="N2347" s="253"/>
      <c r="O2347" s="255"/>
      <c r="P2347" s="253"/>
      <c r="Q2347" s="7"/>
      <c r="R2347" s="7"/>
      <c r="S2347" s="7"/>
      <c r="T2347" s="7"/>
      <c r="U2347" s="7"/>
      <c r="V2347" s="253"/>
      <c r="W2347" s="7"/>
      <c r="X2347" s="256"/>
      <c r="Y2347" s="256"/>
      <c r="Z2347" s="256"/>
      <c r="AA2347" s="256"/>
      <c r="AB2347" s="257"/>
      <c r="AC2347" s="258"/>
      <c r="AD2347" s="7"/>
      <c r="AE2347" s="253"/>
      <c r="AF2347" s="253"/>
      <c r="AG2347" s="259"/>
      <c r="AH2347" s="253"/>
      <c r="AI2347" s="253"/>
      <c r="AJ2347" s="7"/>
      <c r="AK2347" s="253"/>
      <c r="AL2347" s="253"/>
      <c r="AM2347" s="7"/>
      <c r="AN2347" s="253"/>
      <c r="AO2347" s="253"/>
      <c r="AP2347" s="253"/>
      <c r="AQ2347" s="253"/>
      <c r="AR2347" s="253"/>
      <c r="AS2347" s="253"/>
      <c r="AT2347" s="253"/>
      <c r="AU2347" s="253"/>
      <c r="AV2347" s="253"/>
      <c r="AW2347" s="253"/>
      <c r="AX2347" s="253"/>
      <c r="AY2347" s="253"/>
      <c r="AZ2347" s="253"/>
    </row>
    <row r="2348" spans="1:52" ht="15.5" customHeight="1">
      <c r="A2348" s="363"/>
      <c r="B2348" s="343"/>
      <c r="C2348" s="7"/>
      <c r="D2348" s="254"/>
      <c r="E2348" s="254"/>
      <c r="F2348" s="254"/>
      <c r="G2348" s="253"/>
      <c r="H2348" s="253"/>
      <c r="I2348" s="253"/>
      <c r="J2348" s="253"/>
      <c r="K2348" s="253"/>
      <c r="L2348" s="7"/>
      <c r="M2348" s="7"/>
      <c r="N2348" s="253"/>
      <c r="O2348" s="255"/>
      <c r="P2348" s="253"/>
      <c r="Q2348" s="7"/>
      <c r="R2348" s="7"/>
      <c r="S2348" s="7"/>
      <c r="T2348" s="7"/>
      <c r="U2348" s="7"/>
      <c r="V2348" s="253"/>
      <c r="W2348" s="7"/>
      <c r="X2348" s="256"/>
      <c r="Y2348" s="256"/>
      <c r="Z2348" s="256"/>
      <c r="AA2348" s="256"/>
      <c r="AB2348" s="257"/>
      <c r="AC2348" s="258"/>
      <c r="AD2348" s="7"/>
      <c r="AE2348" s="253"/>
      <c r="AF2348" s="253"/>
      <c r="AG2348" s="259"/>
      <c r="AH2348" s="253"/>
      <c r="AI2348" s="253"/>
      <c r="AJ2348" s="7"/>
      <c r="AK2348" s="253"/>
      <c r="AL2348" s="253"/>
      <c r="AM2348" s="7"/>
      <c r="AN2348" s="253"/>
      <c r="AO2348" s="253"/>
      <c r="AP2348" s="253"/>
      <c r="AQ2348" s="253"/>
      <c r="AR2348" s="253"/>
      <c r="AS2348" s="253"/>
      <c r="AT2348" s="253"/>
      <c r="AU2348" s="253"/>
      <c r="AV2348" s="253"/>
      <c r="AW2348" s="253"/>
      <c r="AX2348" s="253"/>
      <c r="AY2348" s="253"/>
      <c r="AZ2348" s="253"/>
    </row>
    <row r="2349" spans="1:52" ht="15.5" customHeight="1">
      <c r="A2349" s="363"/>
      <c r="B2349" s="343"/>
      <c r="C2349" s="7"/>
      <c r="D2349" s="254"/>
      <c r="E2349" s="254"/>
      <c r="F2349" s="254"/>
      <c r="G2349" s="253"/>
      <c r="H2349" s="253"/>
      <c r="I2349" s="253"/>
      <c r="J2349" s="253"/>
      <c r="K2349" s="253"/>
      <c r="L2349" s="7"/>
      <c r="M2349" s="7"/>
      <c r="N2349" s="253"/>
      <c r="O2349" s="255"/>
      <c r="P2349" s="253"/>
      <c r="Q2349" s="7"/>
      <c r="R2349" s="7"/>
      <c r="S2349" s="7"/>
      <c r="T2349" s="7"/>
      <c r="U2349" s="7"/>
      <c r="V2349" s="253"/>
      <c r="W2349" s="7"/>
      <c r="X2349" s="256"/>
      <c r="Y2349" s="256"/>
      <c r="Z2349" s="256"/>
      <c r="AA2349" s="256"/>
      <c r="AB2349" s="257"/>
      <c r="AC2349" s="258"/>
      <c r="AD2349" s="7"/>
      <c r="AE2349" s="253"/>
      <c r="AF2349" s="253"/>
      <c r="AG2349" s="259"/>
      <c r="AH2349" s="253"/>
      <c r="AI2349" s="253"/>
      <c r="AJ2349" s="7"/>
      <c r="AK2349" s="253"/>
      <c r="AL2349" s="253"/>
      <c r="AM2349" s="7"/>
      <c r="AN2349" s="253"/>
      <c r="AO2349" s="253"/>
      <c r="AP2349" s="253"/>
      <c r="AQ2349" s="253"/>
      <c r="AR2349" s="253"/>
      <c r="AS2349" s="253"/>
      <c r="AT2349" s="253"/>
      <c r="AU2349" s="253"/>
      <c r="AV2349" s="253"/>
      <c r="AW2349" s="253"/>
      <c r="AX2349" s="253"/>
      <c r="AY2349" s="253"/>
      <c r="AZ2349" s="253"/>
    </row>
    <row r="2350" spans="1:52" ht="15.5" customHeight="1">
      <c r="A2350" s="363"/>
      <c r="B2350" s="343"/>
      <c r="C2350" s="7"/>
      <c r="D2350" s="254"/>
      <c r="E2350" s="254"/>
      <c r="F2350" s="254"/>
      <c r="G2350" s="253"/>
      <c r="H2350" s="253"/>
      <c r="I2350" s="253"/>
      <c r="J2350" s="253"/>
      <c r="K2350" s="253"/>
      <c r="L2350" s="7"/>
      <c r="M2350" s="7"/>
      <c r="N2350" s="253"/>
      <c r="O2350" s="255"/>
      <c r="P2350" s="253"/>
      <c r="Q2350" s="7"/>
      <c r="R2350" s="7"/>
      <c r="S2350" s="7"/>
      <c r="T2350" s="7"/>
      <c r="U2350" s="7"/>
      <c r="V2350" s="253"/>
      <c r="W2350" s="7"/>
      <c r="X2350" s="256"/>
      <c r="Y2350" s="256"/>
      <c r="Z2350" s="256"/>
      <c r="AA2350" s="256"/>
      <c r="AB2350" s="257"/>
      <c r="AC2350" s="258"/>
      <c r="AD2350" s="7"/>
      <c r="AE2350" s="253"/>
      <c r="AF2350" s="253"/>
      <c r="AG2350" s="259"/>
      <c r="AH2350" s="253"/>
      <c r="AI2350" s="253"/>
      <c r="AJ2350" s="7"/>
      <c r="AK2350" s="253"/>
      <c r="AL2350" s="253"/>
      <c r="AM2350" s="7"/>
      <c r="AN2350" s="253"/>
      <c r="AO2350" s="253"/>
      <c r="AP2350" s="253"/>
      <c r="AQ2350" s="253"/>
      <c r="AR2350" s="253"/>
      <c r="AS2350" s="253"/>
      <c r="AT2350" s="253"/>
      <c r="AU2350" s="253"/>
      <c r="AV2350" s="253"/>
      <c r="AW2350" s="253"/>
      <c r="AX2350" s="253"/>
      <c r="AY2350" s="253"/>
      <c r="AZ2350" s="253"/>
    </row>
    <row r="2351" spans="1:52" ht="15.5" customHeight="1">
      <c r="A2351" s="363"/>
      <c r="B2351" s="343"/>
      <c r="C2351" s="7"/>
      <c r="D2351" s="254"/>
      <c r="E2351" s="254"/>
      <c r="F2351" s="254"/>
      <c r="G2351" s="253"/>
      <c r="H2351" s="253"/>
      <c r="I2351" s="253"/>
      <c r="J2351" s="253"/>
      <c r="K2351" s="253"/>
      <c r="L2351" s="7"/>
      <c r="M2351" s="7"/>
      <c r="N2351" s="253"/>
      <c r="O2351" s="255"/>
      <c r="P2351" s="253"/>
      <c r="Q2351" s="7"/>
      <c r="R2351" s="7"/>
      <c r="S2351" s="7"/>
      <c r="T2351" s="7"/>
      <c r="U2351" s="7"/>
      <c r="V2351" s="253"/>
      <c r="W2351" s="7"/>
      <c r="X2351" s="256"/>
      <c r="Y2351" s="256"/>
      <c r="Z2351" s="256"/>
      <c r="AA2351" s="256"/>
      <c r="AB2351" s="257"/>
      <c r="AC2351" s="258"/>
      <c r="AD2351" s="7"/>
      <c r="AE2351" s="253"/>
      <c r="AF2351" s="253"/>
      <c r="AG2351" s="259"/>
      <c r="AH2351" s="253"/>
      <c r="AI2351" s="253"/>
      <c r="AJ2351" s="7"/>
      <c r="AK2351" s="253"/>
      <c r="AL2351" s="253"/>
      <c r="AM2351" s="7"/>
      <c r="AN2351" s="253"/>
      <c r="AO2351" s="253"/>
      <c r="AP2351" s="253"/>
      <c r="AQ2351" s="253"/>
      <c r="AR2351" s="253"/>
      <c r="AS2351" s="253"/>
      <c r="AT2351" s="253"/>
      <c r="AU2351" s="253"/>
      <c r="AV2351" s="253"/>
      <c r="AW2351" s="253"/>
      <c r="AX2351" s="253"/>
      <c r="AY2351" s="253"/>
      <c r="AZ2351" s="253"/>
    </row>
    <row r="2352" spans="1:52" ht="15.5" customHeight="1">
      <c r="A2352" s="363"/>
      <c r="B2352" s="343"/>
      <c r="C2352" s="7"/>
      <c r="D2352" s="254"/>
      <c r="E2352" s="254"/>
      <c r="F2352" s="254"/>
      <c r="G2352" s="253"/>
      <c r="H2352" s="253"/>
      <c r="I2352" s="253"/>
      <c r="J2352" s="253"/>
      <c r="K2352" s="253"/>
      <c r="L2352" s="7"/>
      <c r="M2352" s="7"/>
      <c r="N2352" s="253"/>
      <c r="O2352" s="255"/>
      <c r="P2352" s="253"/>
      <c r="Q2352" s="7"/>
      <c r="R2352" s="7"/>
      <c r="S2352" s="7"/>
      <c r="T2352" s="7"/>
      <c r="U2352" s="7"/>
      <c r="V2352" s="253"/>
      <c r="W2352" s="7"/>
      <c r="X2352" s="256"/>
      <c r="Y2352" s="256"/>
      <c r="Z2352" s="256"/>
      <c r="AA2352" s="256"/>
      <c r="AB2352" s="257"/>
      <c r="AC2352" s="258"/>
      <c r="AD2352" s="7"/>
      <c r="AE2352" s="253"/>
      <c r="AF2352" s="253"/>
      <c r="AG2352" s="259"/>
      <c r="AH2352" s="253"/>
      <c r="AI2352" s="253"/>
      <c r="AJ2352" s="7"/>
      <c r="AK2352" s="253"/>
      <c r="AL2352" s="253"/>
      <c r="AM2352" s="7"/>
      <c r="AN2352" s="253"/>
      <c r="AO2352" s="253"/>
      <c r="AP2352" s="253"/>
      <c r="AQ2352" s="253"/>
      <c r="AR2352" s="253"/>
      <c r="AS2352" s="253"/>
      <c r="AT2352" s="253"/>
      <c r="AU2352" s="253"/>
      <c r="AV2352" s="253"/>
      <c r="AW2352" s="253"/>
      <c r="AX2352" s="253"/>
      <c r="AY2352" s="253"/>
      <c r="AZ2352" s="253"/>
    </row>
    <row r="2353" spans="1:52" ht="15.5" customHeight="1">
      <c r="A2353" s="363"/>
      <c r="B2353" s="343"/>
      <c r="C2353" s="7"/>
      <c r="D2353" s="254"/>
      <c r="E2353" s="254"/>
      <c r="F2353" s="254"/>
      <c r="G2353" s="253"/>
      <c r="H2353" s="253"/>
      <c r="I2353" s="253"/>
      <c r="J2353" s="253"/>
      <c r="K2353" s="253"/>
      <c r="L2353" s="7"/>
      <c r="M2353" s="7"/>
      <c r="N2353" s="253"/>
      <c r="O2353" s="255"/>
      <c r="P2353" s="253"/>
      <c r="Q2353" s="7"/>
      <c r="R2353" s="7"/>
      <c r="S2353" s="7"/>
      <c r="T2353" s="7"/>
      <c r="U2353" s="7"/>
      <c r="V2353" s="253"/>
      <c r="W2353" s="7"/>
      <c r="X2353" s="256"/>
      <c r="Y2353" s="256"/>
      <c r="Z2353" s="256"/>
      <c r="AA2353" s="256"/>
      <c r="AB2353" s="257"/>
      <c r="AC2353" s="258"/>
      <c r="AD2353" s="7"/>
      <c r="AE2353" s="253"/>
      <c r="AF2353" s="253"/>
      <c r="AG2353" s="259"/>
      <c r="AH2353" s="253"/>
      <c r="AI2353" s="253"/>
      <c r="AJ2353" s="7"/>
      <c r="AK2353" s="253"/>
      <c r="AL2353" s="253"/>
      <c r="AM2353" s="7"/>
      <c r="AN2353" s="253"/>
      <c r="AO2353" s="253"/>
      <c r="AP2353" s="253"/>
      <c r="AQ2353" s="253"/>
      <c r="AR2353" s="253"/>
      <c r="AS2353" s="253"/>
      <c r="AT2353" s="253"/>
      <c r="AU2353" s="253"/>
      <c r="AV2353" s="253"/>
      <c r="AW2353" s="253"/>
      <c r="AX2353" s="253"/>
      <c r="AY2353" s="253"/>
      <c r="AZ2353" s="253"/>
    </row>
    <row r="2354" spans="1:52" ht="15.5" customHeight="1">
      <c r="A2354" s="363"/>
      <c r="B2354" s="343"/>
      <c r="C2354" s="7"/>
      <c r="D2354" s="254"/>
      <c r="E2354" s="254"/>
      <c r="F2354" s="254"/>
      <c r="G2354" s="253"/>
      <c r="H2354" s="253"/>
      <c r="I2354" s="253"/>
      <c r="J2354" s="253"/>
      <c r="K2354" s="253"/>
      <c r="L2354" s="7"/>
      <c r="M2354" s="7"/>
      <c r="N2354" s="253"/>
      <c r="O2354" s="255"/>
      <c r="P2354" s="253"/>
      <c r="Q2354" s="7"/>
      <c r="R2354" s="7"/>
      <c r="S2354" s="7"/>
      <c r="T2354" s="7"/>
      <c r="U2354" s="7"/>
      <c r="V2354" s="253"/>
      <c r="W2354" s="7"/>
      <c r="X2354" s="256"/>
      <c r="Y2354" s="256"/>
      <c r="Z2354" s="256"/>
      <c r="AA2354" s="256"/>
      <c r="AB2354" s="257"/>
      <c r="AC2354" s="258"/>
      <c r="AD2354" s="7"/>
      <c r="AE2354" s="253"/>
      <c r="AF2354" s="253"/>
      <c r="AG2354" s="259"/>
      <c r="AH2354" s="253"/>
      <c r="AI2354" s="253"/>
      <c r="AJ2354" s="7"/>
      <c r="AK2354" s="253"/>
      <c r="AL2354" s="253"/>
      <c r="AM2354" s="7"/>
      <c r="AN2354" s="253"/>
      <c r="AO2354" s="253"/>
      <c r="AP2354" s="253"/>
      <c r="AQ2354" s="253"/>
      <c r="AR2354" s="253"/>
      <c r="AS2354" s="253"/>
      <c r="AT2354" s="253"/>
      <c r="AU2354" s="253"/>
      <c r="AV2354" s="253"/>
      <c r="AW2354" s="253"/>
      <c r="AX2354" s="253"/>
      <c r="AY2354" s="253"/>
      <c r="AZ2354" s="253"/>
    </row>
    <row r="2355" spans="1:52" ht="15.5" customHeight="1">
      <c r="A2355" s="363"/>
      <c r="B2355" s="343"/>
      <c r="C2355" s="7"/>
      <c r="D2355" s="254"/>
      <c r="E2355" s="254"/>
      <c r="F2355" s="254"/>
      <c r="G2355" s="253"/>
      <c r="H2355" s="253"/>
      <c r="I2355" s="253"/>
      <c r="J2355" s="253"/>
      <c r="K2355" s="253"/>
      <c r="L2355" s="7"/>
      <c r="M2355" s="7"/>
      <c r="N2355" s="253"/>
      <c r="O2355" s="255"/>
      <c r="P2355" s="253"/>
      <c r="Q2355" s="7"/>
      <c r="R2355" s="7"/>
      <c r="S2355" s="7"/>
      <c r="T2355" s="7"/>
      <c r="U2355" s="7"/>
      <c r="V2355" s="253"/>
      <c r="W2355" s="7"/>
      <c r="X2355" s="256"/>
      <c r="Y2355" s="256"/>
      <c r="Z2355" s="256"/>
      <c r="AA2355" s="256"/>
      <c r="AB2355" s="257"/>
      <c r="AC2355" s="258"/>
      <c r="AD2355" s="7"/>
      <c r="AE2355" s="253"/>
      <c r="AF2355" s="253"/>
      <c r="AG2355" s="259"/>
      <c r="AH2355" s="253"/>
      <c r="AI2355" s="253"/>
      <c r="AJ2355" s="7"/>
      <c r="AK2355" s="253"/>
      <c r="AL2355" s="253"/>
      <c r="AM2355" s="7"/>
      <c r="AN2355" s="253"/>
      <c r="AO2355" s="253"/>
      <c r="AP2355" s="253"/>
      <c r="AQ2355" s="253"/>
      <c r="AR2355" s="253"/>
      <c r="AS2355" s="253"/>
      <c r="AT2355" s="253"/>
      <c r="AU2355" s="253"/>
      <c r="AV2355" s="253"/>
      <c r="AW2355" s="253"/>
      <c r="AX2355" s="253"/>
      <c r="AY2355" s="253"/>
      <c r="AZ2355" s="253"/>
    </row>
    <row r="2356" spans="1:52" ht="15.5" customHeight="1">
      <c r="A2356" s="363"/>
      <c r="B2356" s="343"/>
      <c r="C2356" s="7"/>
      <c r="D2356" s="254"/>
      <c r="E2356" s="254"/>
      <c r="F2356" s="254"/>
      <c r="G2356" s="253"/>
      <c r="H2356" s="253"/>
      <c r="I2356" s="253"/>
      <c r="J2356" s="253"/>
      <c r="K2356" s="253"/>
      <c r="L2356" s="7"/>
      <c r="M2356" s="7"/>
      <c r="N2356" s="253"/>
      <c r="O2356" s="255"/>
      <c r="P2356" s="253"/>
      <c r="Q2356" s="7"/>
      <c r="R2356" s="7"/>
      <c r="S2356" s="7"/>
      <c r="T2356" s="7"/>
      <c r="U2356" s="7"/>
      <c r="V2356" s="253"/>
      <c r="W2356" s="7"/>
      <c r="X2356" s="256"/>
      <c r="Y2356" s="256"/>
      <c r="Z2356" s="256"/>
      <c r="AA2356" s="256"/>
      <c r="AB2356" s="257"/>
      <c r="AC2356" s="258"/>
      <c r="AD2356" s="7"/>
      <c r="AE2356" s="253"/>
      <c r="AF2356" s="253"/>
      <c r="AG2356" s="259"/>
      <c r="AH2356" s="253"/>
      <c r="AI2356" s="253"/>
      <c r="AJ2356" s="7"/>
      <c r="AK2356" s="253"/>
      <c r="AL2356" s="253"/>
      <c r="AM2356" s="7"/>
      <c r="AN2356" s="253"/>
      <c r="AO2356" s="253"/>
      <c r="AP2356" s="253"/>
      <c r="AQ2356" s="253"/>
      <c r="AR2356" s="253"/>
      <c r="AS2356" s="253"/>
      <c r="AT2356" s="253"/>
      <c r="AU2356" s="253"/>
      <c r="AV2356" s="253"/>
      <c r="AW2356" s="253"/>
      <c r="AX2356" s="253"/>
      <c r="AY2356" s="253"/>
      <c r="AZ2356" s="253"/>
    </row>
    <row r="2357" spans="1:52" ht="15.5" customHeight="1">
      <c r="A2357" s="363"/>
      <c r="B2357" s="343"/>
      <c r="C2357" s="7"/>
      <c r="D2357" s="254"/>
      <c r="E2357" s="254"/>
      <c r="F2357" s="254"/>
      <c r="G2357" s="253"/>
      <c r="H2357" s="253"/>
      <c r="I2357" s="253"/>
      <c r="J2357" s="253"/>
      <c r="K2357" s="253"/>
      <c r="L2357" s="7"/>
      <c r="M2357" s="7"/>
      <c r="N2357" s="253"/>
      <c r="O2357" s="255"/>
      <c r="P2357" s="253"/>
      <c r="Q2357" s="7"/>
      <c r="R2357" s="7"/>
      <c r="S2357" s="7"/>
      <c r="T2357" s="7"/>
      <c r="U2357" s="7"/>
      <c r="V2357" s="253"/>
      <c r="W2357" s="7"/>
      <c r="X2357" s="256"/>
      <c r="Y2357" s="256"/>
      <c r="Z2357" s="256"/>
      <c r="AA2357" s="256"/>
      <c r="AB2357" s="257"/>
      <c r="AC2357" s="258"/>
      <c r="AD2357" s="7"/>
      <c r="AE2357" s="253"/>
      <c r="AF2357" s="253"/>
      <c r="AG2357" s="259"/>
      <c r="AH2357" s="253"/>
      <c r="AI2357" s="253"/>
      <c r="AJ2357" s="7"/>
      <c r="AK2357" s="253"/>
      <c r="AL2357" s="253"/>
      <c r="AM2357" s="7"/>
      <c r="AN2357" s="253"/>
      <c r="AO2357" s="253"/>
      <c r="AP2357" s="253"/>
      <c r="AQ2357" s="253"/>
      <c r="AR2357" s="253"/>
      <c r="AS2357" s="253"/>
      <c r="AT2357" s="253"/>
      <c r="AU2357" s="253"/>
      <c r="AV2357" s="253"/>
      <c r="AW2357" s="253"/>
      <c r="AX2357" s="253"/>
      <c r="AY2357" s="253"/>
      <c r="AZ2357" s="253"/>
    </row>
    <row r="2358" spans="1:52" ht="15.5" customHeight="1">
      <c r="A2358" s="363"/>
      <c r="B2358" s="343"/>
      <c r="C2358" s="7"/>
      <c r="D2358" s="254"/>
      <c r="E2358" s="254"/>
      <c r="F2358" s="254"/>
      <c r="G2358" s="253"/>
      <c r="H2358" s="253"/>
      <c r="I2358" s="253"/>
      <c r="J2358" s="253"/>
      <c r="K2358" s="253"/>
      <c r="L2358" s="7"/>
      <c r="M2358" s="7"/>
      <c r="N2358" s="253"/>
      <c r="O2358" s="255"/>
      <c r="P2358" s="253"/>
      <c r="Q2358" s="7"/>
      <c r="R2358" s="7"/>
      <c r="S2358" s="7"/>
      <c r="T2358" s="7"/>
      <c r="U2358" s="7"/>
      <c r="V2358" s="253"/>
      <c r="W2358" s="7"/>
      <c r="X2358" s="256"/>
      <c r="Y2358" s="256"/>
      <c r="Z2358" s="256"/>
      <c r="AA2358" s="256"/>
      <c r="AB2358" s="257"/>
      <c r="AC2358" s="258"/>
      <c r="AD2358" s="7"/>
      <c r="AE2358" s="253"/>
      <c r="AF2358" s="253"/>
      <c r="AG2358" s="259"/>
      <c r="AH2358" s="253"/>
      <c r="AI2358" s="253"/>
      <c r="AJ2358" s="7"/>
      <c r="AK2358" s="253"/>
      <c r="AL2358" s="253"/>
      <c r="AM2358" s="7"/>
      <c r="AN2358" s="253"/>
      <c r="AO2358" s="253"/>
      <c r="AP2358" s="253"/>
      <c r="AQ2358" s="253"/>
      <c r="AR2358" s="253"/>
      <c r="AS2358" s="253"/>
      <c r="AT2358" s="253"/>
      <c r="AU2358" s="253"/>
      <c r="AV2358" s="253"/>
      <c r="AW2358" s="253"/>
      <c r="AX2358" s="253"/>
      <c r="AY2358" s="253"/>
      <c r="AZ2358" s="253"/>
    </row>
    <row r="2359" spans="1:52" ht="15.5" customHeight="1">
      <c r="A2359" s="363"/>
      <c r="B2359" s="343"/>
      <c r="C2359" s="7"/>
      <c r="D2359" s="254"/>
      <c r="E2359" s="254"/>
      <c r="F2359" s="254"/>
      <c r="G2359" s="253"/>
      <c r="H2359" s="253"/>
      <c r="I2359" s="253"/>
      <c r="J2359" s="253"/>
      <c r="K2359" s="253"/>
      <c r="L2359" s="7"/>
      <c r="M2359" s="7"/>
      <c r="N2359" s="253"/>
      <c r="O2359" s="255"/>
      <c r="P2359" s="253"/>
      <c r="Q2359" s="7"/>
      <c r="R2359" s="7"/>
      <c r="S2359" s="7"/>
      <c r="T2359" s="7"/>
      <c r="U2359" s="7"/>
      <c r="V2359" s="253"/>
      <c r="W2359" s="7"/>
      <c r="X2359" s="256"/>
      <c r="Y2359" s="256"/>
      <c r="Z2359" s="256"/>
      <c r="AA2359" s="256"/>
      <c r="AB2359" s="257"/>
      <c r="AC2359" s="258"/>
      <c r="AD2359" s="7"/>
      <c r="AE2359" s="253"/>
      <c r="AF2359" s="253"/>
      <c r="AG2359" s="259"/>
      <c r="AH2359" s="253"/>
      <c r="AI2359" s="253"/>
      <c r="AJ2359" s="7"/>
      <c r="AK2359" s="253"/>
      <c r="AL2359" s="253"/>
      <c r="AM2359" s="7"/>
      <c r="AN2359" s="253"/>
      <c r="AO2359" s="253"/>
      <c r="AP2359" s="253"/>
      <c r="AQ2359" s="253"/>
      <c r="AR2359" s="253"/>
      <c r="AS2359" s="253"/>
      <c r="AT2359" s="253"/>
      <c r="AU2359" s="253"/>
      <c r="AV2359" s="253"/>
      <c r="AW2359" s="253"/>
      <c r="AX2359" s="253"/>
      <c r="AY2359" s="253"/>
      <c r="AZ2359" s="253"/>
    </row>
    <row r="2360" spans="1:52" ht="15.5" customHeight="1">
      <c r="A2360" s="363"/>
      <c r="B2360" s="343"/>
      <c r="C2360" s="7"/>
      <c r="D2360" s="254"/>
      <c r="E2360" s="254"/>
      <c r="F2360" s="254"/>
      <c r="G2360" s="253"/>
      <c r="H2360" s="253"/>
      <c r="I2360" s="253"/>
      <c r="J2360" s="253"/>
      <c r="K2360" s="253"/>
      <c r="L2360" s="7"/>
      <c r="M2360" s="7"/>
      <c r="N2360" s="253"/>
      <c r="O2360" s="255"/>
      <c r="P2360" s="253"/>
      <c r="Q2360" s="7"/>
      <c r="R2360" s="7"/>
      <c r="S2360" s="7"/>
      <c r="T2360" s="7"/>
      <c r="U2360" s="7"/>
      <c r="V2360" s="253"/>
      <c r="W2360" s="7"/>
      <c r="X2360" s="256"/>
      <c r="Y2360" s="256"/>
      <c r="Z2360" s="256"/>
      <c r="AA2360" s="256"/>
      <c r="AB2360" s="257"/>
      <c r="AC2360" s="258"/>
      <c r="AD2360" s="7"/>
      <c r="AE2360" s="253"/>
      <c r="AF2360" s="253"/>
      <c r="AG2360" s="259"/>
      <c r="AH2360" s="253"/>
      <c r="AI2360" s="253"/>
      <c r="AJ2360" s="7"/>
      <c r="AK2360" s="253"/>
      <c r="AL2360" s="253"/>
      <c r="AM2360" s="7"/>
      <c r="AN2360" s="253"/>
      <c r="AO2360" s="253"/>
      <c r="AP2360" s="253"/>
      <c r="AQ2360" s="253"/>
      <c r="AR2360" s="253"/>
      <c r="AS2360" s="253"/>
      <c r="AT2360" s="253"/>
      <c r="AU2360" s="253"/>
      <c r="AV2360" s="253"/>
      <c r="AW2360" s="253"/>
      <c r="AX2360" s="253"/>
      <c r="AY2360" s="253"/>
      <c r="AZ2360" s="253"/>
    </row>
    <row r="2361" spans="1:52" ht="15.5" customHeight="1">
      <c r="A2361" s="363"/>
      <c r="B2361" s="343"/>
      <c r="C2361" s="7"/>
      <c r="D2361" s="254"/>
      <c r="E2361" s="254"/>
      <c r="F2361" s="254"/>
      <c r="G2361" s="253"/>
      <c r="H2361" s="253"/>
      <c r="I2361" s="253"/>
      <c r="J2361" s="253"/>
      <c r="K2361" s="253"/>
      <c r="L2361" s="7"/>
      <c r="M2361" s="7"/>
      <c r="N2361" s="253"/>
      <c r="O2361" s="255"/>
      <c r="P2361" s="253"/>
      <c r="Q2361" s="7"/>
      <c r="R2361" s="7"/>
      <c r="S2361" s="7"/>
      <c r="T2361" s="7"/>
      <c r="U2361" s="7"/>
      <c r="V2361" s="253"/>
      <c r="W2361" s="7"/>
      <c r="X2361" s="256"/>
      <c r="Y2361" s="256"/>
      <c r="Z2361" s="256"/>
      <c r="AA2361" s="256"/>
      <c r="AB2361" s="257"/>
      <c r="AC2361" s="258"/>
      <c r="AD2361" s="7"/>
      <c r="AE2361" s="253"/>
      <c r="AF2361" s="253"/>
      <c r="AG2361" s="259"/>
      <c r="AH2361" s="253"/>
      <c r="AI2361" s="253"/>
      <c r="AJ2361" s="7"/>
      <c r="AK2361" s="253"/>
      <c r="AL2361" s="253"/>
      <c r="AM2361" s="7"/>
      <c r="AN2361" s="253"/>
      <c r="AO2361" s="253"/>
      <c r="AP2361" s="253"/>
      <c r="AQ2361" s="253"/>
      <c r="AR2361" s="253"/>
      <c r="AS2361" s="253"/>
      <c r="AT2361" s="253"/>
      <c r="AU2361" s="253"/>
      <c r="AV2361" s="253"/>
      <c r="AW2361" s="253"/>
      <c r="AX2361" s="253"/>
      <c r="AY2361" s="253"/>
      <c r="AZ2361" s="253"/>
    </row>
    <row r="2362" spans="1:52" ht="15.5" customHeight="1">
      <c r="A2362" s="363"/>
      <c r="B2362" s="343"/>
      <c r="C2362" s="7"/>
      <c r="D2362" s="254"/>
      <c r="E2362" s="254"/>
      <c r="F2362" s="254"/>
      <c r="G2362" s="253"/>
      <c r="H2362" s="253"/>
      <c r="I2362" s="253"/>
      <c r="J2362" s="253"/>
      <c r="K2362" s="253"/>
      <c r="L2362" s="7"/>
      <c r="M2362" s="7"/>
      <c r="N2362" s="253"/>
      <c r="O2362" s="255"/>
      <c r="P2362" s="253"/>
      <c r="Q2362" s="7"/>
      <c r="R2362" s="7"/>
      <c r="S2362" s="7"/>
      <c r="T2362" s="7"/>
      <c r="U2362" s="7"/>
      <c r="V2362" s="253"/>
      <c r="W2362" s="7"/>
      <c r="X2362" s="256"/>
      <c r="Y2362" s="256"/>
      <c r="Z2362" s="256"/>
      <c r="AA2362" s="256"/>
      <c r="AB2362" s="257"/>
      <c r="AC2362" s="258"/>
      <c r="AD2362" s="7"/>
      <c r="AE2362" s="253"/>
      <c r="AF2362" s="253"/>
      <c r="AG2362" s="259"/>
      <c r="AH2362" s="253"/>
      <c r="AI2362" s="253"/>
      <c r="AJ2362" s="7"/>
      <c r="AK2362" s="253"/>
      <c r="AL2362" s="253"/>
      <c r="AM2362" s="7"/>
      <c r="AN2362" s="253"/>
      <c r="AO2362" s="253"/>
      <c r="AP2362" s="253"/>
      <c r="AQ2362" s="253"/>
      <c r="AR2362" s="253"/>
      <c r="AS2362" s="253"/>
      <c r="AT2362" s="253"/>
      <c r="AU2362" s="253"/>
      <c r="AV2362" s="253"/>
      <c r="AW2362" s="253"/>
      <c r="AX2362" s="253"/>
      <c r="AY2362" s="253"/>
      <c r="AZ2362" s="253"/>
    </row>
    <row r="2363" spans="1:52" ht="15.5" customHeight="1">
      <c r="A2363" s="363"/>
      <c r="B2363" s="343"/>
      <c r="C2363" s="7"/>
      <c r="D2363" s="254"/>
      <c r="E2363" s="254"/>
      <c r="F2363" s="254"/>
      <c r="G2363" s="253"/>
      <c r="H2363" s="253"/>
      <c r="I2363" s="253"/>
      <c r="J2363" s="253"/>
      <c r="K2363" s="253"/>
      <c r="L2363" s="7"/>
      <c r="M2363" s="7"/>
      <c r="N2363" s="253"/>
      <c r="O2363" s="255"/>
      <c r="P2363" s="253"/>
      <c r="Q2363" s="7"/>
      <c r="R2363" s="7"/>
      <c r="S2363" s="7"/>
      <c r="T2363" s="7"/>
      <c r="U2363" s="7"/>
      <c r="V2363" s="253"/>
      <c r="W2363" s="7"/>
      <c r="X2363" s="256"/>
      <c r="Y2363" s="256"/>
      <c r="Z2363" s="256"/>
      <c r="AA2363" s="256"/>
      <c r="AB2363" s="257"/>
      <c r="AC2363" s="258"/>
      <c r="AD2363" s="7"/>
      <c r="AE2363" s="253"/>
      <c r="AF2363" s="253"/>
      <c r="AG2363" s="259"/>
      <c r="AH2363" s="253"/>
      <c r="AI2363" s="253"/>
      <c r="AJ2363" s="7"/>
      <c r="AK2363" s="253"/>
      <c r="AL2363" s="253"/>
      <c r="AM2363" s="7"/>
      <c r="AN2363" s="253"/>
      <c r="AO2363" s="253"/>
      <c r="AP2363" s="253"/>
      <c r="AQ2363" s="253"/>
      <c r="AR2363" s="253"/>
      <c r="AS2363" s="253"/>
      <c r="AT2363" s="253"/>
      <c r="AU2363" s="253"/>
      <c r="AV2363" s="253"/>
      <c r="AW2363" s="253"/>
      <c r="AX2363" s="253"/>
      <c r="AY2363" s="253"/>
      <c r="AZ2363" s="253"/>
    </row>
    <row r="2364" spans="1:52" ht="15.5" customHeight="1">
      <c r="A2364" s="363"/>
      <c r="B2364" s="343"/>
      <c r="C2364" s="7"/>
      <c r="D2364" s="254"/>
      <c r="E2364" s="254"/>
      <c r="F2364" s="254"/>
      <c r="G2364" s="253"/>
      <c r="H2364" s="253"/>
      <c r="I2364" s="253"/>
      <c r="J2364" s="253"/>
      <c r="K2364" s="253"/>
      <c r="L2364" s="7"/>
      <c r="M2364" s="7"/>
      <c r="N2364" s="253"/>
      <c r="O2364" s="255"/>
      <c r="P2364" s="253"/>
      <c r="Q2364" s="7"/>
      <c r="R2364" s="7"/>
      <c r="S2364" s="7"/>
      <c r="T2364" s="7"/>
      <c r="U2364" s="7"/>
      <c r="V2364" s="253"/>
      <c r="W2364" s="7"/>
      <c r="X2364" s="256"/>
      <c r="Y2364" s="256"/>
      <c r="Z2364" s="256"/>
      <c r="AA2364" s="256"/>
      <c r="AB2364" s="257"/>
      <c r="AC2364" s="258"/>
      <c r="AD2364" s="7"/>
      <c r="AE2364" s="253"/>
      <c r="AF2364" s="253"/>
      <c r="AG2364" s="259"/>
      <c r="AH2364" s="253"/>
      <c r="AI2364" s="253"/>
      <c r="AJ2364" s="7"/>
      <c r="AK2364" s="253"/>
      <c r="AL2364" s="253"/>
      <c r="AM2364" s="7"/>
      <c r="AN2364" s="253"/>
      <c r="AO2364" s="253"/>
      <c r="AP2364" s="253"/>
      <c r="AQ2364" s="253"/>
      <c r="AR2364" s="253"/>
      <c r="AS2364" s="253"/>
      <c r="AT2364" s="253"/>
      <c r="AU2364" s="253"/>
      <c r="AV2364" s="253"/>
      <c r="AW2364" s="253"/>
      <c r="AX2364" s="253"/>
      <c r="AY2364" s="253"/>
      <c r="AZ2364" s="253"/>
    </row>
    <row r="2365" spans="1:52" ht="15.5" customHeight="1">
      <c r="A2365" s="363"/>
      <c r="B2365" s="343"/>
      <c r="C2365" s="7"/>
      <c r="D2365" s="254"/>
      <c r="E2365" s="254"/>
      <c r="F2365" s="254"/>
      <c r="G2365" s="253"/>
      <c r="H2365" s="253"/>
      <c r="I2365" s="253"/>
      <c r="J2365" s="253"/>
      <c r="K2365" s="253"/>
      <c r="L2365" s="7"/>
      <c r="M2365" s="7"/>
      <c r="N2365" s="253"/>
      <c r="O2365" s="255"/>
      <c r="P2365" s="253"/>
      <c r="Q2365" s="7"/>
      <c r="R2365" s="7"/>
      <c r="S2365" s="7"/>
      <c r="T2365" s="7"/>
      <c r="U2365" s="7"/>
      <c r="V2365" s="253"/>
      <c r="W2365" s="7"/>
      <c r="X2365" s="256"/>
      <c r="Y2365" s="256"/>
      <c r="Z2365" s="256"/>
      <c r="AA2365" s="256"/>
      <c r="AB2365" s="257"/>
      <c r="AC2365" s="258"/>
      <c r="AD2365" s="7"/>
      <c r="AE2365" s="253"/>
      <c r="AF2365" s="253"/>
      <c r="AG2365" s="259"/>
      <c r="AH2365" s="253"/>
      <c r="AI2365" s="253"/>
      <c r="AJ2365" s="7"/>
      <c r="AK2365" s="253"/>
      <c r="AL2365" s="253"/>
      <c r="AM2365" s="7"/>
      <c r="AN2365" s="253"/>
      <c r="AO2365" s="253"/>
      <c r="AP2365" s="253"/>
      <c r="AQ2365" s="253"/>
      <c r="AR2365" s="253"/>
      <c r="AS2365" s="253"/>
      <c r="AT2365" s="253"/>
      <c r="AU2365" s="253"/>
      <c r="AV2365" s="253"/>
      <c r="AW2365" s="253"/>
      <c r="AX2365" s="253"/>
      <c r="AY2365" s="253"/>
      <c r="AZ2365" s="253"/>
    </row>
    <row r="2366" spans="1:52" ht="15.5" customHeight="1">
      <c r="A2366" s="363"/>
      <c r="B2366" s="343"/>
      <c r="C2366" s="7"/>
      <c r="D2366" s="254"/>
      <c r="E2366" s="254"/>
      <c r="F2366" s="254"/>
      <c r="G2366" s="253"/>
      <c r="H2366" s="253"/>
      <c r="I2366" s="253"/>
      <c r="J2366" s="253"/>
      <c r="K2366" s="253"/>
      <c r="L2366" s="7"/>
      <c r="M2366" s="7"/>
      <c r="N2366" s="253"/>
      <c r="O2366" s="255"/>
      <c r="P2366" s="253"/>
      <c r="Q2366" s="7"/>
      <c r="R2366" s="7"/>
      <c r="S2366" s="7"/>
      <c r="T2366" s="7"/>
      <c r="U2366" s="7"/>
      <c r="V2366" s="253"/>
      <c r="W2366" s="7"/>
      <c r="X2366" s="256"/>
      <c r="Y2366" s="256"/>
      <c r="Z2366" s="256"/>
      <c r="AA2366" s="256"/>
      <c r="AB2366" s="257"/>
      <c r="AC2366" s="258"/>
      <c r="AD2366" s="7"/>
      <c r="AE2366" s="253"/>
      <c r="AF2366" s="253"/>
      <c r="AG2366" s="259"/>
      <c r="AH2366" s="253"/>
      <c r="AI2366" s="253"/>
      <c r="AJ2366" s="7"/>
      <c r="AK2366" s="253"/>
      <c r="AL2366" s="253"/>
      <c r="AM2366" s="7"/>
      <c r="AN2366" s="253"/>
      <c r="AO2366" s="253"/>
      <c r="AP2366" s="253"/>
      <c r="AQ2366" s="253"/>
      <c r="AR2366" s="253"/>
      <c r="AS2366" s="253"/>
      <c r="AT2366" s="253"/>
      <c r="AU2366" s="253"/>
      <c r="AV2366" s="253"/>
      <c r="AW2366" s="253"/>
      <c r="AX2366" s="253"/>
      <c r="AY2366" s="253"/>
      <c r="AZ2366" s="253"/>
    </row>
    <row r="2367" spans="1:52" ht="15.5" customHeight="1">
      <c r="A2367" s="363"/>
      <c r="B2367" s="343"/>
      <c r="C2367" s="7"/>
      <c r="D2367" s="254"/>
      <c r="E2367" s="254"/>
      <c r="F2367" s="254"/>
      <c r="G2367" s="253"/>
      <c r="H2367" s="253"/>
      <c r="I2367" s="253"/>
      <c r="J2367" s="253"/>
      <c r="K2367" s="253"/>
      <c r="L2367" s="7"/>
      <c r="M2367" s="7"/>
      <c r="N2367" s="253"/>
      <c r="O2367" s="255"/>
      <c r="P2367" s="253"/>
      <c r="Q2367" s="7"/>
      <c r="R2367" s="7"/>
      <c r="S2367" s="7"/>
      <c r="T2367" s="7"/>
      <c r="U2367" s="7"/>
      <c r="V2367" s="253"/>
      <c r="W2367" s="7"/>
      <c r="X2367" s="256"/>
      <c r="Y2367" s="256"/>
      <c r="Z2367" s="256"/>
      <c r="AA2367" s="256"/>
      <c r="AB2367" s="257"/>
      <c r="AC2367" s="258"/>
      <c r="AD2367" s="7"/>
      <c r="AE2367" s="253"/>
      <c r="AF2367" s="253"/>
      <c r="AG2367" s="259"/>
      <c r="AH2367" s="253"/>
      <c r="AI2367" s="253"/>
      <c r="AJ2367" s="7"/>
      <c r="AK2367" s="253"/>
      <c r="AL2367" s="253"/>
      <c r="AM2367" s="7"/>
      <c r="AN2367" s="253"/>
      <c r="AO2367" s="253"/>
      <c r="AP2367" s="253"/>
      <c r="AQ2367" s="253"/>
      <c r="AR2367" s="253"/>
      <c r="AS2367" s="253"/>
      <c r="AT2367" s="253"/>
      <c r="AU2367" s="253"/>
      <c r="AV2367" s="253"/>
      <c r="AW2367" s="253"/>
      <c r="AX2367" s="253"/>
      <c r="AY2367" s="253"/>
      <c r="AZ2367" s="253"/>
    </row>
    <row r="2368" spans="1:52" ht="15.5" customHeight="1">
      <c r="A2368" s="363"/>
      <c r="B2368" s="343"/>
      <c r="C2368" s="7"/>
      <c r="D2368" s="254"/>
      <c r="E2368" s="254"/>
      <c r="F2368" s="254"/>
      <c r="G2368" s="253"/>
      <c r="H2368" s="253"/>
      <c r="I2368" s="253"/>
      <c r="J2368" s="253"/>
      <c r="K2368" s="253"/>
      <c r="L2368" s="7"/>
      <c r="M2368" s="7"/>
      <c r="N2368" s="253"/>
      <c r="O2368" s="255"/>
      <c r="P2368" s="253"/>
      <c r="Q2368" s="7"/>
      <c r="R2368" s="7"/>
      <c r="S2368" s="7"/>
      <c r="T2368" s="7"/>
      <c r="U2368" s="7"/>
      <c r="V2368" s="253"/>
      <c r="W2368" s="7"/>
      <c r="X2368" s="256"/>
      <c r="Y2368" s="256"/>
      <c r="Z2368" s="256"/>
      <c r="AA2368" s="256"/>
      <c r="AB2368" s="257"/>
      <c r="AC2368" s="258"/>
      <c r="AD2368" s="7"/>
      <c r="AE2368" s="253"/>
      <c r="AF2368" s="253"/>
      <c r="AG2368" s="259"/>
      <c r="AH2368" s="253"/>
      <c r="AI2368" s="253"/>
      <c r="AJ2368" s="7"/>
      <c r="AK2368" s="253"/>
      <c r="AL2368" s="253"/>
      <c r="AM2368" s="7"/>
      <c r="AN2368" s="253"/>
      <c r="AO2368" s="253"/>
      <c r="AP2368" s="253"/>
      <c r="AQ2368" s="253"/>
      <c r="AR2368" s="253"/>
      <c r="AS2368" s="253"/>
      <c r="AT2368" s="253"/>
      <c r="AU2368" s="253"/>
      <c r="AV2368" s="253"/>
      <c r="AW2368" s="253"/>
      <c r="AX2368" s="253"/>
      <c r="AY2368" s="253"/>
      <c r="AZ2368" s="253"/>
    </row>
    <row r="2369" spans="1:52" ht="15.5" customHeight="1">
      <c r="A2369" s="363"/>
      <c r="B2369" s="343"/>
      <c r="C2369" s="7"/>
      <c r="D2369" s="254"/>
      <c r="E2369" s="254"/>
      <c r="F2369" s="254"/>
      <c r="G2369" s="253"/>
      <c r="H2369" s="253"/>
      <c r="I2369" s="253"/>
      <c r="J2369" s="253"/>
      <c r="K2369" s="253"/>
      <c r="L2369" s="7"/>
      <c r="M2369" s="7"/>
      <c r="N2369" s="253"/>
      <c r="O2369" s="255"/>
      <c r="P2369" s="253"/>
      <c r="Q2369" s="7"/>
      <c r="R2369" s="7"/>
      <c r="S2369" s="7"/>
      <c r="T2369" s="7"/>
      <c r="U2369" s="7"/>
      <c r="V2369" s="253"/>
      <c r="W2369" s="7"/>
      <c r="X2369" s="256"/>
      <c r="Y2369" s="256"/>
      <c r="Z2369" s="256"/>
      <c r="AA2369" s="256"/>
      <c r="AB2369" s="257"/>
      <c r="AC2369" s="258"/>
      <c r="AD2369" s="7"/>
      <c r="AE2369" s="253"/>
      <c r="AF2369" s="253"/>
      <c r="AG2369" s="259"/>
      <c r="AH2369" s="253"/>
      <c r="AI2369" s="253"/>
      <c r="AJ2369" s="7"/>
      <c r="AK2369" s="253"/>
      <c r="AL2369" s="253"/>
      <c r="AM2369" s="7"/>
      <c r="AN2369" s="253"/>
      <c r="AO2369" s="253"/>
      <c r="AP2369" s="253"/>
      <c r="AQ2369" s="253"/>
      <c r="AR2369" s="253"/>
      <c r="AS2369" s="253"/>
      <c r="AT2369" s="253"/>
      <c r="AU2369" s="253"/>
      <c r="AV2369" s="253"/>
      <c r="AW2369" s="253"/>
      <c r="AX2369" s="253"/>
      <c r="AY2369" s="253"/>
      <c r="AZ2369" s="253"/>
    </row>
    <row r="2370" spans="1:52" ht="15.5" customHeight="1">
      <c r="A2370" s="363"/>
      <c r="B2370" s="343"/>
      <c r="C2370" s="7"/>
      <c r="D2370" s="254"/>
      <c r="E2370" s="254"/>
      <c r="F2370" s="254"/>
      <c r="G2370" s="253"/>
      <c r="H2370" s="253"/>
      <c r="I2370" s="253"/>
      <c r="J2370" s="253"/>
      <c r="K2370" s="253"/>
      <c r="L2370" s="7"/>
      <c r="M2370" s="7"/>
      <c r="N2370" s="253"/>
      <c r="O2370" s="255"/>
      <c r="P2370" s="253"/>
      <c r="Q2370" s="7"/>
      <c r="R2370" s="7"/>
      <c r="S2370" s="7"/>
      <c r="T2370" s="7"/>
      <c r="U2370" s="7"/>
      <c r="V2370" s="253"/>
      <c r="W2370" s="7"/>
      <c r="X2370" s="256"/>
      <c r="Y2370" s="256"/>
      <c r="Z2370" s="256"/>
      <c r="AA2370" s="256"/>
      <c r="AB2370" s="257"/>
      <c r="AC2370" s="258"/>
      <c r="AD2370" s="7"/>
      <c r="AE2370" s="253"/>
      <c r="AF2370" s="253"/>
      <c r="AG2370" s="259"/>
      <c r="AH2370" s="253"/>
      <c r="AI2370" s="253"/>
      <c r="AJ2370" s="7"/>
      <c r="AK2370" s="253"/>
      <c r="AL2370" s="253"/>
      <c r="AM2370" s="7"/>
      <c r="AN2370" s="253"/>
      <c r="AO2370" s="253"/>
      <c r="AP2370" s="253"/>
      <c r="AQ2370" s="253"/>
      <c r="AR2370" s="253"/>
      <c r="AS2370" s="253"/>
      <c r="AT2370" s="253"/>
      <c r="AU2370" s="253"/>
      <c r="AV2370" s="253"/>
      <c r="AW2370" s="253"/>
      <c r="AX2370" s="253"/>
      <c r="AY2370" s="253"/>
      <c r="AZ2370" s="253"/>
    </row>
    <row r="2371" spans="1:52" ht="15.5" customHeight="1">
      <c r="A2371" s="363"/>
      <c r="B2371" s="343"/>
      <c r="C2371" s="7"/>
      <c r="D2371" s="254"/>
      <c r="E2371" s="254"/>
      <c r="F2371" s="254"/>
      <c r="G2371" s="253"/>
      <c r="H2371" s="253"/>
      <c r="I2371" s="253"/>
      <c r="J2371" s="253"/>
      <c r="K2371" s="253"/>
      <c r="L2371" s="7"/>
      <c r="M2371" s="7"/>
      <c r="N2371" s="253"/>
      <c r="O2371" s="255"/>
      <c r="P2371" s="253"/>
      <c r="Q2371" s="7"/>
      <c r="R2371" s="7"/>
      <c r="S2371" s="7"/>
      <c r="T2371" s="7"/>
      <c r="U2371" s="7"/>
      <c r="V2371" s="253"/>
      <c r="W2371" s="7"/>
      <c r="X2371" s="256"/>
      <c r="Y2371" s="256"/>
      <c r="Z2371" s="256"/>
      <c r="AA2371" s="256"/>
      <c r="AB2371" s="257"/>
      <c r="AC2371" s="258"/>
      <c r="AD2371" s="7"/>
      <c r="AE2371" s="253"/>
      <c r="AF2371" s="253"/>
      <c r="AG2371" s="259"/>
      <c r="AH2371" s="253"/>
      <c r="AI2371" s="253"/>
      <c r="AJ2371" s="7"/>
      <c r="AK2371" s="253"/>
      <c r="AL2371" s="253"/>
      <c r="AM2371" s="7"/>
      <c r="AN2371" s="253"/>
      <c r="AO2371" s="253"/>
      <c r="AP2371" s="253"/>
      <c r="AQ2371" s="253"/>
      <c r="AR2371" s="253"/>
      <c r="AS2371" s="253"/>
      <c r="AT2371" s="253"/>
      <c r="AU2371" s="253"/>
      <c r="AV2371" s="253"/>
      <c r="AW2371" s="253"/>
      <c r="AX2371" s="253"/>
      <c r="AY2371" s="253"/>
      <c r="AZ2371" s="253"/>
    </row>
    <row r="2372" spans="1:52" ht="15.5" customHeight="1">
      <c r="A2372" s="363"/>
      <c r="B2372" s="343"/>
      <c r="C2372" s="7"/>
      <c r="D2372" s="254"/>
      <c r="E2372" s="254"/>
      <c r="F2372" s="254"/>
      <c r="G2372" s="253"/>
      <c r="H2372" s="253"/>
      <c r="I2372" s="253"/>
      <c r="J2372" s="253"/>
      <c r="K2372" s="253"/>
      <c r="L2372" s="7"/>
      <c r="M2372" s="7"/>
      <c r="N2372" s="253"/>
      <c r="O2372" s="255"/>
      <c r="P2372" s="253"/>
      <c r="Q2372" s="7"/>
      <c r="R2372" s="7"/>
      <c r="S2372" s="7"/>
      <c r="T2372" s="7"/>
      <c r="U2372" s="7"/>
      <c r="V2372" s="253"/>
      <c r="W2372" s="7"/>
      <c r="X2372" s="256"/>
      <c r="Y2372" s="256"/>
      <c r="Z2372" s="256"/>
      <c r="AA2372" s="256"/>
      <c r="AB2372" s="257"/>
      <c r="AC2372" s="258"/>
      <c r="AD2372" s="7"/>
      <c r="AE2372" s="253"/>
      <c r="AF2372" s="253"/>
      <c r="AG2372" s="259"/>
      <c r="AH2372" s="253"/>
      <c r="AI2372" s="253"/>
      <c r="AJ2372" s="7"/>
      <c r="AK2372" s="253"/>
      <c r="AL2372" s="253"/>
      <c r="AM2372" s="7"/>
      <c r="AN2372" s="253"/>
      <c r="AO2372" s="253"/>
      <c r="AP2372" s="253"/>
      <c r="AQ2372" s="253"/>
      <c r="AR2372" s="253"/>
      <c r="AS2372" s="253"/>
      <c r="AT2372" s="253"/>
      <c r="AU2372" s="253"/>
      <c r="AV2372" s="253"/>
      <c r="AW2372" s="253"/>
      <c r="AX2372" s="253"/>
      <c r="AY2372" s="253"/>
      <c r="AZ2372" s="253"/>
    </row>
    <row r="2373" spans="1:52" ht="15.5" customHeight="1">
      <c r="A2373" s="363"/>
      <c r="B2373" s="343"/>
      <c r="C2373" s="7"/>
      <c r="D2373" s="254"/>
      <c r="E2373" s="254"/>
      <c r="F2373" s="254"/>
      <c r="G2373" s="253"/>
      <c r="H2373" s="253"/>
      <c r="I2373" s="253"/>
      <c r="J2373" s="253"/>
      <c r="K2373" s="253"/>
      <c r="L2373" s="7"/>
      <c r="M2373" s="7"/>
      <c r="N2373" s="253"/>
      <c r="O2373" s="255"/>
      <c r="P2373" s="253"/>
      <c r="Q2373" s="7"/>
      <c r="R2373" s="7"/>
      <c r="S2373" s="7"/>
      <c r="T2373" s="7"/>
      <c r="U2373" s="7"/>
      <c r="V2373" s="253"/>
      <c r="W2373" s="7"/>
      <c r="X2373" s="256"/>
      <c r="Y2373" s="256"/>
      <c r="Z2373" s="256"/>
      <c r="AA2373" s="256"/>
      <c r="AB2373" s="257"/>
      <c r="AC2373" s="258"/>
      <c r="AD2373" s="7"/>
      <c r="AE2373" s="253"/>
      <c r="AF2373" s="253"/>
      <c r="AG2373" s="259"/>
      <c r="AH2373" s="253"/>
      <c r="AI2373" s="253"/>
      <c r="AJ2373" s="7"/>
      <c r="AK2373" s="253"/>
      <c r="AL2373" s="253"/>
      <c r="AM2373" s="7"/>
      <c r="AN2373" s="253"/>
      <c r="AO2373" s="253"/>
      <c r="AP2373" s="253"/>
      <c r="AQ2373" s="253"/>
      <c r="AR2373" s="253"/>
      <c r="AS2373" s="253"/>
      <c r="AT2373" s="253"/>
      <c r="AU2373" s="253"/>
      <c r="AV2373" s="253"/>
      <c r="AW2373" s="253"/>
      <c r="AX2373" s="253"/>
      <c r="AY2373" s="253"/>
      <c r="AZ2373" s="253"/>
    </row>
    <row r="2374" spans="1:52" ht="15.5" customHeight="1">
      <c r="A2374" s="363"/>
      <c r="B2374" s="343"/>
      <c r="C2374" s="7"/>
      <c r="D2374" s="254"/>
      <c r="E2374" s="254"/>
      <c r="F2374" s="254"/>
      <c r="G2374" s="253"/>
      <c r="H2374" s="253"/>
      <c r="I2374" s="253"/>
      <c r="J2374" s="253"/>
      <c r="K2374" s="253"/>
      <c r="L2374" s="7"/>
      <c r="M2374" s="7"/>
      <c r="N2374" s="253"/>
      <c r="O2374" s="255"/>
      <c r="P2374" s="253"/>
      <c r="Q2374" s="7"/>
      <c r="R2374" s="7"/>
      <c r="S2374" s="7"/>
      <c r="T2374" s="7"/>
      <c r="U2374" s="7"/>
      <c r="V2374" s="253"/>
      <c r="W2374" s="7"/>
      <c r="X2374" s="256"/>
      <c r="Y2374" s="256"/>
      <c r="Z2374" s="256"/>
      <c r="AA2374" s="256"/>
      <c r="AB2374" s="257"/>
      <c r="AC2374" s="258"/>
      <c r="AD2374" s="7"/>
      <c r="AE2374" s="253"/>
      <c r="AF2374" s="253"/>
      <c r="AG2374" s="259"/>
      <c r="AH2374" s="253"/>
      <c r="AI2374" s="253"/>
      <c r="AJ2374" s="7"/>
      <c r="AK2374" s="253"/>
      <c r="AL2374" s="253"/>
      <c r="AM2374" s="7"/>
      <c r="AN2374" s="253"/>
      <c r="AO2374" s="253"/>
      <c r="AP2374" s="253"/>
      <c r="AQ2374" s="253"/>
      <c r="AR2374" s="253"/>
      <c r="AS2374" s="253"/>
      <c r="AT2374" s="253"/>
      <c r="AU2374" s="253"/>
      <c r="AV2374" s="253"/>
      <c r="AW2374" s="253"/>
      <c r="AX2374" s="253"/>
      <c r="AY2374" s="253"/>
      <c r="AZ2374" s="253"/>
    </row>
    <row r="2375" spans="1:52" ht="15.5" customHeight="1">
      <c r="A2375" s="363"/>
      <c r="B2375" s="343"/>
      <c r="C2375" s="7"/>
      <c r="D2375" s="254"/>
      <c r="E2375" s="254"/>
      <c r="F2375" s="254"/>
      <c r="G2375" s="253"/>
      <c r="H2375" s="253"/>
      <c r="I2375" s="253"/>
      <c r="J2375" s="253"/>
      <c r="K2375" s="253"/>
      <c r="L2375" s="7"/>
      <c r="M2375" s="7"/>
      <c r="N2375" s="253"/>
      <c r="O2375" s="255"/>
      <c r="P2375" s="253"/>
      <c r="Q2375" s="7"/>
      <c r="R2375" s="7"/>
      <c r="S2375" s="7"/>
      <c r="T2375" s="7"/>
      <c r="U2375" s="7"/>
      <c r="V2375" s="253"/>
      <c r="W2375" s="7"/>
      <c r="X2375" s="256"/>
      <c r="Y2375" s="256"/>
      <c r="Z2375" s="256"/>
      <c r="AA2375" s="256"/>
      <c r="AB2375" s="257"/>
      <c r="AC2375" s="258"/>
      <c r="AD2375" s="7"/>
      <c r="AE2375" s="253"/>
      <c r="AF2375" s="253"/>
      <c r="AG2375" s="259"/>
      <c r="AH2375" s="253"/>
      <c r="AI2375" s="253"/>
      <c r="AJ2375" s="7"/>
      <c r="AK2375" s="253"/>
      <c r="AL2375" s="253"/>
      <c r="AM2375" s="7"/>
      <c r="AN2375" s="253"/>
      <c r="AO2375" s="253"/>
      <c r="AP2375" s="253"/>
      <c r="AQ2375" s="253"/>
      <c r="AR2375" s="253"/>
      <c r="AS2375" s="253"/>
      <c r="AT2375" s="253"/>
      <c r="AU2375" s="253"/>
      <c r="AV2375" s="253"/>
      <c r="AW2375" s="253"/>
      <c r="AX2375" s="253"/>
      <c r="AY2375" s="253"/>
      <c r="AZ2375" s="253"/>
    </row>
    <row r="2376" spans="1:52" ht="15.5" customHeight="1">
      <c r="A2376" s="363"/>
      <c r="B2376" s="343"/>
      <c r="C2376" s="7"/>
      <c r="D2376" s="254"/>
      <c r="E2376" s="254"/>
      <c r="F2376" s="254"/>
      <c r="G2376" s="253"/>
      <c r="H2376" s="253"/>
      <c r="I2376" s="253"/>
      <c r="J2376" s="253"/>
      <c r="K2376" s="253"/>
      <c r="L2376" s="7"/>
      <c r="M2376" s="7"/>
      <c r="N2376" s="253"/>
      <c r="O2376" s="255"/>
      <c r="P2376" s="253"/>
      <c r="Q2376" s="7"/>
      <c r="R2376" s="7"/>
      <c r="S2376" s="7"/>
      <c r="T2376" s="7"/>
      <c r="U2376" s="7"/>
      <c r="V2376" s="253"/>
      <c r="W2376" s="7"/>
      <c r="X2376" s="256"/>
      <c r="Y2376" s="256"/>
      <c r="Z2376" s="256"/>
      <c r="AA2376" s="256"/>
      <c r="AB2376" s="257"/>
      <c r="AC2376" s="258"/>
      <c r="AD2376" s="7"/>
      <c r="AE2376" s="253"/>
      <c r="AF2376" s="253"/>
      <c r="AG2376" s="259"/>
      <c r="AH2376" s="253"/>
      <c r="AI2376" s="253"/>
      <c r="AJ2376" s="7"/>
      <c r="AK2376" s="253"/>
      <c r="AL2376" s="253"/>
      <c r="AM2376" s="7"/>
      <c r="AN2376" s="253"/>
      <c r="AO2376" s="253"/>
      <c r="AP2376" s="253"/>
      <c r="AQ2376" s="253"/>
      <c r="AR2376" s="253"/>
      <c r="AS2376" s="253"/>
      <c r="AT2376" s="253"/>
      <c r="AU2376" s="253"/>
      <c r="AV2376" s="253"/>
      <c r="AW2376" s="253"/>
      <c r="AX2376" s="253"/>
      <c r="AY2376" s="253"/>
      <c r="AZ2376" s="253"/>
    </row>
    <row r="2377" spans="1:52" ht="15.5" customHeight="1">
      <c r="A2377" s="363"/>
      <c r="B2377" s="343"/>
      <c r="C2377" s="7"/>
      <c r="D2377" s="254"/>
      <c r="E2377" s="254"/>
      <c r="F2377" s="254"/>
      <c r="G2377" s="253"/>
      <c r="H2377" s="253"/>
      <c r="I2377" s="253"/>
      <c r="J2377" s="253"/>
      <c r="K2377" s="253"/>
      <c r="L2377" s="7"/>
      <c r="M2377" s="7"/>
      <c r="N2377" s="253"/>
      <c r="O2377" s="255"/>
      <c r="P2377" s="253"/>
      <c r="Q2377" s="7"/>
      <c r="R2377" s="7"/>
      <c r="S2377" s="7"/>
      <c r="T2377" s="7"/>
      <c r="U2377" s="7"/>
      <c r="V2377" s="253"/>
      <c r="W2377" s="7"/>
      <c r="X2377" s="256"/>
      <c r="Y2377" s="256"/>
      <c r="Z2377" s="256"/>
      <c r="AA2377" s="256"/>
      <c r="AB2377" s="257"/>
      <c r="AC2377" s="258"/>
      <c r="AD2377" s="7"/>
      <c r="AE2377" s="253"/>
      <c r="AF2377" s="253"/>
      <c r="AG2377" s="259"/>
      <c r="AH2377" s="253"/>
      <c r="AI2377" s="253"/>
      <c r="AJ2377" s="7"/>
      <c r="AK2377" s="253"/>
      <c r="AL2377" s="253"/>
      <c r="AM2377" s="7"/>
      <c r="AN2377" s="253"/>
      <c r="AO2377" s="253"/>
      <c r="AP2377" s="253"/>
      <c r="AQ2377" s="253"/>
      <c r="AR2377" s="253"/>
      <c r="AS2377" s="253"/>
      <c r="AT2377" s="253"/>
      <c r="AU2377" s="253"/>
      <c r="AV2377" s="253"/>
      <c r="AW2377" s="253"/>
      <c r="AX2377" s="253"/>
      <c r="AY2377" s="253"/>
      <c r="AZ2377" s="253"/>
    </row>
    <row r="2378" spans="1:52" ht="15.5" customHeight="1">
      <c r="A2378" s="363"/>
      <c r="B2378" s="343"/>
      <c r="C2378" s="7"/>
      <c r="D2378" s="254"/>
      <c r="E2378" s="254"/>
      <c r="F2378" s="254"/>
      <c r="G2378" s="253"/>
      <c r="H2378" s="253"/>
      <c r="I2378" s="253"/>
      <c r="J2378" s="253"/>
      <c r="K2378" s="253"/>
      <c r="L2378" s="7"/>
      <c r="M2378" s="7"/>
      <c r="N2378" s="253"/>
      <c r="O2378" s="255"/>
      <c r="P2378" s="253"/>
      <c r="Q2378" s="7"/>
      <c r="R2378" s="7"/>
      <c r="S2378" s="7"/>
      <c r="T2378" s="7"/>
      <c r="U2378" s="7"/>
      <c r="V2378" s="253"/>
      <c r="W2378" s="7"/>
      <c r="X2378" s="256"/>
      <c r="Y2378" s="256"/>
      <c r="Z2378" s="256"/>
      <c r="AA2378" s="256"/>
      <c r="AB2378" s="257"/>
      <c r="AC2378" s="258"/>
      <c r="AD2378" s="7"/>
      <c r="AE2378" s="253"/>
      <c r="AF2378" s="253"/>
      <c r="AG2378" s="259"/>
      <c r="AH2378" s="253"/>
      <c r="AI2378" s="253"/>
      <c r="AJ2378" s="7"/>
      <c r="AK2378" s="253"/>
      <c r="AL2378" s="253"/>
      <c r="AM2378" s="7"/>
      <c r="AN2378" s="253"/>
      <c r="AO2378" s="253"/>
      <c r="AP2378" s="253"/>
      <c r="AQ2378" s="253"/>
      <c r="AR2378" s="253"/>
      <c r="AS2378" s="253"/>
      <c r="AT2378" s="253"/>
      <c r="AU2378" s="253"/>
      <c r="AV2378" s="253"/>
      <c r="AW2378" s="253"/>
      <c r="AX2378" s="253"/>
      <c r="AY2378" s="253"/>
      <c r="AZ2378" s="253"/>
    </row>
    <row r="2379" spans="1:52" ht="15.5" customHeight="1">
      <c r="A2379" s="363"/>
      <c r="B2379" s="343"/>
      <c r="C2379" s="7"/>
      <c r="D2379" s="254"/>
      <c r="E2379" s="254"/>
      <c r="F2379" s="254"/>
      <c r="G2379" s="253"/>
      <c r="H2379" s="253"/>
      <c r="I2379" s="253"/>
      <c r="J2379" s="253"/>
      <c r="K2379" s="253"/>
      <c r="L2379" s="7"/>
      <c r="M2379" s="7"/>
      <c r="N2379" s="253"/>
      <c r="O2379" s="255"/>
      <c r="P2379" s="253"/>
      <c r="Q2379" s="7"/>
      <c r="R2379" s="7"/>
      <c r="S2379" s="7"/>
      <c r="T2379" s="7"/>
      <c r="U2379" s="7"/>
      <c r="V2379" s="253"/>
      <c r="W2379" s="7"/>
      <c r="X2379" s="256"/>
      <c r="Y2379" s="256"/>
      <c r="Z2379" s="256"/>
      <c r="AA2379" s="256"/>
      <c r="AB2379" s="257"/>
      <c r="AC2379" s="258"/>
      <c r="AD2379" s="7"/>
      <c r="AE2379" s="253"/>
      <c r="AF2379" s="253"/>
      <c r="AG2379" s="259"/>
      <c r="AH2379" s="253"/>
      <c r="AI2379" s="253"/>
      <c r="AJ2379" s="7"/>
      <c r="AK2379" s="253"/>
      <c r="AL2379" s="253"/>
      <c r="AM2379" s="7"/>
      <c r="AN2379" s="253"/>
      <c r="AO2379" s="253"/>
      <c r="AP2379" s="253"/>
      <c r="AQ2379" s="253"/>
      <c r="AR2379" s="253"/>
      <c r="AS2379" s="253"/>
      <c r="AT2379" s="253"/>
      <c r="AU2379" s="253"/>
      <c r="AV2379" s="253"/>
      <c r="AW2379" s="253"/>
      <c r="AX2379" s="253"/>
      <c r="AY2379" s="253"/>
      <c r="AZ2379" s="253"/>
    </row>
    <row r="2380" spans="1:52" ht="15.5" customHeight="1">
      <c r="A2380" s="363"/>
      <c r="B2380" s="343"/>
      <c r="C2380" s="7"/>
      <c r="D2380" s="254"/>
      <c r="E2380" s="254"/>
      <c r="F2380" s="254"/>
      <c r="G2380" s="253"/>
      <c r="H2380" s="253"/>
      <c r="I2380" s="253"/>
      <c r="J2380" s="253"/>
      <c r="K2380" s="253"/>
      <c r="L2380" s="7"/>
      <c r="M2380" s="7"/>
      <c r="N2380" s="253"/>
      <c r="O2380" s="255"/>
      <c r="P2380" s="253"/>
      <c r="Q2380" s="7"/>
      <c r="R2380" s="7"/>
      <c r="S2380" s="7"/>
      <c r="T2380" s="7"/>
      <c r="U2380" s="7"/>
      <c r="V2380" s="253"/>
      <c r="W2380" s="7"/>
      <c r="X2380" s="256"/>
      <c r="Y2380" s="256"/>
      <c r="Z2380" s="256"/>
      <c r="AA2380" s="256"/>
      <c r="AB2380" s="257"/>
      <c r="AC2380" s="258"/>
      <c r="AD2380" s="7"/>
      <c r="AE2380" s="253"/>
      <c r="AF2380" s="253"/>
      <c r="AG2380" s="259"/>
      <c r="AH2380" s="253"/>
      <c r="AI2380" s="253"/>
      <c r="AJ2380" s="7"/>
      <c r="AK2380" s="253"/>
      <c r="AL2380" s="253"/>
      <c r="AM2380" s="7"/>
      <c r="AN2380" s="253"/>
      <c r="AO2380" s="253"/>
      <c r="AP2380" s="253"/>
      <c r="AQ2380" s="253"/>
      <c r="AR2380" s="253"/>
      <c r="AS2380" s="253"/>
      <c r="AT2380" s="253"/>
      <c r="AU2380" s="253"/>
      <c r="AV2380" s="253"/>
      <c r="AW2380" s="253"/>
      <c r="AX2380" s="253"/>
      <c r="AY2380" s="253"/>
      <c r="AZ2380" s="253"/>
    </row>
    <row r="2381" spans="1:52" ht="15.5" customHeight="1">
      <c r="A2381" s="363"/>
      <c r="B2381" s="343"/>
      <c r="C2381" s="7"/>
      <c r="D2381" s="254"/>
      <c r="E2381" s="254"/>
      <c r="F2381" s="254"/>
      <c r="G2381" s="253"/>
      <c r="H2381" s="253"/>
      <c r="I2381" s="253"/>
      <c r="J2381" s="253"/>
      <c r="K2381" s="253"/>
      <c r="L2381" s="7"/>
      <c r="M2381" s="7"/>
      <c r="N2381" s="253"/>
      <c r="O2381" s="255"/>
      <c r="P2381" s="253"/>
      <c r="Q2381" s="7"/>
      <c r="R2381" s="7"/>
      <c r="S2381" s="7"/>
      <c r="T2381" s="7"/>
      <c r="U2381" s="7"/>
      <c r="V2381" s="253"/>
      <c r="W2381" s="7"/>
      <c r="X2381" s="256"/>
      <c r="Y2381" s="256"/>
      <c r="Z2381" s="256"/>
      <c r="AA2381" s="256"/>
      <c r="AB2381" s="257"/>
      <c r="AC2381" s="258"/>
      <c r="AD2381" s="7"/>
      <c r="AE2381" s="253"/>
      <c r="AF2381" s="253"/>
      <c r="AG2381" s="259"/>
      <c r="AH2381" s="253"/>
      <c r="AI2381" s="253"/>
      <c r="AJ2381" s="7"/>
      <c r="AK2381" s="253"/>
      <c r="AL2381" s="253"/>
      <c r="AM2381" s="7"/>
      <c r="AN2381" s="253"/>
      <c r="AO2381" s="253"/>
      <c r="AP2381" s="253"/>
      <c r="AQ2381" s="253"/>
      <c r="AR2381" s="253"/>
      <c r="AS2381" s="253"/>
      <c r="AT2381" s="253"/>
      <c r="AU2381" s="253"/>
      <c r="AV2381" s="253"/>
      <c r="AW2381" s="253"/>
      <c r="AX2381" s="253"/>
      <c r="AY2381" s="253"/>
      <c r="AZ2381" s="253"/>
    </row>
    <row r="2382" spans="1:52" ht="15.5" customHeight="1">
      <c r="A2382" s="363"/>
      <c r="B2382" s="343"/>
      <c r="C2382" s="7"/>
      <c r="D2382" s="254"/>
      <c r="E2382" s="254"/>
      <c r="F2382" s="254"/>
      <c r="G2382" s="253"/>
      <c r="H2382" s="253"/>
      <c r="I2382" s="253"/>
      <c r="J2382" s="253"/>
      <c r="K2382" s="253"/>
      <c r="L2382" s="7"/>
      <c r="M2382" s="7"/>
      <c r="N2382" s="253"/>
      <c r="O2382" s="255"/>
      <c r="P2382" s="253"/>
      <c r="Q2382" s="7"/>
      <c r="R2382" s="7"/>
      <c r="S2382" s="7"/>
      <c r="T2382" s="7"/>
      <c r="U2382" s="7"/>
      <c r="V2382" s="253"/>
      <c r="W2382" s="7"/>
      <c r="X2382" s="256"/>
      <c r="Y2382" s="256"/>
      <c r="Z2382" s="256"/>
      <c r="AA2382" s="256"/>
      <c r="AB2382" s="257"/>
      <c r="AC2382" s="258"/>
      <c r="AD2382" s="7"/>
      <c r="AE2382" s="253"/>
      <c r="AF2382" s="253"/>
      <c r="AG2382" s="259"/>
      <c r="AH2382" s="253"/>
      <c r="AI2382" s="253"/>
      <c r="AJ2382" s="7"/>
      <c r="AK2382" s="253"/>
      <c r="AL2382" s="253"/>
      <c r="AM2382" s="7"/>
      <c r="AN2382" s="253"/>
      <c r="AO2382" s="253"/>
      <c r="AP2382" s="253"/>
      <c r="AQ2382" s="253"/>
      <c r="AR2382" s="253"/>
      <c r="AS2382" s="253"/>
      <c r="AT2382" s="253"/>
      <c r="AU2382" s="253"/>
      <c r="AV2382" s="253"/>
      <c r="AW2382" s="253"/>
      <c r="AX2382" s="253"/>
      <c r="AY2382" s="253"/>
      <c r="AZ2382" s="253"/>
    </row>
    <row r="2383" spans="1:52" ht="15.5" customHeight="1">
      <c r="A2383" s="363"/>
      <c r="B2383" s="343"/>
      <c r="C2383" s="7"/>
      <c r="D2383" s="254"/>
      <c r="E2383" s="254"/>
      <c r="F2383" s="254"/>
      <c r="G2383" s="253"/>
      <c r="H2383" s="253"/>
      <c r="I2383" s="253"/>
      <c r="J2383" s="253"/>
      <c r="K2383" s="253"/>
      <c r="L2383" s="7"/>
      <c r="M2383" s="7"/>
      <c r="N2383" s="253"/>
      <c r="O2383" s="255"/>
      <c r="P2383" s="253"/>
      <c r="Q2383" s="7"/>
      <c r="R2383" s="7"/>
      <c r="S2383" s="7"/>
      <c r="T2383" s="7"/>
      <c r="U2383" s="7"/>
      <c r="V2383" s="253"/>
      <c r="W2383" s="7"/>
      <c r="X2383" s="256"/>
      <c r="Y2383" s="256"/>
      <c r="Z2383" s="256"/>
      <c r="AA2383" s="256"/>
      <c r="AB2383" s="257"/>
      <c r="AC2383" s="258"/>
      <c r="AD2383" s="7"/>
      <c r="AE2383" s="253"/>
      <c r="AF2383" s="253"/>
      <c r="AG2383" s="259"/>
      <c r="AH2383" s="253"/>
      <c r="AI2383" s="253"/>
      <c r="AJ2383" s="7"/>
      <c r="AK2383" s="253"/>
      <c r="AL2383" s="253"/>
      <c r="AM2383" s="7"/>
      <c r="AN2383" s="253"/>
      <c r="AO2383" s="253"/>
      <c r="AP2383" s="253"/>
      <c r="AQ2383" s="253"/>
      <c r="AR2383" s="253"/>
      <c r="AS2383" s="253"/>
      <c r="AT2383" s="253"/>
      <c r="AU2383" s="253"/>
      <c r="AV2383" s="253"/>
      <c r="AW2383" s="253"/>
      <c r="AX2383" s="253"/>
      <c r="AY2383" s="253"/>
      <c r="AZ2383" s="253"/>
    </row>
    <row r="2384" spans="1:52" ht="15.5" customHeight="1">
      <c r="A2384" s="363"/>
      <c r="B2384" s="343"/>
      <c r="C2384" s="7"/>
      <c r="D2384" s="254"/>
      <c r="E2384" s="254"/>
      <c r="F2384" s="254"/>
      <c r="G2384" s="253"/>
      <c r="H2384" s="253"/>
      <c r="I2384" s="253"/>
      <c r="J2384" s="253"/>
      <c r="K2384" s="253"/>
      <c r="L2384" s="7"/>
      <c r="M2384" s="7"/>
      <c r="N2384" s="253"/>
      <c r="O2384" s="255"/>
      <c r="P2384" s="253"/>
      <c r="Q2384" s="7"/>
      <c r="R2384" s="7"/>
      <c r="S2384" s="7"/>
      <c r="T2384" s="7"/>
      <c r="U2384" s="7"/>
      <c r="V2384" s="253"/>
      <c r="W2384" s="7"/>
      <c r="X2384" s="256"/>
      <c r="Y2384" s="256"/>
      <c r="Z2384" s="256"/>
      <c r="AA2384" s="256"/>
      <c r="AB2384" s="257"/>
      <c r="AC2384" s="258"/>
      <c r="AD2384" s="7"/>
      <c r="AE2384" s="253"/>
      <c r="AF2384" s="253"/>
      <c r="AG2384" s="259"/>
      <c r="AH2384" s="253"/>
      <c r="AI2384" s="253"/>
      <c r="AJ2384" s="7"/>
      <c r="AK2384" s="253"/>
      <c r="AL2384" s="253"/>
      <c r="AM2384" s="7"/>
      <c r="AN2384" s="253"/>
      <c r="AO2384" s="253"/>
      <c r="AP2384" s="253"/>
      <c r="AQ2384" s="253"/>
      <c r="AR2384" s="253"/>
      <c r="AS2384" s="253"/>
      <c r="AT2384" s="253"/>
      <c r="AU2384" s="253"/>
      <c r="AV2384" s="253"/>
      <c r="AW2384" s="253"/>
      <c r="AX2384" s="253"/>
      <c r="AY2384" s="253"/>
      <c r="AZ2384" s="253"/>
    </row>
    <row r="2385" spans="1:52" ht="15.5" customHeight="1">
      <c r="A2385" s="363"/>
      <c r="B2385" s="343"/>
      <c r="C2385" s="7"/>
      <c r="D2385" s="254"/>
      <c r="E2385" s="254"/>
      <c r="F2385" s="254"/>
      <c r="G2385" s="253"/>
      <c r="H2385" s="253"/>
      <c r="I2385" s="253"/>
      <c r="J2385" s="253"/>
      <c r="K2385" s="253"/>
      <c r="L2385" s="7"/>
      <c r="M2385" s="7"/>
      <c r="N2385" s="253"/>
      <c r="O2385" s="255"/>
      <c r="P2385" s="253"/>
      <c r="Q2385" s="7"/>
      <c r="R2385" s="7"/>
      <c r="S2385" s="7"/>
      <c r="T2385" s="7"/>
      <c r="U2385" s="7"/>
      <c r="V2385" s="253"/>
      <c r="W2385" s="7"/>
      <c r="X2385" s="256"/>
      <c r="Y2385" s="256"/>
      <c r="Z2385" s="256"/>
      <c r="AA2385" s="256"/>
      <c r="AB2385" s="257"/>
      <c r="AC2385" s="258"/>
      <c r="AD2385" s="7"/>
      <c r="AE2385" s="253"/>
      <c r="AF2385" s="253"/>
      <c r="AG2385" s="259"/>
      <c r="AH2385" s="253"/>
      <c r="AI2385" s="253"/>
      <c r="AJ2385" s="7"/>
      <c r="AK2385" s="253"/>
      <c r="AL2385" s="253"/>
      <c r="AM2385" s="7"/>
      <c r="AN2385" s="253"/>
      <c r="AO2385" s="253"/>
      <c r="AP2385" s="253"/>
      <c r="AQ2385" s="253"/>
      <c r="AR2385" s="253"/>
      <c r="AS2385" s="253"/>
      <c r="AT2385" s="253"/>
      <c r="AU2385" s="253"/>
      <c r="AV2385" s="253"/>
      <c r="AW2385" s="253"/>
      <c r="AX2385" s="253"/>
      <c r="AY2385" s="253"/>
      <c r="AZ2385" s="253"/>
    </row>
    <row r="2386" spans="1:52" ht="15.5" customHeight="1">
      <c r="A2386" s="363"/>
      <c r="B2386" s="343"/>
      <c r="C2386" s="7"/>
      <c r="D2386" s="254"/>
      <c r="E2386" s="254"/>
      <c r="F2386" s="254"/>
      <c r="G2386" s="253"/>
      <c r="H2386" s="253"/>
      <c r="I2386" s="253"/>
      <c r="J2386" s="253"/>
      <c r="K2386" s="253"/>
      <c r="L2386" s="7"/>
      <c r="M2386" s="7"/>
      <c r="N2386" s="253"/>
      <c r="O2386" s="255"/>
      <c r="P2386" s="253"/>
      <c r="Q2386" s="7"/>
      <c r="R2386" s="7"/>
      <c r="S2386" s="7"/>
      <c r="T2386" s="7"/>
      <c r="U2386" s="7"/>
      <c r="V2386" s="253"/>
      <c r="W2386" s="7"/>
      <c r="X2386" s="256"/>
      <c r="Y2386" s="256"/>
      <c r="Z2386" s="256"/>
      <c r="AA2386" s="256"/>
      <c r="AB2386" s="257"/>
      <c r="AC2386" s="258"/>
      <c r="AD2386" s="7"/>
      <c r="AE2386" s="253"/>
      <c r="AF2386" s="253"/>
      <c r="AG2386" s="259"/>
      <c r="AH2386" s="253"/>
      <c r="AI2386" s="253"/>
      <c r="AJ2386" s="7"/>
      <c r="AK2386" s="253"/>
      <c r="AL2386" s="253"/>
      <c r="AM2386" s="7"/>
      <c r="AN2386" s="253"/>
      <c r="AO2386" s="253"/>
      <c r="AP2386" s="253"/>
      <c r="AQ2386" s="253"/>
      <c r="AR2386" s="253"/>
      <c r="AS2386" s="253"/>
      <c r="AT2386" s="253"/>
      <c r="AU2386" s="253"/>
      <c r="AV2386" s="253"/>
      <c r="AW2386" s="253"/>
      <c r="AX2386" s="253"/>
      <c r="AY2386" s="253"/>
      <c r="AZ2386" s="253"/>
    </row>
    <row r="2387" spans="1:52" ht="15.5" customHeight="1">
      <c r="A2387" s="363"/>
      <c r="B2387" s="343"/>
      <c r="C2387" s="7"/>
      <c r="D2387" s="254"/>
      <c r="E2387" s="254"/>
      <c r="F2387" s="254"/>
      <c r="G2387" s="253"/>
      <c r="H2387" s="253"/>
      <c r="I2387" s="253"/>
      <c r="J2387" s="253"/>
      <c r="K2387" s="253"/>
      <c r="L2387" s="7"/>
      <c r="M2387" s="7"/>
      <c r="N2387" s="253"/>
      <c r="O2387" s="255"/>
      <c r="P2387" s="253"/>
      <c r="Q2387" s="7"/>
      <c r="R2387" s="7"/>
      <c r="S2387" s="7"/>
      <c r="T2387" s="7"/>
      <c r="U2387" s="7"/>
      <c r="V2387" s="253"/>
      <c r="W2387" s="7"/>
      <c r="X2387" s="256"/>
      <c r="Y2387" s="256"/>
      <c r="Z2387" s="256"/>
      <c r="AA2387" s="256"/>
      <c r="AB2387" s="257"/>
      <c r="AC2387" s="258"/>
      <c r="AD2387" s="7"/>
      <c r="AE2387" s="253"/>
      <c r="AF2387" s="253"/>
      <c r="AG2387" s="259"/>
      <c r="AH2387" s="253"/>
      <c r="AI2387" s="253"/>
      <c r="AJ2387" s="7"/>
      <c r="AK2387" s="253"/>
      <c r="AL2387" s="253"/>
      <c r="AM2387" s="7"/>
      <c r="AN2387" s="253"/>
      <c r="AO2387" s="253"/>
      <c r="AP2387" s="253"/>
      <c r="AQ2387" s="253"/>
      <c r="AR2387" s="253"/>
      <c r="AS2387" s="253"/>
      <c r="AT2387" s="253"/>
      <c r="AU2387" s="253"/>
      <c r="AV2387" s="253"/>
      <c r="AW2387" s="253"/>
      <c r="AX2387" s="253"/>
      <c r="AY2387" s="253"/>
      <c r="AZ2387" s="253"/>
    </row>
    <row r="2388" spans="1:52" ht="15.5" customHeight="1">
      <c r="A2388" s="363"/>
      <c r="B2388" s="343"/>
      <c r="C2388" s="7"/>
      <c r="D2388" s="254"/>
      <c r="E2388" s="254"/>
      <c r="F2388" s="254"/>
      <c r="G2388" s="253"/>
      <c r="H2388" s="253"/>
      <c r="I2388" s="253"/>
      <c r="J2388" s="253"/>
      <c r="K2388" s="253"/>
      <c r="L2388" s="7"/>
      <c r="M2388" s="7"/>
      <c r="N2388" s="253"/>
      <c r="O2388" s="255"/>
      <c r="P2388" s="253"/>
      <c r="Q2388" s="7"/>
      <c r="R2388" s="7"/>
      <c r="S2388" s="7"/>
      <c r="T2388" s="7"/>
      <c r="U2388" s="7"/>
      <c r="V2388" s="253"/>
      <c r="W2388" s="7"/>
      <c r="X2388" s="256"/>
      <c r="Y2388" s="256"/>
      <c r="Z2388" s="256"/>
      <c r="AA2388" s="256"/>
      <c r="AB2388" s="257"/>
      <c r="AC2388" s="258"/>
      <c r="AD2388" s="7"/>
      <c r="AE2388" s="253"/>
      <c r="AF2388" s="253"/>
      <c r="AG2388" s="259"/>
      <c r="AH2388" s="253"/>
      <c r="AI2388" s="253"/>
      <c r="AJ2388" s="7"/>
      <c r="AK2388" s="253"/>
      <c r="AL2388" s="253"/>
      <c r="AM2388" s="7"/>
      <c r="AN2388" s="253"/>
      <c r="AO2388" s="253"/>
      <c r="AP2388" s="253"/>
      <c r="AQ2388" s="253"/>
      <c r="AR2388" s="253"/>
      <c r="AS2388" s="253"/>
      <c r="AT2388" s="253"/>
      <c r="AU2388" s="253"/>
      <c r="AV2388" s="253"/>
      <c r="AW2388" s="253"/>
      <c r="AX2388" s="253"/>
      <c r="AY2388" s="253"/>
      <c r="AZ2388" s="253"/>
    </row>
    <row r="2389" spans="1:52" ht="15.5" customHeight="1">
      <c r="A2389" s="363"/>
      <c r="B2389" s="343"/>
      <c r="C2389" s="7"/>
      <c r="D2389" s="254"/>
      <c r="E2389" s="254"/>
      <c r="F2389" s="254"/>
      <c r="G2389" s="253"/>
      <c r="H2389" s="253"/>
      <c r="I2389" s="253"/>
      <c r="J2389" s="253"/>
      <c r="K2389" s="253"/>
      <c r="L2389" s="7"/>
      <c r="M2389" s="7"/>
      <c r="N2389" s="253"/>
      <c r="O2389" s="255"/>
      <c r="P2389" s="253"/>
      <c r="Q2389" s="7"/>
      <c r="R2389" s="7"/>
      <c r="S2389" s="7"/>
      <c r="T2389" s="7"/>
      <c r="U2389" s="7"/>
      <c r="V2389" s="253"/>
      <c r="W2389" s="7"/>
      <c r="X2389" s="256"/>
      <c r="Y2389" s="256"/>
      <c r="Z2389" s="256"/>
      <c r="AA2389" s="256"/>
      <c r="AB2389" s="257"/>
      <c r="AC2389" s="258"/>
      <c r="AD2389" s="7"/>
      <c r="AE2389" s="253"/>
      <c r="AF2389" s="253"/>
      <c r="AG2389" s="259"/>
      <c r="AH2389" s="253"/>
      <c r="AI2389" s="253"/>
      <c r="AJ2389" s="7"/>
      <c r="AK2389" s="253"/>
      <c r="AL2389" s="253"/>
      <c r="AM2389" s="7"/>
      <c r="AN2389" s="253"/>
      <c r="AO2389" s="253"/>
      <c r="AP2389" s="253"/>
      <c r="AQ2389" s="253"/>
      <c r="AR2389" s="253"/>
      <c r="AS2389" s="253"/>
      <c r="AT2389" s="253"/>
      <c r="AU2389" s="253"/>
      <c r="AV2389" s="253"/>
      <c r="AW2389" s="253"/>
      <c r="AX2389" s="253"/>
      <c r="AY2389" s="253"/>
      <c r="AZ2389" s="253"/>
    </row>
    <row r="2390" spans="1:52" ht="15.5" customHeight="1">
      <c r="A2390" s="363"/>
      <c r="B2390" s="343"/>
      <c r="C2390" s="7"/>
      <c r="D2390" s="254"/>
      <c r="E2390" s="254"/>
      <c r="F2390" s="254"/>
      <c r="G2390" s="253"/>
      <c r="H2390" s="253"/>
      <c r="I2390" s="253"/>
      <c r="J2390" s="253"/>
      <c r="K2390" s="253"/>
      <c r="L2390" s="7"/>
      <c r="M2390" s="7"/>
      <c r="N2390" s="253"/>
      <c r="O2390" s="255"/>
      <c r="P2390" s="253"/>
      <c r="Q2390" s="7"/>
      <c r="R2390" s="7"/>
      <c r="S2390" s="7"/>
      <c r="T2390" s="7"/>
      <c r="U2390" s="7"/>
      <c r="V2390" s="253"/>
      <c r="W2390" s="7"/>
      <c r="X2390" s="256"/>
      <c r="Y2390" s="256"/>
      <c r="Z2390" s="256"/>
      <c r="AA2390" s="256"/>
      <c r="AB2390" s="257"/>
      <c r="AC2390" s="258"/>
      <c r="AD2390" s="7"/>
      <c r="AE2390" s="253"/>
      <c r="AF2390" s="253"/>
      <c r="AG2390" s="259"/>
      <c r="AH2390" s="253"/>
      <c r="AI2390" s="253"/>
      <c r="AJ2390" s="7"/>
      <c r="AK2390" s="253"/>
      <c r="AL2390" s="253"/>
      <c r="AM2390" s="7"/>
      <c r="AN2390" s="253"/>
      <c r="AO2390" s="253"/>
      <c r="AP2390" s="253"/>
      <c r="AQ2390" s="253"/>
      <c r="AR2390" s="253"/>
      <c r="AS2390" s="253"/>
      <c r="AT2390" s="253"/>
      <c r="AU2390" s="253"/>
      <c r="AV2390" s="253"/>
      <c r="AW2390" s="253"/>
      <c r="AX2390" s="253"/>
      <c r="AY2390" s="253"/>
      <c r="AZ2390" s="253"/>
    </row>
    <row r="2391" spans="1:52" ht="15.5" customHeight="1">
      <c r="A2391" s="363"/>
      <c r="B2391" s="343"/>
      <c r="C2391" s="7"/>
      <c r="D2391" s="254"/>
      <c r="E2391" s="254"/>
      <c r="F2391" s="254"/>
      <c r="G2391" s="253"/>
      <c r="H2391" s="253"/>
      <c r="I2391" s="253"/>
      <c r="J2391" s="253"/>
      <c r="K2391" s="253"/>
      <c r="L2391" s="7"/>
      <c r="M2391" s="7"/>
      <c r="N2391" s="253"/>
      <c r="O2391" s="255"/>
      <c r="P2391" s="253"/>
      <c r="Q2391" s="7"/>
      <c r="R2391" s="7"/>
      <c r="S2391" s="7"/>
      <c r="T2391" s="7"/>
      <c r="U2391" s="7"/>
      <c r="V2391" s="253"/>
      <c r="W2391" s="7"/>
      <c r="X2391" s="256"/>
      <c r="Y2391" s="256"/>
      <c r="Z2391" s="256"/>
      <c r="AA2391" s="256"/>
      <c r="AB2391" s="257"/>
      <c r="AC2391" s="258"/>
      <c r="AD2391" s="7"/>
      <c r="AE2391" s="253"/>
      <c r="AF2391" s="253"/>
      <c r="AG2391" s="259"/>
      <c r="AH2391" s="253"/>
      <c r="AI2391" s="253"/>
      <c r="AJ2391" s="7"/>
      <c r="AK2391" s="253"/>
      <c r="AL2391" s="253"/>
      <c r="AM2391" s="7"/>
      <c r="AN2391" s="253"/>
      <c r="AO2391" s="253"/>
      <c r="AP2391" s="253"/>
      <c r="AQ2391" s="253"/>
      <c r="AR2391" s="253"/>
      <c r="AS2391" s="253"/>
      <c r="AT2391" s="253"/>
      <c r="AU2391" s="253"/>
      <c r="AV2391" s="253"/>
      <c r="AW2391" s="253"/>
      <c r="AX2391" s="253"/>
      <c r="AY2391" s="253"/>
      <c r="AZ2391" s="253"/>
    </row>
    <row r="2392" spans="1:52" ht="15.5" customHeight="1">
      <c r="A2392" s="363"/>
      <c r="B2392" s="343"/>
      <c r="C2392" s="7"/>
      <c r="D2392" s="254"/>
      <c r="E2392" s="254"/>
      <c r="F2392" s="254"/>
      <c r="G2392" s="253"/>
      <c r="H2392" s="253"/>
      <c r="I2392" s="253"/>
      <c r="J2392" s="253"/>
      <c r="K2392" s="253"/>
      <c r="L2392" s="7"/>
      <c r="M2392" s="7"/>
      <c r="N2392" s="253"/>
      <c r="O2392" s="255"/>
      <c r="P2392" s="253"/>
      <c r="Q2392" s="7"/>
      <c r="R2392" s="7"/>
      <c r="S2392" s="7"/>
      <c r="T2392" s="7"/>
      <c r="U2392" s="7"/>
      <c r="V2392" s="253"/>
      <c r="W2392" s="7"/>
      <c r="X2392" s="256"/>
      <c r="Y2392" s="256"/>
      <c r="Z2392" s="256"/>
      <c r="AA2392" s="256"/>
      <c r="AB2392" s="257"/>
      <c r="AC2392" s="258"/>
      <c r="AD2392" s="7"/>
      <c r="AE2392" s="253"/>
      <c r="AF2392" s="253"/>
      <c r="AG2392" s="259"/>
      <c r="AH2392" s="253"/>
      <c r="AI2392" s="253"/>
      <c r="AJ2392" s="7"/>
      <c r="AK2392" s="253"/>
      <c r="AL2392" s="253"/>
      <c r="AM2392" s="7"/>
      <c r="AN2392" s="253"/>
      <c r="AO2392" s="253"/>
      <c r="AP2392" s="253"/>
      <c r="AQ2392" s="253"/>
      <c r="AR2392" s="253"/>
      <c r="AS2392" s="253"/>
      <c r="AT2392" s="253"/>
      <c r="AU2392" s="253"/>
      <c r="AV2392" s="253"/>
      <c r="AW2392" s="253"/>
      <c r="AX2392" s="253"/>
      <c r="AY2392" s="253"/>
      <c r="AZ2392" s="253"/>
    </row>
    <row r="2393" spans="1:52" ht="15.5" customHeight="1">
      <c r="A2393" s="363"/>
      <c r="B2393" s="343"/>
      <c r="C2393" s="7"/>
      <c r="D2393" s="254"/>
      <c r="E2393" s="254"/>
      <c r="F2393" s="254"/>
      <c r="G2393" s="253"/>
      <c r="H2393" s="253"/>
      <c r="I2393" s="253"/>
      <c r="J2393" s="253"/>
      <c r="K2393" s="253"/>
      <c r="L2393" s="7"/>
      <c r="M2393" s="7"/>
      <c r="N2393" s="253"/>
      <c r="O2393" s="255"/>
      <c r="P2393" s="253"/>
      <c r="Q2393" s="7"/>
      <c r="R2393" s="7"/>
      <c r="S2393" s="7"/>
      <c r="T2393" s="7"/>
      <c r="U2393" s="7"/>
      <c r="V2393" s="253"/>
      <c r="W2393" s="7"/>
      <c r="X2393" s="256"/>
      <c r="Y2393" s="256"/>
      <c r="Z2393" s="256"/>
      <c r="AA2393" s="256"/>
      <c r="AB2393" s="257"/>
      <c r="AC2393" s="258"/>
      <c r="AD2393" s="7"/>
      <c r="AE2393" s="253"/>
      <c r="AF2393" s="253"/>
      <c r="AG2393" s="259"/>
      <c r="AH2393" s="253"/>
      <c r="AI2393" s="253"/>
      <c r="AJ2393" s="7"/>
      <c r="AK2393" s="253"/>
      <c r="AL2393" s="253"/>
      <c r="AM2393" s="7"/>
      <c r="AN2393" s="253"/>
      <c r="AO2393" s="253"/>
      <c r="AP2393" s="253"/>
      <c r="AQ2393" s="253"/>
      <c r="AR2393" s="253"/>
      <c r="AS2393" s="253"/>
      <c r="AT2393" s="253"/>
      <c r="AU2393" s="253"/>
      <c r="AV2393" s="253"/>
      <c r="AW2393" s="253"/>
      <c r="AX2393" s="253"/>
      <c r="AY2393" s="253"/>
      <c r="AZ2393" s="253"/>
    </row>
    <row r="2394" spans="1:52" ht="15.5" customHeight="1">
      <c r="A2394" s="363"/>
      <c r="B2394" s="343"/>
      <c r="C2394" s="7"/>
      <c r="D2394" s="254"/>
      <c r="E2394" s="254"/>
      <c r="F2394" s="254"/>
      <c r="G2394" s="253"/>
      <c r="H2394" s="253"/>
      <c r="I2394" s="253"/>
      <c r="J2394" s="253"/>
      <c r="K2394" s="253"/>
      <c r="L2394" s="7"/>
      <c r="M2394" s="7"/>
      <c r="N2394" s="253"/>
      <c r="O2394" s="255"/>
      <c r="P2394" s="253"/>
      <c r="Q2394" s="7"/>
      <c r="R2394" s="7"/>
      <c r="S2394" s="7"/>
      <c r="T2394" s="7"/>
      <c r="U2394" s="7"/>
      <c r="V2394" s="253"/>
      <c r="W2394" s="7"/>
      <c r="X2394" s="256"/>
      <c r="Y2394" s="256"/>
      <c r="Z2394" s="256"/>
      <c r="AA2394" s="256"/>
      <c r="AB2394" s="257"/>
      <c r="AC2394" s="258"/>
      <c r="AD2394" s="7"/>
      <c r="AE2394" s="253"/>
      <c r="AF2394" s="253"/>
      <c r="AG2394" s="259"/>
      <c r="AH2394" s="253"/>
      <c r="AI2394" s="253"/>
      <c r="AJ2394" s="7"/>
      <c r="AK2394" s="253"/>
      <c r="AL2394" s="253"/>
      <c r="AM2394" s="7"/>
      <c r="AN2394" s="253"/>
      <c r="AO2394" s="253"/>
      <c r="AP2394" s="253"/>
      <c r="AQ2394" s="253"/>
      <c r="AR2394" s="253"/>
      <c r="AS2394" s="253"/>
      <c r="AT2394" s="253"/>
      <c r="AU2394" s="253"/>
      <c r="AV2394" s="253"/>
      <c r="AW2394" s="253"/>
      <c r="AX2394" s="253"/>
      <c r="AY2394" s="253"/>
      <c r="AZ2394" s="253"/>
    </row>
    <row r="2395" spans="1:52" ht="15.5" customHeight="1">
      <c r="A2395" s="363"/>
      <c r="B2395" s="343"/>
      <c r="C2395" s="7"/>
      <c r="D2395" s="254"/>
      <c r="E2395" s="254"/>
      <c r="F2395" s="254"/>
      <c r="G2395" s="253"/>
      <c r="H2395" s="253"/>
      <c r="I2395" s="253"/>
      <c r="J2395" s="253"/>
      <c r="K2395" s="253"/>
      <c r="L2395" s="7"/>
      <c r="M2395" s="7"/>
      <c r="N2395" s="253"/>
      <c r="O2395" s="255"/>
      <c r="P2395" s="253"/>
      <c r="Q2395" s="7"/>
      <c r="R2395" s="7"/>
      <c r="S2395" s="7"/>
      <c r="T2395" s="7"/>
      <c r="U2395" s="7"/>
      <c r="V2395" s="253"/>
      <c r="W2395" s="7"/>
      <c r="X2395" s="256"/>
      <c r="Y2395" s="256"/>
      <c r="Z2395" s="256"/>
      <c r="AA2395" s="256"/>
      <c r="AB2395" s="257"/>
      <c r="AC2395" s="258"/>
      <c r="AD2395" s="7"/>
      <c r="AE2395" s="253"/>
      <c r="AF2395" s="253"/>
      <c r="AG2395" s="259"/>
      <c r="AH2395" s="253"/>
      <c r="AI2395" s="253"/>
      <c r="AJ2395" s="7"/>
      <c r="AK2395" s="253"/>
      <c r="AL2395" s="253"/>
      <c r="AM2395" s="7"/>
      <c r="AN2395" s="253"/>
      <c r="AO2395" s="253"/>
      <c r="AP2395" s="253"/>
      <c r="AQ2395" s="253"/>
      <c r="AR2395" s="253"/>
      <c r="AS2395" s="253"/>
      <c r="AT2395" s="253"/>
      <c r="AU2395" s="253"/>
      <c r="AV2395" s="253"/>
      <c r="AW2395" s="253"/>
      <c r="AX2395" s="253"/>
      <c r="AY2395" s="253"/>
      <c r="AZ2395" s="253"/>
    </row>
    <row r="2396" spans="1:52" ht="15.5" customHeight="1">
      <c r="A2396" s="363"/>
      <c r="B2396" s="343"/>
      <c r="C2396" s="7"/>
      <c r="D2396" s="254"/>
      <c r="E2396" s="254"/>
      <c r="F2396" s="254"/>
      <c r="G2396" s="253"/>
      <c r="H2396" s="253"/>
      <c r="I2396" s="253"/>
      <c r="J2396" s="253"/>
      <c r="K2396" s="253"/>
      <c r="L2396" s="7"/>
      <c r="M2396" s="7"/>
      <c r="N2396" s="253"/>
      <c r="O2396" s="255"/>
      <c r="P2396" s="253"/>
      <c r="Q2396" s="7"/>
      <c r="R2396" s="7"/>
      <c r="S2396" s="7"/>
      <c r="T2396" s="7"/>
      <c r="U2396" s="7"/>
      <c r="V2396" s="253"/>
      <c r="W2396" s="7"/>
      <c r="X2396" s="256"/>
      <c r="Y2396" s="256"/>
      <c r="Z2396" s="256"/>
      <c r="AA2396" s="256"/>
      <c r="AB2396" s="257"/>
      <c r="AC2396" s="258"/>
      <c r="AD2396" s="7"/>
      <c r="AE2396" s="253"/>
      <c r="AF2396" s="253"/>
      <c r="AG2396" s="259"/>
      <c r="AH2396" s="253"/>
      <c r="AI2396" s="253"/>
      <c r="AJ2396" s="7"/>
      <c r="AK2396" s="253"/>
      <c r="AL2396" s="253"/>
      <c r="AM2396" s="7"/>
      <c r="AN2396" s="253"/>
      <c r="AO2396" s="253"/>
      <c r="AP2396" s="253"/>
      <c r="AQ2396" s="253"/>
      <c r="AR2396" s="253"/>
      <c r="AS2396" s="253"/>
      <c r="AT2396" s="253"/>
      <c r="AU2396" s="253"/>
      <c r="AV2396" s="253"/>
      <c r="AW2396" s="253"/>
      <c r="AX2396" s="253"/>
      <c r="AY2396" s="253"/>
      <c r="AZ2396" s="253"/>
    </row>
    <row r="2397" spans="1:52" ht="15.5" customHeight="1">
      <c r="A2397" s="363"/>
      <c r="B2397" s="343"/>
      <c r="C2397" s="7"/>
      <c r="D2397" s="254"/>
      <c r="E2397" s="254"/>
      <c r="F2397" s="254"/>
      <c r="G2397" s="253"/>
      <c r="H2397" s="253"/>
      <c r="I2397" s="253"/>
      <c r="J2397" s="253"/>
      <c r="K2397" s="253"/>
      <c r="L2397" s="7"/>
      <c r="M2397" s="7"/>
      <c r="N2397" s="253"/>
      <c r="O2397" s="255"/>
      <c r="P2397" s="253"/>
      <c r="Q2397" s="7"/>
      <c r="R2397" s="7"/>
      <c r="S2397" s="7"/>
      <c r="T2397" s="7"/>
      <c r="U2397" s="7"/>
      <c r="V2397" s="253"/>
      <c r="W2397" s="7"/>
      <c r="X2397" s="256"/>
      <c r="Y2397" s="256"/>
      <c r="Z2397" s="256"/>
      <c r="AA2397" s="256"/>
      <c r="AB2397" s="257"/>
      <c r="AC2397" s="258"/>
      <c r="AD2397" s="7"/>
      <c r="AE2397" s="253"/>
      <c r="AF2397" s="253"/>
      <c r="AG2397" s="259"/>
      <c r="AH2397" s="253"/>
      <c r="AI2397" s="253"/>
      <c r="AJ2397" s="7"/>
      <c r="AK2397" s="253"/>
      <c r="AL2397" s="253"/>
      <c r="AM2397" s="7"/>
      <c r="AN2397" s="253"/>
      <c r="AO2397" s="253"/>
      <c r="AP2397" s="253"/>
      <c r="AQ2397" s="253"/>
      <c r="AR2397" s="253"/>
      <c r="AS2397" s="253"/>
      <c r="AT2397" s="253"/>
      <c r="AU2397" s="253"/>
      <c r="AV2397" s="253"/>
      <c r="AW2397" s="253"/>
      <c r="AX2397" s="253"/>
      <c r="AY2397" s="253"/>
      <c r="AZ2397" s="253"/>
    </row>
    <row r="2398" spans="1:52" ht="15.5" customHeight="1">
      <c r="A2398" s="363"/>
      <c r="B2398" s="343"/>
      <c r="C2398" s="7"/>
      <c r="D2398" s="254"/>
      <c r="E2398" s="254"/>
      <c r="F2398" s="254"/>
      <c r="G2398" s="253"/>
      <c r="H2398" s="253"/>
      <c r="I2398" s="253"/>
      <c r="J2398" s="253"/>
      <c r="K2398" s="253"/>
      <c r="L2398" s="7"/>
      <c r="M2398" s="7"/>
      <c r="N2398" s="253"/>
      <c r="O2398" s="255"/>
      <c r="P2398" s="253"/>
      <c r="Q2398" s="7"/>
      <c r="R2398" s="7"/>
      <c r="S2398" s="7"/>
      <c r="T2398" s="7"/>
      <c r="U2398" s="7"/>
      <c r="V2398" s="253"/>
      <c r="W2398" s="7"/>
      <c r="X2398" s="256"/>
      <c r="Y2398" s="256"/>
      <c r="Z2398" s="256"/>
      <c r="AA2398" s="256"/>
      <c r="AB2398" s="257"/>
      <c r="AC2398" s="258"/>
      <c r="AD2398" s="7"/>
      <c r="AE2398" s="253"/>
      <c r="AF2398" s="253"/>
      <c r="AG2398" s="259"/>
      <c r="AH2398" s="253"/>
      <c r="AI2398" s="253"/>
      <c r="AJ2398" s="7"/>
      <c r="AK2398" s="253"/>
      <c r="AL2398" s="253"/>
      <c r="AM2398" s="7"/>
      <c r="AN2398" s="253"/>
      <c r="AO2398" s="253"/>
      <c r="AP2398" s="253"/>
      <c r="AQ2398" s="253"/>
      <c r="AR2398" s="253"/>
      <c r="AS2398" s="253"/>
      <c r="AT2398" s="253"/>
      <c r="AU2398" s="253"/>
      <c r="AV2398" s="253"/>
      <c r="AW2398" s="253"/>
      <c r="AX2398" s="253"/>
      <c r="AY2398" s="253"/>
      <c r="AZ2398" s="253"/>
    </row>
    <row r="2399" spans="1:52" ht="15.5" customHeight="1">
      <c r="A2399" s="363"/>
      <c r="B2399" s="343"/>
      <c r="C2399" s="7"/>
      <c r="D2399" s="254"/>
      <c r="E2399" s="254"/>
      <c r="F2399" s="254"/>
      <c r="G2399" s="253"/>
      <c r="H2399" s="253"/>
      <c r="I2399" s="253"/>
      <c r="J2399" s="253"/>
      <c r="K2399" s="253"/>
      <c r="L2399" s="7"/>
      <c r="M2399" s="7"/>
      <c r="N2399" s="253"/>
      <c r="O2399" s="255"/>
      <c r="P2399" s="253"/>
      <c r="Q2399" s="7"/>
      <c r="R2399" s="7"/>
      <c r="S2399" s="7"/>
      <c r="T2399" s="7"/>
      <c r="U2399" s="7"/>
      <c r="V2399" s="253"/>
      <c r="W2399" s="7"/>
      <c r="X2399" s="256"/>
      <c r="Y2399" s="256"/>
      <c r="Z2399" s="256"/>
      <c r="AA2399" s="256"/>
      <c r="AB2399" s="257"/>
      <c r="AC2399" s="258"/>
      <c r="AD2399" s="7"/>
      <c r="AE2399" s="253"/>
      <c r="AF2399" s="253"/>
      <c r="AG2399" s="259"/>
      <c r="AH2399" s="253"/>
      <c r="AI2399" s="253"/>
      <c r="AJ2399" s="7"/>
      <c r="AK2399" s="253"/>
      <c r="AL2399" s="253"/>
      <c r="AM2399" s="7"/>
      <c r="AN2399" s="253"/>
      <c r="AO2399" s="253"/>
      <c r="AP2399" s="253"/>
      <c r="AQ2399" s="253"/>
      <c r="AR2399" s="253"/>
      <c r="AS2399" s="253"/>
      <c r="AT2399" s="253"/>
      <c r="AU2399" s="253"/>
      <c r="AV2399" s="253"/>
      <c r="AW2399" s="253"/>
      <c r="AX2399" s="253"/>
      <c r="AY2399" s="253"/>
      <c r="AZ2399" s="253"/>
    </row>
    <row r="2400" spans="1:52" ht="15.5" customHeight="1">
      <c r="A2400" s="363"/>
      <c r="B2400" s="343"/>
      <c r="C2400" s="7"/>
      <c r="D2400" s="254"/>
      <c r="E2400" s="254"/>
      <c r="F2400" s="254"/>
      <c r="G2400" s="253"/>
      <c r="H2400" s="253"/>
      <c r="I2400" s="253"/>
      <c r="J2400" s="253"/>
      <c r="K2400" s="253"/>
      <c r="L2400" s="7"/>
      <c r="M2400" s="7"/>
      <c r="N2400" s="253"/>
      <c r="O2400" s="255"/>
      <c r="P2400" s="253"/>
      <c r="Q2400" s="7"/>
      <c r="R2400" s="7"/>
      <c r="S2400" s="7"/>
      <c r="T2400" s="7"/>
      <c r="U2400" s="7"/>
      <c r="V2400" s="253"/>
      <c r="W2400" s="7"/>
      <c r="X2400" s="256"/>
      <c r="Y2400" s="256"/>
      <c r="Z2400" s="256"/>
      <c r="AA2400" s="256"/>
      <c r="AB2400" s="257"/>
      <c r="AC2400" s="258"/>
      <c r="AD2400" s="7"/>
      <c r="AE2400" s="253"/>
      <c r="AF2400" s="253"/>
      <c r="AG2400" s="259"/>
      <c r="AH2400" s="253"/>
      <c r="AI2400" s="253"/>
      <c r="AJ2400" s="7"/>
      <c r="AK2400" s="253"/>
      <c r="AL2400" s="253"/>
      <c r="AM2400" s="7"/>
      <c r="AN2400" s="253"/>
      <c r="AO2400" s="253"/>
      <c r="AP2400" s="253"/>
      <c r="AQ2400" s="253"/>
      <c r="AR2400" s="253"/>
      <c r="AS2400" s="253"/>
      <c r="AT2400" s="253"/>
      <c r="AU2400" s="253"/>
      <c r="AV2400" s="253"/>
      <c r="AW2400" s="253"/>
      <c r="AX2400" s="253"/>
      <c r="AY2400" s="253"/>
      <c r="AZ2400" s="253"/>
    </row>
    <row r="2401" spans="1:52" ht="15.5" customHeight="1">
      <c r="A2401" s="363"/>
      <c r="B2401" s="343"/>
      <c r="C2401" s="7"/>
      <c r="D2401" s="254"/>
      <c r="E2401" s="254"/>
      <c r="F2401" s="254"/>
      <c r="G2401" s="253"/>
      <c r="H2401" s="253"/>
      <c r="I2401" s="253"/>
      <c r="J2401" s="253"/>
      <c r="K2401" s="253"/>
      <c r="L2401" s="7"/>
      <c r="M2401" s="7"/>
      <c r="N2401" s="253"/>
      <c r="O2401" s="255"/>
      <c r="P2401" s="253"/>
      <c r="Q2401" s="7"/>
      <c r="R2401" s="7"/>
      <c r="S2401" s="7"/>
      <c r="T2401" s="7"/>
      <c r="U2401" s="7"/>
      <c r="V2401" s="253"/>
      <c r="W2401" s="7"/>
      <c r="X2401" s="256"/>
      <c r="Y2401" s="256"/>
      <c r="Z2401" s="256"/>
      <c r="AA2401" s="256"/>
      <c r="AB2401" s="257"/>
      <c r="AC2401" s="258"/>
      <c r="AD2401" s="7"/>
      <c r="AE2401" s="253"/>
      <c r="AF2401" s="253"/>
      <c r="AG2401" s="259"/>
      <c r="AH2401" s="253"/>
      <c r="AI2401" s="253"/>
      <c r="AJ2401" s="7"/>
      <c r="AK2401" s="253"/>
      <c r="AL2401" s="253"/>
      <c r="AM2401" s="7"/>
      <c r="AN2401" s="253"/>
      <c r="AO2401" s="253"/>
      <c r="AP2401" s="253"/>
      <c r="AQ2401" s="253"/>
      <c r="AR2401" s="253"/>
      <c r="AS2401" s="253"/>
      <c r="AT2401" s="253"/>
      <c r="AU2401" s="253"/>
      <c r="AV2401" s="253"/>
      <c r="AW2401" s="253"/>
      <c r="AX2401" s="253"/>
      <c r="AY2401" s="253"/>
      <c r="AZ2401" s="253"/>
    </row>
    <row r="2402" spans="1:52" ht="15.5" customHeight="1">
      <c r="A2402" s="363"/>
      <c r="B2402" s="343"/>
      <c r="C2402" s="7"/>
      <c r="D2402" s="254"/>
      <c r="E2402" s="254"/>
      <c r="F2402" s="254"/>
      <c r="G2402" s="253"/>
      <c r="H2402" s="253"/>
      <c r="I2402" s="253"/>
      <c r="J2402" s="253"/>
      <c r="K2402" s="253"/>
      <c r="L2402" s="7"/>
      <c r="M2402" s="7"/>
      <c r="N2402" s="253"/>
      <c r="O2402" s="255"/>
      <c r="P2402" s="253"/>
      <c r="Q2402" s="7"/>
      <c r="R2402" s="7"/>
      <c r="S2402" s="7"/>
      <c r="T2402" s="7"/>
      <c r="U2402" s="7"/>
      <c r="V2402" s="253"/>
      <c r="W2402" s="7"/>
      <c r="X2402" s="256"/>
      <c r="Y2402" s="256"/>
      <c r="Z2402" s="256"/>
      <c r="AA2402" s="256"/>
      <c r="AB2402" s="257"/>
      <c r="AC2402" s="258"/>
      <c r="AD2402" s="7"/>
      <c r="AE2402" s="253"/>
      <c r="AF2402" s="253"/>
      <c r="AG2402" s="259"/>
      <c r="AH2402" s="253"/>
      <c r="AI2402" s="253"/>
      <c r="AJ2402" s="7"/>
      <c r="AK2402" s="253"/>
      <c r="AL2402" s="253"/>
      <c r="AM2402" s="7"/>
      <c r="AN2402" s="253"/>
      <c r="AO2402" s="253"/>
      <c r="AP2402" s="253"/>
      <c r="AQ2402" s="253"/>
      <c r="AR2402" s="253"/>
      <c r="AS2402" s="253"/>
      <c r="AT2402" s="253"/>
      <c r="AU2402" s="253"/>
      <c r="AV2402" s="253"/>
      <c r="AW2402" s="253"/>
      <c r="AX2402" s="253"/>
      <c r="AY2402" s="253"/>
      <c r="AZ2402" s="253"/>
    </row>
    <row r="2403" spans="1:52" ht="15.5" customHeight="1">
      <c r="A2403" s="363"/>
      <c r="B2403" s="343"/>
      <c r="C2403" s="7"/>
      <c r="D2403" s="254"/>
      <c r="E2403" s="254"/>
      <c r="F2403" s="254"/>
      <c r="G2403" s="253"/>
      <c r="H2403" s="253"/>
      <c r="I2403" s="253"/>
      <c r="J2403" s="253"/>
      <c r="K2403" s="253"/>
      <c r="L2403" s="7"/>
      <c r="M2403" s="7"/>
      <c r="N2403" s="253"/>
      <c r="O2403" s="255"/>
      <c r="P2403" s="253"/>
      <c r="Q2403" s="7"/>
      <c r="R2403" s="7"/>
      <c r="S2403" s="7"/>
      <c r="T2403" s="7"/>
      <c r="U2403" s="7"/>
      <c r="V2403" s="253"/>
      <c r="W2403" s="7"/>
      <c r="X2403" s="256"/>
      <c r="Y2403" s="256"/>
      <c r="Z2403" s="256"/>
      <c r="AA2403" s="256"/>
      <c r="AB2403" s="257"/>
      <c r="AC2403" s="258"/>
      <c r="AD2403" s="7"/>
      <c r="AE2403" s="253"/>
      <c r="AF2403" s="253"/>
      <c r="AG2403" s="259"/>
      <c r="AH2403" s="253"/>
      <c r="AI2403" s="253"/>
      <c r="AJ2403" s="7"/>
      <c r="AK2403" s="253"/>
      <c r="AL2403" s="253"/>
      <c r="AM2403" s="7"/>
      <c r="AN2403" s="253"/>
      <c r="AO2403" s="253"/>
      <c r="AP2403" s="253"/>
      <c r="AQ2403" s="253"/>
      <c r="AR2403" s="253"/>
      <c r="AS2403" s="253"/>
      <c r="AT2403" s="253"/>
      <c r="AU2403" s="253"/>
      <c r="AV2403" s="253"/>
      <c r="AW2403" s="253"/>
      <c r="AX2403" s="253"/>
      <c r="AY2403" s="253"/>
      <c r="AZ2403" s="253"/>
    </row>
    <row r="2404" spans="1:52" ht="15.5" customHeight="1">
      <c r="A2404" s="363"/>
      <c r="B2404" s="343"/>
      <c r="C2404" s="7"/>
      <c r="D2404" s="254"/>
      <c r="E2404" s="254"/>
      <c r="F2404" s="254"/>
      <c r="G2404" s="253"/>
      <c r="H2404" s="253"/>
      <c r="I2404" s="253"/>
      <c r="J2404" s="253"/>
      <c r="K2404" s="253"/>
      <c r="L2404" s="7"/>
      <c r="M2404" s="7"/>
      <c r="N2404" s="253"/>
      <c r="O2404" s="255"/>
      <c r="P2404" s="253"/>
      <c r="Q2404" s="7"/>
      <c r="R2404" s="7"/>
      <c r="S2404" s="7"/>
      <c r="T2404" s="7"/>
      <c r="U2404" s="7"/>
      <c r="V2404" s="253"/>
      <c r="W2404" s="7"/>
      <c r="X2404" s="256"/>
      <c r="Y2404" s="256"/>
      <c r="Z2404" s="256"/>
      <c r="AA2404" s="256"/>
      <c r="AB2404" s="257"/>
      <c r="AC2404" s="258"/>
      <c r="AD2404" s="7"/>
      <c r="AE2404" s="253"/>
      <c r="AF2404" s="253"/>
      <c r="AG2404" s="259"/>
      <c r="AH2404" s="253"/>
      <c r="AI2404" s="253"/>
      <c r="AJ2404" s="7"/>
      <c r="AK2404" s="253"/>
      <c r="AL2404" s="253"/>
      <c r="AM2404" s="7"/>
      <c r="AN2404" s="253"/>
      <c r="AO2404" s="253"/>
      <c r="AP2404" s="253"/>
      <c r="AQ2404" s="253"/>
      <c r="AR2404" s="253"/>
      <c r="AS2404" s="253"/>
      <c r="AT2404" s="253"/>
      <c r="AU2404" s="253"/>
      <c r="AV2404" s="253"/>
      <c r="AW2404" s="253"/>
      <c r="AX2404" s="253"/>
      <c r="AY2404" s="253"/>
      <c r="AZ2404" s="253"/>
    </row>
    <row r="2405" spans="1:52" ht="15.5" customHeight="1">
      <c r="A2405" s="363"/>
      <c r="B2405" s="343"/>
      <c r="C2405" s="7"/>
      <c r="D2405" s="254"/>
      <c r="E2405" s="254"/>
      <c r="F2405" s="254"/>
      <c r="G2405" s="253"/>
      <c r="H2405" s="253"/>
      <c r="I2405" s="253"/>
      <c r="J2405" s="253"/>
      <c r="K2405" s="253"/>
      <c r="L2405" s="7"/>
      <c r="M2405" s="7"/>
      <c r="N2405" s="253"/>
      <c r="O2405" s="255"/>
      <c r="P2405" s="253"/>
      <c r="Q2405" s="7"/>
      <c r="R2405" s="7"/>
      <c r="S2405" s="7"/>
      <c r="T2405" s="7"/>
      <c r="U2405" s="7"/>
      <c r="V2405" s="253"/>
      <c r="W2405" s="7"/>
      <c r="X2405" s="256"/>
      <c r="Y2405" s="256"/>
      <c r="Z2405" s="256"/>
      <c r="AA2405" s="256"/>
      <c r="AB2405" s="257"/>
      <c r="AC2405" s="258"/>
      <c r="AD2405" s="7"/>
      <c r="AE2405" s="253"/>
      <c r="AF2405" s="253"/>
      <c r="AG2405" s="259"/>
      <c r="AH2405" s="253"/>
      <c r="AI2405" s="253"/>
      <c r="AJ2405" s="7"/>
      <c r="AK2405" s="253"/>
      <c r="AL2405" s="253"/>
      <c r="AM2405" s="7"/>
      <c r="AN2405" s="253"/>
      <c r="AO2405" s="253"/>
      <c r="AP2405" s="253"/>
      <c r="AQ2405" s="253"/>
      <c r="AR2405" s="253"/>
      <c r="AS2405" s="253"/>
      <c r="AT2405" s="253"/>
      <c r="AU2405" s="253"/>
      <c r="AV2405" s="253"/>
      <c r="AW2405" s="253"/>
      <c r="AX2405" s="253"/>
      <c r="AY2405" s="253"/>
      <c r="AZ2405" s="253"/>
    </row>
    <row r="2406" spans="1:52" ht="15.5" customHeight="1">
      <c r="A2406" s="363"/>
      <c r="B2406" s="343"/>
      <c r="C2406" s="7"/>
      <c r="D2406" s="254"/>
      <c r="E2406" s="254"/>
      <c r="F2406" s="254"/>
      <c r="G2406" s="253"/>
      <c r="H2406" s="253"/>
      <c r="I2406" s="253"/>
      <c r="J2406" s="253"/>
      <c r="K2406" s="253"/>
      <c r="L2406" s="7"/>
      <c r="M2406" s="7"/>
      <c r="N2406" s="253"/>
      <c r="O2406" s="255"/>
      <c r="P2406" s="253"/>
      <c r="Q2406" s="7"/>
      <c r="R2406" s="7"/>
      <c r="S2406" s="7"/>
      <c r="T2406" s="7"/>
      <c r="U2406" s="7"/>
      <c r="V2406" s="253"/>
      <c r="W2406" s="7"/>
      <c r="X2406" s="256"/>
      <c r="Y2406" s="256"/>
      <c r="Z2406" s="256"/>
      <c r="AA2406" s="256"/>
      <c r="AB2406" s="257"/>
      <c r="AC2406" s="258"/>
      <c r="AD2406" s="7"/>
      <c r="AE2406" s="253"/>
      <c r="AF2406" s="253"/>
      <c r="AG2406" s="259"/>
      <c r="AH2406" s="253"/>
      <c r="AI2406" s="253"/>
      <c r="AJ2406" s="7"/>
      <c r="AK2406" s="253"/>
      <c r="AL2406" s="253"/>
      <c r="AM2406" s="7"/>
      <c r="AN2406" s="253"/>
      <c r="AO2406" s="253"/>
      <c r="AP2406" s="253"/>
      <c r="AQ2406" s="253"/>
      <c r="AR2406" s="253"/>
      <c r="AS2406" s="253"/>
      <c r="AT2406" s="253"/>
      <c r="AU2406" s="253"/>
      <c r="AV2406" s="253"/>
      <c r="AW2406" s="253"/>
      <c r="AX2406" s="253"/>
      <c r="AY2406" s="253"/>
      <c r="AZ2406" s="253"/>
    </row>
    <row r="2407" spans="1:52" ht="15.5" customHeight="1">
      <c r="A2407" s="363"/>
      <c r="B2407" s="343"/>
      <c r="C2407" s="7"/>
      <c r="D2407" s="254"/>
      <c r="E2407" s="254"/>
      <c r="F2407" s="254"/>
      <c r="G2407" s="253"/>
      <c r="H2407" s="253"/>
      <c r="I2407" s="253"/>
      <c r="J2407" s="253"/>
      <c r="K2407" s="253"/>
      <c r="L2407" s="7"/>
      <c r="M2407" s="7"/>
      <c r="N2407" s="253"/>
      <c r="O2407" s="255"/>
      <c r="P2407" s="253"/>
      <c r="Q2407" s="7"/>
      <c r="R2407" s="7"/>
      <c r="S2407" s="7"/>
      <c r="T2407" s="7"/>
      <c r="U2407" s="7"/>
      <c r="V2407" s="253"/>
      <c r="W2407" s="7"/>
      <c r="X2407" s="256"/>
      <c r="Y2407" s="256"/>
      <c r="Z2407" s="256"/>
      <c r="AA2407" s="256"/>
      <c r="AB2407" s="257"/>
      <c r="AC2407" s="258"/>
      <c r="AD2407" s="7"/>
      <c r="AE2407" s="253"/>
      <c r="AF2407" s="253"/>
      <c r="AG2407" s="259"/>
      <c r="AH2407" s="253"/>
      <c r="AI2407" s="253"/>
      <c r="AJ2407" s="7"/>
      <c r="AK2407" s="253"/>
      <c r="AL2407" s="253"/>
      <c r="AM2407" s="7"/>
      <c r="AN2407" s="253"/>
      <c r="AO2407" s="253"/>
      <c r="AP2407" s="253"/>
      <c r="AQ2407" s="253"/>
      <c r="AR2407" s="253"/>
      <c r="AS2407" s="253"/>
      <c r="AT2407" s="253"/>
      <c r="AU2407" s="253"/>
      <c r="AV2407" s="253"/>
      <c r="AW2407" s="253"/>
      <c r="AX2407" s="253"/>
      <c r="AY2407" s="253"/>
      <c r="AZ2407" s="253"/>
    </row>
    <row r="2408" spans="1:52" ht="15.5" customHeight="1">
      <c r="A2408" s="363"/>
      <c r="B2408" s="343"/>
      <c r="C2408" s="7"/>
      <c r="D2408" s="254"/>
      <c r="E2408" s="254"/>
      <c r="F2408" s="254"/>
      <c r="G2408" s="253"/>
      <c r="H2408" s="253"/>
      <c r="I2408" s="253"/>
      <c r="J2408" s="253"/>
      <c r="K2408" s="253"/>
      <c r="L2408" s="7"/>
      <c r="M2408" s="7"/>
      <c r="N2408" s="253"/>
      <c r="O2408" s="255"/>
      <c r="P2408" s="253"/>
      <c r="Q2408" s="7"/>
      <c r="R2408" s="7"/>
      <c r="S2408" s="7"/>
      <c r="T2408" s="7"/>
      <c r="U2408" s="7"/>
      <c r="V2408" s="253"/>
      <c r="W2408" s="7"/>
      <c r="X2408" s="256"/>
      <c r="Y2408" s="256"/>
      <c r="Z2408" s="256"/>
      <c r="AA2408" s="256"/>
      <c r="AB2408" s="257"/>
      <c r="AC2408" s="258"/>
      <c r="AD2408" s="7"/>
      <c r="AE2408" s="253"/>
      <c r="AF2408" s="253"/>
      <c r="AG2408" s="259"/>
      <c r="AH2408" s="253"/>
      <c r="AI2408" s="253"/>
      <c r="AJ2408" s="7"/>
      <c r="AK2408" s="253"/>
      <c r="AL2408" s="253"/>
      <c r="AM2408" s="7"/>
      <c r="AN2408" s="253"/>
      <c r="AO2408" s="253"/>
      <c r="AP2408" s="253"/>
      <c r="AQ2408" s="253"/>
      <c r="AR2408" s="253"/>
      <c r="AS2408" s="253"/>
      <c r="AT2408" s="253"/>
      <c r="AU2408" s="253"/>
      <c r="AV2408" s="253"/>
      <c r="AW2408" s="253"/>
      <c r="AX2408" s="253"/>
      <c r="AY2408" s="253"/>
      <c r="AZ2408" s="253"/>
    </row>
    <row r="2409" spans="1:52" ht="15.5" customHeight="1">
      <c r="A2409" s="363"/>
      <c r="B2409" s="343"/>
      <c r="C2409" s="7"/>
      <c r="D2409" s="254"/>
      <c r="E2409" s="254"/>
      <c r="F2409" s="254"/>
      <c r="G2409" s="253"/>
      <c r="H2409" s="253"/>
      <c r="I2409" s="253"/>
      <c r="J2409" s="253"/>
      <c r="K2409" s="253"/>
      <c r="L2409" s="7"/>
      <c r="M2409" s="7"/>
      <c r="N2409" s="253"/>
      <c r="O2409" s="255"/>
      <c r="P2409" s="253"/>
      <c r="Q2409" s="7"/>
      <c r="R2409" s="7"/>
      <c r="S2409" s="7"/>
      <c r="T2409" s="7"/>
      <c r="U2409" s="7"/>
      <c r="V2409" s="253"/>
      <c r="W2409" s="7"/>
      <c r="X2409" s="256"/>
      <c r="Y2409" s="256"/>
      <c r="Z2409" s="256"/>
      <c r="AA2409" s="256"/>
      <c r="AB2409" s="257"/>
      <c r="AC2409" s="258"/>
      <c r="AD2409" s="7"/>
      <c r="AE2409" s="253"/>
      <c r="AF2409" s="253"/>
      <c r="AG2409" s="259"/>
      <c r="AH2409" s="253"/>
      <c r="AI2409" s="253"/>
      <c r="AJ2409" s="7"/>
      <c r="AK2409" s="253"/>
      <c r="AL2409" s="253"/>
      <c r="AM2409" s="7"/>
      <c r="AN2409" s="253"/>
      <c r="AO2409" s="253"/>
      <c r="AP2409" s="253"/>
      <c r="AQ2409" s="253"/>
      <c r="AR2409" s="253"/>
      <c r="AS2409" s="253"/>
      <c r="AT2409" s="253"/>
      <c r="AU2409" s="253"/>
      <c r="AV2409" s="253"/>
      <c r="AW2409" s="253"/>
      <c r="AX2409" s="253"/>
      <c r="AY2409" s="253"/>
      <c r="AZ2409" s="253"/>
    </row>
    <row r="2410" spans="1:52" ht="15.5" customHeight="1">
      <c r="A2410" s="363"/>
      <c r="B2410" s="343"/>
      <c r="C2410" s="7"/>
      <c r="D2410" s="254"/>
      <c r="E2410" s="254"/>
      <c r="F2410" s="254"/>
      <c r="G2410" s="253"/>
      <c r="H2410" s="253"/>
      <c r="I2410" s="253"/>
      <c r="J2410" s="253"/>
      <c r="K2410" s="253"/>
      <c r="L2410" s="7"/>
      <c r="M2410" s="7"/>
      <c r="N2410" s="253"/>
      <c r="O2410" s="255"/>
      <c r="P2410" s="253"/>
      <c r="Q2410" s="7"/>
      <c r="R2410" s="7"/>
      <c r="S2410" s="7"/>
      <c r="T2410" s="7"/>
      <c r="U2410" s="7"/>
      <c r="V2410" s="253"/>
      <c r="W2410" s="7"/>
      <c r="X2410" s="256"/>
      <c r="Y2410" s="256"/>
      <c r="Z2410" s="256"/>
      <c r="AA2410" s="256"/>
      <c r="AB2410" s="257"/>
      <c r="AC2410" s="258"/>
      <c r="AD2410" s="7"/>
      <c r="AE2410" s="253"/>
      <c r="AF2410" s="253"/>
      <c r="AG2410" s="259"/>
      <c r="AH2410" s="253"/>
      <c r="AI2410" s="253"/>
      <c r="AJ2410" s="7"/>
      <c r="AK2410" s="253"/>
      <c r="AL2410" s="253"/>
      <c r="AM2410" s="7"/>
      <c r="AN2410" s="253"/>
      <c r="AO2410" s="253"/>
      <c r="AP2410" s="253"/>
      <c r="AQ2410" s="253"/>
      <c r="AR2410" s="253"/>
      <c r="AS2410" s="253"/>
      <c r="AT2410" s="253"/>
      <c r="AU2410" s="253"/>
      <c r="AV2410" s="253"/>
      <c r="AW2410" s="253"/>
      <c r="AX2410" s="253"/>
      <c r="AY2410" s="253"/>
      <c r="AZ2410" s="253"/>
    </row>
    <row r="2411" spans="1:52" ht="15.5" customHeight="1">
      <c r="A2411" s="363"/>
      <c r="B2411" s="343"/>
      <c r="C2411" s="7"/>
      <c r="D2411" s="254"/>
      <c r="E2411" s="254"/>
      <c r="F2411" s="254"/>
      <c r="G2411" s="253"/>
      <c r="H2411" s="253"/>
      <c r="I2411" s="253"/>
      <c r="J2411" s="253"/>
      <c r="K2411" s="253"/>
      <c r="L2411" s="7"/>
      <c r="M2411" s="7"/>
      <c r="N2411" s="253"/>
      <c r="O2411" s="255"/>
      <c r="P2411" s="253"/>
      <c r="Q2411" s="7"/>
      <c r="R2411" s="7"/>
      <c r="S2411" s="7"/>
      <c r="T2411" s="7"/>
      <c r="U2411" s="7"/>
      <c r="V2411" s="253"/>
      <c r="W2411" s="7"/>
      <c r="X2411" s="256"/>
      <c r="Y2411" s="256"/>
      <c r="Z2411" s="256"/>
      <c r="AA2411" s="256"/>
      <c r="AB2411" s="257"/>
      <c r="AC2411" s="258"/>
      <c r="AD2411" s="7"/>
      <c r="AE2411" s="253"/>
      <c r="AF2411" s="253"/>
      <c r="AG2411" s="259"/>
      <c r="AH2411" s="253"/>
      <c r="AI2411" s="253"/>
      <c r="AJ2411" s="7"/>
      <c r="AK2411" s="253"/>
      <c r="AL2411" s="253"/>
      <c r="AM2411" s="7"/>
      <c r="AN2411" s="253"/>
      <c r="AO2411" s="253"/>
      <c r="AP2411" s="253"/>
      <c r="AQ2411" s="253"/>
      <c r="AR2411" s="253"/>
      <c r="AS2411" s="253"/>
      <c r="AT2411" s="253"/>
      <c r="AU2411" s="253"/>
      <c r="AV2411" s="253"/>
      <c r="AW2411" s="253"/>
      <c r="AX2411" s="253"/>
      <c r="AY2411" s="253"/>
      <c r="AZ2411" s="253"/>
    </row>
    <row r="2412" spans="1:52" ht="15.5" customHeight="1">
      <c r="A2412" s="363"/>
      <c r="B2412" s="343"/>
      <c r="C2412" s="7"/>
      <c r="D2412" s="254"/>
      <c r="E2412" s="254"/>
      <c r="F2412" s="254"/>
      <c r="G2412" s="253"/>
      <c r="H2412" s="253"/>
      <c r="I2412" s="253"/>
      <c r="J2412" s="253"/>
      <c r="K2412" s="253"/>
      <c r="L2412" s="7"/>
      <c r="M2412" s="7"/>
      <c r="N2412" s="253"/>
      <c r="O2412" s="255"/>
      <c r="P2412" s="253"/>
      <c r="Q2412" s="7"/>
      <c r="R2412" s="7"/>
      <c r="S2412" s="7"/>
      <c r="T2412" s="7"/>
      <c r="U2412" s="7"/>
      <c r="V2412" s="253"/>
      <c r="W2412" s="7"/>
      <c r="X2412" s="256"/>
      <c r="Y2412" s="256"/>
      <c r="Z2412" s="256"/>
      <c r="AA2412" s="256"/>
      <c r="AB2412" s="257"/>
      <c r="AC2412" s="258"/>
      <c r="AD2412" s="7"/>
      <c r="AE2412" s="253"/>
      <c r="AF2412" s="253"/>
      <c r="AG2412" s="259"/>
      <c r="AH2412" s="253"/>
      <c r="AI2412" s="253"/>
      <c r="AJ2412" s="7"/>
      <c r="AK2412" s="253"/>
      <c r="AL2412" s="253"/>
      <c r="AM2412" s="7"/>
      <c r="AN2412" s="253"/>
      <c r="AO2412" s="253"/>
      <c r="AP2412" s="253"/>
      <c r="AQ2412" s="253"/>
      <c r="AR2412" s="253"/>
      <c r="AS2412" s="253"/>
      <c r="AT2412" s="253"/>
      <c r="AU2412" s="253"/>
      <c r="AV2412" s="253"/>
      <c r="AW2412" s="253"/>
      <c r="AX2412" s="253"/>
      <c r="AY2412" s="253"/>
      <c r="AZ2412" s="253"/>
    </row>
    <row r="2413" spans="1:52" ht="15.5" customHeight="1">
      <c r="A2413" s="363"/>
      <c r="B2413" s="343"/>
      <c r="C2413" s="7"/>
      <c r="D2413" s="254"/>
      <c r="E2413" s="254"/>
      <c r="F2413" s="254"/>
      <c r="G2413" s="253"/>
      <c r="H2413" s="253"/>
      <c r="I2413" s="253"/>
      <c r="J2413" s="253"/>
      <c r="K2413" s="253"/>
      <c r="L2413" s="7"/>
      <c r="M2413" s="7"/>
      <c r="N2413" s="253"/>
      <c r="O2413" s="255"/>
      <c r="P2413" s="253"/>
      <c r="Q2413" s="7"/>
      <c r="R2413" s="7"/>
      <c r="S2413" s="7"/>
      <c r="T2413" s="7"/>
      <c r="U2413" s="7"/>
      <c r="V2413" s="253"/>
      <c r="W2413" s="7"/>
      <c r="X2413" s="256"/>
      <c r="Y2413" s="256"/>
      <c r="Z2413" s="256"/>
      <c r="AA2413" s="256"/>
      <c r="AB2413" s="257"/>
      <c r="AC2413" s="258"/>
      <c r="AD2413" s="7"/>
      <c r="AE2413" s="253"/>
      <c r="AF2413" s="253"/>
      <c r="AG2413" s="259"/>
      <c r="AH2413" s="253"/>
      <c r="AI2413" s="253"/>
      <c r="AJ2413" s="7"/>
      <c r="AK2413" s="253"/>
      <c r="AL2413" s="253"/>
      <c r="AM2413" s="7"/>
      <c r="AN2413" s="253"/>
      <c r="AO2413" s="253"/>
      <c r="AP2413" s="253"/>
      <c r="AQ2413" s="253"/>
      <c r="AR2413" s="253"/>
      <c r="AS2413" s="253"/>
      <c r="AT2413" s="253"/>
      <c r="AU2413" s="253"/>
      <c r="AV2413" s="253"/>
      <c r="AW2413" s="253"/>
      <c r="AX2413" s="253"/>
      <c r="AY2413" s="253"/>
      <c r="AZ2413" s="253"/>
    </row>
    <row r="2414" spans="1:52" ht="15.5" customHeight="1">
      <c r="A2414" s="363"/>
      <c r="B2414" s="343"/>
      <c r="C2414" s="7"/>
      <c r="D2414" s="254"/>
      <c r="E2414" s="254"/>
      <c r="F2414" s="254"/>
      <c r="G2414" s="253"/>
      <c r="H2414" s="253"/>
      <c r="I2414" s="253"/>
      <c r="J2414" s="253"/>
      <c r="K2414" s="253"/>
      <c r="L2414" s="7"/>
      <c r="M2414" s="7"/>
      <c r="N2414" s="253"/>
      <c r="O2414" s="255"/>
      <c r="P2414" s="253"/>
      <c r="Q2414" s="7"/>
      <c r="R2414" s="7"/>
      <c r="S2414" s="7"/>
      <c r="T2414" s="7"/>
      <c r="U2414" s="7"/>
      <c r="V2414" s="253"/>
      <c r="W2414" s="7"/>
      <c r="X2414" s="256"/>
      <c r="Y2414" s="256"/>
      <c r="Z2414" s="256"/>
      <c r="AA2414" s="256"/>
      <c r="AB2414" s="257"/>
      <c r="AC2414" s="258"/>
      <c r="AD2414" s="7"/>
      <c r="AE2414" s="253"/>
      <c r="AF2414" s="253"/>
      <c r="AG2414" s="259"/>
      <c r="AH2414" s="253"/>
      <c r="AI2414" s="253"/>
      <c r="AJ2414" s="7"/>
      <c r="AK2414" s="253"/>
      <c r="AL2414" s="253"/>
      <c r="AM2414" s="7"/>
      <c r="AN2414" s="253"/>
      <c r="AO2414" s="253"/>
      <c r="AP2414" s="253"/>
      <c r="AQ2414" s="253"/>
      <c r="AR2414" s="253"/>
      <c r="AS2414" s="253"/>
      <c r="AT2414" s="253"/>
      <c r="AU2414" s="253"/>
      <c r="AV2414" s="253"/>
      <c r="AW2414" s="253"/>
      <c r="AX2414" s="253"/>
      <c r="AY2414" s="253"/>
      <c r="AZ2414" s="253"/>
    </row>
    <row r="2415" spans="1:52" ht="15.5" customHeight="1">
      <c r="A2415" s="363"/>
      <c r="B2415" s="343"/>
      <c r="C2415" s="7"/>
      <c r="D2415" s="254"/>
      <c r="E2415" s="254"/>
      <c r="F2415" s="254"/>
      <c r="G2415" s="253"/>
      <c r="H2415" s="253"/>
      <c r="I2415" s="253"/>
      <c r="J2415" s="253"/>
      <c r="K2415" s="253"/>
      <c r="L2415" s="7"/>
      <c r="M2415" s="7"/>
      <c r="N2415" s="253"/>
      <c r="O2415" s="255"/>
      <c r="P2415" s="253"/>
      <c r="Q2415" s="7"/>
      <c r="R2415" s="7"/>
      <c r="S2415" s="7"/>
      <c r="T2415" s="7"/>
      <c r="U2415" s="7"/>
      <c r="V2415" s="253"/>
      <c r="W2415" s="7"/>
      <c r="X2415" s="256"/>
      <c r="Y2415" s="256"/>
      <c r="Z2415" s="256"/>
      <c r="AA2415" s="256"/>
      <c r="AB2415" s="257"/>
      <c r="AC2415" s="258"/>
      <c r="AD2415" s="7"/>
      <c r="AE2415" s="253"/>
      <c r="AF2415" s="253"/>
      <c r="AG2415" s="259"/>
      <c r="AH2415" s="253"/>
      <c r="AI2415" s="253"/>
      <c r="AJ2415" s="7"/>
      <c r="AK2415" s="253"/>
      <c r="AL2415" s="253"/>
      <c r="AM2415" s="7"/>
      <c r="AN2415" s="253"/>
      <c r="AO2415" s="253"/>
      <c r="AP2415" s="253"/>
      <c r="AQ2415" s="253"/>
      <c r="AR2415" s="253"/>
      <c r="AS2415" s="253"/>
      <c r="AT2415" s="253"/>
      <c r="AU2415" s="253"/>
      <c r="AV2415" s="253"/>
      <c r="AW2415" s="253"/>
      <c r="AX2415" s="253"/>
      <c r="AY2415" s="253"/>
      <c r="AZ2415" s="253"/>
    </row>
    <row r="2416" spans="1:52" ht="15.5" customHeight="1">
      <c r="A2416" s="363"/>
      <c r="B2416" s="343"/>
      <c r="C2416" s="7"/>
      <c r="D2416" s="254"/>
      <c r="E2416" s="254"/>
      <c r="F2416" s="254"/>
      <c r="G2416" s="253"/>
      <c r="H2416" s="253"/>
      <c r="I2416" s="253"/>
      <c r="J2416" s="253"/>
      <c r="K2416" s="253"/>
      <c r="L2416" s="7"/>
      <c r="M2416" s="7"/>
      <c r="N2416" s="253"/>
      <c r="O2416" s="255"/>
      <c r="P2416" s="253"/>
      <c r="Q2416" s="7"/>
      <c r="R2416" s="7"/>
      <c r="S2416" s="7"/>
      <c r="T2416" s="7"/>
      <c r="U2416" s="7"/>
      <c r="V2416" s="253"/>
      <c r="W2416" s="7"/>
      <c r="X2416" s="256"/>
      <c r="Y2416" s="256"/>
      <c r="Z2416" s="256"/>
      <c r="AA2416" s="256"/>
      <c r="AB2416" s="257"/>
      <c r="AC2416" s="258"/>
      <c r="AD2416" s="7"/>
      <c r="AE2416" s="253"/>
      <c r="AF2416" s="253"/>
      <c r="AG2416" s="259"/>
      <c r="AH2416" s="253"/>
      <c r="AI2416" s="253"/>
      <c r="AJ2416" s="7"/>
      <c r="AK2416" s="253"/>
      <c r="AL2416" s="253"/>
      <c r="AM2416" s="7"/>
      <c r="AN2416" s="253"/>
      <c r="AO2416" s="253"/>
      <c r="AP2416" s="253"/>
      <c r="AQ2416" s="253"/>
      <c r="AR2416" s="253"/>
      <c r="AS2416" s="253"/>
      <c r="AT2416" s="253"/>
      <c r="AU2416" s="253"/>
      <c r="AV2416" s="253"/>
      <c r="AW2416" s="253"/>
      <c r="AX2416" s="253"/>
      <c r="AY2416" s="253"/>
      <c r="AZ2416" s="253"/>
    </row>
    <row r="2417" spans="1:52" ht="15.5" customHeight="1">
      <c r="A2417" s="363"/>
      <c r="B2417" s="343"/>
      <c r="C2417" s="7"/>
      <c r="D2417" s="254"/>
      <c r="E2417" s="254"/>
      <c r="F2417" s="254"/>
      <c r="G2417" s="253"/>
      <c r="H2417" s="253"/>
      <c r="I2417" s="253"/>
      <c r="J2417" s="253"/>
      <c r="K2417" s="253"/>
      <c r="L2417" s="7"/>
      <c r="M2417" s="7"/>
      <c r="N2417" s="253"/>
      <c r="O2417" s="255"/>
      <c r="P2417" s="253"/>
      <c r="Q2417" s="7"/>
      <c r="R2417" s="7"/>
      <c r="S2417" s="7"/>
      <c r="T2417" s="7"/>
      <c r="U2417" s="7"/>
      <c r="V2417" s="253"/>
      <c r="W2417" s="7"/>
      <c r="X2417" s="256"/>
      <c r="Y2417" s="256"/>
      <c r="Z2417" s="256"/>
      <c r="AA2417" s="256"/>
      <c r="AB2417" s="257"/>
      <c r="AC2417" s="258"/>
      <c r="AD2417" s="7"/>
      <c r="AE2417" s="253"/>
      <c r="AF2417" s="253"/>
      <c r="AG2417" s="259"/>
      <c r="AH2417" s="253"/>
      <c r="AI2417" s="253"/>
      <c r="AJ2417" s="7"/>
      <c r="AK2417" s="253"/>
      <c r="AL2417" s="253"/>
      <c r="AM2417" s="7"/>
      <c r="AN2417" s="253"/>
      <c r="AO2417" s="253"/>
      <c r="AP2417" s="253"/>
      <c r="AQ2417" s="253"/>
      <c r="AR2417" s="253"/>
      <c r="AS2417" s="253"/>
      <c r="AT2417" s="253"/>
      <c r="AU2417" s="253"/>
      <c r="AV2417" s="253"/>
      <c r="AW2417" s="253"/>
      <c r="AX2417" s="253"/>
      <c r="AY2417" s="253"/>
      <c r="AZ2417" s="253"/>
    </row>
    <row r="2418" spans="1:52" ht="15.5" customHeight="1">
      <c r="A2418" s="363"/>
      <c r="B2418" s="343"/>
      <c r="C2418" s="7"/>
      <c r="D2418" s="254"/>
      <c r="E2418" s="254"/>
      <c r="F2418" s="254"/>
      <c r="G2418" s="253"/>
      <c r="H2418" s="253"/>
      <c r="I2418" s="253"/>
      <c r="J2418" s="253"/>
      <c r="K2418" s="253"/>
      <c r="L2418" s="7"/>
      <c r="M2418" s="7"/>
      <c r="N2418" s="253"/>
      <c r="O2418" s="255"/>
      <c r="P2418" s="253"/>
      <c r="Q2418" s="7"/>
      <c r="R2418" s="7"/>
      <c r="S2418" s="7"/>
      <c r="T2418" s="7"/>
      <c r="U2418" s="7"/>
      <c r="V2418" s="253"/>
      <c r="W2418" s="7"/>
      <c r="X2418" s="256"/>
      <c r="Y2418" s="256"/>
      <c r="Z2418" s="256"/>
      <c r="AA2418" s="256"/>
      <c r="AB2418" s="257"/>
      <c r="AC2418" s="258"/>
      <c r="AD2418" s="7"/>
      <c r="AE2418" s="253"/>
      <c r="AF2418" s="253"/>
      <c r="AG2418" s="259"/>
      <c r="AH2418" s="253"/>
      <c r="AI2418" s="253"/>
      <c r="AJ2418" s="7"/>
      <c r="AK2418" s="253"/>
      <c r="AL2418" s="253"/>
      <c r="AM2418" s="7"/>
      <c r="AN2418" s="253"/>
      <c r="AO2418" s="253"/>
      <c r="AP2418" s="253"/>
      <c r="AQ2418" s="253"/>
      <c r="AR2418" s="253"/>
      <c r="AS2418" s="253"/>
      <c r="AT2418" s="253"/>
      <c r="AU2418" s="253"/>
      <c r="AV2418" s="253"/>
      <c r="AW2418" s="253"/>
      <c r="AX2418" s="253"/>
      <c r="AY2418" s="253"/>
      <c r="AZ2418" s="253"/>
    </row>
    <row r="2419" spans="1:52" ht="15.5" customHeight="1">
      <c r="A2419" s="363"/>
      <c r="B2419" s="343"/>
      <c r="C2419" s="7"/>
      <c r="D2419" s="254"/>
      <c r="E2419" s="254"/>
      <c r="F2419" s="254"/>
      <c r="G2419" s="253"/>
      <c r="H2419" s="253"/>
      <c r="I2419" s="253"/>
      <c r="J2419" s="253"/>
      <c r="K2419" s="253"/>
      <c r="L2419" s="7"/>
      <c r="M2419" s="7"/>
      <c r="N2419" s="253"/>
      <c r="O2419" s="255"/>
      <c r="P2419" s="253"/>
      <c r="Q2419" s="7"/>
      <c r="R2419" s="7"/>
      <c r="S2419" s="7"/>
      <c r="T2419" s="7"/>
      <c r="U2419" s="7"/>
      <c r="V2419" s="253"/>
      <c r="W2419" s="7"/>
      <c r="X2419" s="256"/>
      <c r="Y2419" s="256"/>
      <c r="Z2419" s="256"/>
      <c r="AA2419" s="256"/>
      <c r="AB2419" s="257"/>
      <c r="AC2419" s="258"/>
      <c r="AD2419" s="7"/>
      <c r="AE2419" s="253"/>
      <c r="AF2419" s="253"/>
      <c r="AG2419" s="259"/>
      <c r="AH2419" s="253"/>
      <c r="AI2419" s="253"/>
      <c r="AJ2419" s="7"/>
      <c r="AK2419" s="253"/>
      <c r="AL2419" s="253"/>
      <c r="AM2419" s="7"/>
      <c r="AN2419" s="253"/>
      <c r="AO2419" s="253"/>
      <c r="AP2419" s="253"/>
      <c r="AQ2419" s="253"/>
      <c r="AR2419" s="253"/>
      <c r="AS2419" s="253"/>
      <c r="AT2419" s="253"/>
      <c r="AU2419" s="253"/>
      <c r="AV2419" s="253"/>
      <c r="AW2419" s="253"/>
      <c r="AX2419" s="253"/>
      <c r="AY2419" s="253"/>
      <c r="AZ2419" s="253"/>
    </row>
    <row r="2420" spans="1:52" ht="15.5" customHeight="1">
      <c r="A2420" s="363"/>
      <c r="B2420" s="343"/>
      <c r="C2420" s="7"/>
      <c r="D2420" s="254"/>
      <c r="E2420" s="254"/>
      <c r="F2420" s="254"/>
      <c r="G2420" s="253"/>
      <c r="H2420" s="253"/>
      <c r="I2420" s="253"/>
      <c r="J2420" s="253"/>
      <c r="K2420" s="253"/>
      <c r="L2420" s="7"/>
      <c r="M2420" s="7"/>
      <c r="N2420" s="253"/>
      <c r="O2420" s="255"/>
      <c r="P2420" s="253"/>
      <c r="Q2420" s="7"/>
      <c r="R2420" s="7"/>
      <c r="S2420" s="7"/>
      <c r="T2420" s="7"/>
      <c r="U2420" s="7"/>
      <c r="V2420" s="253"/>
      <c r="W2420" s="7"/>
      <c r="X2420" s="256"/>
      <c r="Y2420" s="256"/>
      <c r="Z2420" s="256"/>
      <c r="AA2420" s="256"/>
      <c r="AB2420" s="257"/>
      <c r="AC2420" s="258"/>
      <c r="AD2420" s="7"/>
      <c r="AE2420" s="253"/>
      <c r="AF2420" s="253"/>
      <c r="AG2420" s="259"/>
      <c r="AH2420" s="253"/>
      <c r="AI2420" s="253"/>
      <c r="AJ2420" s="7"/>
      <c r="AK2420" s="253"/>
      <c r="AL2420" s="253"/>
      <c r="AM2420" s="7"/>
      <c r="AN2420" s="253"/>
      <c r="AO2420" s="253"/>
      <c r="AP2420" s="253"/>
      <c r="AQ2420" s="253"/>
      <c r="AR2420" s="253"/>
      <c r="AS2420" s="253"/>
      <c r="AT2420" s="253"/>
      <c r="AU2420" s="253"/>
      <c r="AV2420" s="253"/>
      <c r="AW2420" s="253"/>
      <c r="AX2420" s="253"/>
      <c r="AY2420" s="253"/>
      <c r="AZ2420" s="253"/>
    </row>
    <row r="2421" spans="1:52" ht="15.5" customHeight="1">
      <c r="A2421" s="363"/>
      <c r="B2421" s="343"/>
      <c r="C2421" s="7"/>
      <c r="D2421" s="254"/>
      <c r="E2421" s="254"/>
      <c r="F2421" s="254"/>
      <c r="G2421" s="253"/>
      <c r="H2421" s="253"/>
      <c r="I2421" s="253"/>
      <c r="J2421" s="253"/>
      <c r="K2421" s="253"/>
      <c r="L2421" s="7"/>
      <c r="M2421" s="7"/>
      <c r="N2421" s="253"/>
      <c r="O2421" s="255"/>
      <c r="P2421" s="253"/>
      <c r="Q2421" s="7"/>
      <c r="R2421" s="7"/>
      <c r="S2421" s="7"/>
      <c r="T2421" s="7"/>
      <c r="U2421" s="7"/>
      <c r="V2421" s="253"/>
      <c r="W2421" s="7"/>
      <c r="X2421" s="256"/>
      <c r="Y2421" s="256"/>
      <c r="Z2421" s="256"/>
      <c r="AA2421" s="256"/>
      <c r="AB2421" s="257"/>
      <c r="AC2421" s="258"/>
      <c r="AD2421" s="7"/>
      <c r="AE2421" s="253"/>
      <c r="AF2421" s="253"/>
      <c r="AG2421" s="259"/>
      <c r="AH2421" s="253"/>
      <c r="AI2421" s="253"/>
      <c r="AJ2421" s="7"/>
      <c r="AK2421" s="253"/>
      <c r="AL2421" s="253"/>
      <c r="AM2421" s="7"/>
      <c r="AN2421" s="253"/>
      <c r="AO2421" s="253"/>
      <c r="AP2421" s="253"/>
      <c r="AQ2421" s="253"/>
      <c r="AR2421" s="253"/>
      <c r="AS2421" s="253"/>
      <c r="AT2421" s="253"/>
      <c r="AU2421" s="253"/>
      <c r="AV2421" s="253"/>
      <c r="AW2421" s="253"/>
      <c r="AX2421" s="253"/>
      <c r="AY2421" s="253"/>
      <c r="AZ2421" s="253"/>
    </row>
    <row r="2422" spans="1:52" ht="15.5" customHeight="1">
      <c r="A2422" s="363"/>
      <c r="B2422" s="343"/>
      <c r="C2422" s="7"/>
      <c r="D2422" s="254"/>
      <c r="E2422" s="254"/>
      <c r="F2422" s="254"/>
      <c r="G2422" s="253"/>
      <c r="H2422" s="253"/>
      <c r="I2422" s="253"/>
      <c r="J2422" s="253"/>
      <c r="K2422" s="253"/>
      <c r="L2422" s="7"/>
      <c r="M2422" s="7"/>
      <c r="N2422" s="253"/>
      <c r="O2422" s="255"/>
      <c r="P2422" s="253"/>
      <c r="Q2422" s="7"/>
      <c r="R2422" s="7"/>
      <c r="S2422" s="7"/>
      <c r="T2422" s="7"/>
      <c r="U2422" s="7"/>
      <c r="V2422" s="253"/>
      <c r="W2422" s="7"/>
      <c r="X2422" s="256"/>
      <c r="Y2422" s="256"/>
      <c r="Z2422" s="256"/>
      <c r="AA2422" s="256"/>
      <c r="AB2422" s="257"/>
      <c r="AC2422" s="258"/>
      <c r="AD2422" s="7"/>
      <c r="AE2422" s="253"/>
      <c r="AF2422" s="253"/>
      <c r="AG2422" s="259"/>
      <c r="AH2422" s="253"/>
      <c r="AI2422" s="253"/>
      <c r="AJ2422" s="7"/>
      <c r="AK2422" s="253"/>
      <c r="AL2422" s="253"/>
      <c r="AM2422" s="7"/>
      <c r="AN2422" s="253"/>
      <c r="AO2422" s="253"/>
      <c r="AP2422" s="253"/>
      <c r="AQ2422" s="253"/>
      <c r="AR2422" s="253"/>
      <c r="AS2422" s="253"/>
      <c r="AT2422" s="253"/>
      <c r="AU2422" s="253"/>
      <c r="AV2422" s="253"/>
      <c r="AW2422" s="253"/>
      <c r="AX2422" s="253"/>
      <c r="AY2422" s="253"/>
      <c r="AZ2422" s="253"/>
    </row>
    <row r="2423" spans="1:52" ht="15.5" customHeight="1">
      <c r="A2423" s="363"/>
      <c r="B2423" s="343"/>
      <c r="C2423" s="7"/>
      <c r="D2423" s="254"/>
      <c r="E2423" s="254"/>
      <c r="F2423" s="254"/>
      <c r="G2423" s="253"/>
      <c r="H2423" s="253"/>
      <c r="I2423" s="253"/>
      <c r="J2423" s="253"/>
      <c r="K2423" s="253"/>
      <c r="L2423" s="7"/>
      <c r="M2423" s="7"/>
      <c r="N2423" s="253"/>
      <c r="O2423" s="255"/>
      <c r="P2423" s="253"/>
      <c r="Q2423" s="7"/>
      <c r="R2423" s="7"/>
      <c r="S2423" s="7"/>
      <c r="T2423" s="7"/>
      <c r="U2423" s="7"/>
      <c r="V2423" s="253"/>
      <c r="W2423" s="7"/>
      <c r="X2423" s="256"/>
      <c r="Y2423" s="256"/>
      <c r="Z2423" s="256"/>
      <c r="AA2423" s="256"/>
      <c r="AB2423" s="257"/>
      <c r="AC2423" s="258"/>
      <c r="AD2423" s="7"/>
      <c r="AE2423" s="253"/>
      <c r="AF2423" s="253"/>
      <c r="AG2423" s="259"/>
      <c r="AH2423" s="253"/>
      <c r="AI2423" s="253"/>
      <c r="AJ2423" s="7"/>
      <c r="AK2423" s="253"/>
      <c r="AL2423" s="253"/>
      <c r="AM2423" s="7"/>
      <c r="AN2423" s="253"/>
      <c r="AO2423" s="253"/>
      <c r="AP2423" s="253"/>
      <c r="AQ2423" s="253"/>
      <c r="AR2423" s="253"/>
      <c r="AS2423" s="253"/>
      <c r="AT2423" s="253"/>
      <c r="AU2423" s="253"/>
      <c r="AV2423" s="253"/>
      <c r="AW2423" s="253"/>
      <c r="AX2423" s="253"/>
      <c r="AY2423" s="253"/>
      <c r="AZ2423" s="253"/>
    </row>
    <row r="2424" spans="1:52" ht="15.5" customHeight="1">
      <c r="A2424" s="363"/>
      <c r="B2424" s="343"/>
      <c r="C2424" s="7"/>
      <c r="D2424" s="254"/>
      <c r="E2424" s="254"/>
      <c r="F2424" s="254"/>
      <c r="G2424" s="253"/>
      <c r="H2424" s="253"/>
      <c r="I2424" s="253"/>
      <c r="J2424" s="253"/>
      <c r="K2424" s="253"/>
      <c r="L2424" s="7"/>
      <c r="M2424" s="7"/>
      <c r="N2424" s="253"/>
      <c r="O2424" s="255"/>
      <c r="P2424" s="253"/>
      <c r="Q2424" s="7"/>
      <c r="R2424" s="7"/>
      <c r="S2424" s="7"/>
      <c r="T2424" s="7"/>
      <c r="U2424" s="7"/>
      <c r="V2424" s="253"/>
      <c r="W2424" s="7"/>
      <c r="X2424" s="256"/>
      <c r="Y2424" s="256"/>
      <c r="Z2424" s="256"/>
      <c r="AA2424" s="256"/>
      <c r="AB2424" s="257"/>
      <c r="AC2424" s="258"/>
      <c r="AD2424" s="7"/>
      <c r="AE2424" s="253"/>
      <c r="AF2424" s="253"/>
      <c r="AG2424" s="259"/>
      <c r="AH2424" s="253"/>
      <c r="AI2424" s="253"/>
      <c r="AJ2424" s="7"/>
      <c r="AK2424" s="253"/>
      <c r="AL2424" s="253"/>
      <c r="AM2424" s="7"/>
      <c r="AN2424" s="253"/>
      <c r="AO2424" s="253"/>
      <c r="AP2424" s="253"/>
      <c r="AQ2424" s="253"/>
      <c r="AR2424" s="253"/>
      <c r="AS2424" s="253"/>
      <c r="AT2424" s="253"/>
      <c r="AU2424" s="253"/>
      <c r="AV2424" s="253"/>
      <c r="AW2424" s="253"/>
      <c r="AX2424" s="253"/>
      <c r="AY2424" s="253"/>
      <c r="AZ2424" s="253"/>
    </row>
    <row r="2425" spans="1:52" ht="15.5" customHeight="1">
      <c r="A2425" s="363"/>
      <c r="B2425" s="343"/>
      <c r="C2425" s="7"/>
      <c r="D2425" s="254"/>
      <c r="E2425" s="254"/>
      <c r="F2425" s="254"/>
      <c r="G2425" s="253"/>
      <c r="H2425" s="253"/>
      <c r="I2425" s="253"/>
      <c r="J2425" s="253"/>
      <c r="K2425" s="253"/>
      <c r="L2425" s="7"/>
      <c r="M2425" s="7"/>
      <c r="N2425" s="253"/>
      <c r="O2425" s="255"/>
      <c r="P2425" s="253"/>
      <c r="Q2425" s="7"/>
      <c r="R2425" s="7"/>
      <c r="S2425" s="7"/>
      <c r="T2425" s="7"/>
      <c r="U2425" s="7"/>
      <c r="V2425" s="253"/>
      <c r="W2425" s="7"/>
      <c r="X2425" s="256"/>
      <c r="Y2425" s="256"/>
      <c r="Z2425" s="256"/>
      <c r="AA2425" s="256"/>
      <c r="AB2425" s="257"/>
      <c r="AC2425" s="258"/>
      <c r="AD2425" s="7"/>
      <c r="AE2425" s="253"/>
      <c r="AF2425" s="253"/>
      <c r="AG2425" s="259"/>
      <c r="AH2425" s="253"/>
      <c r="AI2425" s="253"/>
      <c r="AJ2425" s="7"/>
      <c r="AK2425" s="253"/>
      <c r="AL2425" s="253"/>
      <c r="AM2425" s="7"/>
      <c r="AN2425" s="253"/>
      <c r="AO2425" s="253"/>
      <c r="AP2425" s="253"/>
      <c r="AQ2425" s="253"/>
      <c r="AR2425" s="253"/>
      <c r="AS2425" s="253"/>
      <c r="AT2425" s="253"/>
      <c r="AU2425" s="253"/>
      <c r="AV2425" s="253"/>
      <c r="AW2425" s="253"/>
      <c r="AX2425" s="253"/>
      <c r="AY2425" s="253"/>
      <c r="AZ2425" s="253"/>
    </row>
    <row r="2426" spans="1:52" ht="15.5" customHeight="1">
      <c r="A2426" s="363"/>
      <c r="B2426" s="343"/>
      <c r="C2426" s="7"/>
      <c r="D2426" s="254"/>
      <c r="E2426" s="254"/>
      <c r="F2426" s="254"/>
      <c r="G2426" s="253"/>
      <c r="H2426" s="253"/>
      <c r="I2426" s="253"/>
      <c r="J2426" s="253"/>
      <c r="K2426" s="253"/>
      <c r="L2426" s="7"/>
      <c r="M2426" s="7"/>
      <c r="N2426" s="253"/>
      <c r="O2426" s="255"/>
      <c r="P2426" s="253"/>
      <c r="Q2426" s="7"/>
      <c r="R2426" s="7"/>
      <c r="S2426" s="7"/>
      <c r="T2426" s="7"/>
      <c r="U2426" s="7"/>
      <c r="V2426" s="253"/>
      <c r="W2426" s="7"/>
      <c r="X2426" s="256"/>
      <c r="Y2426" s="256"/>
      <c r="Z2426" s="256"/>
      <c r="AA2426" s="256"/>
      <c r="AB2426" s="257"/>
      <c r="AC2426" s="258"/>
      <c r="AD2426" s="7"/>
      <c r="AE2426" s="253"/>
      <c r="AF2426" s="253"/>
      <c r="AG2426" s="259"/>
      <c r="AH2426" s="253"/>
      <c r="AI2426" s="253"/>
      <c r="AJ2426" s="7"/>
      <c r="AK2426" s="253"/>
      <c r="AL2426" s="253"/>
      <c r="AM2426" s="7"/>
      <c r="AN2426" s="253"/>
      <c r="AO2426" s="253"/>
      <c r="AP2426" s="253"/>
      <c r="AQ2426" s="253"/>
      <c r="AR2426" s="253"/>
      <c r="AS2426" s="253"/>
      <c r="AT2426" s="253"/>
      <c r="AU2426" s="253"/>
      <c r="AV2426" s="253"/>
      <c r="AW2426" s="253"/>
      <c r="AX2426" s="253"/>
      <c r="AY2426" s="253"/>
      <c r="AZ2426" s="253"/>
    </row>
    <row r="2427" spans="1:52" ht="15.5" customHeight="1">
      <c r="A2427" s="363"/>
      <c r="B2427" s="343"/>
      <c r="C2427" s="7"/>
      <c r="D2427" s="254"/>
      <c r="E2427" s="254"/>
      <c r="F2427" s="254"/>
      <c r="G2427" s="253"/>
      <c r="H2427" s="253"/>
      <c r="I2427" s="253"/>
      <c r="J2427" s="253"/>
      <c r="K2427" s="253"/>
      <c r="L2427" s="7"/>
      <c r="M2427" s="7"/>
      <c r="N2427" s="253"/>
      <c r="O2427" s="255"/>
      <c r="P2427" s="253"/>
      <c r="Q2427" s="7"/>
      <c r="R2427" s="7"/>
      <c r="S2427" s="7"/>
      <c r="T2427" s="7"/>
      <c r="U2427" s="7"/>
      <c r="V2427" s="253"/>
      <c r="W2427" s="7"/>
      <c r="X2427" s="256"/>
      <c r="Y2427" s="256"/>
      <c r="Z2427" s="256"/>
      <c r="AA2427" s="256"/>
      <c r="AB2427" s="257"/>
      <c r="AC2427" s="258"/>
      <c r="AD2427" s="7"/>
      <c r="AE2427" s="253"/>
      <c r="AF2427" s="253"/>
      <c r="AG2427" s="259"/>
      <c r="AH2427" s="253"/>
      <c r="AI2427" s="253"/>
      <c r="AJ2427" s="7"/>
      <c r="AK2427" s="253"/>
      <c r="AL2427" s="253"/>
      <c r="AM2427" s="7"/>
      <c r="AN2427" s="253"/>
      <c r="AO2427" s="253"/>
      <c r="AP2427" s="253"/>
      <c r="AQ2427" s="253"/>
      <c r="AR2427" s="253"/>
      <c r="AS2427" s="253"/>
      <c r="AT2427" s="253"/>
      <c r="AU2427" s="253"/>
      <c r="AV2427" s="253"/>
      <c r="AW2427" s="253"/>
      <c r="AX2427" s="253"/>
      <c r="AY2427" s="253"/>
      <c r="AZ2427" s="253"/>
    </row>
    <row r="2428" spans="1:52" ht="15.5" customHeight="1">
      <c r="A2428" s="363"/>
      <c r="B2428" s="343"/>
      <c r="C2428" s="7"/>
      <c r="D2428" s="254"/>
      <c r="E2428" s="254"/>
      <c r="F2428" s="254"/>
      <c r="G2428" s="253"/>
      <c r="H2428" s="253"/>
      <c r="I2428" s="253"/>
      <c r="J2428" s="253"/>
      <c r="K2428" s="253"/>
      <c r="L2428" s="7"/>
      <c r="M2428" s="7"/>
      <c r="N2428" s="253"/>
      <c r="O2428" s="255"/>
      <c r="P2428" s="253"/>
      <c r="Q2428" s="7"/>
      <c r="R2428" s="7"/>
      <c r="S2428" s="7"/>
      <c r="T2428" s="7"/>
      <c r="U2428" s="7"/>
      <c r="V2428" s="253"/>
      <c r="W2428" s="7"/>
      <c r="X2428" s="256"/>
      <c r="Y2428" s="256"/>
      <c r="Z2428" s="256"/>
      <c r="AA2428" s="256"/>
      <c r="AB2428" s="257"/>
      <c r="AC2428" s="258"/>
      <c r="AD2428" s="7"/>
      <c r="AE2428" s="253"/>
      <c r="AF2428" s="253"/>
      <c r="AG2428" s="259"/>
      <c r="AH2428" s="253"/>
      <c r="AI2428" s="253"/>
      <c r="AJ2428" s="7"/>
      <c r="AK2428" s="253"/>
      <c r="AL2428" s="253"/>
      <c r="AM2428" s="7"/>
      <c r="AN2428" s="253"/>
      <c r="AO2428" s="253"/>
      <c r="AP2428" s="253"/>
      <c r="AQ2428" s="253"/>
      <c r="AR2428" s="253"/>
      <c r="AS2428" s="253"/>
      <c r="AT2428" s="253"/>
      <c r="AU2428" s="253"/>
      <c r="AV2428" s="253"/>
      <c r="AW2428" s="253"/>
      <c r="AX2428" s="253"/>
      <c r="AY2428" s="253"/>
      <c r="AZ2428" s="253"/>
    </row>
    <row r="2429" spans="1:52" ht="15.5" customHeight="1">
      <c r="A2429" s="363"/>
      <c r="B2429" s="343"/>
      <c r="C2429" s="7"/>
      <c r="D2429" s="254"/>
      <c r="E2429" s="254"/>
      <c r="F2429" s="254"/>
      <c r="G2429" s="253"/>
      <c r="H2429" s="253"/>
      <c r="I2429" s="253"/>
      <c r="J2429" s="253"/>
      <c r="K2429" s="253"/>
      <c r="L2429" s="7"/>
      <c r="M2429" s="7"/>
      <c r="N2429" s="253"/>
      <c r="O2429" s="255"/>
      <c r="P2429" s="253"/>
      <c r="Q2429" s="7"/>
      <c r="R2429" s="7"/>
      <c r="S2429" s="7"/>
      <c r="T2429" s="7"/>
      <c r="U2429" s="7"/>
      <c r="V2429" s="253"/>
      <c r="W2429" s="7"/>
      <c r="X2429" s="256"/>
      <c r="Y2429" s="256"/>
      <c r="Z2429" s="256"/>
      <c r="AA2429" s="256"/>
      <c r="AB2429" s="257"/>
      <c r="AC2429" s="258"/>
      <c r="AD2429" s="7"/>
      <c r="AE2429" s="253"/>
      <c r="AF2429" s="253"/>
      <c r="AG2429" s="259"/>
      <c r="AH2429" s="253"/>
      <c r="AI2429" s="253"/>
      <c r="AJ2429" s="7"/>
      <c r="AK2429" s="253"/>
      <c r="AL2429" s="253"/>
      <c r="AM2429" s="7"/>
      <c r="AN2429" s="253"/>
      <c r="AO2429" s="253"/>
      <c r="AP2429" s="253"/>
      <c r="AQ2429" s="253"/>
      <c r="AR2429" s="253"/>
      <c r="AS2429" s="253"/>
      <c r="AT2429" s="253"/>
      <c r="AU2429" s="253"/>
      <c r="AV2429" s="253"/>
      <c r="AW2429" s="253"/>
      <c r="AX2429" s="253"/>
      <c r="AY2429" s="253"/>
      <c r="AZ2429" s="253"/>
    </row>
    <row r="2430" spans="1:52" ht="15.5" customHeight="1">
      <c r="A2430" s="363"/>
      <c r="B2430" s="343"/>
      <c r="C2430" s="7"/>
      <c r="D2430" s="254"/>
      <c r="E2430" s="254"/>
      <c r="F2430" s="254"/>
      <c r="G2430" s="253"/>
      <c r="H2430" s="253"/>
      <c r="I2430" s="253"/>
      <c r="J2430" s="253"/>
      <c r="K2430" s="253"/>
      <c r="L2430" s="7"/>
      <c r="M2430" s="7"/>
      <c r="N2430" s="253"/>
      <c r="O2430" s="255"/>
      <c r="P2430" s="253"/>
      <c r="Q2430" s="7"/>
      <c r="R2430" s="7"/>
      <c r="S2430" s="7"/>
      <c r="T2430" s="7"/>
      <c r="U2430" s="7"/>
      <c r="V2430" s="253"/>
      <c r="W2430" s="7"/>
      <c r="X2430" s="256"/>
      <c r="Y2430" s="256"/>
      <c r="Z2430" s="256"/>
      <c r="AA2430" s="256"/>
      <c r="AB2430" s="257"/>
      <c r="AC2430" s="258"/>
      <c r="AD2430" s="7"/>
      <c r="AE2430" s="253"/>
      <c r="AF2430" s="253"/>
      <c r="AG2430" s="259"/>
      <c r="AH2430" s="253"/>
      <c r="AI2430" s="253"/>
      <c r="AJ2430" s="7"/>
      <c r="AK2430" s="253"/>
      <c r="AL2430" s="253"/>
      <c r="AM2430" s="7"/>
      <c r="AN2430" s="253"/>
      <c r="AO2430" s="253"/>
      <c r="AP2430" s="253"/>
      <c r="AQ2430" s="253"/>
      <c r="AR2430" s="253"/>
      <c r="AS2430" s="253"/>
      <c r="AT2430" s="253"/>
      <c r="AU2430" s="253"/>
      <c r="AV2430" s="253"/>
      <c r="AW2430" s="253"/>
      <c r="AX2430" s="253"/>
      <c r="AY2430" s="253"/>
      <c r="AZ2430" s="253"/>
    </row>
    <row r="2431" spans="1:52" ht="15.5" customHeight="1">
      <c r="A2431" s="363"/>
      <c r="B2431" s="343"/>
      <c r="C2431" s="7"/>
      <c r="D2431" s="254"/>
      <c r="E2431" s="254"/>
      <c r="F2431" s="254"/>
      <c r="G2431" s="253"/>
      <c r="H2431" s="253"/>
      <c r="I2431" s="253"/>
      <c r="J2431" s="253"/>
      <c r="K2431" s="253"/>
      <c r="L2431" s="7"/>
      <c r="M2431" s="7"/>
      <c r="N2431" s="253"/>
      <c r="O2431" s="255"/>
      <c r="P2431" s="253"/>
      <c r="Q2431" s="7"/>
      <c r="R2431" s="7"/>
      <c r="S2431" s="7"/>
      <c r="T2431" s="7"/>
      <c r="U2431" s="7"/>
      <c r="V2431" s="253"/>
      <c r="W2431" s="7"/>
      <c r="X2431" s="256"/>
      <c r="Y2431" s="256"/>
      <c r="Z2431" s="256"/>
      <c r="AA2431" s="256"/>
      <c r="AB2431" s="257"/>
      <c r="AC2431" s="258"/>
      <c r="AD2431" s="7"/>
      <c r="AE2431" s="253"/>
      <c r="AF2431" s="253"/>
      <c r="AG2431" s="259"/>
      <c r="AH2431" s="253"/>
      <c r="AI2431" s="253"/>
      <c r="AJ2431" s="7"/>
      <c r="AK2431" s="253"/>
      <c r="AL2431" s="253"/>
      <c r="AM2431" s="7"/>
      <c r="AN2431" s="253"/>
      <c r="AO2431" s="253"/>
      <c r="AP2431" s="253"/>
      <c r="AQ2431" s="253"/>
      <c r="AR2431" s="253"/>
      <c r="AS2431" s="253"/>
      <c r="AT2431" s="253"/>
      <c r="AU2431" s="253"/>
      <c r="AV2431" s="253"/>
      <c r="AW2431" s="253"/>
      <c r="AX2431" s="253"/>
      <c r="AY2431" s="253"/>
      <c r="AZ2431" s="253"/>
    </row>
    <row r="2432" spans="1:52" ht="15.5" customHeight="1">
      <c r="A2432" s="363"/>
      <c r="B2432" s="343"/>
      <c r="C2432" s="7"/>
      <c r="D2432" s="254"/>
      <c r="E2432" s="254"/>
      <c r="F2432" s="254"/>
      <c r="G2432" s="253"/>
      <c r="H2432" s="253"/>
      <c r="I2432" s="253"/>
      <c r="J2432" s="253"/>
      <c r="K2432" s="253"/>
      <c r="L2432" s="7"/>
      <c r="M2432" s="7"/>
      <c r="N2432" s="253"/>
      <c r="O2432" s="255"/>
      <c r="P2432" s="253"/>
      <c r="Q2432" s="7"/>
      <c r="R2432" s="7"/>
      <c r="S2432" s="7"/>
      <c r="T2432" s="7"/>
      <c r="U2432" s="7"/>
      <c r="V2432" s="253"/>
      <c r="W2432" s="7"/>
      <c r="X2432" s="256"/>
      <c r="Y2432" s="256"/>
      <c r="Z2432" s="256"/>
      <c r="AA2432" s="256"/>
      <c r="AB2432" s="257"/>
      <c r="AC2432" s="258"/>
      <c r="AD2432" s="7"/>
      <c r="AE2432" s="253"/>
      <c r="AF2432" s="253"/>
      <c r="AG2432" s="259"/>
      <c r="AH2432" s="253"/>
      <c r="AI2432" s="253"/>
      <c r="AJ2432" s="7"/>
      <c r="AK2432" s="253"/>
      <c r="AL2432" s="253"/>
      <c r="AM2432" s="7"/>
      <c r="AN2432" s="253"/>
      <c r="AO2432" s="253"/>
      <c r="AP2432" s="253"/>
      <c r="AQ2432" s="253"/>
      <c r="AR2432" s="253"/>
      <c r="AS2432" s="253"/>
      <c r="AT2432" s="253"/>
      <c r="AU2432" s="253"/>
      <c r="AV2432" s="253"/>
      <c r="AW2432" s="253"/>
      <c r="AX2432" s="253"/>
      <c r="AY2432" s="253"/>
      <c r="AZ2432" s="253"/>
    </row>
    <row r="2433" spans="1:52" ht="15.5" customHeight="1">
      <c r="A2433" s="363"/>
      <c r="B2433" s="343"/>
      <c r="C2433" s="7"/>
      <c r="D2433" s="254"/>
      <c r="E2433" s="254"/>
      <c r="F2433" s="254"/>
      <c r="G2433" s="253"/>
      <c r="H2433" s="253"/>
      <c r="I2433" s="253"/>
      <c r="J2433" s="253"/>
      <c r="K2433" s="253"/>
      <c r="L2433" s="7"/>
      <c r="M2433" s="7"/>
      <c r="N2433" s="253"/>
      <c r="O2433" s="255"/>
      <c r="P2433" s="253"/>
      <c r="Q2433" s="7"/>
      <c r="R2433" s="7"/>
      <c r="S2433" s="7"/>
      <c r="T2433" s="7"/>
      <c r="U2433" s="7"/>
      <c r="V2433" s="253"/>
      <c r="W2433" s="7"/>
      <c r="X2433" s="256"/>
      <c r="Y2433" s="256"/>
      <c r="Z2433" s="256"/>
      <c r="AA2433" s="256"/>
      <c r="AB2433" s="257"/>
      <c r="AC2433" s="258"/>
      <c r="AD2433" s="7"/>
      <c r="AE2433" s="253"/>
      <c r="AF2433" s="253"/>
      <c r="AG2433" s="259"/>
      <c r="AH2433" s="253"/>
      <c r="AI2433" s="253"/>
      <c r="AJ2433" s="7"/>
      <c r="AK2433" s="253"/>
      <c r="AL2433" s="253"/>
      <c r="AM2433" s="7"/>
      <c r="AN2433" s="253"/>
      <c r="AO2433" s="253"/>
      <c r="AP2433" s="253"/>
      <c r="AQ2433" s="253"/>
      <c r="AR2433" s="253"/>
      <c r="AS2433" s="253"/>
      <c r="AT2433" s="253"/>
      <c r="AU2433" s="253"/>
      <c r="AV2433" s="253"/>
      <c r="AW2433" s="253"/>
      <c r="AX2433" s="253"/>
      <c r="AY2433" s="253"/>
      <c r="AZ2433" s="253"/>
    </row>
    <row r="2434" spans="1:52" ht="15.5" customHeight="1">
      <c r="A2434" s="363"/>
      <c r="B2434" s="343"/>
      <c r="C2434" s="7"/>
      <c r="D2434" s="254"/>
      <c r="E2434" s="254"/>
      <c r="F2434" s="254"/>
      <c r="G2434" s="253"/>
      <c r="H2434" s="253"/>
      <c r="I2434" s="253"/>
      <c r="J2434" s="253"/>
      <c r="K2434" s="253"/>
      <c r="L2434" s="7"/>
      <c r="M2434" s="7"/>
      <c r="N2434" s="253"/>
      <c r="O2434" s="255"/>
      <c r="P2434" s="253"/>
      <c r="Q2434" s="7"/>
      <c r="R2434" s="7"/>
      <c r="S2434" s="7"/>
      <c r="T2434" s="7"/>
      <c r="U2434" s="7"/>
      <c r="V2434" s="253"/>
      <c r="W2434" s="7"/>
      <c r="X2434" s="256"/>
      <c r="Y2434" s="256"/>
      <c r="Z2434" s="256"/>
      <c r="AA2434" s="256"/>
      <c r="AB2434" s="257"/>
      <c r="AC2434" s="258"/>
      <c r="AD2434" s="7"/>
      <c r="AE2434" s="253"/>
      <c r="AF2434" s="253"/>
      <c r="AG2434" s="259"/>
      <c r="AH2434" s="253"/>
      <c r="AI2434" s="253"/>
      <c r="AJ2434" s="7"/>
      <c r="AK2434" s="253"/>
      <c r="AL2434" s="253"/>
      <c r="AM2434" s="7"/>
      <c r="AN2434" s="253"/>
      <c r="AO2434" s="253"/>
      <c r="AP2434" s="253"/>
      <c r="AQ2434" s="253"/>
      <c r="AR2434" s="253"/>
      <c r="AS2434" s="253"/>
      <c r="AT2434" s="253"/>
      <c r="AU2434" s="253"/>
      <c r="AV2434" s="253"/>
      <c r="AW2434" s="253"/>
      <c r="AX2434" s="253"/>
      <c r="AY2434" s="253"/>
      <c r="AZ2434" s="253"/>
    </row>
    <row r="2435" spans="1:52" ht="15.5" customHeight="1">
      <c r="A2435" s="363"/>
      <c r="B2435" s="343"/>
      <c r="C2435" s="7"/>
      <c r="D2435" s="254"/>
      <c r="E2435" s="254"/>
      <c r="F2435" s="254"/>
      <c r="G2435" s="253"/>
      <c r="H2435" s="253"/>
      <c r="I2435" s="253"/>
      <c r="J2435" s="253"/>
      <c r="K2435" s="253"/>
      <c r="L2435" s="7"/>
      <c r="M2435" s="7"/>
      <c r="N2435" s="253"/>
      <c r="O2435" s="255"/>
      <c r="P2435" s="253"/>
      <c r="Q2435" s="7"/>
      <c r="R2435" s="7"/>
      <c r="S2435" s="7"/>
      <c r="T2435" s="7"/>
      <c r="U2435" s="7"/>
      <c r="V2435" s="253"/>
      <c r="W2435" s="7"/>
      <c r="X2435" s="256"/>
      <c r="Y2435" s="256"/>
      <c r="Z2435" s="256"/>
      <c r="AA2435" s="256"/>
      <c r="AB2435" s="257"/>
      <c r="AC2435" s="258"/>
      <c r="AD2435" s="7"/>
      <c r="AE2435" s="253"/>
      <c r="AF2435" s="253"/>
      <c r="AG2435" s="259"/>
      <c r="AH2435" s="253"/>
      <c r="AI2435" s="253"/>
      <c r="AJ2435" s="7"/>
      <c r="AK2435" s="253"/>
      <c r="AL2435" s="253"/>
      <c r="AM2435" s="7"/>
      <c r="AN2435" s="253"/>
      <c r="AO2435" s="253"/>
      <c r="AP2435" s="253"/>
      <c r="AQ2435" s="253"/>
      <c r="AR2435" s="253"/>
      <c r="AS2435" s="253"/>
      <c r="AT2435" s="253"/>
      <c r="AU2435" s="253"/>
      <c r="AV2435" s="253"/>
      <c r="AW2435" s="253"/>
      <c r="AX2435" s="253"/>
      <c r="AY2435" s="253"/>
      <c r="AZ2435" s="253"/>
    </row>
    <row r="2436" spans="1:52" ht="15.5" customHeight="1">
      <c r="A2436" s="363"/>
      <c r="B2436" s="343"/>
      <c r="C2436" s="7"/>
      <c r="D2436" s="254"/>
      <c r="E2436" s="254"/>
      <c r="F2436" s="254"/>
      <c r="G2436" s="253"/>
      <c r="H2436" s="253"/>
      <c r="I2436" s="253"/>
      <c r="J2436" s="253"/>
      <c r="K2436" s="253"/>
      <c r="L2436" s="7"/>
      <c r="M2436" s="7"/>
      <c r="N2436" s="253"/>
      <c r="O2436" s="255"/>
      <c r="P2436" s="253"/>
      <c r="Q2436" s="7"/>
      <c r="R2436" s="7"/>
      <c r="S2436" s="7"/>
      <c r="T2436" s="7"/>
      <c r="U2436" s="7"/>
      <c r="V2436" s="253"/>
      <c r="W2436" s="7"/>
      <c r="X2436" s="256"/>
      <c r="Y2436" s="256"/>
      <c r="Z2436" s="256"/>
      <c r="AA2436" s="256"/>
      <c r="AB2436" s="257"/>
      <c r="AC2436" s="258"/>
      <c r="AD2436" s="7"/>
      <c r="AE2436" s="253"/>
      <c r="AF2436" s="253"/>
      <c r="AG2436" s="259"/>
      <c r="AH2436" s="253"/>
      <c r="AI2436" s="253"/>
      <c r="AJ2436" s="7"/>
      <c r="AK2436" s="253"/>
      <c r="AL2436" s="253"/>
      <c r="AM2436" s="7"/>
      <c r="AN2436" s="253"/>
      <c r="AO2436" s="253"/>
      <c r="AP2436" s="253"/>
      <c r="AQ2436" s="253"/>
      <c r="AR2436" s="253"/>
      <c r="AS2436" s="253"/>
      <c r="AT2436" s="253"/>
      <c r="AU2436" s="253"/>
      <c r="AV2436" s="253"/>
      <c r="AW2436" s="253"/>
      <c r="AX2436" s="253"/>
      <c r="AY2436" s="253"/>
      <c r="AZ2436" s="253"/>
    </row>
    <row r="2437" spans="1:52" ht="15.5" customHeight="1">
      <c r="A2437" s="363"/>
      <c r="B2437" s="343"/>
      <c r="C2437" s="7"/>
      <c r="D2437" s="254"/>
      <c r="E2437" s="254"/>
      <c r="F2437" s="254"/>
      <c r="G2437" s="253"/>
      <c r="H2437" s="253"/>
      <c r="I2437" s="253"/>
      <c r="J2437" s="253"/>
      <c r="K2437" s="253"/>
      <c r="L2437" s="7"/>
      <c r="M2437" s="7"/>
      <c r="N2437" s="253"/>
      <c r="O2437" s="255"/>
      <c r="P2437" s="253"/>
      <c r="Q2437" s="7"/>
      <c r="R2437" s="7"/>
      <c r="S2437" s="7"/>
      <c r="T2437" s="7"/>
      <c r="U2437" s="7"/>
      <c r="V2437" s="253"/>
      <c r="W2437" s="7"/>
      <c r="X2437" s="256"/>
      <c r="Y2437" s="256"/>
      <c r="Z2437" s="256"/>
      <c r="AA2437" s="256"/>
      <c r="AB2437" s="257"/>
      <c r="AC2437" s="258"/>
      <c r="AD2437" s="7"/>
      <c r="AE2437" s="253"/>
      <c r="AF2437" s="253"/>
      <c r="AG2437" s="259"/>
      <c r="AH2437" s="253"/>
      <c r="AI2437" s="253"/>
      <c r="AJ2437" s="7"/>
      <c r="AK2437" s="253"/>
      <c r="AL2437" s="253"/>
      <c r="AM2437" s="7"/>
      <c r="AN2437" s="253"/>
      <c r="AO2437" s="253"/>
      <c r="AP2437" s="253"/>
      <c r="AQ2437" s="253"/>
      <c r="AR2437" s="253"/>
      <c r="AS2437" s="253"/>
      <c r="AT2437" s="253"/>
      <c r="AU2437" s="253"/>
      <c r="AV2437" s="253"/>
      <c r="AW2437" s="253"/>
      <c r="AX2437" s="253"/>
      <c r="AY2437" s="253"/>
      <c r="AZ2437" s="253"/>
    </row>
    <row r="2438" spans="1:52" ht="15.5" customHeight="1">
      <c r="A2438" s="363"/>
      <c r="B2438" s="343"/>
      <c r="C2438" s="7"/>
      <c r="D2438" s="254"/>
      <c r="E2438" s="254"/>
      <c r="F2438" s="254"/>
      <c r="G2438" s="253"/>
      <c r="H2438" s="253"/>
      <c r="I2438" s="253"/>
      <c r="J2438" s="253"/>
      <c r="K2438" s="253"/>
      <c r="L2438" s="7"/>
      <c r="M2438" s="7"/>
      <c r="N2438" s="253"/>
      <c r="O2438" s="255"/>
      <c r="P2438" s="253"/>
      <c r="Q2438" s="7"/>
      <c r="R2438" s="7"/>
      <c r="S2438" s="7"/>
      <c r="T2438" s="7"/>
      <c r="U2438" s="7"/>
      <c r="V2438" s="253"/>
      <c r="W2438" s="7"/>
      <c r="X2438" s="256"/>
      <c r="Y2438" s="256"/>
      <c r="Z2438" s="256"/>
      <c r="AA2438" s="256"/>
      <c r="AB2438" s="257"/>
      <c r="AC2438" s="258"/>
      <c r="AD2438" s="7"/>
      <c r="AE2438" s="253"/>
      <c r="AF2438" s="253"/>
      <c r="AG2438" s="259"/>
      <c r="AH2438" s="253"/>
      <c r="AI2438" s="253"/>
      <c r="AJ2438" s="7"/>
      <c r="AK2438" s="253"/>
      <c r="AL2438" s="253"/>
      <c r="AM2438" s="7"/>
      <c r="AN2438" s="253"/>
      <c r="AO2438" s="253"/>
      <c r="AP2438" s="253"/>
      <c r="AQ2438" s="253"/>
      <c r="AR2438" s="253"/>
      <c r="AS2438" s="253"/>
      <c r="AT2438" s="253"/>
      <c r="AU2438" s="253"/>
      <c r="AV2438" s="253"/>
      <c r="AW2438" s="253"/>
      <c r="AX2438" s="253"/>
      <c r="AY2438" s="253"/>
      <c r="AZ2438" s="253"/>
    </row>
    <row r="2439" spans="1:52" ht="15.5" customHeight="1">
      <c r="A2439" s="363"/>
      <c r="B2439" s="343"/>
      <c r="C2439" s="7"/>
      <c r="D2439" s="254"/>
      <c r="E2439" s="254"/>
      <c r="F2439" s="254"/>
      <c r="G2439" s="253"/>
      <c r="H2439" s="253"/>
      <c r="I2439" s="253"/>
      <c r="J2439" s="253"/>
      <c r="K2439" s="253"/>
      <c r="L2439" s="7"/>
      <c r="M2439" s="7"/>
      <c r="N2439" s="253"/>
      <c r="O2439" s="255"/>
      <c r="P2439" s="253"/>
      <c r="Q2439" s="7"/>
      <c r="R2439" s="7"/>
      <c r="S2439" s="7"/>
      <c r="T2439" s="7"/>
      <c r="U2439" s="7"/>
      <c r="V2439" s="253"/>
      <c r="W2439" s="7"/>
      <c r="X2439" s="256"/>
      <c r="Y2439" s="256"/>
      <c r="Z2439" s="256"/>
      <c r="AA2439" s="256"/>
      <c r="AB2439" s="257"/>
      <c r="AC2439" s="258"/>
      <c r="AD2439" s="7"/>
      <c r="AE2439" s="253"/>
      <c r="AF2439" s="253"/>
      <c r="AG2439" s="259"/>
      <c r="AH2439" s="253"/>
      <c r="AI2439" s="253"/>
      <c r="AJ2439" s="7"/>
      <c r="AK2439" s="253"/>
      <c r="AL2439" s="253"/>
      <c r="AM2439" s="7"/>
      <c r="AN2439" s="253"/>
      <c r="AO2439" s="253"/>
      <c r="AP2439" s="253"/>
      <c r="AQ2439" s="253"/>
      <c r="AR2439" s="253"/>
      <c r="AS2439" s="253"/>
      <c r="AT2439" s="253"/>
      <c r="AU2439" s="253"/>
      <c r="AV2439" s="253"/>
      <c r="AW2439" s="253"/>
      <c r="AX2439" s="253"/>
      <c r="AY2439" s="253"/>
      <c r="AZ2439" s="253"/>
    </row>
    <row r="2440" spans="1:52" ht="15.5" customHeight="1">
      <c r="A2440" s="363"/>
      <c r="B2440" s="343"/>
      <c r="C2440" s="7"/>
      <c r="D2440" s="254"/>
      <c r="E2440" s="254"/>
      <c r="F2440" s="254"/>
      <c r="G2440" s="253"/>
      <c r="H2440" s="253"/>
      <c r="I2440" s="253"/>
      <c r="J2440" s="253"/>
      <c r="K2440" s="253"/>
      <c r="L2440" s="7"/>
      <c r="M2440" s="7"/>
      <c r="N2440" s="253"/>
      <c r="O2440" s="255"/>
      <c r="P2440" s="253"/>
      <c r="Q2440" s="7"/>
      <c r="R2440" s="7"/>
      <c r="S2440" s="7"/>
      <c r="T2440" s="7"/>
      <c r="U2440" s="7"/>
      <c r="V2440" s="253"/>
      <c r="W2440" s="7"/>
      <c r="X2440" s="256"/>
      <c r="Y2440" s="256"/>
      <c r="Z2440" s="256"/>
      <c r="AA2440" s="256"/>
      <c r="AB2440" s="257"/>
      <c r="AC2440" s="258"/>
      <c r="AD2440" s="7"/>
      <c r="AE2440" s="253"/>
      <c r="AF2440" s="253"/>
      <c r="AG2440" s="259"/>
      <c r="AH2440" s="253"/>
      <c r="AI2440" s="253"/>
      <c r="AJ2440" s="7"/>
      <c r="AK2440" s="253"/>
      <c r="AL2440" s="253"/>
      <c r="AM2440" s="7"/>
      <c r="AN2440" s="253"/>
      <c r="AO2440" s="253"/>
      <c r="AP2440" s="253"/>
      <c r="AQ2440" s="253"/>
      <c r="AR2440" s="253"/>
      <c r="AS2440" s="253"/>
      <c r="AT2440" s="253"/>
      <c r="AU2440" s="253"/>
      <c r="AV2440" s="253"/>
      <c r="AW2440" s="253"/>
      <c r="AX2440" s="253"/>
      <c r="AY2440" s="253"/>
      <c r="AZ2440" s="253"/>
    </row>
    <row r="2441" spans="1:52" ht="15.5" customHeight="1">
      <c r="A2441" s="363"/>
      <c r="B2441" s="343"/>
      <c r="C2441" s="7"/>
      <c r="D2441" s="254"/>
      <c r="E2441" s="254"/>
      <c r="F2441" s="254"/>
      <c r="G2441" s="253"/>
      <c r="H2441" s="253"/>
      <c r="I2441" s="253"/>
      <c r="J2441" s="253"/>
      <c r="K2441" s="253"/>
      <c r="L2441" s="7"/>
      <c r="M2441" s="7"/>
      <c r="N2441" s="253"/>
      <c r="O2441" s="255"/>
      <c r="P2441" s="253"/>
      <c r="Q2441" s="7"/>
      <c r="R2441" s="7"/>
      <c r="S2441" s="7"/>
      <c r="T2441" s="7"/>
      <c r="U2441" s="7"/>
      <c r="V2441" s="253"/>
      <c r="W2441" s="7"/>
      <c r="X2441" s="256"/>
      <c r="Y2441" s="256"/>
      <c r="Z2441" s="256"/>
      <c r="AA2441" s="256"/>
      <c r="AB2441" s="257"/>
      <c r="AC2441" s="258"/>
      <c r="AD2441" s="7"/>
      <c r="AE2441" s="253"/>
      <c r="AF2441" s="253"/>
      <c r="AG2441" s="259"/>
      <c r="AH2441" s="253"/>
      <c r="AI2441" s="253"/>
      <c r="AJ2441" s="7"/>
      <c r="AK2441" s="253"/>
      <c r="AL2441" s="253"/>
      <c r="AM2441" s="7"/>
      <c r="AN2441" s="253"/>
      <c r="AO2441" s="253"/>
      <c r="AP2441" s="253"/>
      <c r="AQ2441" s="253"/>
      <c r="AR2441" s="253"/>
      <c r="AS2441" s="253"/>
      <c r="AT2441" s="253"/>
      <c r="AU2441" s="253"/>
      <c r="AV2441" s="253"/>
      <c r="AW2441" s="253"/>
      <c r="AX2441" s="253"/>
      <c r="AY2441" s="253"/>
      <c r="AZ2441" s="253"/>
    </row>
    <row r="2442" spans="1:52" ht="15.5" customHeight="1">
      <c r="A2442" s="363"/>
      <c r="B2442" s="343"/>
      <c r="C2442" s="7"/>
      <c r="D2442" s="254"/>
      <c r="E2442" s="254"/>
      <c r="F2442" s="254"/>
      <c r="G2442" s="253"/>
      <c r="H2442" s="253"/>
      <c r="I2442" s="253"/>
      <c r="J2442" s="253"/>
      <c r="K2442" s="253"/>
      <c r="L2442" s="7"/>
      <c r="M2442" s="7"/>
      <c r="N2442" s="253"/>
      <c r="O2442" s="255"/>
      <c r="P2442" s="253"/>
      <c r="Q2442" s="7"/>
      <c r="R2442" s="7"/>
      <c r="S2442" s="7"/>
      <c r="T2442" s="7"/>
      <c r="U2442" s="7"/>
      <c r="V2442" s="253"/>
      <c r="W2442" s="7"/>
      <c r="X2442" s="256"/>
      <c r="Y2442" s="256"/>
      <c r="Z2442" s="256"/>
      <c r="AA2442" s="256"/>
      <c r="AB2442" s="257"/>
      <c r="AC2442" s="258"/>
      <c r="AD2442" s="7"/>
      <c r="AE2442" s="253"/>
      <c r="AF2442" s="253"/>
      <c r="AG2442" s="259"/>
      <c r="AH2442" s="253"/>
      <c r="AI2442" s="253"/>
      <c r="AJ2442" s="7"/>
      <c r="AK2442" s="253"/>
      <c r="AL2442" s="253"/>
      <c r="AM2442" s="7"/>
      <c r="AN2442" s="253"/>
      <c r="AO2442" s="253"/>
      <c r="AP2442" s="253"/>
      <c r="AQ2442" s="253"/>
      <c r="AR2442" s="253"/>
      <c r="AS2442" s="253"/>
      <c r="AT2442" s="253"/>
      <c r="AU2442" s="253"/>
      <c r="AV2442" s="253"/>
      <c r="AW2442" s="253"/>
      <c r="AX2442" s="253"/>
      <c r="AY2442" s="253"/>
      <c r="AZ2442" s="253"/>
    </row>
    <row r="2443" spans="1:52" ht="15.5" customHeight="1">
      <c r="A2443" s="363"/>
      <c r="B2443" s="343"/>
      <c r="C2443" s="7"/>
      <c r="D2443" s="254"/>
      <c r="E2443" s="254"/>
      <c r="F2443" s="254"/>
      <c r="G2443" s="253"/>
      <c r="H2443" s="253"/>
      <c r="I2443" s="253"/>
      <c r="J2443" s="253"/>
      <c r="K2443" s="253"/>
      <c r="L2443" s="7"/>
      <c r="M2443" s="7"/>
      <c r="N2443" s="253"/>
      <c r="O2443" s="255"/>
      <c r="P2443" s="253"/>
      <c r="Q2443" s="7"/>
      <c r="R2443" s="7"/>
      <c r="S2443" s="7"/>
      <c r="T2443" s="7"/>
      <c r="U2443" s="7"/>
      <c r="V2443" s="253"/>
      <c r="W2443" s="7"/>
      <c r="X2443" s="256"/>
      <c r="Y2443" s="256"/>
      <c r="Z2443" s="256"/>
      <c r="AA2443" s="256"/>
      <c r="AB2443" s="257"/>
      <c r="AC2443" s="258"/>
      <c r="AD2443" s="7"/>
      <c r="AE2443" s="253"/>
      <c r="AF2443" s="253"/>
      <c r="AG2443" s="259"/>
      <c r="AH2443" s="253"/>
      <c r="AI2443" s="253"/>
      <c r="AJ2443" s="7"/>
      <c r="AK2443" s="253"/>
      <c r="AL2443" s="253"/>
      <c r="AM2443" s="7"/>
      <c r="AN2443" s="253"/>
      <c r="AO2443" s="253"/>
      <c r="AP2443" s="253"/>
      <c r="AQ2443" s="253"/>
      <c r="AR2443" s="253"/>
      <c r="AS2443" s="253"/>
      <c r="AT2443" s="253"/>
      <c r="AU2443" s="253"/>
      <c r="AV2443" s="253"/>
      <c r="AW2443" s="253"/>
      <c r="AX2443" s="253"/>
      <c r="AY2443" s="253"/>
      <c r="AZ2443" s="253"/>
    </row>
    <row r="2444" spans="1:52" ht="15.5" customHeight="1">
      <c r="A2444" s="363"/>
      <c r="B2444" s="343"/>
      <c r="C2444" s="7"/>
      <c r="D2444" s="254"/>
      <c r="E2444" s="254"/>
      <c r="F2444" s="254"/>
      <c r="G2444" s="253"/>
      <c r="H2444" s="253"/>
      <c r="I2444" s="253"/>
      <c r="J2444" s="253"/>
      <c r="K2444" s="253"/>
      <c r="L2444" s="7"/>
      <c r="M2444" s="7"/>
      <c r="N2444" s="253"/>
      <c r="O2444" s="255"/>
      <c r="P2444" s="253"/>
      <c r="Q2444" s="7"/>
      <c r="R2444" s="7"/>
      <c r="S2444" s="7"/>
      <c r="T2444" s="7"/>
      <c r="U2444" s="7"/>
      <c r="V2444" s="253"/>
      <c r="W2444" s="7"/>
      <c r="X2444" s="256"/>
      <c r="Y2444" s="256"/>
      <c r="Z2444" s="256"/>
      <c r="AA2444" s="256"/>
      <c r="AB2444" s="257"/>
      <c r="AC2444" s="258"/>
      <c r="AD2444" s="7"/>
      <c r="AE2444" s="253"/>
      <c r="AF2444" s="253"/>
      <c r="AG2444" s="259"/>
      <c r="AH2444" s="253"/>
      <c r="AI2444" s="253"/>
      <c r="AJ2444" s="7"/>
      <c r="AK2444" s="253"/>
      <c r="AL2444" s="253"/>
      <c r="AM2444" s="7"/>
      <c r="AN2444" s="253"/>
      <c r="AO2444" s="253"/>
      <c r="AP2444" s="253"/>
      <c r="AQ2444" s="253"/>
      <c r="AR2444" s="253"/>
      <c r="AS2444" s="253"/>
      <c r="AT2444" s="253"/>
      <c r="AU2444" s="253"/>
      <c r="AV2444" s="253"/>
      <c r="AW2444" s="253"/>
      <c r="AX2444" s="253"/>
      <c r="AY2444" s="253"/>
      <c r="AZ2444" s="253"/>
    </row>
    <row r="2445" spans="1:52" ht="15.5" customHeight="1">
      <c r="A2445" s="363"/>
      <c r="B2445" s="343"/>
      <c r="C2445" s="7"/>
      <c r="D2445" s="254"/>
      <c r="E2445" s="254"/>
      <c r="F2445" s="254"/>
      <c r="G2445" s="253"/>
      <c r="H2445" s="253"/>
      <c r="I2445" s="253"/>
      <c r="J2445" s="253"/>
      <c r="K2445" s="253"/>
      <c r="L2445" s="7"/>
      <c r="M2445" s="7"/>
      <c r="N2445" s="253"/>
      <c r="O2445" s="255"/>
      <c r="P2445" s="253"/>
      <c r="Q2445" s="7"/>
      <c r="R2445" s="7"/>
      <c r="S2445" s="7"/>
      <c r="T2445" s="7"/>
      <c r="U2445" s="7"/>
      <c r="V2445" s="253"/>
      <c r="W2445" s="7"/>
      <c r="X2445" s="256"/>
      <c r="Y2445" s="256"/>
      <c r="Z2445" s="256"/>
      <c r="AA2445" s="256"/>
      <c r="AB2445" s="257"/>
      <c r="AC2445" s="258"/>
      <c r="AD2445" s="7"/>
      <c r="AE2445" s="253"/>
      <c r="AF2445" s="253"/>
      <c r="AG2445" s="259"/>
      <c r="AH2445" s="253"/>
      <c r="AI2445" s="253"/>
      <c r="AJ2445" s="7"/>
      <c r="AK2445" s="253"/>
      <c r="AL2445" s="253"/>
      <c r="AM2445" s="7"/>
      <c r="AN2445" s="253"/>
      <c r="AO2445" s="253"/>
      <c r="AP2445" s="253"/>
      <c r="AQ2445" s="253"/>
      <c r="AR2445" s="253"/>
      <c r="AS2445" s="253"/>
      <c r="AT2445" s="253"/>
      <c r="AU2445" s="253"/>
      <c r="AV2445" s="253"/>
      <c r="AW2445" s="253"/>
      <c r="AX2445" s="253"/>
      <c r="AY2445" s="253"/>
      <c r="AZ2445" s="253"/>
    </row>
    <row r="2446" spans="1:52" ht="15.5" customHeight="1">
      <c r="A2446" s="363"/>
      <c r="B2446" s="343"/>
      <c r="C2446" s="7"/>
      <c r="D2446" s="254"/>
      <c r="E2446" s="254"/>
      <c r="F2446" s="254"/>
      <c r="G2446" s="253"/>
      <c r="H2446" s="253"/>
      <c r="I2446" s="253"/>
      <c r="J2446" s="253"/>
      <c r="K2446" s="253"/>
      <c r="L2446" s="7"/>
      <c r="M2446" s="7"/>
      <c r="N2446" s="253"/>
      <c r="O2446" s="255"/>
      <c r="P2446" s="253"/>
      <c r="Q2446" s="7"/>
      <c r="R2446" s="7"/>
      <c r="S2446" s="7"/>
      <c r="T2446" s="7"/>
      <c r="U2446" s="7"/>
      <c r="V2446" s="253"/>
      <c r="W2446" s="7"/>
      <c r="X2446" s="256"/>
      <c r="Y2446" s="256"/>
      <c r="Z2446" s="256"/>
      <c r="AA2446" s="256"/>
      <c r="AB2446" s="257"/>
      <c r="AC2446" s="258"/>
      <c r="AD2446" s="7"/>
      <c r="AE2446" s="253"/>
      <c r="AF2446" s="253"/>
      <c r="AG2446" s="259"/>
      <c r="AH2446" s="253"/>
      <c r="AI2446" s="253"/>
      <c r="AJ2446" s="7"/>
      <c r="AK2446" s="253"/>
      <c r="AL2446" s="253"/>
      <c r="AM2446" s="7"/>
      <c r="AN2446" s="253"/>
      <c r="AO2446" s="253"/>
      <c r="AP2446" s="253"/>
      <c r="AQ2446" s="253"/>
      <c r="AR2446" s="253"/>
      <c r="AS2446" s="253"/>
      <c r="AT2446" s="253"/>
      <c r="AU2446" s="253"/>
      <c r="AV2446" s="253"/>
      <c r="AW2446" s="253"/>
      <c r="AX2446" s="253"/>
      <c r="AY2446" s="253"/>
      <c r="AZ2446" s="253"/>
    </row>
    <row r="2447" spans="1:52" ht="15.5" customHeight="1">
      <c r="A2447" s="363"/>
      <c r="B2447" s="343"/>
      <c r="C2447" s="7"/>
      <c r="D2447" s="254"/>
      <c r="E2447" s="254"/>
      <c r="F2447" s="254"/>
      <c r="G2447" s="253"/>
      <c r="H2447" s="253"/>
      <c r="I2447" s="253"/>
      <c r="J2447" s="253"/>
      <c r="K2447" s="253"/>
      <c r="L2447" s="7"/>
      <c r="M2447" s="7"/>
      <c r="N2447" s="253"/>
      <c r="O2447" s="255"/>
      <c r="P2447" s="253"/>
      <c r="Q2447" s="7"/>
      <c r="R2447" s="7"/>
      <c r="S2447" s="7"/>
      <c r="T2447" s="7"/>
      <c r="U2447" s="7"/>
      <c r="V2447" s="253"/>
      <c r="W2447" s="7"/>
      <c r="X2447" s="256"/>
      <c r="Y2447" s="256"/>
      <c r="Z2447" s="256"/>
      <c r="AA2447" s="256"/>
      <c r="AB2447" s="257"/>
      <c r="AC2447" s="258"/>
      <c r="AD2447" s="7"/>
      <c r="AE2447" s="253"/>
      <c r="AF2447" s="253"/>
      <c r="AG2447" s="259"/>
      <c r="AH2447" s="253"/>
      <c r="AI2447" s="253"/>
      <c r="AJ2447" s="7"/>
      <c r="AK2447" s="253"/>
      <c r="AL2447" s="253"/>
      <c r="AM2447" s="7"/>
      <c r="AN2447" s="253"/>
      <c r="AO2447" s="253"/>
      <c r="AP2447" s="253"/>
      <c r="AQ2447" s="253"/>
      <c r="AR2447" s="253"/>
      <c r="AS2447" s="253"/>
      <c r="AT2447" s="253"/>
      <c r="AU2447" s="253"/>
      <c r="AV2447" s="253"/>
      <c r="AW2447" s="253"/>
      <c r="AX2447" s="253"/>
      <c r="AY2447" s="253"/>
      <c r="AZ2447" s="253"/>
    </row>
    <row r="2448" spans="1:52" ht="15.5" customHeight="1">
      <c r="A2448" s="363"/>
      <c r="B2448" s="343"/>
      <c r="C2448" s="7"/>
      <c r="D2448" s="254"/>
      <c r="E2448" s="254"/>
      <c r="F2448" s="254"/>
      <c r="G2448" s="253"/>
      <c r="H2448" s="253"/>
      <c r="I2448" s="253"/>
      <c r="J2448" s="253"/>
      <c r="K2448" s="253"/>
      <c r="L2448" s="7"/>
      <c r="M2448" s="7"/>
      <c r="N2448" s="253"/>
      <c r="O2448" s="255"/>
      <c r="P2448" s="253"/>
      <c r="Q2448" s="7"/>
      <c r="R2448" s="7"/>
      <c r="S2448" s="7"/>
      <c r="T2448" s="7"/>
      <c r="U2448" s="7"/>
      <c r="V2448" s="253"/>
      <c r="W2448" s="7"/>
      <c r="X2448" s="256"/>
      <c r="Y2448" s="256"/>
      <c r="Z2448" s="256"/>
      <c r="AA2448" s="256"/>
      <c r="AB2448" s="257"/>
      <c r="AC2448" s="258"/>
      <c r="AD2448" s="7"/>
      <c r="AE2448" s="253"/>
      <c r="AF2448" s="253"/>
      <c r="AG2448" s="259"/>
      <c r="AH2448" s="253"/>
      <c r="AI2448" s="253"/>
      <c r="AJ2448" s="7"/>
      <c r="AK2448" s="253"/>
      <c r="AL2448" s="253"/>
      <c r="AM2448" s="7"/>
      <c r="AN2448" s="253"/>
      <c r="AO2448" s="253"/>
      <c r="AP2448" s="253"/>
      <c r="AQ2448" s="253"/>
      <c r="AR2448" s="253"/>
      <c r="AS2448" s="253"/>
      <c r="AT2448" s="253"/>
      <c r="AU2448" s="253"/>
      <c r="AV2448" s="253"/>
      <c r="AW2448" s="253"/>
      <c r="AX2448" s="253"/>
      <c r="AY2448" s="253"/>
      <c r="AZ2448" s="253"/>
    </row>
    <row r="2449" spans="1:52" ht="15.5" customHeight="1">
      <c r="A2449" s="363"/>
      <c r="B2449" s="343"/>
      <c r="C2449" s="7"/>
      <c r="D2449" s="254"/>
      <c r="E2449" s="254"/>
      <c r="F2449" s="254"/>
      <c r="G2449" s="253"/>
      <c r="H2449" s="253"/>
      <c r="I2449" s="253"/>
      <c r="J2449" s="253"/>
      <c r="K2449" s="253"/>
      <c r="L2449" s="7"/>
      <c r="M2449" s="7"/>
      <c r="N2449" s="253"/>
      <c r="O2449" s="255"/>
      <c r="P2449" s="253"/>
      <c r="Q2449" s="7"/>
      <c r="R2449" s="7"/>
      <c r="S2449" s="7"/>
      <c r="T2449" s="7"/>
      <c r="U2449" s="7"/>
      <c r="V2449" s="253"/>
      <c r="W2449" s="7"/>
      <c r="X2449" s="256"/>
      <c r="Y2449" s="256"/>
      <c r="Z2449" s="256"/>
      <c r="AA2449" s="256"/>
      <c r="AB2449" s="257"/>
      <c r="AC2449" s="258"/>
      <c r="AD2449" s="7"/>
      <c r="AE2449" s="253"/>
      <c r="AF2449" s="253"/>
      <c r="AG2449" s="259"/>
      <c r="AH2449" s="253"/>
      <c r="AI2449" s="253"/>
      <c r="AJ2449" s="7"/>
      <c r="AK2449" s="253"/>
      <c r="AL2449" s="253"/>
      <c r="AM2449" s="7"/>
      <c r="AN2449" s="253"/>
      <c r="AO2449" s="253"/>
      <c r="AP2449" s="253"/>
      <c r="AQ2449" s="253"/>
      <c r="AR2449" s="253"/>
      <c r="AS2449" s="253"/>
      <c r="AT2449" s="253"/>
      <c r="AU2449" s="253"/>
      <c r="AV2449" s="253"/>
      <c r="AW2449" s="253"/>
      <c r="AX2449" s="253"/>
      <c r="AY2449" s="253"/>
      <c r="AZ2449" s="253"/>
    </row>
    <row r="2450" spans="1:52" ht="15.5" customHeight="1">
      <c r="A2450" s="363"/>
      <c r="B2450" s="343"/>
      <c r="C2450" s="7"/>
      <c r="D2450" s="254"/>
      <c r="E2450" s="254"/>
      <c r="F2450" s="254"/>
      <c r="G2450" s="253"/>
      <c r="H2450" s="253"/>
      <c r="I2450" s="253"/>
      <c r="J2450" s="253"/>
      <c r="K2450" s="253"/>
      <c r="L2450" s="7"/>
      <c r="M2450" s="7"/>
      <c r="N2450" s="253"/>
      <c r="O2450" s="255"/>
      <c r="P2450" s="253"/>
      <c r="Q2450" s="7"/>
      <c r="R2450" s="7"/>
      <c r="S2450" s="7"/>
      <c r="T2450" s="7"/>
      <c r="U2450" s="7"/>
      <c r="V2450" s="253"/>
      <c r="W2450" s="7"/>
      <c r="X2450" s="256"/>
      <c r="Y2450" s="256"/>
      <c r="Z2450" s="256"/>
      <c r="AA2450" s="256"/>
      <c r="AB2450" s="257"/>
      <c r="AC2450" s="258"/>
      <c r="AD2450" s="7"/>
      <c r="AE2450" s="253"/>
      <c r="AF2450" s="253"/>
      <c r="AG2450" s="259"/>
      <c r="AH2450" s="253"/>
      <c r="AI2450" s="253"/>
      <c r="AJ2450" s="7"/>
      <c r="AK2450" s="253"/>
      <c r="AL2450" s="253"/>
      <c r="AM2450" s="7"/>
      <c r="AN2450" s="253"/>
      <c r="AO2450" s="253"/>
      <c r="AP2450" s="253"/>
      <c r="AQ2450" s="253"/>
      <c r="AR2450" s="253"/>
      <c r="AS2450" s="253"/>
      <c r="AT2450" s="253"/>
      <c r="AU2450" s="253"/>
      <c r="AV2450" s="253"/>
      <c r="AW2450" s="253"/>
      <c r="AX2450" s="253"/>
      <c r="AY2450" s="253"/>
      <c r="AZ2450" s="253"/>
    </row>
    <row r="2451" spans="1:52" ht="15.5" customHeight="1">
      <c r="A2451" s="363"/>
      <c r="B2451" s="343"/>
      <c r="C2451" s="7"/>
      <c r="D2451" s="254"/>
      <c r="E2451" s="254"/>
      <c r="F2451" s="254"/>
      <c r="G2451" s="253"/>
      <c r="H2451" s="253"/>
      <c r="I2451" s="253"/>
      <c r="J2451" s="253"/>
      <c r="K2451" s="253"/>
      <c r="L2451" s="7"/>
      <c r="M2451" s="7"/>
      <c r="N2451" s="253"/>
      <c r="O2451" s="255"/>
      <c r="P2451" s="253"/>
      <c r="Q2451" s="7"/>
      <c r="R2451" s="7"/>
      <c r="S2451" s="7"/>
      <c r="T2451" s="7"/>
      <c r="U2451" s="7"/>
      <c r="V2451" s="253"/>
      <c r="W2451" s="7"/>
      <c r="X2451" s="256"/>
      <c r="Y2451" s="256"/>
      <c r="Z2451" s="256"/>
      <c r="AA2451" s="256"/>
      <c r="AB2451" s="257"/>
      <c r="AC2451" s="258"/>
      <c r="AD2451" s="7"/>
      <c r="AE2451" s="253"/>
      <c r="AF2451" s="253"/>
      <c r="AG2451" s="259"/>
      <c r="AH2451" s="253"/>
      <c r="AI2451" s="253"/>
      <c r="AJ2451" s="7"/>
      <c r="AK2451" s="253"/>
      <c r="AL2451" s="253"/>
      <c r="AM2451" s="7"/>
      <c r="AN2451" s="253"/>
      <c r="AO2451" s="253"/>
      <c r="AP2451" s="253"/>
      <c r="AQ2451" s="253"/>
      <c r="AR2451" s="253"/>
      <c r="AS2451" s="253"/>
      <c r="AT2451" s="253"/>
      <c r="AU2451" s="253"/>
      <c r="AV2451" s="253"/>
      <c r="AW2451" s="253"/>
      <c r="AX2451" s="253"/>
      <c r="AY2451" s="253"/>
      <c r="AZ2451" s="253"/>
    </row>
    <row r="2452" spans="1:52" ht="15.5" customHeight="1">
      <c r="A2452" s="363"/>
      <c r="B2452" s="343"/>
      <c r="C2452" s="7"/>
      <c r="D2452" s="254"/>
      <c r="E2452" s="254"/>
      <c r="F2452" s="254"/>
      <c r="G2452" s="253"/>
      <c r="H2452" s="253"/>
      <c r="I2452" s="253"/>
      <c r="J2452" s="253"/>
      <c r="K2452" s="253"/>
      <c r="L2452" s="7"/>
      <c r="M2452" s="7"/>
      <c r="N2452" s="253"/>
      <c r="O2452" s="255"/>
      <c r="P2452" s="253"/>
      <c r="Q2452" s="7"/>
      <c r="R2452" s="7"/>
      <c r="S2452" s="7"/>
      <c r="T2452" s="7"/>
      <c r="U2452" s="7"/>
      <c r="V2452" s="253"/>
      <c r="W2452" s="7"/>
      <c r="X2452" s="256"/>
      <c r="Y2452" s="256"/>
      <c r="Z2452" s="256"/>
      <c r="AA2452" s="256"/>
      <c r="AB2452" s="257"/>
      <c r="AC2452" s="258"/>
      <c r="AD2452" s="7"/>
      <c r="AE2452" s="253"/>
      <c r="AF2452" s="253"/>
      <c r="AG2452" s="259"/>
      <c r="AH2452" s="253"/>
      <c r="AI2452" s="253"/>
      <c r="AJ2452" s="7"/>
      <c r="AK2452" s="253"/>
      <c r="AL2452" s="253"/>
      <c r="AM2452" s="7"/>
      <c r="AN2452" s="253"/>
      <c r="AO2452" s="253"/>
      <c r="AP2452" s="253"/>
      <c r="AQ2452" s="253"/>
      <c r="AR2452" s="253"/>
      <c r="AS2452" s="253"/>
      <c r="AT2452" s="253"/>
      <c r="AU2452" s="253"/>
      <c r="AV2452" s="253"/>
      <c r="AW2452" s="253"/>
      <c r="AX2452" s="253"/>
      <c r="AY2452" s="253"/>
      <c r="AZ2452" s="253"/>
    </row>
    <row r="2453" spans="1:52" ht="15.5" customHeight="1">
      <c r="A2453" s="363"/>
      <c r="B2453" s="343"/>
      <c r="C2453" s="7"/>
      <c r="D2453" s="254"/>
      <c r="E2453" s="254"/>
      <c r="F2453" s="254"/>
      <c r="G2453" s="253"/>
      <c r="H2453" s="253"/>
      <c r="I2453" s="253"/>
      <c r="J2453" s="253"/>
      <c r="K2453" s="253"/>
      <c r="L2453" s="7"/>
      <c r="M2453" s="7"/>
      <c r="N2453" s="253"/>
      <c r="O2453" s="255"/>
      <c r="P2453" s="253"/>
      <c r="Q2453" s="7"/>
      <c r="R2453" s="7"/>
      <c r="S2453" s="7"/>
      <c r="T2453" s="7"/>
      <c r="U2453" s="7"/>
      <c r="V2453" s="253"/>
      <c r="W2453" s="7"/>
      <c r="X2453" s="256"/>
      <c r="Y2453" s="256"/>
      <c r="Z2453" s="256"/>
      <c r="AA2453" s="256"/>
      <c r="AB2453" s="257"/>
      <c r="AC2453" s="258"/>
      <c r="AD2453" s="7"/>
      <c r="AE2453" s="253"/>
      <c r="AF2453" s="253"/>
      <c r="AG2453" s="259"/>
      <c r="AH2453" s="253"/>
      <c r="AI2453" s="253"/>
      <c r="AJ2453" s="7"/>
      <c r="AK2453" s="253"/>
      <c r="AL2453" s="253"/>
      <c r="AM2453" s="7"/>
      <c r="AN2453" s="253"/>
      <c r="AO2453" s="253"/>
      <c r="AP2453" s="253"/>
      <c r="AQ2453" s="253"/>
      <c r="AR2453" s="253"/>
      <c r="AS2453" s="253"/>
      <c r="AT2453" s="253"/>
      <c r="AU2453" s="253"/>
      <c r="AV2453" s="253"/>
      <c r="AW2453" s="253"/>
      <c r="AX2453" s="253"/>
      <c r="AY2453" s="253"/>
      <c r="AZ2453" s="253"/>
    </row>
    <row r="2454" spans="1:52" ht="15.5" customHeight="1">
      <c r="A2454" s="363"/>
      <c r="B2454" s="343"/>
      <c r="C2454" s="7"/>
      <c r="D2454" s="254"/>
      <c r="E2454" s="254"/>
      <c r="F2454" s="254"/>
      <c r="G2454" s="253"/>
      <c r="H2454" s="253"/>
      <c r="I2454" s="253"/>
      <c r="J2454" s="253"/>
      <c r="K2454" s="253"/>
      <c r="L2454" s="7"/>
      <c r="M2454" s="7"/>
      <c r="N2454" s="253"/>
      <c r="O2454" s="255"/>
      <c r="P2454" s="253"/>
      <c r="Q2454" s="7"/>
      <c r="R2454" s="7"/>
      <c r="S2454" s="7"/>
      <c r="T2454" s="7"/>
      <c r="U2454" s="7"/>
      <c r="V2454" s="253"/>
      <c r="W2454" s="7"/>
      <c r="X2454" s="256"/>
      <c r="Y2454" s="256"/>
      <c r="Z2454" s="256"/>
      <c r="AA2454" s="256"/>
      <c r="AB2454" s="257"/>
      <c r="AC2454" s="258"/>
      <c r="AD2454" s="7"/>
      <c r="AE2454" s="253"/>
      <c r="AF2454" s="253"/>
      <c r="AG2454" s="259"/>
      <c r="AH2454" s="253"/>
      <c r="AI2454" s="253"/>
      <c r="AJ2454" s="7"/>
      <c r="AK2454" s="253"/>
      <c r="AL2454" s="253"/>
      <c r="AM2454" s="7"/>
      <c r="AN2454" s="253"/>
      <c r="AO2454" s="253"/>
      <c r="AP2454" s="253"/>
      <c r="AQ2454" s="253"/>
      <c r="AR2454" s="253"/>
      <c r="AS2454" s="253"/>
      <c r="AT2454" s="253"/>
      <c r="AU2454" s="253"/>
      <c r="AV2454" s="253"/>
      <c r="AW2454" s="253"/>
      <c r="AX2454" s="253"/>
      <c r="AY2454" s="253"/>
      <c r="AZ2454" s="253"/>
    </row>
    <row r="2455" spans="1:52" ht="15.5" customHeight="1">
      <c r="A2455" s="363"/>
      <c r="B2455" s="343"/>
      <c r="C2455" s="7"/>
      <c r="D2455" s="254"/>
      <c r="E2455" s="254"/>
      <c r="F2455" s="254"/>
      <c r="G2455" s="253"/>
      <c r="H2455" s="253"/>
      <c r="I2455" s="253"/>
      <c r="J2455" s="253"/>
      <c r="K2455" s="253"/>
      <c r="L2455" s="7"/>
      <c r="M2455" s="7"/>
      <c r="N2455" s="253"/>
      <c r="O2455" s="255"/>
      <c r="P2455" s="253"/>
      <c r="Q2455" s="7"/>
      <c r="R2455" s="7"/>
      <c r="S2455" s="7"/>
      <c r="T2455" s="7"/>
      <c r="U2455" s="7"/>
      <c r="V2455" s="253"/>
      <c r="W2455" s="7"/>
      <c r="X2455" s="256"/>
      <c r="Y2455" s="256"/>
      <c r="Z2455" s="256"/>
      <c r="AA2455" s="256"/>
      <c r="AB2455" s="257"/>
      <c r="AC2455" s="258"/>
      <c r="AD2455" s="7"/>
      <c r="AE2455" s="253"/>
      <c r="AF2455" s="253"/>
      <c r="AG2455" s="259"/>
      <c r="AH2455" s="253"/>
      <c r="AI2455" s="253"/>
      <c r="AJ2455" s="7"/>
      <c r="AK2455" s="253"/>
      <c r="AL2455" s="253"/>
      <c r="AM2455" s="7"/>
      <c r="AN2455" s="253"/>
      <c r="AO2455" s="253"/>
      <c r="AP2455" s="253"/>
      <c r="AQ2455" s="253"/>
      <c r="AR2455" s="253"/>
      <c r="AS2455" s="253"/>
      <c r="AT2455" s="253"/>
      <c r="AU2455" s="253"/>
      <c r="AV2455" s="253"/>
      <c r="AW2455" s="253"/>
      <c r="AX2455" s="253"/>
      <c r="AY2455" s="253"/>
      <c r="AZ2455" s="253"/>
    </row>
    <row r="2456" spans="1:52" ht="15.5" customHeight="1">
      <c r="A2456" s="363"/>
      <c r="B2456" s="343"/>
      <c r="C2456" s="7"/>
      <c r="D2456" s="254"/>
      <c r="E2456" s="254"/>
      <c r="F2456" s="254"/>
      <c r="G2456" s="253"/>
      <c r="H2456" s="253"/>
      <c r="I2456" s="253"/>
      <c r="J2456" s="253"/>
      <c r="K2456" s="253"/>
      <c r="L2456" s="7"/>
      <c r="M2456" s="7"/>
      <c r="N2456" s="253"/>
      <c r="O2456" s="255"/>
      <c r="P2456" s="253"/>
      <c r="Q2456" s="7"/>
      <c r="R2456" s="7"/>
      <c r="S2456" s="7"/>
      <c r="T2456" s="7"/>
      <c r="U2456" s="7"/>
      <c r="V2456" s="253"/>
      <c r="W2456" s="7"/>
      <c r="X2456" s="256"/>
      <c r="Y2456" s="256"/>
      <c r="Z2456" s="256"/>
      <c r="AA2456" s="256"/>
      <c r="AB2456" s="257"/>
      <c r="AC2456" s="258"/>
      <c r="AD2456" s="7"/>
      <c r="AE2456" s="253"/>
      <c r="AF2456" s="253"/>
      <c r="AG2456" s="259"/>
      <c r="AH2456" s="253"/>
      <c r="AI2456" s="253"/>
      <c r="AJ2456" s="7"/>
      <c r="AK2456" s="253"/>
      <c r="AL2456" s="253"/>
      <c r="AM2456" s="7"/>
      <c r="AN2456" s="253"/>
      <c r="AO2456" s="253"/>
      <c r="AP2456" s="253"/>
      <c r="AQ2456" s="253"/>
      <c r="AR2456" s="253"/>
      <c r="AS2456" s="253"/>
      <c r="AT2456" s="253"/>
      <c r="AU2456" s="253"/>
      <c r="AV2456" s="253"/>
      <c r="AW2456" s="253"/>
      <c r="AX2456" s="253"/>
      <c r="AY2456" s="253"/>
      <c r="AZ2456" s="253"/>
    </row>
    <row r="2457" spans="1:52" ht="15.5" customHeight="1">
      <c r="A2457" s="363"/>
      <c r="B2457" s="343"/>
      <c r="C2457" s="7"/>
      <c r="D2457" s="254"/>
      <c r="E2457" s="254"/>
      <c r="F2457" s="254"/>
      <c r="G2457" s="253"/>
      <c r="H2457" s="253"/>
      <c r="I2457" s="253"/>
      <c r="J2457" s="253"/>
      <c r="K2457" s="253"/>
      <c r="L2457" s="7"/>
      <c r="M2457" s="7"/>
      <c r="N2457" s="253"/>
      <c r="O2457" s="255"/>
      <c r="P2457" s="253"/>
      <c r="Q2457" s="7"/>
      <c r="R2457" s="7"/>
      <c r="S2457" s="7"/>
      <c r="T2457" s="7"/>
      <c r="U2457" s="7"/>
      <c r="V2457" s="253"/>
      <c r="W2457" s="7"/>
      <c r="X2457" s="256"/>
      <c r="Y2457" s="256"/>
      <c r="Z2457" s="256"/>
      <c r="AA2457" s="256"/>
      <c r="AB2457" s="257"/>
      <c r="AC2457" s="258"/>
      <c r="AD2457" s="7"/>
      <c r="AE2457" s="253"/>
      <c r="AF2457" s="253"/>
      <c r="AG2457" s="259"/>
      <c r="AH2457" s="253"/>
      <c r="AI2457" s="253"/>
      <c r="AJ2457" s="7"/>
      <c r="AK2457" s="253"/>
      <c r="AL2457" s="253"/>
      <c r="AM2457" s="7"/>
      <c r="AN2457" s="253"/>
      <c r="AO2457" s="253"/>
      <c r="AP2457" s="253"/>
      <c r="AQ2457" s="253"/>
      <c r="AR2457" s="253"/>
      <c r="AS2457" s="253"/>
      <c r="AT2457" s="253"/>
      <c r="AU2457" s="253"/>
      <c r="AV2457" s="253"/>
      <c r="AW2457" s="253"/>
      <c r="AX2457" s="253"/>
      <c r="AY2457" s="253"/>
      <c r="AZ2457" s="253"/>
    </row>
    <row r="2458" spans="1:52" ht="15.5" customHeight="1">
      <c r="A2458" s="363"/>
      <c r="B2458" s="343"/>
      <c r="C2458" s="7"/>
      <c r="D2458" s="254"/>
      <c r="E2458" s="254"/>
      <c r="F2458" s="254"/>
      <c r="G2458" s="253"/>
      <c r="H2458" s="253"/>
      <c r="I2458" s="253"/>
      <c r="J2458" s="253"/>
      <c r="K2458" s="253"/>
      <c r="L2458" s="7"/>
      <c r="M2458" s="7"/>
      <c r="N2458" s="253"/>
      <c r="O2458" s="255"/>
      <c r="P2458" s="253"/>
      <c r="Q2458" s="7"/>
      <c r="R2458" s="7"/>
      <c r="S2458" s="7"/>
      <c r="T2458" s="7"/>
      <c r="U2458" s="7"/>
      <c r="V2458" s="253"/>
      <c r="W2458" s="7"/>
      <c r="X2458" s="256"/>
      <c r="Y2458" s="256"/>
      <c r="Z2458" s="256"/>
      <c r="AA2458" s="256"/>
      <c r="AB2458" s="257"/>
      <c r="AC2458" s="258"/>
      <c r="AD2458" s="7"/>
      <c r="AE2458" s="253"/>
      <c r="AF2458" s="253"/>
      <c r="AG2458" s="259"/>
      <c r="AH2458" s="253"/>
      <c r="AI2458" s="253"/>
      <c r="AJ2458" s="7"/>
      <c r="AK2458" s="253"/>
      <c r="AL2458" s="253"/>
      <c r="AM2458" s="7"/>
      <c r="AN2458" s="253"/>
      <c r="AO2458" s="253"/>
      <c r="AP2458" s="253"/>
      <c r="AQ2458" s="253"/>
      <c r="AR2458" s="253"/>
      <c r="AS2458" s="253"/>
      <c r="AT2458" s="253"/>
      <c r="AU2458" s="253"/>
      <c r="AV2458" s="253"/>
      <c r="AW2458" s="253"/>
      <c r="AX2458" s="253"/>
      <c r="AY2458" s="253"/>
      <c r="AZ2458" s="253"/>
    </row>
    <row r="2459" spans="1:52" ht="15.5" customHeight="1">
      <c r="A2459" s="363"/>
      <c r="B2459" s="343"/>
      <c r="C2459" s="7"/>
      <c r="D2459" s="254"/>
      <c r="E2459" s="254"/>
      <c r="F2459" s="254"/>
      <c r="G2459" s="253"/>
      <c r="H2459" s="253"/>
      <c r="I2459" s="253"/>
      <c r="J2459" s="253"/>
      <c r="K2459" s="253"/>
      <c r="L2459" s="7"/>
      <c r="M2459" s="7"/>
      <c r="N2459" s="253"/>
      <c r="O2459" s="255"/>
      <c r="P2459" s="253"/>
      <c r="Q2459" s="7"/>
      <c r="R2459" s="7"/>
      <c r="S2459" s="7"/>
      <c r="T2459" s="7"/>
      <c r="U2459" s="7"/>
      <c r="V2459" s="253"/>
      <c r="W2459" s="7"/>
      <c r="X2459" s="256"/>
      <c r="Y2459" s="256"/>
      <c r="Z2459" s="256"/>
      <c r="AA2459" s="256"/>
      <c r="AB2459" s="257"/>
      <c r="AC2459" s="258"/>
      <c r="AD2459" s="7"/>
      <c r="AE2459" s="253"/>
      <c r="AF2459" s="253"/>
      <c r="AG2459" s="259"/>
      <c r="AH2459" s="253"/>
      <c r="AI2459" s="253"/>
      <c r="AJ2459" s="7"/>
      <c r="AK2459" s="253"/>
      <c r="AL2459" s="253"/>
      <c r="AM2459" s="7"/>
      <c r="AN2459" s="253"/>
      <c r="AO2459" s="253"/>
      <c r="AP2459" s="253"/>
      <c r="AQ2459" s="253"/>
      <c r="AR2459" s="253"/>
      <c r="AS2459" s="253"/>
      <c r="AT2459" s="253"/>
      <c r="AU2459" s="253"/>
      <c r="AV2459" s="253"/>
      <c r="AW2459" s="253"/>
      <c r="AX2459" s="253"/>
      <c r="AY2459" s="253"/>
      <c r="AZ2459" s="253"/>
    </row>
    <row r="2460" spans="1:52" ht="15.5" customHeight="1">
      <c r="A2460" s="363"/>
      <c r="B2460" s="343"/>
      <c r="C2460" s="7"/>
      <c r="D2460" s="254"/>
      <c r="E2460" s="254"/>
      <c r="F2460" s="254"/>
      <c r="G2460" s="253"/>
      <c r="H2460" s="253"/>
      <c r="I2460" s="253"/>
      <c r="J2460" s="253"/>
      <c r="K2460" s="253"/>
      <c r="L2460" s="7"/>
      <c r="M2460" s="7"/>
      <c r="N2460" s="253"/>
      <c r="O2460" s="255"/>
      <c r="P2460" s="253"/>
      <c r="Q2460" s="7"/>
      <c r="R2460" s="7"/>
      <c r="S2460" s="7"/>
      <c r="T2460" s="7"/>
      <c r="U2460" s="7"/>
      <c r="V2460" s="253"/>
      <c r="W2460" s="7"/>
      <c r="X2460" s="256"/>
      <c r="Y2460" s="256"/>
      <c r="Z2460" s="256"/>
      <c r="AA2460" s="256"/>
      <c r="AB2460" s="257"/>
      <c r="AC2460" s="258"/>
      <c r="AD2460" s="7"/>
      <c r="AE2460" s="253"/>
      <c r="AF2460" s="253"/>
      <c r="AG2460" s="259"/>
      <c r="AH2460" s="253"/>
      <c r="AI2460" s="253"/>
      <c r="AJ2460" s="7"/>
      <c r="AK2460" s="253"/>
      <c r="AL2460" s="253"/>
      <c r="AM2460" s="7"/>
      <c r="AN2460" s="253"/>
      <c r="AO2460" s="253"/>
      <c r="AP2460" s="253"/>
      <c r="AQ2460" s="253"/>
      <c r="AR2460" s="253"/>
      <c r="AS2460" s="253"/>
      <c r="AT2460" s="253"/>
      <c r="AU2460" s="253"/>
      <c r="AV2460" s="253"/>
      <c r="AW2460" s="253"/>
      <c r="AX2460" s="253"/>
      <c r="AY2460" s="253"/>
      <c r="AZ2460" s="253"/>
    </row>
    <row r="2461" spans="1:52" ht="15.5" customHeight="1">
      <c r="A2461" s="363"/>
      <c r="B2461" s="343"/>
      <c r="C2461" s="7"/>
      <c r="D2461" s="254"/>
      <c r="E2461" s="254"/>
      <c r="F2461" s="254"/>
      <c r="G2461" s="253"/>
      <c r="H2461" s="253"/>
      <c r="I2461" s="253"/>
      <c r="J2461" s="253"/>
      <c r="K2461" s="253"/>
      <c r="L2461" s="7"/>
      <c r="M2461" s="7"/>
      <c r="N2461" s="253"/>
      <c r="O2461" s="255"/>
      <c r="P2461" s="253"/>
      <c r="Q2461" s="7"/>
      <c r="R2461" s="7"/>
      <c r="S2461" s="7"/>
      <c r="T2461" s="7"/>
      <c r="U2461" s="7"/>
      <c r="V2461" s="253"/>
      <c r="W2461" s="7"/>
      <c r="X2461" s="256"/>
      <c r="Y2461" s="256"/>
      <c r="Z2461" s="256"/>
      <c r="AA2461" s="256"/>
      <c r="AB2461" s="257"/>
      <c r="AC2461" s="258"/>
      <c r="AD2461" s="7"/>
      <c r="AE2461" s="253"/>
      <c r="AF2461" s="253"/>
      <c r="AG2461" s="259"/>
      <c r="AH2461" s="253"/>
      <c r="AI2461" s="253"/>
      <c r="AJ2461" s="7"/>
      <c r="AK2461" s="253"/>
      <c r="AL2461" s="253"/>
      <c r="AM2461" s="7"/>
      <c r="AN2461" s="253"/>
      <c r="AO2461" s="253"/>
      <c r="AP2461" s="253"/>
      <c r="AQ2461" s="253"/>
      <c r="AR2461" s="253"/>
      <c r="AS2461" s="253"/>
      <c r="AT2461" s="253"/>
      <c r="AU2461" s="253"/>
      <c r="AV2461" s="253"/>
      <c r="AW2461" s="253"/>
      <c r="AX2461" s="253"/>
      <c r="AY2461" s="253"/>
      <c r="AZ2461" s="253"/>
    </row>
    <row r="2462" spans="1:52" ht="15.5" customHeight="1">
      <c r="A2462" s="363"/>
      <c r="B2462" s="343"/>
      <c r="C2462" s="7"/>
      <c r="D2462" s="254"/>
      <c r="E2462" s="254"/>
      <c r="F2462" s="254"/>
      <c r="G2462" s="253"/>
      <c r="H2462" s="253"/>
      <c r="I2462" s="253"/>
      <c r="J2462" s="253"/>
      <c r="K2462" s="253"/>
      <c r="L2462" s="7"/>
      <c r="M2462" s="7"/>
      <c r="N2462" s="253"/>
      <c r="O2462" s="255"/>
      <c r="P2462" s="253"/>
      <c r="Q2462" s="7"/>
      <c r="R2462" s="7"/>
      <c r="S2462" s="7"/>
      <c r="T2462" s="7"/>
      <c r="U2462" s="7"/>
      <c r="V2462" s="253"/>
      <c r="W2462" s="7"/>
      <c r="X2462" s="256"/>
      <c r="Y2462" s="256"/>
      <c r="Z2462" s="256"/>
      <c r="AA2462" s="256"/>
      <c r="AB2462" s="257"/>
      <c r="AC2462" s="258"/>
      <c r="AD2462" s="7"/>
      <c r="AE2462" s="253"/>
      <c r="AF2462" s="253"/>
      <c r="AG2462" s="259"/>
      <c r="AH2462" s="253"/>
      <c r="AI2462" s="253"/>
      <c r="AJ2462" s="7"/>
      <c r="AK2462" s="253"/>
      <c r="AL2462" s="253"/>
      <c r="AM2462" s="7"/>
      <c r="AN2462" s="253"/>
      <c r="AO2462" s="253"/>
      <c r="AP2462" s="253"/>
      <c r="AQ2462" s="253"/>
      <c r="AR2462" s="253"/>
      <c r="AS2462" s="253"/>
      <c r="AT2462" s="253"/>
      <c r="AU2462" s="253"/>
      <c r="AV2462" s="253"/>
      <c r="AW2462" s="253"/>
      <c r="AX2462" s="253"/>
      <c r="AY2462" s="253"/>
      <c r="AZ2462" s="253"/>
    </row>
    <row r="2463" spans="1:52" ht="15.5" customHeight="1">
      <c r="A2463" s="363"/>
      <c r="B2463" s="343"/>
      <c r="C2463" s="7"/>
      <c r="D2463" s="254"/>
      <c r="E2463" s="254"/>
      <c r="F2463" s="254"/>
      <c r="G2463" s="253"/>
      <c r="H2463" s="253"/>
      <c r="I2463" s="253"/>
      <c r="J2463" s="253"/>
      <c r="K2463" s="253"/>
      <c r="L2463" s="7"/>
      <c r="M2463" s="7"/>
      <c r="N2463" s="253"/>
      <c r="O2463" s="255"/>
      <c r="P2463" s="253"/>
      <c r="Q2463" s="7"/>
      <c r="R2463" s="7"/>
      <c r="S2463" s="7"/>
      <c r="T2463" s="7"/>
      <c r="U2463" s="7"/>
      <c r="V2463" s="253"/>
      <c r="W2463" s="7"/>
      <c r="X2463" s="256"/>
      <c r="Y2463" s="256"/>
      <c r="Z2463" s="256"/>
      <c r="AA2463" s="256"/>
      <c r="AB2463" s="257"/>
      <c r="AC2463" s="258"/>
      <c r="AD2463" s="7"/>
      <c r="AE2463" s="253"/>
      <c r="AF2463" s="253"/>
      <c r="AG2463" s="259"/>
      <c r="AH2463" s="253"/>
      <c r="AI2463" s="253"/>
      <c r="AJ2463" s="7"/>
      <c r="AK2463" s="253"/>
      <c r="AL2463" s="253"/>
      <c r="AM2463" s="7"/>
      <c r="AN2463" s="253"/>
      <c r="AO2463" s="253"/>
      <c r="AP2463" s="253"/>
      <c r="AQ2463" s="253"/>
      <c r="AR2463" s="253"/>
      <c r="AS2463" s="253"/>
      <c r="AT2463" s="253"/>
      <c r="AU2463" s="253"/>
      <c r="AV2463" s="253"/>
      <c r="AW2463" s="253"/>
      <c r="AX2463" s="253"/>
      <c r="AY2463" s="253"/>
      <c r="AZ2463" s="253"/>
    </row>
    <row r="2464" spans="1:52" ht="15.5" customHeight="1">
      <c r="A2464" s="363"/>
      <c r="B2464" s="343"/>
      <c r="C2464" s="7"/>
      <c r="D2464" s="254"/>
      <c r="E2464" s="254"/>
      <c r="F2464" s="254"/>
      <c r="G2464" s="253"/>
      <c r="H2464" s="253"/>
      <c r="I2464" s="253"/>
      <c r="J2464" s="253"/>
      <c r="K2464" s="253"/>
      <c r="L2464" s="7"/>
      <c r="M2464" s="7"/>
      <c r="N2464" s="253"/>
      <c r="O2464" s="255"/>
      <c r="P2464" s="253"/>
      <c r="Q2464" s="7"/>
      <c r="R2464" s="7"/>
      <c r="S2464" s="7"/>
      <c r="T2464" s="7"/>
      <c r="U2464" s="7"/>
      <c r="V2464" s="253"/>
      <c r="W2464" s="7"/>
      <c r="X2464" s="256"/>
      <c r="Y2464" s="256"/>
      <c r="Z2464" s="256"/>
      <c r="AA2464" s="256"/>
      <c r="AB2464" s="257"/>
      <c r="AC2464" s="258"/>
      <c r="AD2464" s="7"/>
      <c r="AE2464" s="253"/>
      <c r="AF2464" s="253"/>
      <c r="AG2464" s="259"/>
      <c r="AH2464" s="253"/>
      <c r="AI2464" s="253"/>
      <c r="AJ2464" s="7"/>
      <c r="AK2464" s="253"/>
      <c r="AL2464" s="253"/>
      <c r="AM2464" s="7"/>
      <c r="AN2464" s="253"/>
      <c r="AO2464" s="253"/>
      <c r="AP2464" s="253"/>
      <c r="AQ2464" s="253"/>
      <c r="AR2464" s="253"/>
      <c r="AS2464" s="253"/>
      <c r="AT2464" s="253"/>
      <c r="AU2464" s="253"/>
      <c r="AV2464" s="253"/>
      <c r="AW2464" s="253"/>
      <c r="AX2464" s="253"/>
      <c r="AY2464" s="253"/>
      <c r="AZ2464" s="253"/>
    </row>
    <row r="2465" spans="1:52" ht="15.5" customHeight="1">
      <c r="A2465" s="363"/>
      <c r="B2465" s="343"/>
      <c r="C2465" s="7"/>
      <c r="D2465" s="254"/>
      <c r="E2465" s="254"/>
      <c r="F2465" s="254"/>
      <c r="G2465" s="253"/>
      <c r="H2465" s="253"/>
      <c r="I2465" s="253"/>
      <c r="J2465" s="253"/>
      <c r="K2465" s="253"/>
      <c r="L2465" s="7"/>
      <c r="M2465" s="7"/>
      <c r="N2465" s="253"/>
      <c r="O2465" s="255"/>
      <c r="P2465" s="253"/>
      <c r="Q2465" s="7"/>
      <c r="R2465" s="7"/>
      <c r="S2465" s="7"/>
      <c r="T2465" s="7"/>
      <c r="U2465" s="7"/>
      <c r="V2465" s="253"/>
      <c r="W2465" s="7"/>
      <c r="X2465" s="256"/>
      <c r="Y2465" s="256"/>
      <c r="Z2465" s="256"/>
      <c r="AA2465" s="256"/>
      <c r="AB2465" s="257"/>
      <c r="AC2465" s="258"/>
      <c r="AD2465" s="7"/>
      <c r="AE2465" s="253"/>
      <c r="AF2465" s="253"/>
      <c r="AG2465" s="259"/>
      <c r="AH2465" s="253"/>
      <c r="AI2465" s="253"/>
      <c r="AJ2465" s="7"/>
      <c r="AK2465" s="253"/>
      <c r="AL2465" s="253"/>
      <c r="AM2465" s="7"/>
      <c r="AN2465" s="253"/>
      <c r="AO2465" s="253"/>
      <c r="AP2465" s="253"/>
      <c r="AQ2465" s="253"/>
      <c r="AR2465" s="253"/>
      <c r="AS2465" s="253"/>
      <c r="AT2465" s="253"/>
      <c r="AU2465" s="253"/>
      <c r="AV2465" s="253"/>
      <c r="AW2465" s="253"/>
      <c r="AX2465" s="253"/>
      <c r="AY2465" s="253"/>
      <c r="AZ2465" s="253"/>
    </row>
    <row r="2466" spans="1:52" ht="15.5" customHeight="1">
      <c r="A2466" s="363"/>
      <c r="B2466" s="343"/>
      <c r="C2466" s="7"/>
      <c r="D2466" s="254"/>
      <c r="E2466" s="254"/>
      <c r="F2466" s="254"/>
      <c r="G2466" s="253"/>
      <c r="H2466" s="253"/>
      <c r="I2466" s="253"/>
      <c r="J2466" s="253"/>
      <c r="K2466" s="253"/>
      <c r="L2466" s="7"/>
      <c r="M2466" s="7"/>
      <c r="N2466" s="253"/>
      <c r="O2466" s="255"/>
      <c r="P2466" s="253"/>
      <c r="Q2466" s="7"/>
      <c r="R2466" s="7"/>
      <c r="S2466" s="7"/>
      <c r="T2466" s="7"/>
      <c r="U2466" s="7"/>
      <c r="V2466" s="253"/>
      <c r="W2466" s="7"/>
      <c r="X2466" s="256"/>
      <c r="Y2466" s="256"/>
      <c r="Z2466" s="256"/>
      <c r="AA2466" s="256"/>
      <c r="AB2466" s="257"/>
      <c r="AC2466" s="258"/>
      <c r="AD2466" s="7"/>
      <c r="AE2466" s="253"/>
      <c r="AF2466" s="253"/>
      <c r="AG2466" s="259"/>
      <c r="AH2466" s="253"/>
      <c r="AI2466" s="253"/>
      <c r="AJ2466" s="7"/>
      <c r="AK2466" s="253"/>
      <c r="AL2466" s="253"/>
      <c r="AM2466" s="7"/>
      <c r="AN2466" s="253"/>
      <c r="AO2466" s="253"/>
      <c r="AP2466" s="253"/>
      <c r="AQ2466" s="253"/>
      <c r="AR2466" s="253"/>
      <c r="AS2466" s="253"/>
      <c r="AT2466" s="253"/>
      <c r="AU2466" s="253"/>
      <c r="AV2466" s="253"/>
      <c r="AW2466" s="253"/>
      <c r="AX2466" s="253"/>
      <c r="AY2466" s="253"/>
      <c r="AZ2466" s="253"/>
    </row>
    <row r="2467" spans="1:52" ht="15.5" customHeight="1">
      <c r="A2467" s="363"/>
      <c r="B2467" s="343"/>
      <c r="C2467" s="7"/>
      <c r="D2467" s="254"/>
      <c r="E2467" s="254"/>
      <c r="F2467" s="254"/>
      <c r="G2467" s="253"/>
      <c r="H2467" s="253"/>
      <c r="I2467" s="253"/>
      <c r="J2467" s="253"/>
      <c r="K2467" s="253"/>
      <c r="L2467" s="7"/>
      <c r="M2467" s="7"/>
      <c r="N2467" s="253"/>
      <c r="O2467" s="255"/>
      <c r="P2467" s="253"/>
      <c r="Q2467" s="7"/>
      <c r="R2467" s="7"/>
      <c r="S2467" s="7"/>
      <c r="T2467" s="7"/>
      <c r="U2467" s="7"/>
      <c r="V2467" s="253"/>
      <c r="W2467" s="7"/>
      <c r="X2467" s="256"/>
      <c r="Y2467" s="256"/>
      <c r="Z2467" s="256"/>
      <c r="AA2467" s="256"/>
      <c r="AB2467" s="257"/>
      <c r="AC2467" s="258"/>
      <c r="AD2467" s="7"/>
      <c r="AE2467" s="253"/>
      <c r="AF2467" s="253"/>
      <c r="AG2467" s="259"/>
      <c r="AH2467" s="253"/>
      <c r="AI2467" s="253"/>
      <c r="AJ2467" s="7"/>
      <c r="AK2467" s="253"/>
      <c r="AL2467" s="253"/>
      <c r="AM2467" s="7"/>
      <c r="AN2467" s="253"/>
      <c r="AO2467" s="253"/>
      <c r="AP2467" s="253"/>
      <c r="AQ2467" s="253"/>
      <c r="AR2467" s="253"/>
      <c r="AS2467" s="253"/>
      <c r="AT2467" s="253"/>
      <c r="AU2467" s="253"/>
      <c r="AV2467" s="253"/>
      <c r="AW2467" s="253"/>
      <c r="AX2467" s="253"/>
      <c r="AY2467" s="253"/>
      <c r="AZ2467" s="253"/>
    </row>
    <row r="2468" spans="1:52" ht="15.5" customHeight="1">
      <c r="A2468" s="363"/>
      <c r="B2468" s="343"/>
      <c r="C2468" s="7"/>
      <c r="D2468" s="254"/>
      <c r="E2468" s="254"/>
      <c r="F2468" s="254"/>
      <c r="G2468" s="253"/>
      <c r="H2468" s="253"/>
      <c r="I2468" s="253"/>
      <c r="J2468" s="253"/>
      <c r="K2468" s="253"/>
      <c r="L2468" s="7"/>
      <c r="M2468" s="7"/>
      <c r="N2468" s="253"/>
      <c r="O2468" s="255"/>
      <c r="P2468" s="253"/>
      <c r="Q2468" s="7"/>
      <c r="R2468" s="7"/>
      <c r="S2468" s="7"/>
      <c r="T2468" s="7"/>
      <c r="U2468" s="7"/>
      <c r="V2468" s="253"/>
      <c r="W2468" s="7"/>
      <c r="X2468" s="256"/>
      <c r="Y2468" s="256"/>
      <c r="Z2468" s="256"/>
      <c r="AA2468" s="256"/>
      <c r="AB2468" s="257"/>
      <c r="AC2468" s="258"/>
      <c r="AD2468" s="7"/>
      <c r="AE2468" s="253"/>
      <c r="AF2468" s="253"/>
      <c r="AG2468" s="259"/>
      <c r="AH2468" s="253"/>
      <c r="AI2468" s="253"/>
      <c r="AJ2468" s="7"/>
      <c r="AK2468" s="253"/>
      <c r="AL2468" s="253"/>
      <c r="AM2468" s="7"/>
      <c r="AN2468" s="253"/>
      <c r="AO2468" s="253"/>
      <c r="AP2468" s="253"/>
      <c r="AQ2468" s="253"/>
      <c r="AR2468" s="253"/>
      <c r="AS2468" s="253"/>
      <c r="AT2468" s="253"/>
      <c r="AU2468" s="253"/>
      <c r="AV2468" s="253"/>
      <c r="AW2468" s="253"/>
      <c r="AX2468" s="253"/>
      <c r="AY2468" s="253"/>
      <c r="AZ2468" s="253"/>
    </row>
    <row r="2469" spans="1:52" ht="15.5" customHeight="1">
      <c r="A2469" s="363"/>
      <c r="B2469" s="343"/>
      <c r="C2469" s="7"/>
      <c r="D2469" s="254"/>
      <c r="E2469" s="254"/>
      <c r="F2469" s="254"/>
      <c r="G2469" s="253"/>
      <c r="H2469" s="253"/>
      <c r="I2469" s="253"/>
      <c r="J2469" s="253"/>
      <c r="K2469" s="253"/>
      <c r="L2469" s="7"/>
      <c r="M2469" s="7"/>
      <c r="N2469" s="253"/>
      <c r="O2469" s="255"/>
      <c r="P2469" s="253"/>
      <c r="Q2469" s="7"/>
      <c r="R2469" s="7"/>
      <c r="S2469" s="7"/>
      <c r="T2469" s="7"/>
      <c r="U2469" s="7"/>
      <c r="V2469" s="253"/>
      <c r="W2469" s="7"/>
      <c r="X2469" s="256"/>
      <c r="Y2469" s="256"/>
      <c r="Z2469" s="256"/>
      <c r="AA2469" s="256"/>
      <c r="AB2469" s="257"/>
      <c r="AC2469" s="258"/>
      <c r="AD2469" s="7"/>
      <c r="AE2469" s="253"/>
      <c r="AF2469" s="253"/>
      <c r="AG2469" s="259"/>
      <c r="AH2469" s="253"/>
      <c r="AI2469" s="253"/>
      <c r="AJ2469" s="7"/>
      <c r="AK2469" s="253"/>
      <c r="AL2469" s="253"/>
      <c r="AM2469" s="7"/>
      <c r="AN2469" s="253"/>
      <c r="AO2469" s="253"/>
      <c r="AP2469" s="253"/>
      <c r="AQ2469" s="253"/>
      <c r="AR2469" s="253"/>
      <c r="AS2469" s="253"/>
      <c r="AT2469" s="253"/>
      <c r="AU2469" s="253"/>
      <c r="AV2469" s="253"/>
      <c r="AW2469" s="253"/>
      <c r="AX2469" s="253"/>
      <c r="AY2469" s="253"/>
      <c r="AZ2469" s="253"/>
    </row>
    <row r="2470" spans="1:52" ht="15.5" customHeight="1">
      <c r="A2470" s="363"/>
      <c r="B2470" s="343"/>
      <c r="C2470" s="7"/>
      <c r="D2470" s="254"/>
      <c r="E2470" s="254"/>
      <c r="F2470" s="254"/>
      <c r="G2470" s="253"/>
      <c r="H2470" s="253"/>
      <c r="I2470" s="253"/>
      <c r="J2470" s="253"/>
      <c r="K2470" s="253"/>
      <c r="L2470" s="7"/>
      <c r="M2470" s="7"/>
      <c r="N2470" s="253"/>
      <c r="O2470" s="255"/>
      <c r="P2470" s="253"/>
      <c r="Q2470" s="7"/>
      <c r="R2470" s="7"/>
      <c r="S2470" s="7"/>
      <c r="T2470" s="7"/>
      <c r="U2470" s="7"/>
      <c r="V2470" s="253"/>
      <c r="W2470" s="7"/>
      <c r="X2470" s="256"/>
      <c r="Y2470" s="256"/>
      <c r="Z2470" s="256"/>
      <c r="AA2470" s="256"/>
      <c r="AB2470" s="257"/>
      <c r="AC2470" s="258"/>
      <c r="AD2470" s="7"/>
      <c r="AE2470" s="253"/>
      <c r="AF2470" s="253"/>
      <c r="AG2470" s="259"/>
      <c r="AH2470" s="253"/>
      <c r="AI2470" s="253"/>
      <c r="AJ2470" s="7"/>
      <c r="AK2470" s="253"/>
      <c r="AL2470" s="253"/>
      <c r="AM2470" s="7"/>
      <c r="AN2470" s="253"/>
      <c r="AO2470" s="253"/>
      <c r="AP2470" s="253"/>
      <c r="AQ2470" s="253"/>
      <c r="AR2470" s="253"/>
      <c r="AS2470" s="253"/>
      <c r="AT2470" s="253"/>
      <c r="AU2470" s="253"/>
      <c r="AV2470" s="253"/>
      <c r="AW2470" s="253"/>
      <c r="AX2470" s="253"/>
      <c r="AY2470" s="253"/>
      <c r="AZ2470" s="253"/>
    </row>
    <row r="2471" spans="1:52" ht="15.5" customHeight="1">
      <c r="A2471" s="363"/>
      <c r="B2471" s="343"/>
      <c r="C2471" s="7"/>
      <c r="D2471" s="254"/>
      <c r="E2471" s="254"/>
      <c r="F2471" s="254"/>
      <c r="G2471" s="253"/>
      <c r="H2471" s="253"/>
      <c r="I2471" s="253"/>
      <c r="J2471" s="253"/>
      <c r="K2471" s="253"/>
      <c r="L2471" s="7"/>
      <c r="M2471" s="7"/>
      <c r="N2471" s="253"/>
      <c r="O2471" s="255"/>
      <c r="P2471" s="253"/>
      <c r="Q2471" s="7"/>
      <c r="R2471" s="7"/>
      <c r="S2471" s="7"/>
      <c r="T2471" s="7"/>
      <c r="U2471" s="7"/>
      <c r="V2471" s="253"/>
      <c r="W2471" s="7"/>
      <c r="X2471" s="256"/>
      <c r="Y2471" s="256"/>
      <c r="Z2471" s="256"/>
      <c r="AA2471" s="256"/>
      <c r="AB2471" s="257"/>
      <c r="AC2471" s="258"/>
      <c r="AD2471" s="7"/>
      <c r="AE2471" s="253"/>
      <c r="AF2471" s="253"/>
      <c r="AG2471" s="259"/>
      <c r="AH2471" s="253"/>
      <c r="AI2471" s="253"/>
      <c r="AJ2471" s="7"/>
      <c r="AK2471" s="253"/>
      <c r="AL2471" s="253"/>
      <c r="AM2471" s="7"/>
      <c r="AN2471" s="253"/>
      <c r="AO2471" s="253"/>
      <c r="AP2471" s="253"/>
      <c r="AQ2471" s="253"/>
      <c r="AR2471" s="253"/>
      <c r="AS2471" s="253"/>
      <c r="AT2471" s="253"/>
      <c r="AU2471" s="253"/>
      <c r="AV2471" s="253"/>
      <c r="AW2471" s="253"/>
      <c r="AX2471" s="253"/>
      <c r="AY2471" s="253"/>
      <c r="AZ2471" s="253"/>
    </row>
    <row r="2472" spans="1:52" ht="15.5" customHeight="1">
      <c r="A2472" s="363"/>
      <c r="B2472" s="343"/>
      <c r="C2472" s="7"/>
      <c r="D2472" s="254"/>
      <c r="E2472" s="254"/>
      <c r="F2472" s="254"/>
      <c r="G2472" s="253"/>
      <c r="H2472" s="253"/>
      <c r="I2472" s="253"/>
      <c r="J2472" s="253"/>
      <c r="K2472" s="253"/>
      <c r="L2472" s="7"/>
      <c r="M2472" s="7"/>
      <c r="N2472" s="253"/>
      <c r="O2472" s="255"/>
      <c r="P2472" s="253"/>
      <c r="Q2472" s="7"/>
      <c r="R2472" s="7"/>
      <c r="S2472" s="7"/>
      <c r="T2472" s="7"/>
      <c r="U2472" s="7"/>
      <c r="V2472" s="253"/>
      <c r="W2472" s="7"/>
      <c r="X2472" s="256"/>
      <c r="Y2472" s="256"/>
      <c r="Z2472" s="256"/>
      <c r="AA2472" s="256"/>
      <c r="AB2472" s="257"/>
      <c r="AC2472" s="258"/>
      <c r="AD2472" s="7"/>
      <c r="AE2472" s="253"/>
      <c r="AF2472" s="253"/>
      <c r="AG2472" s="259"/>
      <c r="AH2472" s="253"/>
      <c r="AI2472" s="253"/>
      <c r="AJ2472" s="7"/>
      <c r="AK2472" s="253"/>
      <c r="AL2472" s="253"/>
      <c r="AM2472" s="7"/>
      <c r="AN2472" s="253"/>
      <c r="AO2472" s="253"/>
      <c r="AP2472" s="253"/>
      <c r="AQ2472" s="253"/>
      <c r="AR2472" s="253"/>
      <c r="AS2472" s="253"/>
      <c r="AT2472" s="253"/>
      <c r="AU2472" s="253"/>
      <c r="AV2472" s="253"/>
      <c r="AW2472" s="253"/>
      <c r="AX2472" s="253"/>
      <c r="AY2472" s="253"/>
      <c r="AZ2472" s="253"/>
    </row>
    <row r="2473" spans="1:52" ht="15.5" customHeight="1">
      <c r="A2473" s="363"/>
      <c r="B2473" s="343"/>
      <c r="C2473" s="7"/>
      <c r="D2473" s="254"/>
      <c r="E2473" s="254"/>
      <c r="F2473" s="254"/>
      <c r="G2473" s="253"/>
      <c r="H2473" s="253"/>
      <c r="I2473" s="253"/>
      <c r="J2473" s="253"/>
      <c r="K2473" s="253"/>
      <c r="L2473" s="7"/>
      <c r="M2473" s="7"/>
      <c r="N2473" s="253"/>
      <c r="O2473" s="255"/>
      <c r="P2473" s="253"/>
      <c r="Q2473" s="7"/>
      <c r="R2473" s="7"/>
      <c r="S2473" s="7"/>
      <c r="T2473" s="7"/>
      <c r="U2473" s="7"/>
      <c r="V2473" s="253"/>
      <c r="W2473" s="7"/>
      <c r="X2473" s="256"/>
      <c r="Y2473" s="256"/>
      <c r="Z2473" s="256"/>
      <c r="AA2473" s="256"/>
      <c r="AB2473" s="257"/>
      <c r="AC2473" s="258"/>
      <c r="AD2473" s="7"/>
      <c r="AE2473" s="253"/>
      <c r="AF2473" s="253"/>
      <c r="AG2473" s="259"/>
      <c r="AH2473" s="253"/>
      <c r="AI2473" s="253"/>
      <c r="AJ2473" s="7"/>
      <c r="AK2473" s="253"/>
      <c r="AL2473" s="253"/>
      <c r="AM2473" s="7"/>
      <c r="AN2473" s="253"/>
      <c r="AO2473" s="253"/>
      <c r="AP2473" s="253"/>
      <c r="AQ2473" s="253"/>
      <c r="AR2473" s="253"/>
      <c r="AS2473" s="253"/>
      <c r="AT2473" s="253"/>
      <c r="AU2473" s="253"/>
      <c r="AV2473" s="253"/>
      <c r="AW2473" s="253"/>
      <c r="AX2473" s="253"/>
      <c r="AY2473" s="253"/>
      <c r="AZ2473" s="253"/>
    </row>
    <row r="2474" spans="1:52" ht="15.5" customHeight="1">
      <c r="A2474" s="363"/>
      <c r="B2474" s="343"/>
      <c r="C2474" s="7"/>
      <c r="D2474" s="254"/>
      <c r="E2474" s="254"/>
      <c r="F2474" s="254"/>
      <c r="G2474" s="253"/>
      <c r="H2474" s="253"/>
      <c r="I2474" s="253"/>
      <c r="J2474" s="253"/>
      <c r="K2474" s="253"/>
      <c r="L2474" s="7"/>
      <c r="M2474" s="7"/>
      <c r="N2474" s="253"/>
      <c r="O2474" s="255"/>
      <c r="P2474" s="253"/>
      <c r="Q2474" s="7"/>
      <c r="R2474" s="7"/>
      <c r="S2474" s="7"/>
      <c r="T2474" s="7"/>
      <c r="U2474" s="7"/>
      <c r="V2474" s="253"/>
      <c r="W2474" s="7"/>
      <c r="X2474" s="256"/>
      <c r="Y2474" s="256"/>
      <c r="Z2474" s="256"/>
      <c r="AA2474" s="256"/>
      <c r="AB2474" s="257"/>
      <c r="AC2474" s="258"/>
      <c r="AD2474" s="7"/>
      <c r="AE2474" s="253"/>
      <c r="AF2474" s="253"/>
      <c r="AG2474" s="259"/>
      <c r="AH2474" s="253"/>
      <c r="AI2474" s="253"/>
      <c r="AJ2474" s="7"/>
      <c r="AK2474" s="253"/>
      <c r="AL2474" s="253"/>
      <c r="AM2474" s="7"/>
      <c r="AN2474" s="253"/>
      <c r="AO2474" s="253"/>
      <c r="AP2474" s="253"/>
      <c r="AQ2474" s="253"/>
      <c r="AR2474" s="253"/>
      <c r="AS2474" s="253"/>
      <c r="AT2474" s="253"/>
      <c r="AU2474" s="253"/>
      <c r="AV2474" s="253"/>
      <c r="AW2474" s="253"/>
      <c r="AX2474" s="253"/>
      <c r="AY2474" s="253"/>
      <c r="AZ2474" s="253"/>
    </row>
    <row r="2475" spans="1:52" ht="15.5" customHeight="1">
      <c r="A2475" s="363"/>
      <c r="B2475" s="343"/>
      <c r="C2475" s="7"/>
      <c r="D2475" s="254"/>
      <c r="E2475" s="254"/>
      <c r="F2475" s="254"/>
      <c r="G2475" s="253"/>
      <c r="H2475" s="253"/>
      <c r="I2475" s="253"/>
      <c r="J2475" s="253"/>
      <c r="K2475" s="253"/>
      <c r="L2475" s="7"/>
      <c r="M2475" s="7"/>
      <c r="N2475" s="253"/>
      <c r="O2475" s="255"/>
      <c r="P2475" s="253"/>
      <c r="Q2475" s="7"/>
      <c r="R2475" s="7"/>
      <c r="S2475" s="7"/>
      <c r="T2475" s="7"/>
      <c r="U2475" s="7"/>
      <c r="V2475" s="253"/>
      <c r="W2475" s="7"/>
      <c r="X2475" s="256"/>
      <c r="Y2475" s="256"/>
      <c r="Z2475" s="256"/>
      <c r="AA2475" s="256"/>
      <c r="AB2475" s="257"/>
      <c r="AC2475" s="258"/>
      <c r="AD2475" s="7"/>
      <c r="AE2475" s="253"/>
      <c r="AF2475" s="253"/>
      <c r="AG2475" s="259"/>
      <c r="AH2475" s="253"/>
      <c r="AI2475" s="253"/>
      <c r="AJ2475" s="7"/>
      <c r="AK2475" s="253"/>
      <c r="AL2475" s="253"/>
      <c r="AM2475" s="7"/>
      <c r="AN2475" s="253"/>
      <c r="AO2475" s="253"/>
      <c r="AP2475" s="253"/>
      <c r="AQ2475" s="253"/>
      <c r="AR2475" s="253"/>
      <c r="AS2475" s="253"/>
      <c r="AT2475" s="253"/>
      <c r="AU2475" s="253"/>
      <c r="AV2475" s="253"/>
      <c r="AW2475" s="253"/>
      <c r="AX2475" s="253"/>
      <c r="AY2475" s="253"/>
      <c r="AZ2475" s="253"/>
    </row>
    <row r="2476" spans="1:52" ht="15.5" customHeight="1">
      <c r="A2476" s="363"/>
      <c r="B2476" s="343"/>
      <c r="C2476" s="7"/>
      <c r="D2476" s="254"/>
      <c r="E2476" s="254"/>
      <c r="F2476" s="254"/>
      <c r="G2476" s="253"/>
      <c r="H2476" s="253"/>
      <c r="I2476" s="253"/>
      <c r="J2476" s="253"/>
      <c r="K2476" s="253"/>
      <c r="L2476" s="7"/>
      <c r="M2476" s="7"/>
      <c r="N2476" s="253"/>
      <c r="O2476" s="255"/>
      <c r="P2476" s="253"/>
      <c r="Q2476" s="7"/>
      <c r="R2476" s="7"/>
      <c r="S2476" s="7"/>
      <c r="T2476" s="7"/>
      <c r="U2476" s="7"/>
      <c r="V2476" s="253"/>
      <c r="W2476" s="7"/>
      <c r="X2476" s="256"/>
      <c r="Y2476" s="256"/>
      <c r="Z2476" s="256"/>
      <c r="AA2476" s="256"/>
      <c r="AB2476" s="257"/>
      <c r="AC2476" s="258"/>
      <c r="AD2476" s="7"/>
      <c r="AE2476" s="253"/>
      <c r="AF2476" s="253"/>
      <c r="AG2476" s="259"/>
      <c r="AH2476" s="253"/>
      <c r="AI2476" s="253"/>
      <c r="AJ2476" s="7"/>
      <c r="AK2476" s="253"/>
      <c r="AL2476" s="253"/>
      <c r="AM2476" s="7"/>
      <c r="AN2476" s="253"/>
      <c r="AO2476" s="253"/>
      <c r="AP2476" s="253"/>
      <c r="AQ2476" s="253"/>
      <c r="AR2476" s="253"/>
      <c r="AS2476" s="253"/>
      <c r="AT2476" s="253"/>
      <c r="AU2476" s="253"/>
      <c r="AV2476" s="253"/>
      <c r="AW2476" s="253"/>
      <c r="AX2476" s="253"/>
      <c r="AY2476" s="253"/>
      <c r="AZ2476" s="253"/>
    </row>
    <row r="2477" spans="1:52" ht="15.5" customHeight="1">
      <c r="A2477" s="363"/>
      <c r="B2477" s="343"/>
      <c r="C2477" s="7"/>
      <c r="D2477" s="254"/>
      <c r="E2477" s="254"/>
      <c r="F2477" s="254"/>
      <c r="G2477" s="253"/>
      <c r="H2477" s="253"/>
      <c r="I2477" s="253"/>
      <c r="J2477" s="253"/>
      <c r="K2477" s="253"/>
      <c r="L2477" s="7"/>
      <c r="M2477" s="7"/>
      <c r="N2477" s="253"/>
      <c r="O2477" s="255"/>
      <c r="P2477" s="253"/>
      <c r="Q2477" s="7"/>
      <c r="R2477" s="7"/>
      <c r="S2477" s="7"/>
      <c r="T2477" s="7"/>
      <c r="U2477" s="7"/>
      <c r="V2477" s="253"/>
      <c r="W2477" s="7"/>
      <c r="X2477" s="256"/>
      <c r="Y2477" s="256"/>
      <c r="Z2477" s="256"/>
      <c r="AA2477" s="256"/>
      <c r="AB2477" s="257"/>
      <c r="AC2477" s="258"/>
      <c r="AD2477" s="7"/>
      <c r="AE2477" s="253"/>
      <c r="AF2477" s="253"/>
      <c r="AG2477" s="259"/>
      <c r="AH2477" s="253"/>
      <c r="AI2477" s="253"/>
      <c r="AJ2477" s="7"/>
      <c r="AK2477" s="253"/>
      <c r="AL2477" s="253"/>
      <c r="AM2477" s="7"/>
      <c r="AN2477" s="253"/>
      <c r="AO2477" s="253"/>
      <c r="AP2477" s="253"/>
      <c r="AQ2477" s="253"/>
      <c r="AR2477" s="253"/>
      <c r="AS2477" s="253"/>
      <c r="AT2477" s="253"/>
      <c r="AU2477" s="253"/>
      <c r="AV2477" s="253"/>
      <c r="AW2477" s="253"/>
      <c r="AX2477" s="253"/>
      <c r="AY2477" s="253"/>
      <c r="AZ2477" s="253"/>
    </row>
    <row r="2478" spans="1:52" ht="15.5" customHeight="1">
      <c r="A2478" s="363"/>
      <c r="B2478" s="343"/>
      <c r="C2478" s="7"/>
      <c r="D2478" s="254"/>
      <c r="E2478" s="254"/>
      <c r="F2478" s="254"/>
      <c r="G2478" s="253"/>
      <c r="H2478" s="253"/>
      <c r="I2478" s="253"/>
      <c r="J2478" s="253"/>
      <c r="K2478" s="253"/>
      <c r="L2478" s="7"/>
      <c r="M2478" s="7"/>
      <c r="N2478" s="253"/>
      <c r="O2478" s="255"/>
      <c r="P2478" s="253"/>
      <c r="Q2478" s="7"/>
      <c r="R2478" s="7"/>
      <c r="S2478" s="7"/>
      <c r="T2478" s="7"/>
      <c r="U2478" s="7"/>
      <c r="V2478" s="253"/>
      <c r="W2478" s="7"/>
      <c r="X2478" s="256"/>
      <c r="Y2478" s="256"/>
      <c r="Z2478" s="256"/>
      <c r="AA2478" s="256"/>
      <c r="AB2478" s="257"/>
      <c r="AC2478" s="258"/>
      <c r="AD2478" s="7"/>
      <c r="AE2478" s="253"/>
      <c r="AF2478" s="253"/>
      <c r="AG2478" s="259"/>
      <c r="AH2478" s="253"/>
      <c r="AI2478" s="253"/>
      <c r="AJ2478" s="7"/>
      <c r="AK2478" s="253"/>
      <c r="AL2478" s="253"/>
      <c r="AM2478" s="7"/>
      <c r="AN2478" s="253"/>
      <c r="AO2478" s="253"/>
      <c r="AP2478" s="253"/>
      <c r="AQ2478" s="253"/>
      <c r="AR2478" s="253"/>
      <c r="AS2478" s="253"/>
      <c r="AT2478" s="253"/>
      <c r="AU2478" s="253"/>
      <c r="AV2478" s="253"/>
      <c r="AW2478" s="253"/>
      <c r="AX2478" s="253"/>
      <c r="AY2478" s="253"/>
      <c r="AZ2478" s="253"/>
    </row>
    <row r="2479" spans="1:52" ht="15.5" customHeight="1">
      <c r="A2479" s="363"/>
      <c r="B2479" s="343"/>
      <c r="C2479" s="7"/>
      <c r="D2479" s="254"/>
      <c r="E2479" s="254"/>
      <c r="F2479" s="254"/>
      <c r="G2479" s="253"/>
      <c r="H2479" s="253"/>
      <c r="I2479" s="253"/>
      <c r="J2479" s="253"/>
      <c r="K2479" s="253"/>
      <c r="L2479" s="7"/>
      <c r="M2479" s="7"/>
      <c r="N2479" s="253"/>
      <c r="O2479" s="255"/>
      <c r="P2479" s="253"/>
      <c r="Q2479" s="7"/>
      <c r="R2479" s="7"/>
      <c r="S2479" s="7"/>
      <c r="T2479" s="7"/>
      <c r="U2479" s="7"/>
      <c r="V2479" s="253"/>
      <c r="W2479" s="7"/>
      <c r="X2479" s="256"/>
      <c r="Y2479" s="256"/>
      <c r="Z2479" s="256"/>
      <c r="AA2479" s="256"/>
      <c r="AB2479" s="257"/>
      <c r="AC2479" s="258"/>
      <c r="AD2479" s="7"/>
      <c r="AE2479" s="253"/>
      <c r="AF2479" s="253"/>
      <c r="AG2479" s="259"/>
      <c r="AH2479" s="253"/>
      <c r="AI2479" s="253"/>
      <c r="AJ2479" s="7"/>
      <c r="AK2479" s="253"/>
      <c r="AL2479" s="253"/>
      <c r="AM2479" s="7"/>
      <c r="AN2479" s="253"/>
      <c r="AO2479" s="253"/>
      <c r="AP2479" s="253"/>
      <c r="AQ2479" s="253"/>
      <c r="AR2479" s="253"/>
      <c r="AS2479" s="253"/>
      <c r="AT2479" s="253"/>
      <c r="AU2479" s="253"/>
      <c r="AV2479" s="253"/>
      <c r="AW2479" s="253"/>
      <c r="AX2479" s="253"/>
      <c r="AY2479" s="253"/>
      <c r="AZ2479" s="253"/>
    </row>
    <row r="2480" spans="1:52" ht="15.5" customHeight="1">
      <c r="A2480" s="363"/>
      <c r="B2480" s="343"/>
      <c r="C2480" s="7"/>
      <c r="D2480" s="254"/>
      <c r="E2480" s="254"/>
      <c r="F2480" s="254"/>
      <c r="G2480" s="253"/>
      <c r="H2480" s="253"/>
      <c r="I2480" s="253"/>
      <c r="J2480" s="253"/>
      <c r="K2480" s="253"/>
      <c r="L2480" s="7"/>
      <c r="M2480" s="7"/>
      <c r="N2480" s="253"/>
      <c r="O2480" s="255"/>
      <c r="P2480" s="253"/>
      <c r="Q2480" s="7"/>
      <c r="R2480" s="7"/>
      <c r="S2480" s="7"/>
      <c r="T2480" s="7"/>
      <c r="U2480" s="7"/>
      <c r="V2480" s="253"/>
      <c r="W2480" s="7"/>
      <c r="X2480" s="256"/>
      <c r="Y2480" s="256"/>
      <c r="Z2480" s="256"/>
      <c r="AA2480" s="256"/>
      <c r="AB2480" s="257"/>
      <c r="AC2480" s="258"/>
      <c r="AD2480" s="7"/>
      <c r="AE2480" s="253"/>
      <c r="AF2480" s="253"/>
      <c r="AG2480" s="259"/>
      <c r="AH2480" s="253"/>
      <c r="AI2480" s="253"/>
      <c r="AJ2480" s="7"/>
      <c r="AK2480" s="253"/>
      <c r="AL2480" s="253"/>
      <c r="AM2480" s="7"/>
      <c r="AN2480" s="253"/>
      <c r="AO2480" s="253"/>
      <c r="AP2480" s="253"/>
      <c r="AQ2480" s="253"/>
      <c r="AR2480" s="253"/>
      <c r="AS2480" s="253"/>
      <c r="AT2480" s="253"/>
      <c r="AU2480" s="253"/>
      <c r="AV2480" s="253"/>
      <c r="AW2480" s="253"/>
      <c r="AX2480" s="253"/>
      <c r="AY2480" s="253"/>
      <c r="AZ2480" s="253"/>
    </row>
    <row r="2481" spans="1:52" ht="15.5" customHeight="1">
      <c r="A2481" s="363"/>
      <c r="B2481" s="343"/>
      <c r="C2481" s="7"/>
      <c r="D2481" s="254"/>
      <c r="E2481" s="254"/>
      <c r="F2481" s="254"/>
      <c r="G2481" s="253"/>
      <c r="H2481" s="253"/>
      <c r="I2481" s="253"/>
      <c r="J2481" s="253"/>
      <c r="K2481" s="253"/>
      <c r="L2481" s="7"/>
      <c r="M2481" s="7"/>
      <c r="N2481" s="253"/>
      <c r="O2481" s="255"/>
      <c r="P2481" s="253"/>
      <c r="Q2481" s="7"/>
      <c r="R2481" s="7"/>
      <c r="S2481" s="7"/>
      <c r="T2481" s="7"/>
      <c r="U2481" s="7"/>
      <c r="V2481" s="253"/>
      <c r="W2481" s="7"/>
      <c r="X2481" s="256"/>
      <c r="Y2481" s="256"/>
      <c r="Z2481" s="256"/>
      <c r="AA2481" s="256"/>
      <c r="AB2481" s="257"/>
      <c r="AC2481" s="258"/>
      <c r="AD2481" s="7"/>
      <c r="AE2481" s="253"/>
      <c r="AF2481" s="253"/>
      <c r="AG2481" s="259"/>
      <c r="AH2481" s="253"/>
      <c r="AI2481" s="253"/>
      <c r="AJ2481" s="7"/>
      <c r="AK2481" s="253"/>
      <c r="AL2481" s="253"/>
      <c r="AM2481" s="7"/>
      <c r="AN2481" s="253"/>
      <c r="AO2481" s="253"/>
      <c r="AP2481" s="253"/>
      <c r="AQ2481" s="253"/>
      <c r="AR2481" s="253"/>
      <c r="AS2481" s="253"/>
      <c r="AT2481" s="253"/>
      <c r="AU2481" s="253"/>
      <c r="AV2481" s="253"/>
      <c r="AW2481" s="253"/>
      <c r="AX2481" s="253"/>
      <c r="AY2481" s="253"/>
      <c r="AZ2481" s="253"/>
    </row>
    <row r="2482" spans="1:52" ht="15.5" customHeight="1">
      <c r="A2482" s="363"/>
      <c r="B2482" s="343"/>
      <c r="C2482" s="7"/>
      <c r="D2482" s="254"/>
      <c r="E2482" s="254"/>
      <c r="F2482" s="254"/>
      <c r="G2482" s="253"/>
      <c r="H2482" s="253"/>
      <c r="I2482" s="253"/>
      <c r="J2482" s="253"/>
      <c r="K2482" s="253"/>
      <c r="L2482" s="7"/>
      <c r="M2482" s="7"/>
      <c r="N2482" s="253"/>
      <c r="O2482" s="255"/>
      <c r="P2482" s="253"/>
      <c r="Q2482" s="7"/>
      <c r="R2482" s="7"/>
      <c r="S2482" s="7"/>
      <c r="T2482" s="7"/>
      <c r="U2482" s="7"/>
      <c r="V2482" s="253"/>
      <c r="W2482" s="7"/>
      <c r="X2482" s="256"/>
      <c r="Y2482" s="256"/>
      <c r="Z2482" s="256"/>
      <c r="AA2482" s="256"/>
      <c r="AB2482" s="257"/>
      <c r="AC2482" s="258"/>
      <c r="AD2482" s="7"/>
      <c r="AE2482" s="253"/>
      <c r="AF2482" s="253"/>
      <c r="AG2482" s="259"/>
      <c r="AH2482" s="253"/>
      <c r="AI2482" s="253"/>
      <c r="AJ2482" s="7"/>
      <c r="AK2482" s="253"/>
      <c r="AL2482" s="253"/>
      <c r="AM2482" s="7"/>
      <c r="AN2482" s="253"/>
      <c r="AO2482" s="253"/>
      <c r="AP2482" s="253"/>
      <c r="AQ2482" s="253"/>
      <c r="AR2482" s="253"/>
      <c r="AS2482" s="253"/>
      <c r="AT2482" s="253"/>
      <c r="AU2482" s="253"/>
      <c r="AV2482" s="253"/>
      <c r="AW2482" s="253"/>
      <c r="AX2482" s="253"/>
      <c r="AY2482" s="253"/>
      <c r="AZ2482" s="253"/>
    </row>
    <row r="2483" spans="1:52" ht="15.5" customHeight="1">
      <c r="A2483" s="363"/>
      <c r="B2483" s="343"/>
      <c r="C2483" s="7"/>
      <c r="D2483" s="254"/>
      <c r="E2483" s="254"/>
      <c r="F2483" s="254"/>
      <c r="G2483" s="253"/>
      <c r="H2483" s="253"/>
      <c r="I2483" s="253"/>
      <c r="J2483" s="253"/>
      <c r="K2483" s="253"/>
      <c r="L2483" s="7"/>
      <c r="M2483" s="7"/>
      <c r="N2483" s="253"/>
      <c r="O2483" s="255"/>
      <c r="P2483" s="253"/>
      <c r="Q2483" s="7"/>
      <c r="R2483" s="7"/>
      <c r="S2483" s="7"/>
      <c r="T2483" s="7"/>
      <c r="U2483" s="7"/>
      <c r="V2483" s="253"/>
      <c r="W2483" s="7"/>
      <c r="X2483" s="256"/>
      <c r="Y2483" s="256"/>
      <c r="Z2483" s="256"/>
      <c r="AA2483" s="256"/>
      <c r="AB2483" s="257"/>
      <c r="AC2483" s="258"/>
      <c r="AD2483" s="7"/>
      <c r="AE2483" s="253"/>
      <c r="AF2483" s="253"/>
      <c r="AG2483" s="259"/>
      <c r="AH2483" s="253"/>
      <c r="AI2483" s="253"/>
      <c r="AJ2483" s="7"/>
      <c r="AK2483" s="253"/>
      <c r="AL2483" s="253"/>
      <c r="AM2483" s="7"/>
      <c r="AN2483" s="253"/>
      <c r="AO2483" s="253"/>
      <c r="AP2483" s="253"/>
      <c r="AQ2483" s="253"/>
      <c r="AR2483" s="253"/>
      <c r="AS2483" s="253"/>
      <c r="AT2483" s="253"/>
      <c r="AU2483" s="253"/>
      <c r="AV2483" s="253"/>
      <c r="AW2483" s="253"/>
      <c r="AX2483" s="253"/>
      <c r="AY2483" s="253"/>
      <c r="AZ2483" s="253"/>
    </row>
    <row r="2484" spans="1:52" ht="15.5" customHeight="1">
      <c r="A2484" s="363"/>
      <c r="B2484" s="343"/>
      <c r="C2484" s="7"/>
      <c r="D2484" s="254"/>
      <c r="E2484" s="254"/>
      <c r="F2484" s="254"/>
      <c r="G2484" s="253"/>
      <c r="H2484" s="253"/>
      <c r="I2484" s="253"/>
      <c r="J2484" s="253"/>
      <c r="K2484" s="253"/>
      <c r="L2484" s="7"/>
      <c r="M2484" s="7"/>
      <c r="N2484" s="253"/>
      <c r="O2484" s="255"/>
      <c r="P2484" s="253"/>
      <c r="Q2484" s="7"/>
      <c r="R2484" s="7"/>
      <c r="S2484" s="7"/>
      <c r="T2484" s="7"/>
      <c r="U2484" s="7"/>
      <c r="V2484" s="253"/>
      <c r="W2484" s="7"/>
      <c r="X2484" s="256"/>
      <c r="Y2484" s="256"/>
      <c r="Z2484" s="256"/>
      <c r="AA2484" s="256"/>
      <c r="AB2484" s="257"/>
      <c r="AC2484" s="258"/>
      <c r="AD2484" s="7"/>
      <c r="AE2484" s="253"/>
      <c r="AF2484" s="253"/>
      <c r="AG2484" s="259"/>
      <c r="AH2484" s="253"/>
      <c r="AI2484" s="253"/>
      <c r="AJ2484" s="7"/>
      <c r="AK2484" s="253"/>
      <c r="AL2484" s="253"/>
      <c r="AM2484" s="7"/>
      <c r="AN2484" s="253"/>
      <c r="AO2484" s="253"/>
      <c r="AP2484" s="253"/>
      <c r="AQ2484" s="253"/>
      <c r="AR2484" s="253"/>
      <c r="AS2484" s="253"/>
      <c r="AT2484" s="253"/>
      <c r="AU2484" s="253"/>
      <c r="AV2484" s="253"/>
      <c r="AW2484" s="253"/>
      <c r="AX2484" s="253"/>
      <c r="AY2484" s="253"/>
      <c r="AZ2484" s="253"/>
    </row>
    <row r="2485" spans="1:52" ht="15.5" customHeight="1">
      <c r="A2485" s="363"/>
      <c r="B2485" s="343"/>
      <c r="C2485" s="7"/>
      <c r="D2485" s="254"/>
      <c r="E2485" s="254"/>
      <c r="F2485" s="254"/>
      <c r="G2485" s="253"/>
      <c r="H2485" s="253"/>
      <c r="I2485" s="253"/>
      <c r="J2485" s="253"/>
      <c r="K2485" s="253"/>
      <c r="L2485" s="7"/>
      <c r="M2485" s="7"/>
      <c r="N2485" s="253"/>
      <c r="O2485" s="255"/>
      <c r="P2485" s="253"/>
      <c r="Q2485" s="7"/>
      <c r="R2485" s="7"/>
      <c r="S2485" s="7"/>
      <c r="T2485" s="7"/>
      <c r="U2485" s="7"/>
      <c r="V2485" s="253"/>
      <c r="W2485" s="7"/>
      <c r="X2485" s="256"/>
      <c r="Y2485" s="256"/>
      <c r="Z2485" s="256"/>
      <c r="AA2485" s="256"/>
      <c r="AB2485" s="257"/>
      <c r="AC2485" s="258"/>
      <c r="AD2485" s="7"/>
      <c r="AE2485" s="253"/>
      <c r="AF2485" s="253"/>
      <c r="AG2485" s="259"/>
      <c r="AH2485" s="253"/>
      <c r="AI2485" s="253"/>
      <c r="AJ2485" s="7"/>
      <c r="AK2485" s="253"/>
      <c r="AL2485" s="253"/>
      <c r="AM2485" s="7"/>
      <c r="AN2485" s="253"/>
      <c r="AO2485" s="253"/>
      <c r="AP2485" s="253"/>
      <c r="AQ2485" s="253"/>
      <c r="AR2485" s="253"/>
      <c r="AS2485" s="253"/>
      <c r="AT2485" s="253"/>
      <c r="AU2485" s="253"/>
      <c r="AV2485" s="253"/>
      <c r="AW2485" s="253"/>
      <c r="AX2485" s="253"/>
      <c r="AY2485" s="253"/>
      <c r="AZ2485" s="253"/>
    </row>
    <row r="2486" spans="1:52" ht="15.5" customHeight="1">
      <c r="A2486" s="363"/>
      <c r="B2486" s="343"/>
      <c r="C2486" s="7"/>
      <c r="D2486" s="254"/>
      <c r="E2486" s="254"/>
      <c r="F2486" s="254"/>
      <c r="G2486" s="253"/>
      <c r="H2486" s="253"/>
      <c r="I2486" s="253"/>
      <c r="J2486" s="253"/>
      <c r="K2486" s="253"/>
      <c r="L2486" s="7"/>
      <c r="M2486" s="7"/>
      <c r="N2486" s="253"/>
      <c r="O2486" s="255"/>
      <c r="P2486" s="253"/>
      <c r="Q2486" s="7"/>
      <c r="R2486" s="7"/>
      <c r="S2486" s="7"/>
      <c r="T2486" s="7"/>
      <c r="U2486" s="7"/>
      <c r="V2486" s="253"/>
      <c r="W2486" s="7"/>
      <c r="X2486" s="256"/>
      <c r="Y2486" s="256"/>
      <c r="Z2486" s="256"/>
      <c r="AA2486" s="256"/>
      <c r="AB2486" s="257"/>
      <c r="AC2486" s="258"/>
      <c r="AD2486" s="7"/>
      <c r="AE2486" s="253"/>
      <c r="AF2486" s="253"/>
      <c r="AG2486" s="259"/>
      <c r="AH2486" s="253"/>
      <c r="AI2486" s="253"/>
      <c r="AJ2486" s="7"/>
      <c r="AK2486" s="253"/>
      <c r="AL2486" s="253"/>
      <c r="AM2486" s="7"/>
      <c r="AN2486" s="253"/>
      <c r="AO2486" s="253"/>
      <c r="AP2486" s="253"/>
      <c r="AQ2486" s="253"/>
      <c r="AR2486" s="253"/>
      <c r="AS2486" s="253"/>
      <c r="AT2486" s="253"/>
      <c r="AU2486" s="253"/>
      <c r="AV2486" s="253"/>
      <c r="AW2486" s="253"/>
      <c r="AX2486" s="253"/>
      <c r="AY2486" s="253"/>
      <c r="AZ2486" s="253"/>
    </row>
    <row r="2487" spans="1:52" ht="15.5" customHeight="1">
      <c r="A2487" s="363"/>
      <c r="B2487" s="343"/>
      <c r="C2487" s="7"/>
      <c r="D2487" s="254"/>
      <c r="E2487" s="254"/>
      <c r="F2487" s="254"/>
      <c r="G2487" s="253"/>
      <c r="H2487" s="253"/>
      <c r="I2487" s="253"/>
      <c r="J2487" s="253"/>
      <c r="K2487" s="253"/>
      <c r="L2487" s="7"/>
      <c r="M2487" s="7"/>
      <c r="N2487" s="253"/>
      <c r="O2487" s="255"/>
      <c r="P2487" s="253"/>
      <c r="Q2487" s="7"/>
      <c r="R2487" s="7"/>
      <c r="S2487" s="7"/>
      <c r="T2487" s="7"/>
      <c r="U2487" s="7"/>
      <c r="V2487" s="253"/>
      <c r="W2487" s="7"/>
      <c r="X2487" s="256"/>
      <c r="Y2487" s="256"/>
      <c r="Z2487" s="256"/>
      <c r="AA2487" s="256"/>
      <c r="AB2487" s="257"/>
      <c r="AC2487" s="258"/>
      <c r="AD2487" s="7"/>
      <c r="AE2487" s="253"/>
      <c r="AF2487" s="253"/>
      <c r="AG2487" s="259"/>
      <c r="AH2487" s="253"/>
      <c r="AI2487" s="253"/>
      <c r="AJ2487" s="7"/>
      <c r="AK2487" s="253"/>
      <c r="AL2487" s="253"/>
      <c r="AM2487" s="7"/>
      <c r="AN2487" s="253"/>
      <c r="AO2487" s="253"/>
      <c r="AP2487" s="253"/>
      <c r="AQ2487" s="253"/>
      <c r="AR2487" s="253"/>
      <c r="AS2487" s="253"/>
      <c r="AT2487" s="253"/>
      <c r="AU2487" s="253"/>
      <c r="AV2487" s="253"/>
      <c r="AW2487" s="253"/>
      <c r="AX2487" s="253"/>
      <c r="AY2487" s="253"/>
      <c r="AZ2487" s="253"/>
    </row>
    <row r="2488" spans="1:52" ht="15.5" customHeight="1">
      <c r="A2488" s="363"/>
      <c r="B2488" s="343"/>
      <c r="C2488" s="7"/>
      <c r="D2488" s="254"/>
      <c r="E2488" s="254"/>
      <c r="F2488" s="254"/>
      <c r="G2488" s="253"/>
      <c r="H2488" s="253"/>
      <c r="I2488" s="253"/>
      <c r="J2488" s="253"/>
      <c r="K2488" s="253"/>
      <c r="L2488" s="7"/>
      <c r="M2488" s="7"/>
      <c r="N2488" s="253"/>
      <c r="O2488" s="255"/>
      <c r="P2488" s="253"/>
      <c r="Q2488" s="7"/>
      <c r="R2488" s="7"/>
      <c r="S2488" s="7"/>
      <c r="T2488" s="7"/>
      <c r="U2488" s="7"/>
      <c r="V2488" s="253"/>
      <c r="W2488" s="7"/>
      <c r="X2488" s="256"/>
      <c r="Y2488" s="256"/>
      <c r="Z2488" s="256"/>
      <c r="AA2488" s="256"/>
      <c r="AB2488" s="257"/>
      <c r="AC2488" s="258"/>
      <c r="AD2488" s="7"/>
      <c r="AE2488" s="253"/>
      <c r="AF2488" s="253"/>
      <c r="AG2488" s="259"/>
      <c r="AH2488" s="253"/>
      <c r="AI2488" s="253"/>
      <c r="AJ2488" s="7"/>
      <c r="AK2488" s="253"/>
      <c r="AL2488" s="253"/>
      <c r="AM2488" s="7"/>
      <c r="AN2488" s="253"/>
      <c r="AO2488" s="253"/>
      <c r="AP2488" s="253"/>
      <c r="AQ2488" s="253"/>
      <c r="AR2488" s="253"/>
      <c r="AS2488" s="253"/>
      <c r="AT2488" s="253"/>
      <c r="AU2488" s="253"/>
      <c r="AV2488" s="253"/>
      <c r="AW2488" s="253"/>
      <c r="AX2488" s="253"/>
      <c r="AY2488" s="253"/>
      <c r="AZ2488" s="253"/>
    </row>
    <row r="2489" spans="1:52" ht="15.5" customHeight="1">
      <c r="A2489" s="363"/>
      <c r="B2489" s="343"/>
      <c r="C2489" s="7"/>
      <c r="D2489" s="254"/>
      <c r="E2489" s="254"/>
      <c r="F2489" s="254"/>
      <c r="G2489" s="253"/>
      <c r="H2489" s="253"/>
      <c r="I2489" s="253"/>
      <c r="J2489" s="253"/>
      <c r="K2489" s="253"/>
      <c r="L2489" s="7"/>
      <c r="M2489" s="7"/>
      <c r="N2489" s="253"/>
      <c r="O2489" s="255"/>
      <c r="P2489" s="253"/>
      <c r="Q2489" s="7"/>
      <c r="R2489" s="7"/>
      <c r="S2489" s="7"/>
      <c r="T2489" s="7"/>
      <c r="U2489" s="7"/>
      <c r="V2489" s="253"/>
      <c r="W2489" s="7"/>
      <c r="X2489" s="256"/>
      <c r="Y2489" s="256"/>
      <c r="Z2489" s="256"/>
      <c r="AA2489" s="256"/>
      <c r="AB2489" s="257"/>
      <c r="AC2489" s="258"/>
      <c r="AD2489" s="7"/>
      <c r="AE2489" s="253"/>
      <c r="AF2489" s="253"/>
      <c r="AG2489" s="259"/>
      <c r="AH2489" s="253"/>
      <c r="AI2489" s="253"/>
      <c r="AJ2489" s="7"/>
      <c r="AK2489" s="253"/>
      <c r="AL2489" s="253"/>
      <c r="AM2489" s="7"/>
      <c r="AN2489" s="253"/>
      <c r="AO2489" s="253"/>
      <c r="AP2489" s="253"/>
      <c r="AQ2489" s="253"/>
      <c r="AR2489" s="253"/>
      <c r="AS2489" s="253"/>
      <c r="AT2489" s="253"/>
      <c r="AU2489" s="253"/>
      <c r="AV2489" s="253"/>
      <c r="AW2489" s="253"/>
      <c r="AX2489" s="253"/>
      <c r="AY2489" s="253"/>
      <c r="AZ2489" s="253"/>
    </row>
    <row r="2490" spans="1:52" ht="15.5" customHeight="1">
      <c r="A2490" s="363"/>
      <c r="B2490" s="343"/>
      <c r="C2490" s="7"/>
      <c r="D2490" s="254"/>
      <c r="E2490" s="254"/>
      <c r="F2490" s="254"/>
      <c r="G2490" s="253"/>
      <c r="H2490" s="253"/>
      <c r="I2490" s="253"/>
      <c r="J2490" s="253"/>
      <c r="K2490" s="253"/>
      <c r="L2490" s="7"/>
      <c r="M2490" s="7"/>
      <c r="N2490" s="253"/>
      <c r="O2490" s="255"/>
      <c r="P2490" s="253"/>
      <c r="Q2490" s="7"/>
      <c r="R2490" s="7"/>
      <c r="S2490" s="7"/>
      <c r="T2490" s="7"/>
      <c r="U2490" s="7"/>
      <c r="V2490" s="253"/>
      <c r="W2490" s="7"/>
      <c r="X2490" s="256"/>
      <c r="Y2490" s="256"/>
      <c r="Z2490" s="256"/>
      <c r="AA2490" s="256"/>
      <c r="AB2490" s="257"/>
      <c r="AC2490" s="258"/>
      <c r="AD2490" s="7"/>
      <c r="AE2490" s="253"/>
      <c r="AF2490" s="253"/>
      <c r="AG2490" s="259"/>
      <c r="AH2490" s="253"/>
      <c r="AI2490" s="253"/>
      <c r="AJ2490" s="7"/>
      <c r="AK2490" s="253"/>
      <c r="AL2490" s="253"/>
      <c r="AM2490" s="7"/>
      <c r="AN2490" s="253"/>
      <c r="AO2490" s="253"/>
      <c r="AP2490" s="253"/>
      <c r="AQ2490" s="253"/>
      <c r="AR2490" s="253"/>
      <c r="AS2490" s="253"/>
      <c r="AT2490" s="253"/>
      <c r="AU2490" s="253"/>
      <c r="AV2490" s="253"/>
      <c r="AW2490" s="253"/>
      <c r="AX2490" s="253"/>
      <c r="AY2490" s="253"/>
      <c r="AZ2490" s="253"/>
    </row>
    <row r="2491" spans="1:52" ht="15.5" customHeight="1">
      <c r="A2491" s="363"/>
      <c r="B2491" s="343"/>
      <c r="C2491" s="7"/>
      <c r="D2491" s="254"/>
      <c r="E2491" s="254"/>
      <c r="F2491" s="254"/>
      <c r="G2491" s="253"/>
      <c r="H2491" s="253"/>
      <c r="I2491" s="253"/>
      <c r="J2491" s="253"/>
      <c r="K2491" s="253"/>
      <c r="L2491" s="7"/>
      <c r="M2491" s="7"/>
      <c r="N2491" s="253"/>
      <c r="O2491" s="255"/>
      <c r="P2491" s="253"/>
      <c r="Q2491" s="7"/>
      <c r="R2491" s="7"/>
      <c r="S2491" s="7"/>
      <c r="T2491" s="7"/>
      <c r="U2491" s="7"/>
      <c r="V2491" s="253"/>
      <c r="W2491" s="7"/>
      <c r="X2491" s="256"/>
      <c r="Y2491" s="256"/>
      <c r="Z2491" s="256"/>
      <c r="AA2491" s="256"/>
      <c r="AB2491" s="257"/>
      <c r="AC2491" s="258"/>
      <c r="AD2491" s="7"/>
      <c r="AE2491" s="253"/>
      <c r="AF2491" s="253"/>
      <c r="AG2491" s="259"/>
      <c r="AH2491" s="253"/>
      <c r="AI2491" s="253"/>
      <c r="AJ2491" s="7"/>
      <c r="AK2491" s="253"/>
      <c r="AL2491" s="253"/>
      <c r="AM2491" s="7"/>
      <c r="AN2491" s="253"/>
      <c r="AO2491" s="253"/>
      <c r="AP2491" s="253"/>
      <c r="AQ2491" s="253"/>
      <c r="AR2491" s="253"/>
      <c r="AS2491" s="253"/>
      <c r="AT2491" s="253"/>
      <c r="AU2491" s="253"/>
      <c r="AV2491" s="253"/>
      <c r="AW2491" s="253"/>
      <c r="AX2491" s="253"/>
      <c r="AY2491" s="253"/>
      <c r="AZ2491" s="253"/>
    </row>
    <row r="2492" spans="1:52" ht="15.5" customHeight="1">
      <c r="A2492" s="363"/>
      <c r="B2492" s="343"/>
      <c r="C2492" s="7"/>
      <c r="D2492" s="254"/>
      <c r="E2492" s="254"/>
      <c r="F2492" s="254"/>
      <c r="G2492" s="253"/>
      <c r="H2492" s="253"/>
      <c r="I2492" s="253"/>
      <c r="J2492" s="253"/>
      <c r="K2492" s="253"/>
      <c r="L2492" s="7"/>
      <c r="M2492" s="7"/>
      <c r="N2492" s="253"/>
      <c r="O2492" s="255"/>
      <c r="P2492" s="253"/>
      <c r="Q2492" s="7"/>
      <c r="R2492" s="7"/>
      <c r="S2492" s="7"/>
      <c r="T2492" s="7"/>
      <c r="U2492" s="7"/>
      <c r="V2492" s="253"/>
      <c r="W2492" s="7"/>
      <c r="X2492" s="256"/>
      <c r="Y2492" s="256"/>
      <c r="Z2492" s="256"/>
      <c r="AA2492" s="256"/>
      <c r="AB2492" s="257"/>
      <c r="AC2492" s="258"/>
      <c r="AD2492" s="7"/>
      <c r="AE2492" s="253"/>
      <c r="AF2492" s="253"/>
      <c r="AG2492" s="259"/>
      <c r="AH2492" s="253"/>
      <c r="AI2492" s="253"/>
      <c r="AJ2492" s="7"/>
      <c r="AK2492" s="253"/>
      <c r="AL2492" s="253"/>
      <c r="AM2492" s="7"/>
      <c r="AN2492" s="253"/>
      <c r="AO2492" s="253"/>
      <c r="AP2492" s="253"/>
      <c r="AQ2492" s="253"/>
      <c r="AR2492" s="253"/>
      <c r="AS2492" s="253"/>
      <c r="AT2492" s="253"/>
      <c r="AU2492" s="253"/>
      <c r="AV2492" s="253"/>
      <c r="AW2492" s="253"/>
      <c r="AX2492" s="253"/>
      <c r="AY2492" s="253"/>
      <c r="AZ2492" s="253"/>
    </row>
    <row r="2493" spans="1:52" ht="15.5" customHeight="1">
      <c r="A2493" s="363"/>
      <c r="B2493" s="343"/>
      <c r="C2493" s="7"/>
      <c r="D2493" s="254"/>
      <c r="E2493" s="254"/>
      <c r="F2493" s="254"/>
      <c r="G2493" s="253"/>
      <c r="H2493" s="253"/>
      <c r="I2493" s="253"/>
      <c r="J2493" s="253"/>
      <c r="K2493" s="253"/>
      <c r="L2493" s="7"/>
      <c r="M2493" s="7"/>
      <c r="N2493" s="253"/>
      <c r="O2493" s="255"/>
      <c r="P2493" s="253"/>
      <c r="Q2493" s="7"/>
      <c r="R2493" s="7"/>
      <c r="S2493" s="7"/>
      <c r="T2493" s="7"/>
      <c r="U2493" s="7"/>
      <c r="V2493" s="253"/>
      <c r="W2493" s="7"/>
      <c r="X2493" s="256"/>
      <c r="Y2493" s="256"/>
      <c r="Z2493" s="256"/>
      <c r="AA2493" s="256"/>
      <c r="AB2493" s="257"/>
      <c r="AC2493" s="258"/>
      <c r="AD2493" s="7"/>
      <c r="AE2493" s="253"/>
      <c r="AF2493" s="253"/>
      <c r="AG2493" s="259"/>
      <c r="AH2493" s="253"/>
      <c r="AI2493" s="253"/>
      <c r="AJ2493" s="7"/>
      <c r="AK2493" s="253"/>
      <c r="AL2493" s="253"/>
      <c r="AM2493" s="7"/>
      <c r="AN2493" s="253"/>
      <c r="AO2493" s="253"/>
      <c r="AP2493" s="253"/>
      <c r="AQ2493" s="253"/>
      <c r="AR2493" s="253"/>
      <c r="AS2493" s="253"/>
      <c r="AT2493" s="253"/>
      <c r="AU2493" s="253"/>
      <c r="AV2493" s="253"/>
      <c r="AW2493" s="253"/>
      <c r="AX2493" s="253"/>
      <c r="AY2493" s="253"/>
      <c r="AZ2493" s="253"/>
    </row>
    <row r="2494" spans="1:52" ht="15.5" customHeight="1">
      <c r="A2494" s="363"/>
      <c r="B2494" s="343"/>
      <c r="C2494" s="7"/>
      <c r="D2494" s="254"/>
      <c r="E2494" s="254"/>
      <c r="F2494" s="254"/>
      <c r="G2494" s="253"/>
      <c r="H2494" s="253"/>
      <c r="I2494" s="253"/>
      <c r="J2494" s="253"/>
      <c r="K2494" s="253"/>
      <c r="L2494" s="7"/>
      <c r="M2494" s="7"/>
      <c r="N2494" s="253"/>
      <c r="O2494" s="255"/>
      <c r="P2494" s="253"/>
      <c r="Q2494" s="7"/>
      <c r="R2494" s="7"/>
      <c r="S2494" s="7"/>
      <c r="T2494" s="7"/>
      <c r="U2494" s="7"/>
      <c r="V2494" s="253"/>
      <c r="W2494" s="7"/>
      <c r="X2494" s="256"/>
      <c r="Y2494" s="256"/>
      <c r="Z2494" s="256"/>
      <c r="AA2494" s="256"/>
      <c r="AB2494" s="257"/>
      <c r="AC2494" s="258"/>
      <c r="AD2494" s="7"/>
      <c r="AE2494" s="253"/>
      <c r="AF2494" s="253"/>
      <c r="AG2494" s="259"/>
      <c r="AH2494" s="253"/>
      <c r="AI2494" s="253"/>
      <c r="AJ2494" s="7"/>
      <c r="AK2494" s="253"/>
      <c r="AL2494" s="253"/>
      <c r="AM2494" s="7"/>
      <c r="AN2494" s="253"/>
      <c r="AO2494" s="253"/>
      <c r="AP2494" s="253"/>
      <c r="AQ2494" s="253"/>
      <c r="AR2494" s="253"/>
      <c r="AS2494" s="253"/>
      <c r="AT2494" s="253"/>
      <c r="AU2494" s="253"/>
      <c r="AV2494" s="253"/>
      <c r="AW2494" s="253"/>
      <c r="AX2494" s="253"/>
      <c r="AY2494" s="253"/>
      <c r="AZ2494" s="253"/>
    </row>
    <row r="2495" spans="1:52" ht="15.5" customHeight="1">
      <c r="A2495" s="363"/>
      <c r="B2495" s="343"/>
      <c r="C2495" s="7"/>
      <c r="D2495" s="254"/>
      <c r="E2495" s="254"/>
      <c r="F2495" s="254"/>
      <c r="G2495" s="253"/>
      <c r="H2495" s="253"/>
      <c r="I2495" s="253"/>
      <c r="J2495" s="253"/>
      <c r="K2495" s="253"/>
      <c r="L2495" s="7"/>
      <c r="M2495" s="7"/>
      <c r="N2495" s="253"/>
      <c r="O2495" s="255"/>
      <c r="P2495" s="253"/>
      <c r="Q2495" s="7"/>
      <c r="R2495" s="7"/>
      <c r="S2495" s="7"/>
      <c r="T2495" s="7"/>
      <c r="U2495" s="7"/>
      <c r="V2495" s="253"/>
      <c r="W2495" s="7"/>
      <c r="X2495" s="256"/>
      <c r="Y2495" s="256"/>
      <c r="Z2495" s="256"/>
      <c r="AA2495" s="256"/>
      <c r="AB2495" s="257"/>
      <c r="AC2495" s="258"/>
      <c r="AD2495" s="7"/>
      <c r="AE2495" s="253"/>
      <c r="AF2495" s="253"/>
      <c r="AG2495" s="259"/>
      <c r="AH2495" s="253"/>
      <c r="AI2495" s="253"/>
      <c r="AJ2495" s="7"/>
      <c r="AK2495" s="253"/>
      <c r="AL2495" s="253"/>
      <c r="AM2495" s="7"/>
      <c r="AN2495" s="253"/>
      <c r="AO2495" s="253"/>
      <c r="AP2495" s="253"/>
      <c r="AQ2495" s="253"/>
      <c r="AR2495" s="253"/>
      <c r="AS2495" s="253"/>
      <c r="AT2495" s="253"/>
      <c r="AU2495" s="253"/>
      <c r="AV2495" s="253"/>
      <c r="AW2495" s="253"/>
      <c r="AX2495" s="253"/>
      <c r="AY2495" s="253"/>
      <c r="AZ2495" s="253"/>
    </row>
    <row r="2496" spans="1:52" ht="15.5" customHeight="1">
      <c r="A2496" s="363"/>
      <c r="B2496" s="343"/>
      <c r="C2496" s="7"/>
      <c r="D2496" s="254"/>
      <c r="E2496" s="254"/>
      <c r="F2496" s="254"/>
      <c r="G2496" s="253"/>
      <c r="H2496" s="253"/>
      <c r="I2496" s="253"/>
      <c r="J2496" s="253"/>
      <c r="K2496" s="253"/>
      <c r="L2496" s="7"/>
      <c r="M2496" s="7"/>
      <c r="N2496" s="253"/>
      <c r="O2496" s="255"/>
      <c r="P2496" s="253"/>
      <c r="Q2496" s="7"/>
      <c r="R2496" s="7"/>
      <c r="S2496" s="7"/>
      <c r="T2496" s="7"/>
      <c r="U2496" s="7"/>
      <c r="V2496" s="253"/>
      <c r="W2496" s="7"/>
      <c r="X2496" s="256"/>
      <c r="Y2496" s="256"/>
      <c r="Z2496" s="256"/>
      <c r="AA2496" s="256"/>
      <c r="AB2496" s="257"/>
      <c r="AC2496" s="258"/>
      <c r="AD2496" s="7"/>
      <c r="AE2496" s="253"/>
      <c r="AF2496" s="253"/>
      <c r="AG2496" s="259"/>
      <c r="AH2496" s="253"/>
      <c r="AI2496" s="253"/>
      <c r="AJ2496" s="7"/>
      <c r="AK2496" s="253"/>
      <c r="AL2496" s="253"/>
      <c r="AM2496" s="7"/>
      <c r="AN2496" s="253"/>
      <c r="AO2496" s="253"/>
      <c r="AP2496" s="253"/>
      <c r="AQ2496" s="253"/>
      <c r="AR2496" s="253"/>
      <c r="AS2496" s="253"/>
      <c r="AT2496" s="253"/>
      <c r="AU2496" s="253"/>
      <c r="AV2496" s="253"/>
      <c r="AW2496" s="253"/>
      <c r="AX2496" s="253"/>
      <c r="AY2496" s="253"/>
      <c r="AZ2496" s="253"/>
    </row>
    <row r="2497" spans="1:52" ht="15.5" customHeight="1">
      <c r="A2497" s="363"/>
      <c r="B2497" s="343"/>
      <c r="C2497" s="7"/>
      <c r="D2497" s="254"/>
      <c r="E2497" s="254"/>
      <c r="F2497" s="254"/>
      <c r="G2497" s="253"/>
      <c r="H2497" s="253"/>
      <c r="I2497" s="253"/>
      <c r="J2497" s="253"/>
      <c r="K2497" s="253"/>
      <c r="L2497" s="7"/>
      <c r="M2497" s="7"/>
      <c r="N2497" s="253"/>
      <c r="O2497" s="255"/>
      <c r="P2497" s="253"/>
      <c r="Q2497" s="7"/>
      <c r="R2497" s="7"/>
      <c r="S2497" s="7"/>
      <c r="T2497" s="7"/>
      <c r="U2497" s="7"/>
      <c r="V2497" s="253"/>
      <c r="W2497" s="7"/>
      <c r="X2497" s="256"/>
      <c r="Y2497" s="256"/>
      <c r="Z2497" s="256"/>
      <c r="AA2497" s="256"/>
      <c r="AB2497" s="257"/>
      <c r="AC2497" s="258"/>
      <c r="AD2497" s="7"/>
      <c r="AE2497" s="253"/>
      <c r="AF2497" s="253"/>
      <c r="AG2497" s="259"/>
      <c r="AH2497" s="253"/>
      <c r="AI2497" s="253"/>
      <c r="AJ2497" s="7"/>
      <c r="AK2497" s="253"/>
      <c r="AL2497" s="253"/>
      <c r="AM2497" s="7"/>
      <c r="AN2497" s="253"/>
      <c r="AO2497" s="253"/>
      <c r="AP2497" s="253"/>
      <c r="AQ2497" s="253"/>
      <c r="AR2497" s="253"/>
      <c r="AS2497" s="253"/>
      <c r="AT2497" s="253"/>
      <c r="AU2497" s="253"/>
      <c r="AV2497" s="253"/>
      <c r="AW2497" s="253"/>
      <c r="AX2497" s="253"/>
      <c r="AY2497" s="253"/>
      <c r="AZ2497" s="253"/>
    </row>
    <row r="2498" spans="1:52" ht="15.5" customHeight="1">
      <c r="A2498" s="363"/>
      <c r="B2498" s="343"/>
      <c r="C2498" s="7"/>
      <c r="D2498" s="254"/>
      <c r="E2498" s="254"/>
      <c r="F2498" s="254"/>
      <c r="G2498" s="253"/>
      <c r="H2498" s="253"/>
      <c r="I2498" s="253"/>
      <c r="J2498" s="253"/>
      <c r="K2498" s="253"/>
      <c r="L2498" s="7"/>
      <c r="M2498" s="7"/>
      <c r="N2498" s="253"/>
      <c r="O2498" s="255"/>
      <c r="P2498" s="253"/>
      <c r="Q2498" s="7"/>
      <c r="R2498" s="7"/>
      <c r="S2498" s="7"/>
      <c r="T2498" s="7"/>
      <c r="U2498" s="7"/>
      <c r="V2498" s="253"/>
      <c r="W2498" s="7"/>
      <c r="X2498" s="256"/>
      <c r="Y2498" s="256"/>
      <c r="Z2498" s="256"/>
      <c r="AA2498" s="256"/>
      <c r="AB2498" s="257"/>
      <c r="AC2498" s="258"/>
      <c r="AD2498" s="7"/>
      <c r="AE2498" s="253"/>
      <c r="AF2498" s="253"/>
      <c r="AG2498" s="259"/>
      <c r="AH2498" s="253"/>
      <c r="AI2498" s="253"/>
      <c r="AJ2498" s="7"/>
      <c r="AK2498" s="253"/>
      <c r="AL2498" s="253"/>
      <c r="AM2498" s="7"/>
      <c r="AN2498" s="253"/>
      <c r="AO2498" s="253"/>
      <c r="AP2498" s="253"/>
      <c r="AQ2498" s="253"/>
      <c r="AR2498" s="253"/>
      <c r="AS2498" s="253"/>
      <c r="AT2498" s="253"/>
      <c r="AU2498" s="253"/>
      <c r="AV2498" s="253"/>
      <c r="AW2498" s="253"/>
      <c r="AX2498" s="253"/>
      <c r="AY2498" s="253"/>
      <c r="AZ2498" s="253"/>
    </row>
    <row r="2499" spans="1:52" ht="15.5" customHeight="1">
      <c r="A2499" s="363"/>
      <c r="B2499" s="343"/>
      <c r="C2499" s="7"/>
      <c r="D2499" s="254"/>
      <c r="E2499" s="254"/>
      <c r="F2499" s="254"/>
      <c r="G2499" s="253"/>
      <c r="H2499" s="253"/>
      <c r="I2499" s="253"/>
      <c r="J2499" s="253"/>
      <c r="K2499" s="253"/>
      <c r="L2499" s="7"/>
      <c r="M2499" s="7"/>
      <c r="N2499" s="253"/>
      <c r="O2499" s="255"/>
      <c r="P2499" s="253"/>
      <c r="Q2499" s="7"/>
      <c r="R2499" s="7"/>
      <c r="S2499" s="7"/>
      <c r="T2499" s="7"/>
      <c r="U2499" s="7"/>
      <c r="V2499" s="253"/>
      <c r="W2499" s="7"/>
      <c r="X2499" s="256"/>
      <c r="Y2499" s="256"/>
      <c r="Z2499" s="256"/>
      <c r="AA2499" s="256"/>
      <c r="AB2499" s="257"/>
      <c r="AC2499" s="258"/>
      <c r="AD2499" s="7"/>
      <c r="AE2499" s="253"/>
      <c r="AF2499" s="253"/>
      <c r="AG2499" s="259"/>
      <c r="AH2499" s="253"/>
      <c r="AI2499" s="253"/>
      <c r="AJ2499" s="7"/>
      <c r="AK2499" s="253"/>
      <c r="AL2499" s="253"/>
      <c r="AM2499" s="7"/>
      <c r="AN2499" s="253"/>
      <c r="AO2499" s="253"/>
      <c r="AP2499" s="253"/>
      <c r="AQ2499" s="253"/>
      <c r="AR2499" s="253"/>
      <c r="AS2499" s="253"/>
      <c r="AT2499" s="253"/>
      <c r="AU2499" s="253"/>
      <c r="AV2499" s="253"/>
      <c r="AW2499" s="253"/>
      <c r="AX2499" s="253"/>
      <c r="AY2499" s="253"/>
      <c r="AZ2499" s="253"/>
    </row>
    <row r="2500" spans="1:52" ht="15.5" customHeight="1">
      <c r="A2500" s="363"/>
      <c r="B2500" s="343"/>
      <c r="C2500" s="7"/>
      <c r="D2500" s="254"/>
      <c r="E2500" s="254"/>
      <c r="F2500" s="254"/>
      <c r="G2500" s="253"/>
      <c r="H2500" s="253"/>
      <c r="I2500" s="253"/>
      <c r="J2500" s="253"/>
      <c r="K2500" s="253"/>
      <c r="L2500" s="7"/>
      <c r="M2500" s="7"/>
      <c r="N2500" s="253"/>
      <c r="O2500" s="255"/>
      <c r="P2500" s="253"/>
      <c r="Q2500" s="7"/>
      <c r="R2500" s="7"/>
      <c r="S2500" s="7"/>
      <c r="T2500" s="7"/>
      <c r="U2500" s="7"/>
      <c r="V2500" s="253"/>
      <c r="W2500" s="7"/>
      <c r="X2500" s="256"/>
      <c r="Y2500" s="256"/>
      <c r="Z2500" s="256"/>
      <c r="AA2500" s="256"/>
      <c r="AB2500" s="257"/>
      <c r="AC2500" s="258"/>
      <c r="AD2500" s="7"/>
      <c r="AE2500" s="253"/>
      <c r="AF2500" s="253"/>
      <c r="AG2500" s="259"/>
      <c r="AH2500" s="253"/>
      <c r="AI2500" s="253"/>
      <c r="AJ2500" s="7"/>
      <c r="AK2500" s="253"/>
      <c r="AL2500" s="253"/>
      <c r="AM2500" s="7"/>
      <c r="AN2500" s="253"/>
      <c r="AO2500" s="253"/>
      <c r="AP2500" s="253"/>
      <c r="AQ2500" s="253"/>
      <c r="AR2500" s="253"/>
      <c r="AS2500" s="253"/>
      <c r="AT2500" s="253"/>
      <c r="AU2500" s="253"/>
      <c r="AV2500" s="253"/>
      <c r="AW2500" s="253"/>
      <c r="AX2500" s="253"/>
      <c r="AY2500" s="253"/>
      <c r="AZ2500" s="253"/>
    </row>
    <row r="2501" spans="1:52" ht="15.5" customHeight="1">
      <c r="A2501" s="363"/>
      <c r="B2501" s="343"/>
      <c r="C2501" s="7"/>
      <c r="D2501" s="254"/>
      <c r="E2501" s="254"/>
      <c r="F2501" s="254"/>
      <c r="G2501" s="253"/>
      <c r="H2501" s="253"/>
      <c r="I2501" s="253"/>
      <c r="J2501" s="253"/>
      <c r="K2501" s="253"/>
      <c r="L2501" s="7"/>
      <c r="M2501" s="7"/>
      <c r="N2501" s="253"/>
      <c r="O2501" s="255"/>
      <c r="P2501" s="253"/>
      <c r="Q2501" s="7"/>
      <c r="R2501" s="7"/>
      <c r="S2501" s="7"/>
      <c r="T2501" s="7"/>
      <c r="U2501" s="7"/>
      <c r="V2501" s="253"/>
      <c r="W2501" s="7"/>
      <c r="X2501" s="256"/>
      <c r="Y2501" s="256"/>
      <c r="Z2501" s="256"/>
      <c r="AA2501" s="256"/>
      <c r="AB2501" s="257"/>
      <c r="AC2501" s="258"/>
      <c r="AD2501" s="7"/>
      <c r="AE2501" s="253"/>
      <c r="AF2501" s="253"/>
      <c r="AG2501" s="259"/>
      <c r="AH2501" s="253"/>
      <c r="AI2501" s="253"/>
      <c r="AJ2501" s="7"/>
      <c r="AK2501" s="253"/>
      <c r="AL2501" s="253"/>
      <c r="AM2501" s="7"/>
      <c r="AN2501" s="253"/>
      <c r="AO2501" s="253"/>
      <c r="AP2501" s="253"/>
      <c r="AQ2501" s="253"/>
      <c r="AR2501" s="253"/>
      <c r="AS2501" s="253"/>
      <c r="AT2501" s="253"/>
      <c r="AU2501" s="253"/>
      <c r="AV2501" s="253"/>
      <c r="AW2501" s="253"/>
      <c r="AX2501" s="253"/>
      <c r="AY2501" s="253"/>
      <c r="AZ2501" s="253"/>
    </row>
    <row r="2502" spans="1:52" ht="15.5" customHeight="1">
      <c r="A2502" s="363"/>
      <c r="B2502" s="343"/>
      <c r="C2502" s="7"/>
      <c r="D2502" s="254"/>
      <c r="E2502" s="254"/>
      <c r="F2502" s="254"/>
      <c r="G2502" s="253"/>
      <c r="H2502" s="253"/>
      <c r="I2502" s="253"/>
      <c r="J2502" s="253"/>
      <c r="K2502" s="253"/>
      <c r="L2502" s="7"/>
      <c r="M2502" s="7"/>
      <c r="N2502" s="253"/>
      <c r="O2502" s="255"/>
      <c r="P2502" s="253"/>
      <c r="Q2502" s="7"/>
      <c r="R2502" s="7"/>
      <c r="S2502" s="7"/>
      <c r="T2502" s="7"/>
      <c r="U2502" s="7"/>
      <c r="V2502" s="253"/>
      <c r="W2502" s="7"/>
      <c r="X2502" s="256"/>
      <c r="Y2502" s="256"/>
      <c r="Z2502" s="256"/>
      <c r="AA2502" s="256"/>
      <c r="AB2502" s="257"/>
      <c r="AC2502" s="258"/>
      <c r="AD2502" s="7"/>
      <c r="AE2502" s="253"/>
      <c r="AF2502" s="253"/>
      <c r="AG2502" s="259"/>
      <c r="AH2502" s="253"/>
      <c r="AI2502" s="253"/>
      <c r="AJ2502" s="7"/>
      <c r="AK2502" s="253"/>
      <c r="AL2502" s="253"/>
      <c r="AM2502" s="7"/>
      <c r="AN2502" s="253"/>
      <c r="AO2502" s="253"/>
      <c r="AP2502" s="253"/>
      <c r="AQ2502" s="253"/>
      <c r="AR2502" s="253"/>
      <c r="AS2502" s="253"/>
      <c r="AT2502" s="253"/>
      <c r="AU2502" s="253"/>
      <c r="AV2502" s="253"/>
      <c r="AW2502" s="253"/>
      <c r="AX2502" s="253"/>
      <c r="AY2502" s="253"/>
      <c r="AZ2502" s="253"/>
    </row>
    <row r="2503" spans="1:52" ht="15.5" customHeight="1">
      <c r="A2503" s="363"/>
      <c r="B2503" s="343"/>
      <c r="C2503" s="7"/>
      <c r="D2503" s="254"/>
      <c r="E2503" s="254"/>
      <c r="F2503" s="254"/>
      <c r="G2503" s="253"/>
      <c r="H2503" s="253"/>
      <c r="I2503" s="253"/>
      <c r="J2503" s="253"/>
      <c r="K2503" s="253"/>
      <c r="L2503" s="7"/>
      <c r="M2503" s="7"/>
      <c r="N2503" s="253"/>
      <c r="O2503" s="255"/>
      <c r="P2503" s="253"/>
      <c r="Q2503" s="7"/>
      <c r="R2503" s="7"/>
      <c r="S2503" s="7"/>
      <c r="T2503" s="7"/>
      <c r="U2503" s="7"/>
      <c r="V2503" s="253"/>
      <c r="W2503" s="7"/>
      <c r="X2503" s="256"/>
      <c r="Y2503" s="256"/>
      <c r="Z2503" s="256"/>
      <c r="AA2503" s="256"/>
      <c r="AB2503" s="257"/>
      <c r="AC2503" s="258"/>
      <c r="AD2503" s="7"/>
      <c r="AE2503" s="253"/>
      <c r="AF2503" s="253"/>
      <c r="AG2503" s="259"/>
      <c r="AH2503" s="253"/>
      <c r="AI2503" s="253"/>
      <c r="AJ2503" s="7"/>
      <c r="AK2503" s="253"/>
      <c r="AL2503" s="253"/>
      <c r="AM2503" s="7"/>
      <c r="AN2503" s="253"/>
      <c r="AO2503" s="253"/>
      <c r="AP2503" s="253"/>
      <c r="AQ2503" s="253"/>
      <c r="AR2503" s="253"/>
      <c r="AS2503" s="253"/>
      <c r="AT2503" s="253"/>
      <c r="AU2503" s="253"/>
      <c r="AV2503" s="253"/>
      <c r="AW2503" s="253"/>
      <c r="AX2503" s="253"/>
      <c r="AY2503" s="253"/>
      <c r="AZ2503" s="253"/>
    </row>
    <row r="2504" spans="1:52" ht="15.5" customHeight="1">
      <c r="A2504" s="363"/>
      <c r="B2504" s="343"/>
      <c r="C2504" s="7"/>
      <c r="D2504" s="254"/>
      <c r="E2504" s="254"/>
      <c r="F2504" s="254"/>
      <c r="G2504" s="253"/>
      <c r="H2504" s="253"/>
      <c r="I2504" s="253"/>
      <c r="J2504" s="253"/>
      <c r="K2504" s="253"/>
      <c r="L2504" s="7"/>
      <c r="M2504" s="7"/>
      <c r="N2504" s="253"/>
      <c r="O2504" s="255"/>
      <c r="P2504" s="253"/>
      <c r="Q2504" s="7"/>
      <c r="R2504" s="7"/>
      <c r="S2504" s="7"/>
      <c r="T2504" s="7"/>
      <c r="U2504" s="7"/>
      <c r="V2504" s="253"/>
      <c r="W2504" s="7"/>
      <c r="X2504" s="256"/>
      <c r="Y2504" s="256"/>
      <c r="Z2504" s="256"/>
      <c r="AA2504" s="256"/>
      <c r="AB2504" s="257"/>
      <c r="AC2504" s="258"/>
      <c r="AD2504" s="7"/>
      <c r="AE2504" s="253"/>
      <c r="AF2504" s="253"/>
      <c r="AG2504" s="259"/>
      <c r="AH2504" s="253"/>
      <c r="AI2504" s="253"/>
      <c r="AJ2504" s="7"/>
      <c r="AK2504" s="253"/>
      <c r="AL2504" s="253"/>
      <c r="AM2504" s="7"/>
      <c r="AN2504" s="253"/>
      <c r="AO2504" s="253"/>
      <c r="AP2504" s="253"/>
      <c r="AQ2504" s="253"/>
      <c r="AR2504" s="253"/>
      <c r="AS2504" s="253"/>
      <c r="AT2504" s="253"/>
      <c r="AU2504" s="253"/>
      <c r="AV2504" s="253"/>
      <c r="AW2504" s="253"/>
      <c r="AX2504" s="253"/>
      <c r="AY2504" s="253"/>
      <c r="AZ2504" s="253"/>
    </row>
    <row r="2505" spans="1:52" ht="15.5" customHeight="1">
      <c r="A2505" s="363"/>
      <c r="B2505" s="343"/>
      <c r="C2505" s="7"/>
      <c r="D2505" s="254"/>
      <c r="E2505" s="254"/>
      <c r="F2505" s="254"/>
      <c r="G2505" s="253"/>
      <c r="H2505" s="253"/>
      <c r="I2505" s="253"/>
      <c r="J2505" s="253"/>
      <c r="K2505" s="253"/>
      <c r="L2505" s="7"/>
      <c r="M2505" s="7"/>
      <c r="N2505" s="253"/>
      <c r="O2505" s="255"/>
      <c r="P2505" s="253"/>
      <c r="Q2505" s="7"/>
      <c r="R2505" s="7"/>
      <c r="S2505" s="7"/>
      <c r="T2505" s="7"/>
      <c r="U2505" s="7"/>
      <c r="V2505" s="253"/>
      <c r="W2505" s="7"/>
      <c r="X2505" s="256"/>
      <c r="Y2505" s="256"/>
      <c r="Z2505" s="256"/>
      <c r="AA2505" s="256"/>
      <c r="AB2505" s="257"/>
      <c r="AC2505" s="258"/>
      <c r="AD2505" s="7"/>
      <c r="AE2505" s="253"/>
      <c r="AF2505" s="253"/>
      <c r="AG2505" s="259"/>
      <c r="AH2505" s="253"/>
      <c r="AI2505" s="253"/>
      <c r="AJ2505" s="7"/>
      <c r="AK2505" s="253"/>
      <c r="AL2505" s="253"/>
      <c r="AM2505" s="7"/>
      <c r="AN2505" s="253"/>
      <c r="AO2505" s="253"/>
      <c r="AP2505" s="253"/>
      <c r="AQ2505" s="253"/>
      <c r="AR2505" s="253"/>
      <c r="AS2505" s="253"/>
      <c r="AT2505" s="253"/>
      <c r="AU2505" s="253"/>
      <c r="AV2505" s="253"/>
      <c r="AW2505" s="253"/>
      <c r="AX2505" s="253"/>
      <c r="AY2505" s="253"/>
      <c r="AZ2505" s="253"/>
    </row>
    <row r="2506" spans="1:52" ht="15.5" customHeight="1">
      <c r="A2506" s="363"/>
      <c r="B2506" s="343"/>
      <c r="C2506" s="7"/>
      <c r="D2506" s="254"/>
      <c r="E2506" s="254"/>
      <c r="F2506" s="254"/>
      <c r="G2506" s="253"/>
      <c r="H2506" s="253"/>
      <c r="I2506" s="253"/>
      <c r="J2506" s="253"/>
      <c r="K2506" s="253"/>
      <c r="L2506" s="7"/>
      <c r="M2506" s="7"/>
      <c r="N2506" s="253"/>
      <c r="O2506" s="255"/>
      <c r="P2506" s="253"/>
      <c r="Q2506" s="7"/>
      <c r="R2506" s="7"/>
      <c r="S2506" s="7"/>
      <c r="T2506" s="7"/>
      <c r="U2506" s="7"/>
      <c r="V2506" s="253"/>
      <c r="W2506" s="7"/>
      <c r="X2506" s="256"/>
      <c r="Y2506" s="256"/>
      <c r="Z2506" s="256"/>
      <c r="AA2506" s="256"/>
      <c r="AB2506" s="257"/>
      <c r="AC2506" s="258"/>
      <c r="AD2506" s="7"/>
      <c r="AE2506" s="253"/>
      <c r="AF2506" s="253"/>
      <c r="AG2506" s="259"/>
      <c r="AH2506" s="253"/>
      <c r="AI2506" s="253"/>
      <c r="AJ2506" s="7"/>
      <c r="AK2506" s="253"/>
      <c r="AL2506" s="253"/>
      <c r="AM2506" s="7"/>
      <c r="AN2506" s="253"/>
      <c r="AO2506" s="253"/>
      <c r="AP2506" s="253"/>
      <c r="AQ2506" s="253"/>
      <c r="AR2506" s="253"/>
      <c r="AS2506" s="253"/>
      <c r="AT2506" s="253"/>
      <c r="AU2506" s="253"/>
      <c r="AV2506" s="253"/>
      <c r="AW2506" s="253"/>
      <c r="AX2506" s="253"/>
      <c r="AY2506" s="253"/>
      <c r="AZ2506" s="253"/>
    </row>
    <row r="2507" spans="1:52" ht="15.5" customHeight="1">
      <c r="A2507" s="363"/>
      <c r="B2507" s="343"/>
      <c r="C2507" s="7"/>
      <c r="D2507" s="254"/>
      <c r="E2507" s="254"/>
      <c r="F2507" s="254"/>
      <c r="G2507" s="253"/>
      <c r="H2507" s="253"/>
      <c r="I2507" s="253"/>
      <c r="J2507" s="253"/>
      <c r="K2507" s="253"/>
      <c r="L2507" s="7"/>
      <c r="M2507" s="7"/>
      <c r="N2507" s="253"/>
      <c r="O2507" s="255"/>
      <c r="P2507" s="253"/>
      <c r="Q2507" s="7"/>
      <c r="R2507" s="7"/>
      <c r="S2507" s="7"/>
      <c r="T2507" s="7"/>
      <c r="U2507" s="7"/>
      <c r="V2507" s="253"/>
      <c r="W2507" s="7"/>
      <c r="X2507" s="256"/>
      <c r="Y2507" s="256"/>
      <c r="Z2507" s="256"/>
      <c r="AA2507" s="256"/>
      <c r="AB2507" s="257"/>
      <c r="AC2507" s="258"/>
      <c r="AD2507" s="7"/>
      <c r="AE2507" s="253"/>
      <c r="AF2507" s="253"/>
      <c r="AG2507" s="259"/>
      <c r="AH2507" s="253"/>
      <c r="AI2507" s="253"/>
      <c r="AJ2507" s="7"/>
      <c r="AK2507" s="253"/>
      <c r="AL2507" s="253"/>
      <c r="AM2507" s="7"/>
      <c r="AN2507" s="253"/>
      <c r="AO2507" s="253"/>
      <c r="AP2507" s="253"/>
      <c r="AQ2507" s="253"/>
      <c r="AR2507" s="253"/>
      <c r="AS2507" s="253"/>
      <c r="AT2507" s="253"/>
      <c r="AU2507" s="253"/>
      <c r="AV2507" s="253"/>
      <c r="AW2507" s="253"/>
      <c r="AX2507" s="253"/>
      <c r="AY2507" s="253"/>
      <c r="AZ2507" s="253"/>
    </row>
    <row r="2508" spans="1:52" ht="15.5" customHeight="1">
      <c r="A2508" s="363"/>
      <c r="B2508" s="343"/>
      <c r="C2508" s="7"/>
      <c r="D2508" s="254"/>
      <c r="E2508" s="254"/>
      <c r="F2508" s="254"/>
      <c r="G2508" s="253"/>
      <c r="H2508" s="253"/>
      <c r="I2508" s="253"/>
      <c r="J2508" s="253"/>
      <c r="K2508" s="253"/>
      <c r="L2508" s="7"/>
      <c r="M2508" s="7"/>
      <c r="N2508" s="253"/>
      <c r="O2508" s="255"/>
      <c r="P2508" s="253"/>
      <c r="Q2508" s="7"/>
      <c r="R2508" s="7"/>
      <c r="S2508" s="7"/>
      <c r="T2508" s="7"/>
      <c r="U2508" s="7"/>
      <c r="V2508" s="253"/>
      <c r="W2508" s="7"/>
      <c r="X2508" s="256"/>
      <c r="Y2508" s="256"/>
      <c r="Z2508" s="256"/>
      <c r="AA2508" s="256"/>
      <c r="AB2508" s="257"/>
      <c r="AC2508" s="258"/>
      <c r="AD2508" s="7"/>
      <c r="AE2508" s="253"/>
      <c r="AF2508" s="253"/>
      <c r="AG2508" s="259"/>
      <c r="AH2508" s="253"/>
      <c r="AI2508" s="253"/>
      <c r="AJ2508" s="7"/>
      <c r="AK2508" s="253"/>
      <c r="AL2508" s="253"/>
      <c r="AM2508" s="7"/>
      <c r="AN2508" s="253"/>
      <c r="AO2508" s="253"/>
      <c r="AP2508" s="253"/>
      <c r="AQ2508" s="253"/>
      <c r="AR2508" s="253"/>
      <c r="AS2508" s="253"/>
      <c r="AT2508" s="253"/>
      <c r="AU2508" s="253"/>
      <c r="AV2508" s="253"/>
      <c r="AW2508" s="253"/>
      <c r="AX2508" s="253"/>
      <c r="AY2508" s="253"/>
      <c r="AZ2508" s="253"/>
    </row>
    <row r="2509" spans="1:52" ht="15.5" customHeight="1">
      <c r="A2509" s="363"/>
      <c r="B2509" s="343"/>
      <c r="C2509" s="7"/>
      <c r="D2509" s="254"/>
      <c r="E2509" s="254"/>
      <c r="F2509" s="254"/>
      <c r="G2509" s="253"/>
      <c r="H2509" s="253"/>
      <c r="I2509" s="253"/>
      <c r="J2509" s="253"/>
      <c r="K2509" s="253"/>
      <c r="L2509" s="7"/>
      <c r="M2509" s="7"/>
      <c r="N2509" s="253"/>
      <c r="O2509" s="255"/>
      <c r="P2509" s="253"/>
      <c r="Q2509" s="7"/>
      <c r="R2509" s="7"/>
      <c r="S2509" s="7"/>
      <c r="T2509" s="7"/>
      <c r="U2509" s="7"/>
      <c r="V2509" s="253"/>
      <c r="W2509" s="7"/>
      <c r="X2509" s="256"/>
      <c r="Y2509" s="256"/>
      <c r="Z2509" s="256"/>
      <c r="AA2509" s="256"/>
      <c r="AB2509" s="257"/>
      <c r="AC2509" s="258"/>
      <c r="AD2509" s="7"/>
      <c r="AE2509" s="253"/>
      <c r="AF2509" s="253"/>
      <c r="AG2509" s="259"/>
      <c r="AH2509" s="253"/>
      <c r="AI2509" s="253"/>
      <c r="AJ2509" s="7"/>
      <c r="AK2509" s="253"/>
      <c r="AL2509" s="253"/>
      <c r="AM2509" s="7"/>
      <c r="AN2509" s="253"/>
      <c r="AO2509" s="253"/>
      <c r="AP2509" s="253"/>
      <c r="AQ2509" s="253"/>
      <c r="AR2509" s="253"/>
      <c r="AS2509" s="253"/>
      <c r="AT2509" s="253"/>
      <c r="AU2509" s="253"/>
      <c r="AV2509" s="253"/>
      <c r="AW2509" s="253"/>
      <c r="AX2509" s="253"/>
      <c r="AY2509" s="253"/>
      <c r="AZ2509" s="253"/>
    </row>
    <row r="2510" spans="1:52" ht="15.5" customHeight="1">
      <c r="A2510" s="363"/>
      <c r="B2510" s="343"/>
      <c r="C2510" s="7"/>
      <c r="D2510" s="254"/>
      <c r="E2510" s="254"/>
      <c r="F2510" s="254"/>
      <c r="G2510" s="253"/>
      <c r="H2510" s="253"/>
      <c r="I2510" s="253"/>
      <c r="J2510" s="253"/>
      <c r="K2510" s="253"/>
      <c r="L2510" s="7"/>
      <c r="M2510" s="7"/>
      <c r="N2510" s="253"/>
      <c r="O2510" s="255"/>
      <c r="P2510" s="253"/>
      <c r="Q2510" s="7"/>
      <c r="R2510" s="7"/>
      <c r="S2510" s="7"/>
      <c r="T2510" s="7"/>
      <c r="U2510" s="7"/>
      <c r="V2510" s="253"/>
      <c r="W2510" s="7"/>
      <c r="X2510" s="256"/>
      <c r="Y2510" s="256"/>
      <c r="Z2510" s="256"/>
      <c r="AA2510" s="256"/>
      <c r="AB2510" s="257"/>
      <c r="AC2510" s="258"/>
      <c r="AD2510" s="7"/>
      <c r="AE2510" s="253"/>
      <c r="AF2510" s="253"/>
      <c r="AG2510" s="259"/>
      <c r="AH2510" s="253"/>
      <c r="AI2510" s="253"/>
      <c r="AJ2510" s="7"/>
      <c r="AK2510" s="253"/>
      <c r="AL2510" s="253"/>
      <c r="AM2510" s="7"/>
      <c r="AN2510" s="253"/>
      <c r="AO2510" s="253"/>
      <c r="AP2510" s="253"/>
      <c r="AQ2510" s="253"/>
      <c r="AR2510" s="253"/>
      <c r="AS2510" s="253"/>
      <c r="AT2510" s="253"/>
      <c r="AU2510" s="253"/>
      <c r="AV2510" s="253"/>
      <c r="AW2510" s="253"/>
      <c r="AX2510" s="253"/>
      <c r="AY2510" s="253"/>
      <c r="AZ2510" s="253"/>
    </row>
    <row r="2511" spans="1:52" ht="15.5" customHeight="1">
      <c r="A2511" s="363"/>
      <c r="B2511" s="343"/>
      <c r="C2511" s="7"/>
      <c r="D2511" s="254"/>
      <c r="E2511" s="254"/>
      <c r="F2511" s="254"/>
      <c r="G2511" s="253"/>
      <c r="H2511" s="253"/>
      <c r="I2511" s="253"/>
      <c r="J2511" s="253"/>
      <c r="K2511" s="253"/>
      <c r="L2511" s="7"/>
      <c r="M2511" s="7"/>
      <c r="N2511" s="253"/>
      <c r="O2511" s="255"/>
      <c r="P2511" s="253"/>
      <c r="Q2511" s="7"/>
      <c r="R2511" s="7"/>
      <c r="S2511" s="7"/>
      <c r="T2511" s="7"/>
      <c r="U2511" s="7"/>
      <c r="V2511" s="253"/>
      <c r="W2511" s="7"/>
      <c r="X2511" s="256"/>
      <c r="Y2511" s="256"/>
      <c r="Z2511" s="256"/>
      <c r="AA2511" s="256"/>
      <c r="AB2511" s="257"/>
      <c r="AC2511" s="258"/>
      <c r="AD2511" s="7"/>
      <c r="AE2511" s="253"/>
      <c r="AF2511" s="253"/>
      <c r="AG2511" s="259"/>
      <c r="AH2511" s="253"/>
      <c r="AI2511" s="253"/>
      <c r="AJ2511" s="7"/>
      <c r="AK2511" s="253"/>
      <c r="AL2511" s="253"/>
      <c r="AM2511" s="7"/>
      <c r="AN2511" s="253"/>
      <c r="AO2511" s="253"/>
      <c r="AP2511" s="253"/>
      <c r="AQ2511" s="253"/>
      <c r="AR2511" s="253"/>
      <c r="AS2511" s="253"/>
      <c r="AT2511" s="253"/>
      <c r="AU2511" s="253"/>
      <c r="AV2511" s="253"/>
      <c r="AW2511" s="253"/>
      <c r="AX2511" s="253"/>
      <c r="AY2511" s="253"/>
      <c r="AZ2511" s="253"/>
    </row>
    <row r="2512" spans="1:52" ht="15.5" customHeight="1">
      <c r="A2512" s="363"/>
      <c r="B2512" s="343"/>
      <c r="C2512" s="7"/>
      <c r="D2512" s="254"/>
      <c r="E2512" s="254"/>
      <c r="F2512" s="254"/>
      <c r="G2512" s="253"/>
      <c r="H2512" s="253"/>
      <c r="I2512" s="253"/>
      <c r="J2512" s="253"/>
      <c r="K2512" s="253"/>
      <c r="L2512" s="7"/>
      <c r="M2512" s="7"/>
      <c r="N2512" s="253"/>
      <c r="O2512" s="255"/>
      <c r="P2512" s="253"/>
      <c r="Q2512" s="7"/>
      <c r="R2512" s="7"/>
      <c r="S2512" s="7"/>
      <c r="T2512" s="7"/>
      <c r="U2512" s="7"/>
      <c r="V2512" s="253"/>
      <c r="W2512" s="7"/>
      <c r="X2512" s="256"/>
      <c r="Y2512" s="256"/>
      <c r="Z2512" s="256"/>
      <c r="AA2512" s="256"/>
      <c r="AB2512" s="257"/>
      <c r="AC2512" s="258"/>
      <c r="AD2512" s="7"/>
      <c r="AE2512" s="253"/>
      <c r="AF2512" s="253"/>
      <c r="AG2512" s="259"/>
      <c r="AH2512" s="253"/>
      <c r="AI2512" s="253"/>
      <c r="AJ2512" s="7"/>
      <c r="AK2512" s="253"/>
      <c r="AL2512" s="253"/>
      <c r="AM2512" s="7"/>
      <c r="AN2512" s="253"/>
      <c r="AO2512" s="253"/>
      <c r="AP2512" s="253"/>
      <c r="AQ2512" s="253"/>
      <c r="AR2512" s="253"/>
      <c r="AS2512" s="253"/>
      <c r="AT2512" s="253"/>
      <c r="AU2512" s="253"/>
      <c r="AV2512" s="253"/>
      <c r="AW2512" s="253"/>
      <c r="AX2512" s="253"/>
      <c r="AY2512" s="253"/>
      <c r="AZ2512" s="253"/>
    </row>
    <row r="2513" spans="1:52" ht="15.5" customHeight="1">
      <c r="A2513" s="363"/>
      <c r="B2513" s="343"/>
      <c r="C2513" s="7"/>
      <c r="D2513" s="254"/>
      <c r="E2513" s="254"/>
      <c r="F2513" s="254"/>
      <c r="G2513" s="253"/>
      <c r="H2513" s="253"/>
      <c r="I2513" s="253"/>
      <c r="J2513" s="253"/>
      <c r="K2513" s="253"/>
      <c r="L2513" s="7"/>
      <c r="M2513" s="7"/>
      <c r="N2513" s="253"/>
      <c r="O2513" s="255"/>
      <c r="P2513" s="253"/>
      <c r="Q2513" s="7"/>
      <c r="R2513" s="7"/>
      <c r="S2513" s="7"/>
      <c r="T2513" s="7"/>
      <c r="U2513" s="7"/>
      <c r="V2513" s="253"/>
      <c r="W2513" s="7"/>
      <c r="X2513" s="256"/>
      <c r="Y2513" s="256"/>
      <c r="Z2513" s="256"/>
      <c r="AA2513" s="256"/>
      <c r="AB2513" s="257"/>
      <c r="AC2513" s="258"/>
      <c r="AD2513" s="7"/>
      <c r="AE2513" s="253"/>
      <c r="AF2513" s="253"/>
      <c r="AG2513" s="259"/>
      <c r="AH2513" s="253"/>
      <c r="AI2513" s="253"/>
      <c r="AJ2513" s="7"/>
      <c r="AK2513" s="253"/>
      <c r="AL2513" s="253"/>
      <c r="AM2513" s="7"/>
      <c r="AN2513" s="253"/>
      <c r="AO2513" s="253"/>
      <c r="AP2513" s="253"/>
      <c r="AQ2513" s="253"/>
      <c r="AR2513" s="253"/>
      <c r="AS2513" s="253"/>
      <c r="AT2513" s="253"/>
      <c r="AU2513" s="253"/>
      <c r="AV2513" s="253"/>
      <c r="AW2513" s="253"/>
      <c r="AX2513" s="253"/>
      <c r="AY2513" s="253"/>
      <c r="AZ2513" s="253"/>
    </row>
    <row r="2514" spans="1:52" ht="15.5" customHeight="1">
      <c r="A2514" s="363"/>
      <c r="B2514" s="343"/>
      <c r="C2514" s="7"/>
      <c r="D2514" s="254"/>
      <c r="E2514" s="254"/>
      <c r="F2514" s="254"/>
      <c r="G2514" s="253"/>
      <c r="H2514" s="253"/>
      <c r="I2514" s="253"/>
      <c r="J2514" s="253"/>
      <c r="K2514" s="253"/>
      <c r="L2514" s="7"/>
      <c r="M2514" s="7"/>
      <c r="N2514" s="253"/>
      <c r="O2514" s="255"/>
      <c r="P2514" s="253"/>
      <c r="Q2514" s="7"/>
      <c r="R2514" s="7"/>
      <c r="S2514" s="7"/>
      <c r="T2514" s="7"/>
      <c r="U2514" s="7"/>
      <c r="V2514" s="253"/>
      <c r="W2514" s="7"/>
      <c r="X2514" s="256"/>
      <c r="Y2514" s="256"/>
      <c r="Z2514" s="256"/>
      <c r="AA2514" s="256"/>
      <c r="AB2514" s="257"/>
      <c r="AC2514" s="258"/>
      <c r="AD2514" s="7"/>
      <c r="AE2514" s="253"/>
      <c r="AF2514" s="253"/>
      <c r="AG2514" s="259"/>
      <c r="AH2514" s="253"/>
      <c r="AI2514" s="253"/>
      <c r="AJ2514" s="7"/>
      <c r="AK2514" s="253"/>
      <c r="AL2514" s="253"/>
      <c r="AM2514" s="7"/>
      <c r="AN2514" s="253"/>
      <c r="AO2514" s="253"/>
      <c r="AP2514" s="253"/>
      <c r="AQ2514" s="253"/>
      <c r="AR2514" s="253"/>
      <c r="AS2514" s="253"/>
      <c r="AT2514" s="253"/>
      <c r="AU2514" s="253"/>
      <c r="AV2514" s="253"/>
      <c r="AW2514" s="253"/>
      <c r="AX2514" s="253"/>
      <c r="AY2514" s="253"/>
      <c r="AZ2514" s="253"/>
    </row>
    <row r="2515" spans="1:52" ht="15.5" customHeight="1">
      <c r="A2515" s="363"/>
      <c r="B2515" s="343"/>
      <c r="C2515" s="7"/>
      <c r="D2515" s="254"/>
      <c r="E2515" s="254"/>
      <c r="F2515" s="254"/>
      <c r="G2515" s="253"/>
      <c r="H2515" s="253"/>
      <c r="I2515" s="253"/>
      <c r="J2515" s="253"/>
      <c r="K2515" s="253"/>
      <c r="L2515" s="7"/>
      <c r="M2515" s="7"/>
      <c r="N2515" s="253"/>
      <c r="O2515" s="255"/>
      <c r="P2515" s="253"/>
      <c r="Q2515" s="7"/>
      <c r="R2515" s="7"/>
      <c r="S2515" s="7"/>
      <c r="T2515" s="7"/>
      <c r="U2515" s="7"/>
      <c r="V2515" s="253"/>
      <c r="W2515" s="7"/>
      <c r="X2515" s="256"/>
      <c r="Y2515" s="256"/>
      <c r="Z2515" s="256"/>
      <c r="AA2515" s="256"/>
      <c r="AB2515" s="257"/>
      <c r="AC2515" s="258"/>
      <c r="AD2515" s="7"/>
      <c r="AE2515" s="253"/>
      <c r="AF2515" s="253"/>
      <c r="AG2515" s="259"/>
      <c r="AH2515" s="253"/>
      <c r="AI2515" s="253"/>
      <c r="AJ2515" s="7"/>
      <c r="AK2515" s="253"/>
      <c r="AL2515" s="253"/>
      <c r="AM2515" s="7"/>
      <c r="AN2515" s="253"/>
      <c r="AO2515" s="253"/>
      <c r="AP2515" s="253"/>
      <c r="AQ2515" s="253"/>
      <c r="AR2515" s="253"/>
      <c r="AS2515" s="253"/>
      <c r="AT2515" s="253"/>
      <c r="AU2515" s="253"/>
      <c r="AV2515" s="253"/>
      <c r="AW2515" s="253"/>
      <c r="AX2515" s="253"/>
      <c r="AY2515" s="253"/>
      <c r="AZ2515" s="253"/>
    </row>
    <row r="2516" spans="1:52" ht="15.5" customHeight="1">
      <c r="A2516" s="363"/>
      <c r="B2516" s="343"/>
      <c r="C2516" s="7"/>
      <c r="D2516" s="254"/>
      <c r="E2516" s="254"/>
      <c r="F2516" s="254"/>
      <c r="G2516" s="253"/>
      <c r="H2516" s="253"/>
      <c r="I2516" s="253"/>
      <c r="J2516" s="253"/>
      <c r="K2516" s="253"/>
      <c r="L2516" s="7"/>
      <c r="M2516" s="7"/>
      <c r="N2516" s="253"/>
      <c r="O2516" s="255"/>
      <c r="P2516" s="253"/>
      <c r="Q2516" s="7"/>
      <c r="R2516" s="7"/>
      <c r="S2516" s="7"/>
      <c r="T2516" s="7"/>
      <c r="U2516" s="7"/>
      <c r="V2516" s="253"/>
      <c r="W2516" s="7"/>
      <c r="X2516" s="256"/>
      <c r="Y2516" s="256"/>
      <c r="Z2516" s="256"/>
      <c r="AA2516" s="256"/>
      <c r="AB2516" s="257"/>
      <c r="AC2516" s="258"/>
      <c r="AD2516" s="7"/>
      <c r="AE2516" s="253"/>
      <c r="AF2516" s="253"/>
      <c r="AG2516" s="259"/>
      <c r="AH2516" s="253"/>
      <c r="AI2516" s="253"/>
      <c r="AJ2516" s="7"/>
      <c r="AK2516" s="253"/>
      <c r="AL2516" s="253"/>
      <c r="AM2516" s="7"/>
      <c r="AN2516" s="253"/>
      <c r="AO2516" s="253"/>
      <c r="AP2516" s="253"/>
      <c r="AQ2516" s="253"/>
      <c r="AR2516" s="253"/>
      <c r="AS2516" s="253"/>
      <c r="AT2516" s="253"/>
      <c r="AU2516" s="253"/>
      <c r="AV2516" s="253"/>
      <c r="AW2516" s="253"/>
      <c r="AX2516" s="253"/>
      <c r="AY2516" s="253"/>
      <c r="AZ2516" s="253"/>
    </row>
    <row r="2517" spans="1:52" ht="15.5" customHeight="1">
      <c r="A2517" s="363"/>
      <c r="B2517" s="343"/>
      <c r="C2517" s="7"/>
      <c r="D2517" s="254"/>
      <c r="E2517" s="254"/>
      <c r="F2517" s="254"/>
      <c r="G2517" s="253"/>
      <c r="H2517" s="253"/>
      <c r="I2517" s="253"/>
      <c r="J2517" s="253"/>
      <c r="K2517" s="253"/>
      <c r="L2517" s="7"/>
      <c r="M2517" s="7"/>
      <c r="N2517" s="253"/>
      <c r="O2517" s="255"/>
      <c r="P2517" s="253"/>
      <c r="Q2517" s="7"/>
      <c r="R2517" s="7"/>
      <c r="S2517" s="7"/>
      <c r="T2517" s="7"/>
      <c r="U2517" s="7"/>
      <c r="V2517" s="253"/>
      <c r="W2517" s="7"/>
      <c r="X2517" s="256"/>
      <c r="Y2517" s="256"/>
      <c r="Z2517" s="256"/>
      <c r="AA2517" s="256"/>
      <c r="AB2517" s="257"/>
      <c r="AC2517" s="258"/>
      <c r="AD2517" s="7"/>
      <c r="AE2517" s="253"/>
      <c r="AF2517" s="253"/>
      <c r="AG2517" s="259"/>
      <c r="AH2517" s="253"/>
      <c r="AI2517" s="253"/>
      <c r="AJ2517" s="7"/>
      <c r="AK2517" s="253"/>
      <c r="AL2517" s="253"/>
      <c r="AM2517" s="7"/>
      <c r="AN2517" s="253"/>
      <c r="AO2517" s="253"/>
      <c r="AP2517" s="253"/>
      <c r="AQ2517" s="253"/>
      <c r="AR2517" s="253"/>
      <c r="AS2517" s="253"/>
      <c r="AT2517" s="253"/>
      <c r="AU2517" s="253"/>
      <c r="AV2517" s="253"/>
      <c r="AW2517" s="253"/>
      <c r="AX2517" s="253"/>
      <c r="AY2517" s="253"/>
      <c r="AZ2517" s="253"/>
    </row>
    <row r="2518" spans="1:52" ht="15.5" customHeight="1">
      <c r="A2518" s="363"/>
      <c r="B2518" s="343"/>
      <c r="C2518" s="7"/>
      <c r="D2518" s="254"/>
      <c r="E2518" s="254"/>
      <c r="F2518" s="254"/>
      <c r="G2518" s="253"/>
      <c r="H2518" s="253"/>
      <c r="I2518" s="253"/>
      <c r="J2518" s="253"/>
      <c r="K2518" s="253"/>
      <c r="L2518" s="7"/>
      <c r="M2518" s="7"/>
      <c r="N2518" s="253"/>
      <c r="O2518" s="255"/>
      <c r="P2518" s="253"/>
      <c r="Q2518" s="7"/>
      <c r="R2518" s="7"/>
      <c r="S2518" s="7"/>
      <c r="T2518" s="7"/>
      <c r="U2518" s="7"/>
      <c r="V2518" s="253"/>
      <c r="W2518" s="7"/>
      <c r="X2518" s="256"/>
      <c r="Y2518" s="256"/>
      <c r="Z2518" s="256"/>
      <c r="AA2518" s="256"/>
      <c r="AB2518" s="257"/>
      <c r="AC2518" s="258"/>
      <c r="AD2518" s="7"/>
      <c r="AE2518" s="253"/>
      <c r="AF2518" s="253"/>
      <c r="AG2518" s="259"/>
      <c r="AH2518" s="253"/>
      <c r="AI2518" s="253"/>
      <c r="AJ2518" s="7"/>
      <c r="AK2518" s="253"/>
      <c r="AL2518" s="253"/>
      <c r="AM2518" s="7"/>
      <c r="AN2518" s="253"/>
      <c r="AO2518" s="253"/>
      <c r="AP2518" s="253"/>
      <c r="AQ2518" s="253"/>
      <c r="AR2518" s="253"/>
      <c r="AS2518" s="253"/>
      <c r="AT2518" s="253"/>
      <c r="AU2518" s="253"/>
      <c r="AV2518" s="253"/>
      <c r="AW2518" s="253"/>
      <c r="AX2518" s="253"/>
      <c r="AY2518" s="253"/>
      <c r="AZ2518" s="253"/>
    </row>
    <row r="2519" spans="1:52" ht="15.5" customHeight="1">
      <c r="A2519" s="363"/>
      <c r="B2519" s="343"/>
      <c r="C2519" s="7"/>
      <c r="D2519" s="254"/>
      <c r="E2519" s="254"/>
      <c r="F2519" s="254"/>
      <c r="G2519" s="253"/>
      <c r="H2519" s="253"/>
      <c r="I2519" s="253"/>
      <c r="J2519" s="253"/>
      <c r="K2519" s="253"/>
      <c r="L2519" s="7"/>
      <c r="M2519" s="7"/>
      <c r="N2519" s="253"/>
      <c r="O2519" s="255"/>
      <c r="P2519" s="253"/>
      <c r="Q2519" s="7"/>
      <c r="R2519" s="7"/>
      <c r="S2519" s="7"/>
      <c r="T2519" s="7"/>
      <c r="U2519" s="7"/>
      <c r="V2519" s="253"/>
      <c r="W2519" s="7"/>
      <c r="X2519" s="256"/>
      <c r="Y2519" s="256"/>
      <c r="Z2519" s="256"/>
      <c r="AA2519" s="256"/>
      <c r="AB2519" s="257"/>
      <c r="AC2519" s="258"/>
      <c r="AD2519" s="7"/>
      <c r="AE2519" s="253"/>
      <c r="AF2519" s="253"/>
      <c r="AG2519" s="259"/>
      <c r="AH2519" s="253"/>
      <c r="AI2519" s="253"/>
      <c r="AJ2519" s="7"/>
      <c r="AK2519" s="253"/>
      <c r="AL2519" s="253"/>
      <c r="AM2519" s="7"/>
      <c r="AN2519" s="253"/>
      <c r="AO2519" s="253"/>
      <c r="AP2519" s="253"/>
      <c r="AQ2519" s="253"/>
      <c r="AR2519" s="253"/>
      <c r="AS2519" s="253"/>
      <c r="AT2519" s="253"/>
      <c r="AU2519" s="253"/>
      <c r="AV2519" s="253"/>
      <c r="AW2519" s="253"/>
      <c r="AX2519" s="253"/>
      <c r="AY2519" s="253"/>
      <c r="AZ2519" s="253"/>
    </row>
    <row r="2520" spans="1:52" ht="15.5" customHeight="1">
      <c r="A2520" s="363"/>
      <c r="B2520" s="343"/>
      <c r="C2520" s="7"/>
      <c r="D2520" s="254"/>
      <c r="E2520" s="254"/>
      <c r="F2520" s="254"/>
      <c r="G2520" s="253"/>
      <c r="H2520" s="253"/>
      <c r="I2520" s="253"/>
      <c r="J2520" s="253"/>
      <c r="K2520" s="253"/>
      <c r="L2520" s="7"/>
      <c r="M2520" s="7"/>
      <c r="N2520" s="253"/>
      <c r="O2520" s="255"/>
      <c r="P2520" s="253"/>
      <c r="Q2520" s="7"/>
      <c r="R2520" s="7"/>
      <c r="S2520" s="7"/>
      <c r="T2520" s="7"/>
      <c r="U2520" s="7"/>
      <c r="V2520" s="253"/>
      <c r="W2520" s="7"/>
      <c r="X2520" s="256"/>
      <c r="Y2520" s="256"/>
      <c r="Z2520" s="256"/>
      <c r="AA2520" s="256"/>
      <c r="AB2520" s="257"/>
      <c r="AC2520" s="258"/>
      <c r="AD2520" s="7"/>
      <c r="AE2520" s="253"/>
      <c r="AF2520" s="253"/>
      <c r="AG2520" s="259"/>
      <c r="AH2520" s="253"/>
      <c r="AI2520" s="253"/>
      <c r="AJ2520" s="7"/>
      <c r="AK2520" s="253"/>
      <c r="AL2520" s="253"/>
      <c r="AM2520" s="7"/>
      <c r="AN2520" s="253"/>
      <c r="AO2520" s="253"/>
      <c r="AP2520" s="253"/>
      <c r="AQ2520" s="253"/>
      <c r="AR2520" s="253"/>
      <c r="AS2520" s="253"/>
      <c r="AT2520" s="253"/>
      <c r="AU2520" s="253"/>
      <c r="AV2520" s="253"/>
      <c r="AW2520" s="253"/>
      <c r="AX2520" s="253"/>
      <c r="AY2520" s="253"/>
      <c r="AZ2520" s="253"/>
    </row>
    <row r="2521" spans="1:52" ht="15.5" customHeight="1">
      <c r="A2521" s="363"/>
      <c r="B2521" s="343"/>
      <c r="C2521" s="7"/>
      <c r="D2521" s="254"/>
      <c r="E2521" s="254"/>
      <c r="F2521" s="254"/>
      <c r="G2521" s="253"/>
      <c r="H2521" s="253"/>
      <c r="I2521" s="253"/>
      <c r="J2521" s="253"/>
      <c r="K2521" s="253"/>
      <c r="L2521" s="7"/>
      <c r="M2521" s="7"/>
      <c r="N2521" s="253"/>
      <c r="O2521" s="255"/>
      <c r="P2521" s="253"/>
      <c r="Q2521" s="7"/>
      <c r="R2521" s="7"/>
      <c r="S2521" s="7"/>
      <c r="T2521" s="7"/>
      <c r="U2521" s="7"/>
      <c r="V2521" s="253"/>
      <c r="W2521" s="7"/>
      <c r="X2521" s="256"/>
      <c r="Y2521" s="256"/>
      <c r="Z2521" s="256"/>
      <c r="AA2521" s="256"/>
      <c r="AB2521" s="257"/>
      <c r="AC2521" s="258"/>
      <c r="AD2521" s="7"/>
      <c r="AE2521" s="253"/>
      <c r="AF2521" s="253"/>
      <c r="AG2521" s="259"/>
      <c r="AH2521" s="253"/>
      <c r="AI2521" s="253"/>
      <c r="AJ2521" s="7"/>
      <c r="AK2521" s="253"/>
      <c r="AL2521" s="253"/>
      <c r="AM2521" s="7"/>
      <c r="AN2521" s="253"/>
      <c r="AO2521" s="253"/>
      <c r="AP2521" s="253"/>
      <c r="AQ2521" s="253"/>
      <c r="AR2521" s="253"/>
      <c r="AS2521" s="253"/>
      <c r="AT2521" s="253"/>
      <c r="AU2521" s="253"/>
      <c r="AV2521" s="253"/>
      <c r="AW2521" s="253"/>
      <c r="AX2521" s="253"/>
      <c r="AY2521" s="253"/>
      <c r="AZ2521" s="253"/>
    </row>
    <row r="2522" spans="1:52" ht="15.5" customHeight="1">
      <c r="A2522" s="363"/>
      <c r="B2522" s="343"/>
      <c r="C2522" s="7"/>
      <c r="D2522" s="254"/>
      <c r="E2522" s="254"/>
      <c r="F2522" s="254"/>
      <c r="G2522" s="253"/>
      <c r="H2522" s="253"/>
      <c r="I2522" s="253"/>
      <c r="J2522" s="253"/>
      <c r="K2522" s="253"/>
      <c r="L2522" s="7"/>
      <c r="M2522" s="7"/>
      <c r="N2522" s="253"/>
      <c r="O2522" s="255"/>
      <c r="P2522" s="253"/>
      <c r="Q2522" s="7"/>
      <c r="R2522" s="7"/>
      <c r="S2522" s="7"/>
      <c r="T2522" s="7"/>
      <c r="U2522" s="7"/>
      <c r="V2522" s="253"/>
      <c r="W2522" s="7"/>
      <c r="X2522" s="256"/>
      <c r="Y2522" s="256"/>
      <c r="Z2522" s="256"/>
      <c r="AA2522" s="256"/>
      <c r="AB2522" s="257"/>
      <c r="AC2522" s="258"/>
      <c r="AD2522" s="7"/>
      <c r="AE2522" s="253"/>
      <c r="AF2522" s="253"/>
      <c r="AG2522" s="259"/>
      <c r="AH2522" s="253"/>
      <c r="AI2522" s="253"/>
      <c r="AJ2522" s="7"/>
      <c r="AK2522" s="253"/>
      <c r="AL2522" s="253"/>
      <c r="AM2522" s="7"/>
      <c r="AN2522" s="253"/>
      <c r="AO2522" s="253"/>
      <c r="AP2522" s="253"/>
      <c r="AQ2522" s="253"/>
      <c r="AR2522" s="253"/>
      <c r="AS2522" s="253"/>
      <c r="AT2522" s="253"/>
      <c r="AU2522" s="253"/>
      <c r="AV2522" s="253"/>
      <c r="AW2522" s="253"/>
      <c r="AX2522" s="253"/>
      <c r="AY2522" s="253"/>
      <c r="AZ2522" s="253"/>
    </row>
    <row r="2523" spans="1:52" ht="15.5" customHeight="1">
      <c r="A2523" s="363"/>
      <c r="B2523" s="343"/>
      <c r="C2523" s="7"/>
      <c r="D2523" s="254"/>
      <c r="E2523" s="254"/>
      <c r="F2523" s="254"/>
      <c r="G2523" s="253"/>
      <c r="H2523" s="253"/>
      <c r="I2523" s="253"/>
      <c r="J2523" s="253"/>
      <c r="K2523" s="253"/>
      <c r="L2523" s="7"/>
      <c r="M2523" s="7"/>
      <c r="N2523" s="253"/>
      <c r="O2523" s="255"/>
      <c r="P2523" s="253"/>
      <c r="Q2523" s="7"/>
      <c r="R2523" s="7"/>
      <c r="S2523" s="7"/>
      <c r="T2523" s="7"/>
      <c r="U2523" s="7"/>
      <c r="V2523" s="253"/>
      <c r="W2523" s="7"/>
      <c r="X2523" s="256"/>
      <c r="Y2523" s="256"/>
      <c r="Z2523" s="256"/>
      <c r="AA2523" s="256"/>
      <c r="AB2523" s="257"/>
      <c r="AC2523" s="258"/>
      <c r="AD2523" s="7"/>
      <c r="AE2523" s="253"/>
      <c r="AF2523" s="253"/>
      <c r="AG2523" s="259"/>
      <c r="AH2523" s="253"/>
      <c r="AI2523" s="253"/>
      <c r="AJ2523" s="7"/>
      <c r="AK2523" s="253"/>
      <c r="AL2523" s="253"/>
      <c r="AM2523" s="7"/>
      <c r="AN2523" s="253"/>
      <c r="AO2523" s="253"/>
      <c r="AP2523" s="253"/>
      <c r="AQ2523" s="253"/>
      <c r="AR2523" s="253"/>
      <c r="AS2523" s="253"/>
      <c r="AT2523" s="253"/>
      <c r="AU2523" s="253"/>
      <c r="AV2523" s="253"/>
      <c r="AW2523" s="253"/>
      <c r="AX2523" s="253"/>
      <c r="AY2523" s="253"/>
      <c r="AZ2523" s="253"/>
    </row>
    <row r="2524" spans="1:52" ht="15.5" customHeight="1">
      <c r="A2524" s="363"/>
      <c r="B2524" s="343"/>
      <c r="C2524" s="7"/>
      <c r="D2524" s="254"/>
      <c r="E2524" s="254"/>
      <c r="F2524" s="254"/>
      <c r="G2524" s="253"/>
      <c r="H2524" s="253"/>
      <c r="I2524" s="253"/>
      <c r="J2524" s="253"/>
      <c r="K2524" s="253"/>
      <c r="L2524" s="7"/>
      <c r="M2524" s="7"/>
      <c r="N2524" s="253"/>
      <c r="O2524" s="255"/>
      <c r="P2524" s="253"/>
      <c r="Q2524" s="7"/>
      <c r="R2524" s="7"/>
      <c r="S2524" s="7"/>
      <c r="T2524" s="7"/>
      <c r="U2524" s="7"/>
      <c r="V2524" s="253"/>
      <c r="W2524" s="7"/>
      <c r="X2524" s="256"/>
      <c r="Y2524" s="256"/>
      <c r="Z2524" s="256"/>
      <c r="AA2524" s="256"/>
      <c r="AB2524" s="257"/>
      <c r="AC2524" s="258"/>
      <c r="AD2524" s="7"/>
      <c r="AE2524" s="253"/>
      <c r="AF2524" s="253"/>
      <c r="AG2524" s="259"/>
      <c r="AH2524" s="253"/>
      <c r="AI2524" s="253"/>
      <c r="AJ2524" s="7"/>
      <c r="AK2524" s="253"/>
      <c r="AL2524" s="253"/>
      <c r="AM2524" s="7"/>
      <c r="AN2524" s="253"/>
      <c r="AO2524" s="253"/>
      <c r="AP2524" s="253"/>
      <c r="AQ2524" s="253"/>
      <c r="AR2524" s="253"/>
      <c r="AS2524" s="253"/>
      <c r="AT2524" s="253"/>
      <c r="AU2524" s="253"/>
      <c r="AV2524" s="253"/>
      <c r="AW2524" s="253"/>
      <c r="AX2524" s="253"/>
      <c r="AY2524" s="253"/>
      <c r="AZ2524" s="253"/>
    </row>
    <row r="2525" spans="1:52" ht="15.5" customHeight="1">
      <c r="A2525" s="363"/>
      <c r="B2525" s="343"/>
      <c r="C2525" s="7"/>
      <c r="D2525" s="254"/>
      <c r="E2525" s="254"/>
      <c r="F2525" s="254"/>
      <c r="G2525" s="253"/>
      <c r="H2525" s="253"/>
      <c r="I2525" s="253"/>
      <c r="J2525" s="253"/>
      <c r="K2525" s="253"/>
      <c r="L2525" s="7"/>
      <c r="M2525" s="7"/>
      <c r="N2525" s="253"/>
      <c r="O2525" s="255"/>
      <c r="P2525" s="253"/>
      <c r="Q2525" s="7"/>
      <c r="R2525" s="7"/>
      <c r="S2525" s="7"/>
      <c r="T2525" s="7"/>
      <c r="U2525" s="7"/>
      <c r="V2525" s="253"/>
      <c r="W2525" s="7"/>
      <c r="X2525" s="256"/>
      <c r="Y2525" s="256"/>
      <c r="Z2525" s="256"/>
      <c r="AA2525" s="256"/>
      <c r="AB2525" s="257"/>
      <c r="AC2525" s="258"/>
      <c r="AD2525" s="7"/>
      <c r="AE2525" s="253"/>
      <c r="AF2525" s="253"/>
      <c r="AG2525" s="259"/>
      <c r="AH2525" s="253"/>
      <c r="AI2525" s="253"/>
      <c r="AJ2525" s="7"/>
      <c r="AK2525" s="253"/>
      <c r="AL2525" s="253"/>
      <c r="AM2525" s="7"/>
      <c r="AN2525" s="253"/>
      <c r="AO2525" s="253"/>
      <c r="AP2525" s="253"/>
      <c r="AQ2525" s="253"/>
      <c r="AR2525" s="253"/>
      <c r="AS2525" s="253"/>
      <c r="AT2525" s="253"/>
      <c r="AU2525" s="253"/>
      <c r="AV2525" s="253"/>
      <c r="AW2525" s="253"/>
      <c r="AX2525" s="253"/>
      <c r="AY2525" s="253"/>
      <c r="AZ2525" s="253"/>
    </row>
    <row r="2526" spans="1:52" ht="15.5" customHeight="1">
      <c r="A2526" s="363"/>
      <c r="B2526" s="343"/>
      <c r="C2526" s="7"/>
      <c r="D2526" s="254"/>
      <c r="E2526" s="254"/>
      <c r="F2526" s="254"/>
      <c r="G2526" s="253"/>
      <c r="H2526" s="253"/>
      <c r="I2526" s="253"/>
      <c r="J2526" s="253"/>
      <c r="K2526" s="253"/>
      <c r="L2526" s="7"/>
      <c r="M2526" s="7"/>
      <c r="N2526" s="253"/>
      <c r="O2526" s="255"/>
      <c r="P2526" s="253"/>
      <c r="Q2526" s="7"/>
      <c r="R2526" s="7"/>
      <c r="S2526" s="7"/>
      <c r="T2526" s="7"/>
      <c r="U2526" s="7"/>
      <c r="V2526" s="253"/>
      <c r="W2526" s="7"/>
      <c r="X2526" s="256"/>
      <c r="Y2526" s="256"/>
      <c r="Z2526" s="256"/>
      <c r="AA2526" s="256"/>
      <c r="AB2526" s="257"/>
      <c r="AC2526" s="258"/>
      <c r="AD2526" s="7"/>
      <c r="AE2526" s="253"/>
      <c r="AF2526" s="253"/>
      <c r="AG2526" s="259"/>
      <c r="AH2526" s="253"/>
      <c r="AI2526" s="253"/>
      <c r="AJ2526" s="7"/>
      <c r="AK2526" s="253"/>
      <c r="AL2526" s="253"/>
      <c r="AM2526" s="7"/>
      <c r="AN2526" s="253"/>
      <c r="AO2526" s="253"/>
      <c r="AP2526" s="253"/>
      <c r="AQ2526" s="253"/>
      <c r="AR2526" s="253"/>
      <c r="AS2526" s="253"/>
      <c r="AT2526" s="253"/>
      <c r="AU2526" s="253"/>
      <c r="AV2526" s="253"/>
      <c r="AW2526" s="253"/>
      <c r="AX2526" s="253"/>
      <c r="AY2526" s="253"/>
      <c r="AZ2526" s="253"/>
    </row>
    <row r="2527" spans="1:52" ht="15.5" customHeight="1">
      <c r="A2527" s="363"/>
      <c r="B2527" s="343"/>
      <c r="C2527" s="7"/>
      <c r="D2527" s="254"/>
      <c r="E2527" s="254"/>
      <c r="F2527" s="254"/>
      <c r="G2527" s="253"/>
      <c r="H2527" s="253"/>
      <c r="I2527" s="253"/>
      <c r="J2527" s="253"/>
      <c r="K2527" s="253"/>
      <c r="L2527" s="7"/>
      <c r="M2527" s="7"/>
      <c r="N2527" s="253"/>
      <c r="O2527" s="255"/>
      <c r="P2527" s="253"/>
      <c r="Q2527" s="7"/>
      <c r="R2527" s="7"/>
      <c r="S2527" s="7"/>
      <c r="T2527" s="7"/>
      <c r="U2527" s="7"/>
      <c r="V2527" s="253"/>
      <c r="W2527" s="7"/>
      <c r="X2527" s="256"/>
      <c r="Y2527" s="256"/>
      <c r="Z2527" s="256"/>
      <c r="AA2527" s="256"/>
      <c r="AB2527" s="257"/>
      <c r="AC2527" s="258"/>
      <c r="AD2527" s="7"/>
      <c r="AE2527" s="253"/>
      <c r="AF2527" s="253"/>
      <c r="AG2527" s="259"/>
      <c r="AH2527" s="253"/>
      <c r="AI2527" s="253"/>
      <c r="AJ2527" s="7"/>
      <c r="AK2527" s="253"/>
      <c r="AL2527" s="253"/>
      <c r="AM2527" s="7"/>
      <c r="AN2527" s="253"/>
      <c r="AO2527" s="253"/>
      <c r="AP2527" s="253"/>
      <c r="AQ2527" s="253"/>
      <c r="AR2527" s="253"/>
      <c r="AS2527" s="253"/>
      <c r="AT2527" s="253"/>
      <c r="AU2527" s="253"/>
      <c r="AV2527" s="253"/>
      <c r="AW2527" s="253"/>
      <c r="AX2527" s="253"/>
      <c r="AY2527" s="253"/>
      <c r="AZ2527" s="253"/>
    </row>
    <row r="2528" spans="1:52" ht="15.5" customHeight="1">
      <c r="A2528" s="363"/>
      <c r="B2528" s="343"/>
      <c r="C2528" s="7"/>
      <c r="D2528" s="254"/>
      <c r="E2528" s="254"/>
      <c r="F2528" s="254"/>
      <c r="G2528" s="253"/>
      <c r="H2528" s="253"/>
      <c r="I2528" s="253"/>
      <c r="J2528" s="253"/>
      <c r="K2528" s="253"/>
      <c r="L2528" s="7"/>
      <c r="M2528" s="7"/>
      <c r="N2528" s="253"/>
      <c r="O2528" s="255"/>
      <c r="P2528" s="253"/>
      <c r="Q2528" s="7"/>
      <c r="R2528" s="7"/>
      <c r="S2528" s="7"/>
      <c r="T2528" s="7"/>
      <c r="U2528" s="7"/>
      <c r="V2528" s="253"/>
      <c r="W2528" s="7"/>
      <c r="X2528" s="256"/>
      <c r="Y2528" s="256"/>
      <c r="Z2528" s="256"/>
      <c r="AA2528" s="256"/>
      <c r="AB2528" s="257"/>
      <c r="AC2528" s="258"/>
      <c r="AD2528" s="7"/>
      <c r="AE2528" s="253"/>
      <c r="AF2528" s="253"/>
      <c r="AG2528" s="259"/>
      <c r="AH2528" s="253"/>
      <c r="AI2528" s="253"/>
      <c r="AJ2528" s="7"/>
      <c r="AK2528" s="253"/>
      <c r="AL2528" s="253"/>
      <c r="AM2528" s="7"/>
      <c r="AN2528" s="253"/>
      <c r="AO2528" s="253"/>
      <c r="AP2528" s="253"/>
      <c r="AQ2528" s="253"/>
      <c r="AR2528" s="253"/>
      <c r="AS2528" s="253"/>
      <c r="AT2528" s="253"/>
      <c r="AU2528" s="253"/>
      <c r="AV2528" s="253"/>
      <c r="AW2528" s="253"/>
      <c r="AX2528" s="253"/>
      <c r="AY2528" s="253"/>
      <c r="AZ2528" s="253"/>
    </row>
    <row r="2529" spans="1:52" ht="15.5" customHeight="1">
      <c r="A2529" s="363"/>
      <c r="B2529" s="343"/>
      <c r="C2529" s="7"/>
      <c r="D2529" s="254"/>
      <c r="E2529" s="254"/>
      <c r="F2529" s="254"/>
      <c r="G2529" s="253"/>
      <c r="H2529" s="253"/>
      <c r="I2529" s="253"/>
      <c r="J2529" s="253"/>
      <c r="K2529" s="253"/>
      <c r="L2529" s="7"/>
      <c r="M2529" s="7"/>
      <c r="N2529" s="253"/>
      <c r="O2529" s="255"/>
      <c r="P2529" s="253"/>
      <c r="Q2529" s="7"/>
      <c r="R2529" s="7"/>
      <c r="S2529" s="7"/>
      <c r="T2529" s="7"/>
      <c r="U2529" s="7"/>
      <c r="V2529" s="253"/>
      <c r="W2529" s="7"/>
      <c r="X2529" s="256"/>
      <c r="Y2529" s="256"/>
      <c r="Z2529" s="256"/>
      <c r="AA2529" s="256"/>
      <c r="AB2529" s="257"/>
      <c r="AC2529" s="258"/>
      <c r="AD2529" s="7"/>
      <c r="AE2529" s="253"/>
      <c r="AF2529" s="253"/>
      <c r="AG2529" s="259"/>
      <c r="AH2529" s="253"/>
      <c r="AI2529" s="253"/>
      <c r="AJ2529" s="7"/>
      <c r="AK2529" s="253"/>
      <c r="AL2529" s="253"/>
      <c r="AM2529" s="7"/>
      <c r="AN2529" s="253"/>
      <c r="AO2529" s="253"/>
      <c r="AP2529" s="253"/>
      <c r="AQ2529" s="253"/>
      <c r="AR2529" s="253"/>
      <c r="AS2529" s="253"/>
      <c r="AT2529" s="253"/>
      <c r="AU2529" s="253"/>
      <c r="AV2529" s="253"/>
      <c r="AW2529" s="253"/>
      <c r="AX2529" s="253"/>
      <c r="AY2529" s="253"/>
      <c r="AZ2529" s="253"/>
    </row>
    <row r="2530" spans="1:52" ht="15.5" customHeight="1">
      <c r="A2530" s="363"/>
      <c r="B2530" s="343"/>
      <c r="C2530" s="7"/>
      <c r="D2530" s="254"/>
      <c r="E2530" s="254"/>
      <c r="F2530" s="254"/>
      <c r="G2530" s="253"/>
      <c r="H2530" s="253"/>
      <c r="I2530" s="253"/>
      <c r="J2530" s="253"/>
      <c r="K2530" s="253"/>
      <c r="L2530" s="7"/>
      <c r="M2530" s="7"/>
      <c r="N2530" s="253"/>
      <c r="O2530" s="255"/>
      <c r="P2530" s="253"/>
      <c r="Q2530" s="7"/>
      <c r="R2530" s="7"/>
      <c r="S2530" s="7"/>
      <c r="T2530" s="7"/>
      <c r="U2530" s="7"/>
      <c r="V2530" s="253"/>
      <c r="W2530" s="7"/>
      <c r="X2530" s="256"/>
      <c r="Y2530" s="256"/>
      <c r="Z2530" s="256"/>
      <c r="AA2530" s="256"/>
      <c r="AB2530" s="257"/>
      <c r="AC2530" s="258"/>
      <c r="AD2530" s="7"/>
      <c r="AE2530" s="253"/>
      <c r="AF2530" s="253"/>
      <c r="AG2530" s="259"/>
      <c r="AH2530" s="253"/>
      <c r="AI2530" s="253"/>
      <c r="AJ2530" s="7"/>
      <c r="AK2530" s="253"/>
      <c r="AL2530" s="253"/>
      <c r="AM2530" s="7"/>
      <c r="AN2530" s="253"/>
      <c r="AO2530" s="253"/>
      <c r="AP2530" s="253"/>
      <c r="AQ2530" s="253"/>
      <c r="AR2530" s="253"/>
      <c r="AS2530" s="253"/>
      <c r="AT2530" s="253"/>
      <c r="AU2530" s="253"/>
      <c r="AV2530" s="253"/>
      <c r="AW2530" s="253"/>
      <c r="AX2530" s="253"/>
      <c r="AY2530" s="253"/>
      <c r="AZ2530" s="253"/>
    </row>
    <row r="2531" spans="1:52" ht="15.5" customHeight="1">
      <c r="A2531" s="363"/>
      <c r="B2531" s="343"/>
      <c r="C2531" s="7"/>
      <c r="D2531" s="254"/>
      <c r="E2531" s="254"/>
      <c r="F2531" s="254"/>
      <c r="G2531" s="253"/>
      <c r="H2531" s="253"/>
      <c r="I2531" s="253"/>
      <c r="J2531" s="253"/>
      <c r="K2531" s="253"/>
      <c r="L2531" s="7"/>
      <c r="M2531" s="7"/>
      <c r="N2531" s="253"/>
      <c r="O2531" s="255"/>
      <c r="P2531" s="253"/>
      <c r="Q2531" s="7"/>
      <c r="R2531" s="7"/>
      <c r="S2531" s="7"/>
      <c r="T2531" s="7"/>
      <c r="U2531" s="7"/>
      <c r="V2531" s="253"/>
      <c r="W2531" s="7"/>
      <c r="X2531" s="256"/>
      <c r="Y2531" s="256"/>
      <c r="Z2531" s="256"/>
      <c r="AA2531" s="256"/>
      <c r="AB2531" s="257"/>
      <c r="AC2531" s="258"/>
      <c r="AD2531" s="7"/>
      <c r="AE2531" s="253"/>
      <c r="AF2531" s="253"/>
      <c r="AG2531" s="259"/>
      <c r="AH2531" s="253"/>
      <c r="AI2531" s="253"/>
      <c r="AJ2531" s="7"/>
      <c r="AK2531" s="253"/>
      <c r="AL2531" s="253"/>
      <c r="AM2531" s="7"/>
      <c r="AN2531" s="253"/>
      <c r="AO2531" s="253"/>
      <c r="AP2531" s="253"/>
      <c r="AQ2531" s="253"/>
      <c r="AR2531" s="253"/>
      <c r="AS2531" s="253"/>
      <c r="AT2531" s="253"/>
      <c r="AU2531" s="253"/>
      <c r="AV2531" s="253"/>
      <c r="AW2531" s="253"/>
      <c r="AX2531" s="253"/>
      <c r="AY2531" s="253"/>
      <c r="AZ2531" s="253"/>
    </row>
    <row r="2532" spans="1:52" ht="15.5" customHeight="1">
      <c r="A2532" s="363"/>
      <c r="B2532" s="343"/>
      <c r="C2532" s="7"/>
      <c r="D2532" s="254"/>
      <c r="E2532" s="254"/>
      <c r="F2532" s="254"/>
      <c r="G2532" s="253"/>
      <c r="H2532" s="253"/>
      <c r="I2532" s="253"/>
      <c r="J2532" s="253"/>
      <c r="K2532" s="253"/>
      <c r="L2532" s="7"/>
      <c r="M2532" s="7"/>
      <c r="N2532" s="253"/>
      <c r="O2532" s="255"/>
      <c r="P2532" s="253"/>
      <c r="Q2532" s="7"/>
      <c r="R2532" s="7"/>
      <c r="S2532" s="7"/>
      <c r="T2532" s="7"/>
      <c r="U2532" s="7"/>
      <c r="V2532" s="253"/>
      <c r="W2532" s="7"/>
      <c r="X2532" s="256"/>
      <c r="Y2532" s="256"/>
      <c r="Z2532" s="256"/>
      <c r="AA2532" s="256"/>
      <c r="AB2532" s="257"/>
      <c r="AC2532" s="258"/>
      <c r="AD2532" s="7"/>
      <c r="AE2532" s="253"/>
      <c r="AF2532" s="253"/>
      <c r="AG2532" s="259"/>
      <c r="AH2532" s="253"/>
      <c r="AI2532" s="253"/>
      <c r="AJ2532" s="7"/>
      <c r="AK2532" s="253"/>
      <c r="AL2532" s="253"/>
      <c r="AM2532" s="7"/>
      <c r="AN2532" s="253"/>
      <c r="AO2532" s="253"/>
      <c r="AP2532" s="253"/>
      <c r="AQ2532" s="253"/>
      <c r="AR2532" s="253"/>
      <c r="AS2532" s="253"/>
      <c r="AT2532" s="253"/>
      <c r="AU2532" s="253"/>
      <c r="AV2532" s="253"/>
      <c r="AW2532" s="253"/>
      <c r="AX2532" s="253"/>
      <c r="AY2532" s="253"/>
      <c r="AZ2532" s="253"/>
    </row>
    <row r="2533" spans="1:52" ht="15.5" customHeight="1">
      <c r="A2533" s="363"/>
      <c r="B2533" s="343"/>
      <c r="C2533" s="7"/>
      <c r="D2533" s="254"/>
      <c r="E2533" s="254"/>
      <c r="F2533" s="254"/>
      <c r="G2533" s="253"/>
      <c r="H2533" s="253"/>
      <c r="I2533" s="253"/>
      <c r="J2533" s="253"/>
      <c r="K2533" s="253"/>
      <c r="L2533" s="7"/>
      <c r="M2533" s="7"/>
      <c r="N2533" s="253"/>
      <c r="O2533" s="255"/>
      <c r="P2533" s="253"/>
      <c r="Q2533" s="7"/>
      <c r="R2533" s="7"/>
      <c r="S2533" s="7"/>
      <c r="T2533" s="7"/>
      <c r="U2533" s="7"/>
      <c r="V2533" s="253"/>
      <c r="W2533" s="7"/>
      <c r="X2533" s="256"/>
      <c r="Y2533" s="256"/>
      <c r="Z2533" s="256"/>
      <c r="AA2533" s="256"/>
      <c r="AB2533" s="257"/>
      <c r="AC2533" s="258"/>
      <c r="AD2533" s="7"/>
      <c r="AE2533" s="253"/>
      <c r="AF2533" s="253"/>
      <c r="AG2533" s="259"/>
      <c r="AH2533" s="253"/>
      <c r="AI2533" s="253"/>
      <c r="AJ2533" s="7"/>
      <c r="AK2533" s="253"/>
      <c r="AL2533" s="253"/>
      <c r="AM2533" s="7"/>
      <c r="AN2533" s="253"/>
      <c r="AO2533" s="253"/>
      <c r="AP2533" s="253"/>
      <c r="AQ2533" s="253"/>
      <c r="AR2533" s="253"/>
      <c r="AS2533" s="253"/>
      <c r="AT2533" s="253"/>
      <c r="AU2533" s="253"/>
      <c r="AV2533" s="253"/>
      <c r="AW2533" s="253"/>
      <c r="AX2533" s="253"/>
      <c r="AY2533" s="253"/>
      <c r="AZ2533" s="253"/>
    </row>
    <row r="2534" spans="1:52" ht="15.5" customHeight="1">
      <c r="A2534" s="363"/>
      <c r="B2534" s="343"/>
      <c r="C2534" s="7"/>
      <c r="D2534" s="254"/>
      <c r="E2534" s="254"/>
      <c r="F2534" s="254"/>
      <c r="G2534" s="253"/>
      <c r="H2534" s="253"/>
      <c r="I2534" s="253"/>
      <c r="J2534" s="253"/>
      <c r="K2534" s="253"/>
      <c r="L2534" s="7"/>
      <c r="M2534" s="7"/>
      <c r="N2534" s="253"/>
      <c r="O2534" s="255"/>
      <c r="P2534" s="253"/>
      <c r="Q2534" s="7"/>
      <c r="R2534" s="7"/>
      <c r="S2534" s="7"/>
      <c r="T2534" s="7"/>
      <c r="U2534" s="7"/>
      <c r="V2534" s="253"/>
      <c r="W2534" s="7"/>
      <c r="X2534" s="256"/>
      <c r="Y2534" s="256"/>
      <c r="Z2534" s="256"/>
      <c r="AA2534" s="256"/>
      <c r="AB2534" s="257"/>
      <c r="AC2534" s="258"/>
      <c r="AD2534" s="7"/>
      <c r="AE2534" s="253"/>
      <c r="AF2534" s="253"/>
      <c r="AG2534" s="259"/>
      <c r="AH2534" s="253"/>
      <c r="AI2534" s="253"/>
      <c r="AJ2534" s="7"/>
      <c r="AK2534" s="253"/>
      <c r="AL2534" s="253"/>
      <c r="AM2534" s="7"/>
      <c r="AN2534" s="253"/>
      <c r="AO2534" s="253"/>
      <c r="AP2534" s="253"/>
      <c r="AQ2534" s="253"/>
      <c r="AR2534" s="253"/>
      <c r="AS2534" s="253"/>
      <c r="AT2534" s="253"/>
      <c r="AU2534" s="253"/>
      <c r="AV2534" s="253"/>
      <c r="AW2534" s="253"/>
      <c r="AX2534" s="253"/>
      <c r="AY2534" s="253"/>
      <c r="AZ2534" s="253"/>
    </row>
    <row r="2535" spans="1:52" ht="15.5" customHeight="1">
      <c r="A2535" s="363"/>
      <c r="B2535" s="343"/>
      <c r="C2535" s="7"/>
      <c r="D2535" s="254"/>
      <c r="E2535" s="254"/>
      <c r="F2535" s="254"/>
      <c r="G2535" s="253"/>
      <c r="H2535" s="253"/>
      <c r="I2535" s="253"/>
      <c r="J2535" s="253"/>
      <c r="K2535" s="253"/>
      <c r="L2535" s="7"/>
      <c r="M2535" s="7"/>
      <c r="N2535" s="253"/>
      <c r="O2535" s="255"/>
      <c r="P2535" s="253"/>
      <c r="Q2535" s="7"/>
      <c r="R2535" s="7"/>
      <c r="S2535" s="7"/>
      <c r="T2535" s="7"/>
      <c r="U2535" s="7"/>
      <c r="V2535" s="253"/>
      <c r="W2535" s="7"/>
      <c r="X2535" s="256"/>
      <c r="Y2535" s="256"/>
      <c r="Z2535" s="256"/>
      <c r="AA2535" s="256"/>
      <c r="AB2535" s="257"/>
      <c r="AC2535" s="258"/>
      <c r="AD2535" s="7"/>
      <c r="AE2535" s="253"/>
      <c r="AF2535" s="253"/>
      <c r="AG2535" s="259"/>
      <c r="AH2535" s="253"/>
      <c r="AI2535" s="253"/>
      <c r="AJ2535" s="7"/>
      <c r="AK2535" s="253"/>
      <c r="AL2535" s="253"/>
      <c r="AM2535" s="7"/>
      <c r="AN2535" s="253"/>
      <c r="AO2535" s="253"/>
      <c r="AP2535" s="253"/>
      <c r="AQ2535" s="253"/>
      <c r="AR2535" s="253"/>
      <c r="AS2535" s="253"/>
      <c r="AT2535" s="253"/>
      <c r="AU2535" s="253"/>
      <c r="AV2535" s="253"/>
      <c r="AW2535" s="253"/>
      <c r="AX2535" s="253"/>
      <c r="AY2535" s="253"/>
      <c r="AZ2535" s="253"/>
    </row>
    <row r="2536" spans="1:52" ht="15.5" customHeight="1">
      <c r="A2536" s="363"/>
      <c r="B2536" s="343"/>
      <c r="C2536" s="7"/>
      <c r="D2536" s="254"/>
      <c r="E2536" s="254"/>
      <c r="F2536" s="254"/>
      <c r="G2536" s="253"/>
      <c r="H2536" s="253"/>
      <c r="I2536" s="253"/>
      <c r="J2536" s="253"/>
      <c r="K2536" s="253"/>
      <c r="L2536" s="7"/>
      <c r="M2536" s="7"/>
      <c r="N2536" s="253"/>
      <c r="O2536" s="255"/>
      <c r="P2536" s="253"/>
      <c r="Q2536" s="7"/>
      <c r="R2536" s="7"/>
      <c r="S2536" s="7"/>
      <c r="T2536" s="7"/>
      <c r="U2536" s="7"/>
      <c r="V2536" s="253"/>
      <c r="W2536" s="7"/>
      <c r="X2536" s="256"/>
      <c r="Y2536" s="256"/>
      <c r="Z2536" s="256"/>
      <c r="AA2536" s="256"/>
      <c r="AB2536" s="257"/>
      <c r="AC2536" s="258"/>
      <c r="AD2536" s="7"/>
      <c r="AE2536" s="253"/>
      <c r="AF2536" s="253"/>
      <c r="AG2536" s="259"/>
      <c r="AH2536" s="253"/>
      <c r="AI2536" s="253"/>
      <c r="AJ2536" s="7"/>
      <c r="AK2536" s="253"/>
      <c r="AL2536" s="253"/>
      <c r="AM2536" s="7"/>
      <c r="AN2536" s="253"/>
      <c r="AO2536" s="253"/>
      <c r="AP2536" s="253"/>
      <c r="AQ2536" s="253"/>
      <c r="AR2536" s="253"/>
      <c r="AS2536" s="253"/>
      <c r="AT2536" s="253"/>
      <c r="AU2536" s="253"/>
      <c r="AV2536" s="253"/>
      <c r="AW2536" s="253"/>
      <c r="AX2536" s="253"/>
      <c r="AY2536" s="253"/>
      <c r="AZ2536" s="253"/>
    </row>
    <row r="2537" spans="1:52" ht="15.5" customHeight="1">
      <c r="A2537" s="363"/>
      <c r="B2537" s="343"/>
      <c r="C2537" s="7"/>
      <c r="D2537" s="254"/>
      <c r="E2537" s="254"/>
      <c r="F2537" s="254"/>
      <c r="G2537" s="253"/>
      <c r="H2537" s="253"/>
      <c r="I2537" s="253"/>
      <c r="J2537" s="253"/>
      <c r="K2537" s="253"/>
      <c r="L2537" s="7"/>
      <c r="M2537" s="7"/>
      <c r="N2537" s="253"/>
      <c r="O2537" s="255"/>
      <c r="P2537" s="253"/>
      <c r="Q2537" s="7"/>
      <c r="R2537" s="7"/>
      <c r="S2537" s="7"/>
      <c r="T2537" s="7"/>
      <c r="U2537" s="7"/>
      <c r="V2537" s="253"/>
      <c r="W2537" s="7"/>
      <c r="X2537" s="256"/>
      <c r="Y2537" s="256"/>
      <c r="Z2537" s="256"/>
      <c r="AA2537" s="256"/>
      <c r="AB2537" s="257"/>
      <c r="AC2537" s="258"/>
      <c r="AD2537" s="7"/>
      <c r="AE2537" s="253"/>
      <c r="AF2537" s="253"/>
      <c r="AG2537" s="259"/>
      <c r="AH2537" s="253"/>
      <c r="AI2537" s="253"/>
      <c r="AJ2537" s="7"/>
      <c r="AK2537" s="253"/>
      <c r="AL2537" s="253"/>
      <c r="AM2537" s="7"/>
      <c r="AN2537" s="253"/>
      <c r="AO2537" s="253"/>
      <c r="AP2537" s="253"/>
      <c r="AQ2537" s="253"/>
      <c r="AR2537" s="253"/>
      <c r="AS2537" s="253"/>
      <c r="AT2537" s="253"/>
      <c r="AU2537" s="253"/>
      <c r="AV2537" s="253"/>
      <c r="AW2537" s="253"/>
      <c r="AX2537" s="253"/>
      <c r="AY2537" s="253"/>
      <c r="AZ2537" s="253"/>
    </row>
    <row r="2538" spans="1:52" ht="15.5" customHeight="1">
      <c r="A2538" s="363"/>
      <c r="B2538" s="343"/>
      <c r="C2538" s="7"/>
      <c r="D2538" s="254"/>
      <c r="E2538" s="254"/>
      <c r="F2538" s="254"/>
      <c r="G2538" s="253"/>
      <c r="H2538" s="253"/>
      <c r="I2538" s="253"/>
      <c r="J2538" s="253"/>
      <c r="K2538" s="253"/>
      <c r="L2538" s="7"/>
      <c r="M2538" s="7"/>
      <c r="N2538" s="253"/>
      <c r="O2538" s="255"/>
      <c r="P2538" s="253"/>
      <c r="Q2538" s="7"/>
      <c r="R2538" s="7"/>
      <c r="S2538" s="7"/>
      <c r="T2538" s="7"/>
      <c r="U2538" s="7"/>
      <c r="V2538" s="253"/>
      <c r="W2538" s="7"/>
      <c r="X2538" s="256"/>
      <c r="Y2538" s="256"/>
      <c r="Z2538" s="256"/>
      <c r="AA2538" s="256"/>
      <c r="AB2538" s="257"/>
      <c r="AC2538" s="258"/>
      <c r="AD2538" s="7"/>
      <c r="AE2538" s="253"/>
      <c r="AF2538" s="253"/>
      <c r="AG2538" s="259"/>
      <c r="AH2538" s="253"/>
      <c r="AI2538" s="253"/>
      <c r="AJ2538" s="7"/>
      <c r="AK2538" s="253"/>
      <c r="AL2538" s="253"/>
      <c r="AM2538" s="7"/>
      <c r="AN2538" s="253"/>
      <c r="AO2538" s="253"/>
      <c r="AP2538" s="253"/>
      <c r="AQ2538" s="253"/>
      <c r="AR2538" s="253"/>
      <c r="AS2538" s="253"/>
      <c r="AT2538" s="253"/>
      <c r="AU2538" s="253"/>
      <c r="AV2538" s="253"/>
      <c r="AW2538" s="253"/>
      <c r="AX2538" s="253"/>
      <c r="AY2538" s="253"/>
      <c r="AZ2538" s="253"/>
    </row>
    <row r="2539" spans="1:52" ht="15.5" customHeight="1">
      <c r="A2539" s="363"/>
      <c r="B2539" s="343"/>
      <c r="C2539" s="7"/>
      <c r="D2539" s="254"/>
      <c r="E2539" s="254"/>
      <c r="F2539" s="254"/>
      <c r="G2539" s="253"/>
      <c r="H2539" s="253"/>
      <c r="I2539" s="253"/>
      <c r="J2539" s="253"/>
      <c r="K2539" s="253"/>
      <c r="L2539" s="7"/>
      <c r="M2539" s="7"/>
      <c r="N2539" s="253"/>
      <c r="O2539" s="255"/>
      <c r="P2539" s="253"/>
      <c r="Q2539" s="7"/>
      <c r="R2539" s="7"/>
      <c r="S2539" s="7"/>
      <c r="T2539" s="7"/>
      <c r="U2539" s="7"/>
      <c r="V2539" s="253"/>
      <c r="W2539" s="7"/>
      <c r="X2539" s="256"/>
      <c r="Y2539" s="256"/>
      <c r="Z2539" s="256"/>
      <c r="AA2539" s="256"/>
      <c r="AB2539" s="257"/>
      <c r="AC2539" s="258"/>
      <c r="AD2539" s="7"/>
      <c r="AE2539" s="253"/>
      <c r="AF2539" s="253"/>
      <c r="AG2539" s="259"/>
      <c r="AH2539" s="253"/>
      <c r="AI2539" s="253"/>
      <c r="AJ2539" s="7"/>
      <c r="AK2539" s="253"/>
      <c r="AL2539" s="253"/>
      <c r="AM2539" s="7"/>
      <c r="AN2539" s="253"/>
      <c r="AO2539" s="253"/>
      <c r="AP2539" s="253"/>
      <c r="AQ2539" s="253"/>
      <c r="AR2539" s="253"/>
      <c r="AS2539" s="253"/>
      <c r="AT2539" s="253"/>
      <c r="AU2539" s="253"/>
      <c r="AV2539" s="253"/>
      <c r="AW2539" s="253"/>
      <c r="AX2539" s="253"/>
      <c r="AY2539" s="253"/>
      <c r="AZ2539" s="253"/>
    </row>
    <row r="2540" spans="1:52" ht="15.5" customHeight="1">
      <c r="A2540" s="363"/>
      <c r="B2540" s="343"/>
      <c r="C2540" s="7"/>
      <c r="D2540" s="254"/>
      <c r="E2540" s="254"/>
      <c r="F2540" s="254"/>
      <c r="G2540" s="253"/>
      <c r="H2540" s="253"/>
      <c r="I2540" s="253"/>
      <c r="J2540" s="253"/>
      <c r="K2540" s="253"/>
      <c r="L2540" s="7"/>
      <c r="M2540" s="7"/>
      <c r="N2540" s="253"/>
      <c r="O2540" s="255"/>
      <c r="P2540" s="253"/>
      <c r="Q2540" s="7"/>
      <c r="R2540" s="7"/>
      <c r="S2540" s="7"/>
      <c r="T2540" s="7"/>
      <c r="U2540" s="7"/>
      <c r="V2540" s="253"/>
      <c r="W2540" s="7"/>
      <c r="X2540" s="256"/>
      <c r="Y2540" s="256"/>
      <c r="Z2540" s="256"/>
      <c r="AA2540" s="256"/>
      <c r="AB2540" s="257"/>
      <c r="AC2540" s="258"/>
      <c r="AD2540" s="7"/>
      <c r="AE2540" s="253"/>
      <c r="AF2540" s="253"/>
      <c r="AG2540" s="259"/>
      <c r="AH2540" s="253"/>
      <c r="AI2540" s="253"/>
      <c r="AJ2540" s="7"/>
      <c r="AK2540" s="253"/>
      <c r="AL2540" s="253"/>
      <c r="AM2540" s="7"/>
      <c r="AN2540" s="253"/>
      <c r="AO2540" s="253"/>
      <c r="AP2540" s="253"/>
      <c r="AQ2540" s="253"/>
      <c r="AR2540" s="253"/>
      <c r="AS2540" s="253"/>
      <c r="AT2540" s="253"/>
      <c r="AU2540" s="253"/>
      <c r="AV2540" s="253"/>
      <c r="AW2540" s="253"/>
      <c r="AX2540" s="253"/>
      <c r="AY2540" s="253"/>
      <c r="AZ2540" s="253"/>
    </row>
    <row r="2541" spans="1:52" ht="15.5" customHeight="1">
      <c r="A2541" s="363"/>
      <c r="B2541" s="343"/>
      <c r="C2541" s="7"/>
      <c r="D2541" s="254"/>
      <c r="E2541" s="254"/>
      <c r="F2541" s="254"/>
      <c r="G2541" s="253"/>
      <c r="H2541" s="253"/>
      <c r="I2541" s="253"/>
      <c r="J2541" s="253"/>
      <c r="K2541" s="253"/>
      <c r="L2541" s="7"/>
      <c r="M2541" s="7"/>
      <c r="N2541" s="253"/>
      <c r="O2541" s="255"/>
      <c r="P2541" s="253"/>
      <c r="Q2541" s="7"/>
      <c r="R2541" s="7"/>
      <c r="S2541" s="7"/>
      <c r="T2541" s="7"/>
      <c r="U2541" s="7"/>
      <c r="V2541" s="253"/>
      <c r="W2541" s="7"/>
      <c r="X2541" s="256"/>
      <c r="Y2541" s="256"/>
      <c r="Z2541" s="256"/>
      <c r="AA2541" s="256"/>
      <c r="AB2541" s="257"/>
      <c r="AC2541" s="258"/>
      <c r="AD2541" s="7"/>
      <c r="AE2541" s="253"/>
      <c r="AF2541" s="253"/>
      <c r="AG2541" s="259"/>
      <c r="AH2541" s="253"/>
      <c r="AI2541" s="253"/>
      <c r="AJ2541" s="7"/>
      <c r="AK2541" s="253"/>
      <c r="AL2541" s="253"/>
      <c r="AM2541" s="7"/>
      <c r="AN2541" s="253"/>
      <c r="AO2541" s="253"/>
      <c r="AP2541" s="253"/>
      <c r="AQ2541" s="253"/>
      <c r="AR2541" s="253"/>
      <c r="AS2541" s="253"/>
      <c r="AT2541" s="253"/>
      <c r="AU2541" s="253"/>
      <c r="AV2541" s="253"/>
      <c r="AW2541" s="253"/>
      <c r="AX2541" s="253"/>
      <c r="AY2541" s="253"/>
      <c r="AZ2541" s="253"/>
    </row>
    <row r="2542" spans="1:52" ht="15.5" customHeight="1">
      <c r="A2542" s="363"/>
      <c r="B2542" s="343"/>
      <c r="C2542" s="7"/>
      <c r="D2542" s="254"/>
      <c r="E2542" s="254"/>
      <c r="F2542" s="254"/>
      <c r="G2542" s="253"/>
      <c r="H2542" s="253"/>
      <c r="I2542" s="253"/>
      <c r="J2542" s="253"/>
      <c r="K2542" s="253"/>
      <c r="L2542" s="7"/>
      <c r="M2542" s="7"/>
      <c r="N2542" s="253"/>
      <c r="O2542" s="255"/>
      <c r="P2542" s="253"/>
      <c r="Q2542" s="7"/>
      <c r="R2542" s="7"/>
      <c r="S2542" s="7"/>
      <c r="T2542" s="7"/>
      <c r="U2542" s="7"/>
      <c r="V2542" s="253"/>
      <c r="W2542" s="7"/>
      <c r="X2542" s="256"/>
      <c r="Y2542" s="256"/>
      <c r="Z2542" s="256"/>
      <c r="AA2542" s="256"/>
      <c r="AB2542" s="257"/>
      <c r="AC2542" s="258"/>
      <c r="AD2542" s="7"/>
      <c r="AE2542" s="253"/>
      <c r="AF2542" s="253"/>
      <c r="AG2542" s="259"/>
      <c r="AH2542" s="253"/>
      <c r="AI2542" s="253"/>
      <c r="AJ2542" s="7"/>
      <c r="AK2542" s="253"/>
      <c r="AL2542" s="253"/>
      <c r="AM2542" s="7"/>
      <c r="AN2542" s="253"/>
      <c r="AO2542" s="253"/>
      <c r="AP2542" s="253"/>
      <c r="AQ2542" s="253"/>
      <c r="AR2542" s="253"/>
      <c r="AS2542" s="253"/>
      <c r="AT2542" s="253"/>
      <c r="AU2542" s="253"/>
      <c r="AV2542" s="253"/>
      <c r="AW2542" s="253"/>
      <c r="AX2542" s="253"/>
      <c r="AY2542" s="253"/>
      <c r="AZ2542" s="253"/>
    </row>
    <row r="2543" spans="1:52" ht="15.5" customHeight="1">
      <c r="A2543" s="363"/>
      <c r="B2543" s="343"/>
      <c r="C2543" s="7"/>
      <c r="D2543" s="254"/>
      <c r="E2543" s="254"/>
      <c r="F2543" s="254"/>
      <c r="G2543" s="253"/>
      <c r="H2543" s="253"/>
      <c r="I2543" s="253"/>
      <c r="J2543" s="253"/>
      <c r="K2543" s="253"/>
      <c r="L2543" s="7"/>
      <c r="M2543" s="7"/>
      <c r="N2543" s="253"/>
      <c r="O2543" s="255"/>
      <c r="P2543" s="253"/>
      <c r="Q2543" s="7"/>
      <c r="R2543" s="7"/>
      <c r="S2543" s="7"/>
      <c r="T2543" s="7"/>
      <c r="U2543" s="7"/>
      <c r="V2543" s="253"/>
      <c r="W2543" s="7"/>
      <c r="X2543" s="256"/>
      <c r="Y2543" s="256"/>
      <c r="Z2543" s="256"/>
      <c r="AA2543" s="256"/>
      <c r="AB2543" s="257"/>
      <c r="AC2543" s="258"/>
      <c r="AD2543" s="7"/>
      <c r="AE2543" s="253"/>
      <c r="AF2543" s="253"/>
      <c r="AG2543" s="259"/>
      <c r="AH2543" s="253"/>
      <c r="AI2543" s="253"/>
      <c r="AJ2543" s="7"/>
      <c r="AK2543" s="253"/>
      <c r="AL2543" s="253"/>
      <c r="AM2543" s="7"/>
      <c r="AN2543" s="253"/>
      <c r="AO2543" s="253"/>
      <c r="AP2543" s="253"/>
      <c r="AQ2543" s="253"/>
      <c r="AR2543" s="253"/>
      <c r="AS2543" s="253"/>
      <c r="AT2543" s="253"/>
      <c r="AU2543" s="253"/>
      <c r="AV2543" s="253"/>
      <c r="AW2543" s="253"/>
      <c r="AX2543" s="253"/>
      <c r="AY2543" s="253"/>
      <c r="AZ2543" s="253"/>
    </row>
    <row r="2544" spans="1:52" ht="15.5" customHeight="1">
      <c r="A2544" s="363"/>
      <c r="B2544" s="343"/>
      <c r="C2544" s="7"/>
      <c r="D2544" s="254"/>
      <c r="E2544" s="254"/>
      <c r="F2544" s="254"/>
      <c r="G2544" s="253"/>
      <c r="H2544" s="253"/>
      <c r="I2544" s="253"/>
      <c r="J2544" s="253"/>
      <c r="K2544" s="253"/>
      <c r="L2544" s="7"/>
      <c r="M2544" s="7"/>
      <c r="N2544" s="253"/>
      <c r="O2544" s="255"/>
      <c r="P2544" s="253"/>
      <c r="Q2544" s="7"/>
      <c r="R2544" s="7"/>
      <c r="S2544" s="7"/>
      <c r="T2544" s="7"/>
      <c r="U2544" s="7"/>
      <c r="V2544" s="253"/>
      <c r="W2544" s="7"/>
      <c r="X2544" s="256"/>
      <c r="Y2544" s="256"/>
      <c r="Z2544" s="256"/>
      <c r="AA2544" s="256"/>
      <c r="AB2544" s="257"/>
      <c r="AC2544" s="258"/>
      <c r="AD2544" s="7"/>
      <c r="AE2544" s="253"/>
      <c r="AF2544" s="253"/>
      <c r="AG2544" s="259"/>
      <c r="AH2544" s="253"/>
      <c r="AI2544" s="253"/>
      <c r="AJ2544" s="7"/>
      <c r="AK2544" s="253"/>
      <c r="AL2544" s="253"/>
      <c r="AM2544" s="7"/>
      <c r="AN2544" s="253"/>
      <c r="AO2544" s="253"/>
      <c r="AP2544" s="253"/>
      <c r="AQ2544" s="253"/>
      <c r="AR2544" s="253"/>
      <c r="AS2544" s="253"/>
      <c r="AT2544" s="253"/>
      <c r="AU2544" s="253"/>
      <c r="AV2544" s="253"/>
      <c r="AW2544" s="253"/>
      <c r="AX2544" s="253"/>
      <c r="AY2544" s="253"/>
      <c r="AZ2544" s="253"/>
    </row>
    <row r="2545" spans="1:52" ht="15.5" customHeight="1">
      <c r="A2545" s="363"/>
      <c r="B2545" s="343"/>
      <c r="C2545" s="7"/>
      <c r="D2545" s="254"/>
      <c r="E2545" s="254"/>
      <c r="F2545" s="254"/>
      <c r="G2545" s="253"/>
      <c r="H2545" s="253"/>
      <c r="I2545" s="253"/>
      <c r="J2545" s="253"/>
      <c r="K2545" s="253"/>
      <c r="L2545" s="7"/>
      <c r="M2545" s="7"/>
      <c r="N2545" s="253"/>
      <c r="O2545" s="255"/>
      <c r="P2545" s="253"/>
      <c r="Q2545" s="7"/>
      <c r="R2545" s="7"/>
      <c r="S2545" s="7"/>
      <c r="T2545" s="7"/>
      <c r="U2545" s="7"/>
      <c r="V2545" s="253"/>
      <c r="W2545" s="7"/>
      <c r="X2545" s="256"/>
      <c r="Y2545" s="256"/>
      <c r="Z2545" s="256"/>
      <c r="AA2545" s="256"/>
      <c r="AB2545" s="257"/>
      <c r="AC2545" s="258"/>
      <c r="AD2545" s="7"/>
      <c r="AE2545" s="253"/>
      <c r="AF2545" s="253"/>
      <c r="AG2545" s="259"/>
      <c r="AH2545" s="253"/>
      <c r="AI2545" s="253"/>
      <c r="AJ2545" s="7"/>
      <c r="AK2545" s="253"/>
      <c r="AL2545" s="253"/>
      <c r="AM2545" s="7"/>
      <c r="AN2545" s="253"/>
      <c r="AO2545" s="253"/>
      <c r="AP2545" s="253"/>
      <c r="AQ2545" s="253"/>
      <c r="AR2545" s="253"/>
      <c r="AS2545" s="253"/>
      <c r="AT2545" s="253"/>
      <c r="AU2545" s="253"/>
      <c r="AV2545" s="253"/>
      <c r="AW2545" s="253"/>
      <c r="AX2545" s="253"/>
      <c r="AY2545" s="253"/>
      <c r="AZ2545" s="253"/>
    </row>
    <row r="2546" spans="1:52" ht="15.5" customHeight="1">
      <c r="A2546" s="363"/>
      <c r="B2546" s="343"/>
      <c r="C2546" s="7"/>
      <c r="D2546" s="254"/>
      <c r="E2546" s="254"/>
      <c r="F2546" s="254"/>
      <c r="G2546" s="253"/>
      <c r="H2546" s="253"/>
      <c r="I2546" s="253"/>
      <c r="J2546" s="253"/>
      <c r="K2546" s="253"/>
      <c r="L2546" s="7"/>
      <c r="M2546" s="7"/>
      <c r="N2546" s="253"/>
      <c r="O2546" s="255"/>
      <c r="P2546" s="253"/>
      <c r="Q2546" s="7"/>
      <c r="R2546" s="7"/>
      <c r="S2546" s="7"/>
      <c r="T2546" s="7"/>
      <c r="U2546" s="7"/>
      <c r="V2546" s="253"/>
      <c r="W2546" s="7"/>
      <c r="X2546" s="256"/>
      <c r="Y2546" s="256"/>
      <c r="Z2546" s="256"/>
      <c r="AA2546" s="256"/>
      <c r="AB2546" s="257"/>
      <c r="AC2546" s="258"/>
      <c r="AD2546" s="7"/>
      <c r="AE2546" s="253"/>
      <c r="AF2546" s="253"/>
      <c r="AG2546" s="259"/>
      <c r="AH2546" s="253"/>
      <c r="AI2546" s="253"/>
      <c r="AJ2546" s="7"/>
      <c r="AK2546" s="253"/>
      <c r="AL2546" s="253"/>
      <c r="AM2546" s="7"/>
      <c r="AN2546" s="253"/>
      <c r="AO2546" s="253"/>
      <c r="AP2546" s="253"/>
      <c r="AQ2546" s="253"/>
      <c r="AR2546" s="253"/>
      <c r="AS2546" s="253"/>
      <c r="AT2546" s="253"/>
      <c r="AU2546" s="253"/>
      <c r="AV2546" s="253"/>
      <c r="AW2546" s="253"/>
      <c r="AX2546" s="253"/>
      <c r="AY2546" s="253"/>
      <c r="AZ2546" s="253"/>
    </row>
    <row r="2547" spans="1:52" ht="15.5" customHeight="1">
      <c r="A2547" s="363"/>
      <c r="B2547" s="343"/>
      <c r="C2547" s="7"/>
      <c r="D2547" s="254"/>
      <c r="E2547" s="254"/>
      <c r="F2547" s="254"/>
      <c r="G2547" s="253"/>
      <c r="H2547" s="253"/>
      <c r="I2547" s="253"/>
      <c r="J2547" s="253"/>
      <c r="K2547" s="253"/>
      <c r="L2547" s="7"/>
      <c r="M2547" s="7"/>
      <c r="N2547" s="253"/>
      <c r="O2547" s="255"/>
      <c r="P2547" s="253"/>
      <c r="Q2547" s="7"/>
      <c r="R2547" s="7"/>
      <c r="S2547" s="7"/>
      <c r="T2547" s="7"/>
      <c r="U2547" s="7"/>
      <c r="V2547" s="253"/>
      <c r="W2547" s="7"/>
      <c r="X2547" s="256"/>
      <c r="Y2547" s="256"/>
      <c r="Z2547" s="256"/>
      <c r="AA2547" s="256"/>
      <c r="AB2547" s="257"/>
      <c r="AC2547" s="258"/>
      <c r="AD2547" s="7"/>
      <c r="AE2547" s="253"/>
      <c r="AF2547" s="253"/>
      <c r="AG2547" s="259"/>
      <c r="AH2547" s="253"/>
      <c r="AI2547" s="253"/>
      <c r="AJ2547" s="7"/>
      <c r="AK2547" s="253"/>
      <c r="AL2547" s="253"/>
      <c r="AM2547" s="7"/>
      <c r="AN2547" s="253"/>
      <c r="AO2547" s="253"/>
      <c r="AP2547" s="253"/>
      <c r="AQ2547" s="253"/>
      <c r="AR2547" s="253"/>
      <c r="AS2547" s="253"/>
      <c r="AT2547" s="253"/>
      <c r="AU2547" s="253"/>
      <c r="AV2547" s="253"/>
      <c r="AW2547" s="253"/>
      <c r="AX2547" s="253"/>
      <c r="AY2547" s="253"/>
      <c r="AZ2547" s="253"/>
    </row>
    <row r="2548" spans="1:52" ht="15.5" customHeight="1">
      <c r="A2548" s="363"/>
      <c r="B2548" s="343"/>
      <c r="C2548" s="7"/>
      <c r="D2548" s="254"/>
      <c r="E2548" s="254"/>
      <c r="F2548" s="254"/>
      <c r="G2548" s="253"/>
      <c r="H2548" s="253"/>
      <c r="I2548" s="253"/>
      <c r="J2548" s="253"/>
      <c r="K2548" s="253"/>
      <c r="L2548" s="7"/>
      <c r="M2548" s="7"/>
      <c r="N2548" s="253"/>
      <c r="O2548" s="255"/>
      <c r="P2548" s="253"/>
      <c r="Q2548" s="7"/>
      <c r="R2548" s="7"/>
      <c r="S2548" s="7"/>
      <c r="T2548" s="7"/>
      <c r="U2548" s="7"/>
      <c r="V2548" s="253"/>
      <c r="W2548" s="7"/>
      <c r="X2548" s="256"/>
      <c r="Y2548" s="256"/>
      <c r="Z2548" s="256"/>
      <c r="AA2548" s="256"/>
      <c r="AB2548" s="257"/>
      <c r="AC2548" s="258"/>
      <c r="AD2548" s="7"/>
      <c r="AE2548" s="253"/>
      <c r="AF2548" s="253"/>
      <c r="AG2548" s="259"/>
      <c r="AH2548" s="253"/>
      <c r="AI2548" s="253"/>
      <c r="AJ2548" s="7"/>
      <c r="AK2548" s="253"/>
      <c r="AL2548" s="253"/>
      <c r="AM2548" s="7"/>
      <c r="AN2548" s="253"/>
      <c r="AO2548" s="253"/>
      <c r="AP2548" s="253"/>
      <c r="AQ2548" s="253"/>
      <c r="AR2548" s="253"/>
      <c r="AS2548" s="253"/>
      <c r="AT2548" s="253"/>
      <c r="AU2548" s="253"/>
      <c r="AV2548" s="253"/>
      <c r="AW2548" s="253"/>
      <c r="AX2548" s="253"/>
      <c r="AY2548" s="253"/>
      <c r="AZ2548" s="253"/>
    </row>
    <row r="2549" spans="1:52" ht="15.5" customHeight="1">
      <c r="A2549" s="363"/>
      <c r="B2549" s="343"/>
      <c r="C2549" s="7"/>
      <c r="D2549" s="254"/>
      <c r="E2549" s="254"/>
      <c r="F2549" s="254"/>
      <c r="G2549" s="253"/>
      <c r="H2549" s="253"/>
      <c r="I2549" s="253"/>
      <c r="J2549" s="253"/>
      <c r="K2549" s="253"/>
      <c r="L2549" s="7"/>
      <c r="M2549" s="7"/>
      <c r="N2549" s="253"/>
      <c r="O2549" s="255"/>
      <c r="P2549" s="253"/>
      <c r="Q2549" s="7"/>
      <c r="R2549" s="7"/>
      <c r="S2549" s="7"/>
      <c r="T2549" s="7"/>
      <c r="U2549" s="7"/>
      <c r="V2549" s="253"/>
      <c r="W2549" s="7"/>
      <c r="X2549" s="256"/>
      <c r="Y2549" s="256"/>
      <c r="Z2549" s="256"/>
      <c r="AA2549" s="256"/>
      <c r="AB2549" s="257"/>
      <c r="AC2549" s="258"/>
      <c r="AD2549" s="7"/>
      <c r="AE2549" s="253"/>
      <c r="AF2549" s="253"/>
      <c r="AG2549" s="259"/>
      <c r="AH2549" s="253"/>
      <c r="AI2549" s="253"/>
      <c r="AJ2549" s="7"/>
      <c r="AK2549" s="253"/>
      <c r="AL2549" s="253"/>
      <c r="AM2549" s="7"/>
      <c r="AN2549" s="253"/>
      <c r="AO2549" s="253"/>
      <c r="AP2549" s="253"/>
      <c r="AQ2549" s="253"/>
      <c r="AR2549" s="253"/>
      <c r="AS2549" s="253"/>
      <c r="AT2549" s="253"/>
      <c r="AU2549" s="253"/>
      <c r="AV2549" s="253"/>
      <c r="AW2549" s="253"/>
      <c r="AX2549" s="253"/>
      <c r="AY2549" s="253"/>
      <c r="AZ2549" s="253"/>
    </row>
    <row r="2550" spans="1:52" ht="15.5" customHeight="1">
      <c r="A2550" s="363"/>
      <c r="B2550" s="343"/>
      <c r="C2550" s="7"/>
      <c r="D2550" s="254"/>
      <c r="E2550" s="254"/>
      <c r="F2550" s="254"/>
      <c r="G2550" s="253"/>
      <c r="H2550" s="253"/>
      <c r="I2550" s="253"/>
      <c r="J2550" s="253"/>
      <c r="K2550" s="253"/>
      <c r="L2550" s="7"/>
      <c r="M2550" s="7"/>
      <c r="N2550" s="253"/>
      <c r="O2550" s="255"/>
      <c r="P2550" s="253"/>
      <c r="Q2550" s="7"/>
      <c r="R2550" s="7"/>
      <c r="S2550" s="7"/>
      <c r="T2550" s="7"/>
      <c r="U2550" s="7"/>
      <c r="V2550" s="253"/>
      <c r="W2550" s="7"/>
      <c r="X2550" s="256"/>
      <c r="Y2550" s="256"/>
      <c r="Z2550" s="256"/>
      <c r="AA2550" s="256"/>
      <c r="AB2550" s="257"/>
      <c r="AC2550" s="258"/>
      <c r="AD2550" s="7"/>
      <c r="AE2550" s="253"/>
      <c r="AF2550" s="253"/>
      <c r="AG2550" s="259"/>
      <c r="AH2550" s="253"/>
      <c r="AI2550" s="253"/>
      <c r="AJ2550" s="7"/>
      <c r="AK2550" s="253"/>
      <c r="AL2550" s="253"/>
      <c r="AM2550" s="7"/>
      <c r="AN2550" s="253"/>
      <c r="AO2550" s="253"/>
      <c r="AP2550" s="253"/>
      <c r="AQ2550" s="253"/>
      <c r="AR2550" s="253"/>
      <c r="AS2550" s="253"/>
      <c r="AT2550" s="253"/>
      <c r="AU2550" s="253"/>
      <c r="AV2550" s="253"/>
      <c r="AW2550" s="253"/>
      <c r="AX2550" s="253"/>
      <c r="AY2550" s="253"/>
      <c r="AZ2550" s="253"/>
    </row>
    <row r="2551" spans="1:52" ht="15.5" customHeight="1">
      <c r="A2551" s="363"/>
      <c r="B2551" s="343"/>
      <c r="C2551" s="7"/>
      <c r="D2551" s="254"/>
      <c r="E2551" s="254"/>
      <c r="F2551" s="254"/>
      <c r="G2551" s="253"/>
      <c r="H2551" s="253"/>
      <c r="I2551" s="253"/>
      <c r="J2551" s="253"/>
      <c r="K2551" s="253"/>
      <c r="L2551" s="7"/>
      <c r="M2551" s="7"/>
      <c r="N2551" s="253"/>
      <c r="O2551" s="255"/>
      <c r="P2551" s="253"/>
      <c r="Q2551" s="7"/>
      <c r="R2551" s="7"/>
      <c r="S2551" s="7"/>
      <c r="T2551" s="7"/>
      <c r="U2551" s="7"/>
      <c r="V2551" s="253"/>
      <c r="W2551" s="7"/>
      <c r="X2551" s="256"/>
      <c r="Y2551" s="256"/>
      <c r="Z2551" s="256"/>
      <c r="AA2551" s="256"/>
      <c r="AB2551" s="257"/>
      <c r="AC2551" s="258"/>
      <c r="AD2551" s="7"/>
      <c r="AE2551" s="253"/>
      <c r="AF2551" s="253"/>
      <c r="AG2551" s="259"/>
      <c r="AH2551" s="253"/>
      <c r="AI2551" s="253"/>
      <c r="AJ2551" s="7"/>
      <c r="AK2551" s="253"/>
      <c r="AL2551" s="253"/>
      <c r="AM2551" s="7"/>
      <c r="AN2551" s="253"/>
      <c r="AO2551" s="253"/>
      <c r="AP2551" s="253"/>
      <c r="AQ2551" s="253"/>
      <c r="AR2551" s="253"/>
      <c r="AS2551" s="253"/>
      <c r="AT2551" s="253"/>
      <c r="AU2551" s="253"/>
      <c r="AV2551" s="253"/>
      <c r="AW2551" s="253"/>
      <c r="AX2551" s="253"/>
      <c r="AY2551" s="253"/>
      <c r="AZ2551" s="253"/>
    </row>
    <row r="2552" spans="1:52" ht="15.5" customHeight="1">
      <c r="A2552" s="363"/>
      <c r="B2552" s="343"/>
      <c r="C2552" s="7"/>
      <c r="D2552" s="254"/>
      <c r="E2552" s="254"/>
      <c r="F2552" s="254"/>
      <c r="G2552" s="253"/>
      <c r="H2552" s="253"/>
      <c r="I2552" s="253"/>
      <c r="J2552" s="253"/>
      <c r="K2552" s="253"/>
      <c r="L2552" s="7"/>
      <c r="M2552" s="7"/>
      <c r="N2552" s="253"/>
      <c r="O2552" s="255"/>
      <c r="P2552" s="253"/>
      <c r="Q2552" s="7"/>
      <c r="R2552" s="7"/>
      <c r="S2552" s="7"/>
      <c r="T2552" s="7"/>
      <c r="U2552" s="7"/>
      <c r="V2552" s="253"/>
      <c r="W2552" s="7"/>
      <c r="X2552" s="256"/>
      <c r="Y2552" s="256"/>
      <c r="Z2552" s="256"/>
      <c r="AA2552" s="256"/>
      <c r="AB2552" s="257"/>
      <c r="AC2552" s="258"/>
      <c r="AD2552" s="7"/>
      <c r="AE2552" s="253"/>
      <c r="AF2552" s="253"/>
      <c r="AG2552" s="259"/>
      <c r="AH2552" s="253"/>
      <c r="AI2552" s="253"/>
      <c r="AJ2552" s="7"/>
      <c r="AK2552" s="253"/>
      <c r="AL2552" s="253"/>
      <c r="AM2552" s="7"/>
      <c r="AN2552" s="253"/>
      <c r="AO2552" s="253"/>
      <c r="AP2552" s="253"/>
      <c r="AQ2552" s="253"/>
      <c r="AR2552" s="253"/>
      <c r="AS2552" s="253"/>
      <c r="AT2552" s="253"/>
      <c r="AU2552" s="253"/>
      <c r="AV2552" s="253"/>
      <c r="AW2552" s="253"/>
      <c r="AX2552" s="253"/>
      <c r="AY2552" s="253"/>
      <c r="AZ2552" s="253"/>
    </row>
    <row r="2553" spans="1:52" ht="15.5" customHeight="1">
      <c r="A2553" s="363"/>
      <c r="B2553" s="343"/>
      <c r="C2553" s="7"/>
      <c r="D2553" s="254"/>
      <c r="E2553" s="254"/>
      <c r="F2553" s="254"/>
      <c r="G2553" s="253"/>
      <c r="H2553" s="253"/>
      <c r="I2553" s="253"/>
      <c r="J2553" s="253"/>
      <c r="K2553" s="253"/>
      <c r="L2553" s="7"/>
      <c r="M2553" s="7"/>
      <c r="N2553" s="253"/>
      <c r="O2553" s="255"/>
      <c r="P2553" s="253"/>
      <c r="Q2553" s="7"/>
      <c r="R2553" s="7"/>
      <c r="S2553" s="7"/>
      <c r="T2553" s="7"/>
      <c r="U2553" s="7"/>
      <c r="V2553" s="253"/>
      <c r="W2553" s="7"/>
      <c r="X2553" s="256"/>
      <c r="Y2553" s="256"/>
      <c r="Z2553" s="256"/>
      <c r="AA2553" s="256"/>
      <c r="AB2553" s="257"/>
      <c r="AC2553" s="258"/>
      <c r="AD2553" s="7"/>
      <c r="AE2553" s="253"/>
      <c r="AF2553" s="253"/>
      <c r="AG2553" s="259"/>
      <c r="AH2553" s="253"/>
      <c r="AI2553" s="253"/>
      <c r="AJ2553" s="7"/>
      <c r="AK2553" s="253"/>
      <c r="AL2553" s="253"/>
      <c r="AM2553" s="7"/>
      <c r="AN2553" s="253"/>
      <c r="AO2553" s="253"/>
      <c r="AP2553" s="253"/>
      <c r="AQ2553" s="253"/>
      <c r="AR2553" s="253"/>
      <c r="AS2553" s="253"/>
      <c r="AT2553" s="253"/>
      <c r="AU2553" s="253"/>
      <c r="AV2553" s="253"/>
      <c r="AW2553" s="253"/>
      <c r="AX2553" s="253"/>
      <c r="AY2553" s="253"/>
      <c r="AZ2553" s="253"/>
    </row>
    <row r="2554" spans="1:52" ht="15.5" customHeight="1">
      <c r="A2554" s="363"/>
      <c r="B2554" s="343"/>
      <c r="C2554" s="7"/>
      <c r="D2554" s="254"/>
      <c r="E2554" s="254"/>
      <c r="F2554" s="254"/>
      <c r="G2554" s="253"/>
      <c r="H2554" s="253"/>
      <c r="I2554" s="253"/>
      <c r="J2554" s="253"/>
      <c r="K2554" s="253"/>
      <c r="L2554" s="7"/>
      <c r="M2554" s="7"/>
      <c r="N2554" s="253"/>
      <c r="O2554" s="255"/>
      <c r="P2554" s="253"/>
      <c r="Q2554" s="7"/>
      <c r="R2554" s="7"/>
      <c r="S2554" s="7"/>
      <c r="T2554" s="7"/>
      <c r="U2554" s="7"/>
      <c r="V2554" s="253"/>
      <c r="W2554" s="7"/>
      <c r="X2554" s="256"/>
      <c r="Y2554" s="256"/>
      <c r="Z2554" s="256"/>
      <c r="AA2554" s="256"/>
      <c r="AB2554" s="257"/>
      <c r="AC2554" s="258"/>
      <c r="AD2554" s="7"/>
      <c r="AE2554" s="253"/>
      <c r="AF2554" s="253"/>
      <c r="AG2554" s="259"/>
      <c r="AH2554" s="253"/>
      <c r="AI2554" s="253"/>
      <c r="AJ2554" s="7"/>
      <c r="AK2554" s="253"/>
      <c r="AL2554" s="253"/>
      <c r="AM2554" s="7"/>
      <c r="AN2554" s="253"/>
      <c r="AO2554" s="253"/>
      <c r="AP2554" s="253"/>
      <c r="AQ2554" s="253"/>
      <c r="AR2554" s="253"/>
      <c r="AS2554" s="253"/>
      <c r="AT2554" s="253"/>
      <c r="AU2554" s="253"/>
      <c r="AV2554" s="253"/>
      <c r="AW2554" s="253"/>
      <c r="AX2554" s="253"/>
      <c r="AY2554" s="253"/>
      <c r="AZ2554" s="253"/>
    </row>
    <row r="2555" spans="1:52" ht="15.5" customHeight="1">
      <c r="A2555" s="363"/>
      <c r="B2555" s="343"/>
      <c r="C2555" s="7"/>
      <c r="D2555" s="254"/>
      <c r="E2555" s="254"/>
      <c r="F2555" s="254"/>
      <c r="G2555" s="253"/>
      <c r="H2555" s="253"/>
      <c r="I2555" s="253"/>
      <c r="J2555" s="253"/>
      <c r="K2555" s="253"/>
      <c r="L2555" s="7"/>
      <c r="M2555" s="7"/>
      <c r="N2555" s="253"/>
      <c r="O2555" s="255"/>
      <c r="P2555" s="253"/>
      <c r="Q2555" s="7"/>
      <c r="R2555" s="7"/>
      <c r="S2555" s="7"/>
      <c r="T2555" s="7"/>
      <c r="U2555" s="7"/>
      <c r="V2555" s="253"/>
      <c r="W2555" s="7"/>
      <c r="X2555" s="256"/>
      <c r="Y2555" s="256"/>
      <c r="Z2555" s="256"/>
      <c r="AA2555" s="256"/>
      <c r="AB2555" s="257"/>
      <c r="AC2555" s="258"/>
      <c r="AD2555" s="7"/>
      <c r="AE2555" s="253"/>
      <c r="AF2555" s="253"/>
      <c r="AG2555" s="259"/>
      <c r="AH2555" s="253"/>
      <c r="AI2555" s="253"/>
      <c r="AJ2555" s="7"/>
      <c r="AK2555" s="253"/>
      <c r="AL2555" s="253"/>
      <c r="AM2555" s="7"/>
      <c r="AN2555" s="253"/>
      <c r="AO2555" s="253"/>
      <c r="AP2555" s="253"/>
      <c r="AQ2555" s="253"/>
      <c r="AR2555" s="253"/>
      <c r="AS2555" s="253"/>
      <c r="AT2555" s="253"/>
      <c r="AU2555" s="253"/>
      <c r="AV2555" s="253"/>
      <c r="AW2555" s="253"/>
      <c r="AX2555" s="253"/>
      <c r="AY2555" s="253"/>
      <c r="AZ2555" s="253"/>
    </row>
    <row r="2556" spans="1:52" ht="15.5" customHeight="1">
      <c r="A2556" s="363"/>
      <c r="B2556" s="343"/>
      <c r="C2556" s="7"/>
      <c r="D2556" s="254"/>
      <c r="E2556" s="254"/>
      <c r="F2556" s="254"/>
      <c r="G2556" s="253"/>
      <c r="H2556" s="253"/>
      <c r="I2556" s="253"/>
      <c r="J2556" s="253"/>
      <c r="K2556" s="253"/>
      <c r="L2556" s="7"/>
      <c r="M2556" s="7"/>
      <c r="N2556" s="253"/>
      <c r="O2556" s="255"/>
      <c r="P2556" s="253"/>
      <c r="Q2556" s="7"/>
      <c r="R2556" s="7"/>
      <c r="S2556" s="7"/>
      <c r="T2556" s="7"/>
      <c r="U2556" s="7"/>
      <c r="V2556" s="253"/>
      <c r="W2556" s="7"/>
      <c r="X2556" s="256"/>
      <c r="Y2556" s="256"/>
      <c r="Z2556" s="256"/>
      <c r="AA2556" s="256"/>
      <c r="AB2556" s="257"/>
      <c r="AC2556" s="258"/>
      <c r="AD2556" s="7"/>
      <c r="AE2556" s="253"/>
      <c r="AF2556" s="253"/>
      <c r="AG2556" s="259"/>
      <c r="AH2556" s="253"/>
      <c r="AI2556" s="253"/>
      <c r="AJ2556" s="7"/>
      <c r="AK2556" s="253"/>
      <c r="AL2556" s="253"/>
      <c r="AM2556" s="7"/>
      <c r="AN2556" s="253"/>
      <c r="AO2556" s="253"/>
      <c r="AP2556" s="253"/>
      <c r="AQ2556" s="253"/>
      <c r="AR2556" s="253"/>
      <c r="AS2556" s="253"/>
      <c r="AT2556" s="253"/>
      <c r="AU2556" s="253"/>
      <c r="AV2556" s="253"/>
      <c r="AW2556" s="253"/>
      <c r="AX2556" s="253"/>
      <c r="AY2556" s="253"/>
      <c r="AZ2556" s="253"/>
    </row>
    <row r="2557" spans="1:52" ht="15.5" customHeight="1">
      <c r="A2557" s="363"/>
      <c r="B2557" s="343"/>
      <c r="C2557" s="7"/>
      <c r="D2557" s="254"/>
      <c r="E2557" s="254"/>
      <c r="F2557" s="254"/>
      <c r="G2557" s="253"/>
      <c r="H2557" s="253"/>
      <c r="I2557" s="253"/>
      <c r="J2557" s="253"/>
      <c r="K2557" s="253"/>
      <c r="L2557" s="7"/>
      <c r="M2557" s="7"/>
      <c r="N2557" s="253"/>
      <c r="O2557" s="255"/>
      <c r="P2557" s="253"/>
      <c r="Q2557" s="7"/>
      <c r="R2557" s="7"/>
      <c r="S2557" s="7"/>
      <c r="T2557" s="7"/>
      <c r="U2557" s="7"/>
      <c r="V2557" s="253"/>
      <c r="W2557" s="7"/>
      <c r="X2557" s="256"/>
      <c r="Y2557" s="256"/>
      <c r="Z2557" s="256"/>
      <c r="AA2557" s="256"/>
      <c r="AB2557" s="257"/>
      <c r="AC2557" s="258"/>
      <c r="AD2557" s="7"/>
      <c r="AE2557" s="253"/>
      <c r="AF2557" s="253"/>
      <c r="AG2557" s="259"/>
      <c r="AH2557" s="253"/>
      <c r="AI2557" s="253"/>
      <c r="AJ2557" s="7"/>
      <c r="AK2557" s="253"/>
      <c r="AL2557" s="253"/>
      <c r="AM2557" s="7"/>
      <c r="AN2557" s="253"/>
      <c r="AO2557" s="253"/>
      <c r="AP2557" s="253"/>
      <c r="AQ2557" s="253"/>
      <c r="AR2557" s="253"/>
      <c r="AS2557" s="253"/>
      <c r="AT2557" s="253"/>
      <c r="AU2557" s="253"/>
      <c r="AV2557" s="253"/>
      <c r="AW2557" s="253"/>
      <c r="AX2557" s="253"/>
      <c r="AY2557" s="253"/>
      <c r="AZ2557" s="253"/>
    </row>
    <row r="2558" spans="1:52" ht="15.5" customHeight="1">
      <c r="A2558" s="363"/>
      <c r="B2558" s="343"/>
      <c r="C2558" s="7"/>
      <c r="D2558" s="254"/>
      <c r="E2558" s="254"/>
      <c r="F2558" s="254"/>
      <c r="G2558" s="253"/>
      <c r="H2558" s="253"/>
      <c r="I2558" s="253"/>
      <c r="J2558" s="253"/>
      <c r="K2558" s="253"/>
      <c r="L2558" s="7"/>
      <c r="M2558" s="7"/>
      <c r="N2558" s="253"/>
      <c r="O2558" s="255"/>
      <c r="P2558" s="253"/>
      <c r="Q2558" s="7"/>
      <c r="R2558" s="7"/>
      <c r="S2558" s="7"/>
      <c r="T2558" s="7"/>
      <c r="U2558" s="7"/>
      <c r="V2558" s="253"/>
      <c r="W2558" s="7"/>
      <c r="X2558" s="256"/>
      <c r="Y2558" s="256"/>
      <c r="Z2558" s="256"/>
      <c r="AA2558" s="256"/>
      <c r="AB2558" s="257"/>
      <c r="AC2558" s="258"/>
      <c r="AD2558" s="7"/>
      <c r="AE2558" s="253"/>
      <c r="AF2558" s="253"/>
      <c r="AG2558" s="259"/>
      <c r="AH2558" s="253"/>
      <c r="AI2558" s="253"/>
      <c r="AJ2558" s="7"/>
      <c r="AK2558" s="253"/>
      <c r="AL2558" s="253"/>
      <c r="AM2558" s="7"/>
      <c r="AN2558" s="253"/>
      <c r="AO2558" s="253"/>
      <c r="AP2558" s="253"/>
      <c r="AQ2558" s="253"/>
      <c r="AR2558" s="253"/>
      <c r="AS2558" s="253"/>
      <c r="AT2558" s="253"/>
      <c r="AU2558" s="253"/>
      <c r="AV2558" s="253"/>
      <c r="AW2558" s="253"/>
      <c r="AX2558" s="253"/>
      <c r="AY2558" s="253"/>
      <c r="AZ2558" s="253"/>
    </row>
    <row r="2559" spans="1:52" ht="15.5" customHeight="1">
      <c r="A2559" s="363"/>
      <c r="B2559" s="343"/>
      <c r="C2559" s="7"/>
      <c r="D2559" s="254"/>
      <c r="E2559" s="254"/>
      <c r="F2559" s="254"/>
      <c r="G2559" s="253"/>
      <c r="H2559" s="253"/>
      <c r="I2559" s="253"/>
      <c r="J2559" s="253"/>
      <c r="K2559" s="253"/>
      <c r="L2559" s="7"/>
      <c r="M2559" s="7"/>
      <c r="N2559" s="253"/>
      <c r="O2559" s="255"/>
      <c r="P2559" s="253"/>
      <c r="Q2559" s="7"/>
      <c r="R2559" s="7"/>
      <c r="S2559" s="7"/>
      <c r="T2559" s="7"/>
      <c r="U2559" s="7"/>
      <c r="V2559" s="253"/>
      <c r="W2559" s="7"/>
      <c r="X2559" s="256"/>
      <c r="Y2559" s="256"/>
      <c r="Z2559" s="256"/>
      <c r="AA2559" s="256"/>
      <c r="AB2559" s="257"/>
      <c r="AC2559" s="258"/>
      <c r="AD2559" s="7"/>
      <c r="AE2559" s="253"/>
      <c r="AF2559" s="253"/>
      <c r="AG2559" s="259"/>
      <c r="AH2559" s="253"/>
      <c r="AI2559" s="253"/>
      <c r="AJ2559" s="7"/>
      <c r="AK2559" s="253"/>
      <c r="AL2559" s="253"/>
      <c r="AM2559" s="7"/>
      <c r="AN2559" s="253"/>
      <c r="AO2559" s="253"/>
      <c r="AP2559" s="253"/>
      <c r="AQ2559" s="253"/>
      <c r="AR2559" s="253"/>
      <c r="AS2559" s="253"/>
      <c r="AT2559" s="253"/>
      <c r="AU2559" s="253"/>
      <c r="AV2559" s="253"/>
      <c r="AW2559" s="253"/>
      <c r="AX2559" s="253"/>
      <c r="AY2559" s="253"/>
      <c r="AZ2559" s="253"/>
    </row>
    <row r="2560" spans="1:52" ht="15.5" customHeight="1">
      <c r="A2560" s="363"/>
      <c r="B2560" s="343"/>
      <c r="C2560" s="7"/>
      <c r="D2560" s="254"/>
      <c r="E2560" s="254"/>
      <c r="F2560" s="254"/>
      <c r="G2560" s="253"/>
      <c r="H2560" s="253"/>
      <c r="I2560" s="253"/>
      <c r="J2560" s="253"/>
      <c r="K2560" s="253"/>
      <c r="L2560" s="7"/>
      <c r="M2560" s="7"/>
      <c r="N2560" s="253"/>
      <c r="O2560" s="255"/>
      <c r="P2560" s="253"/>
      <c r="Q2560" s="7"/>
      <c r="R2560" s="7"/>
      <c r="S2560" s="7"/>
      <c r="T2560" s="7"/>
      <c r="U2560" s="7"/>
      <c r="V2560" s="253"/>
      <c r="W2560" s="7"/>
      <c r="X2560" s="256"/>
      <c r="Y2560" s="256"/>
      <c r="Z2560" s="256"/>
      <c r="AA2560" s="256"/>
      <c r="AB2560" s="257"/>
      <c r="AC2560" s="258"/>
      <c r="AD2560" s="7"/>
      <c r="AE2560" s="253"/>
      <c r="AF2560" s="253"/>
      <c r="AG2560" s="259"/>
      <c r="AH2560" s="253"/>
      <c r="AI2560" s="253"/>
      <c r="AJ2560" s="7"/>
      <c r="AK2560" s="253"/>
      <c r="AL2560" s="253"/>
      <c r="AM2560" s="7"/>
      <c r="AN2560" s="253"/>
      <c r="AO2560" s="253"/>
      <c r="AP2560" s="253"/>
      <c r="AQ2560" s="253"/>
      <c r="AR2560" s="253"/>
      <c r="AS2560" s="253"/>
      <c r="AT2560" s="253"/>
      <c r="AU2560" s="253"/>
      <c r="AV2560" s="253"/>
      <c r="AW2560" s="253"/>
      <c r="AX2560" s="253"/>
      <c r="AY2560" s="253"/>
      <c r="AZ2560" s="253"/>
    </row>
    <row r="2561" spans="1:52" ht="15.5" customHeight="1">
      <c r="A2561" s="363"/>
      <c r="B2561" s="343"/>
      <c r="C2561" s="7"/>
      <c r="D2561" s="254"/>
      <c r="E2561" s="254"/>
      <c r="F2561" s="254"/>
      <c r="G2561" s="253"/>
      <c r="H2561" s="253"/>
      <c r="I2561" s="253"/>
      <c r="J2561" s="253"/>
      <c r="K2561" s="253"/>
      <c r="L2561" s="7"/>
      <c r="M2561" s="7"/>
      <c r="N2561" s="253"/>
      <c r="O2561" s="255"/>
      <c r="P2561" s="253"/>
      <c r="Q2561" s="7"/>
      <c r="R2561" s="7"/>
      <c r="S2561" s="7"/>
      <c r="T2561" s="7"/>
      <c r="U2561" s="7"/>
      <c r="V2561" s="253"/>
      <c r="W2561" s="7"/>
      <c r="X2561" s="256"/>
      <c r="Y2561" s="256"/>
      <c r="Z2561" s="256"/>
      <c r="AA2561" s="256"/>
      <c r="AB2561" s="257"/>
      <c r="AC2561" s="258"/>
      <c r="AD2561" s="7"/>
      <c r="AE2561" s="253"/>
      <c r="AF2561" s="253"/>
      <c r="AG2561" s="259"/>
      <c r="AH2561" s="253"/>
      <c r="AI2561" s="253"/>
      <c r="AJ2561" s="7"/>
      <c r="AK2561" s="253"/>
      <c r="AL2561" s="253"/>
      <c r="AM2561" s="7"/>
      <c r="AN2561" s="253"/>
      <c r="AO2561" s="253"/>
      <c r="AP2561" s="253"/>
      <c r="AQ2561" s="253"/>
      <c r="AR2561" s="253"/>
      <c r="AS2561" s="253"/>
      <c r="AT2561" s="253"/>
      <c r="AU2561" s="253"/>
      <c r="AV2561" s="253"/>
      <c r="AW2561" s="253"/>
      <c r="AX2561" s="253"/>
      <c r="AY2561" s="253"/>
      <c r="AZ2561" s="253"/>
    </row>
    <row r="2562" spans="1:52" ht="15.5" customHeight="1">
      <c r="A2562" s="363"/>
      <c r="B2562" s="343"/>
      <c r="C2562" s="7"/>
      <c r="D2562" s="254"/>
      <c r="E2562" s="254"/>
      <c r="F2562" s="254"/>
      <c r="G2562" s="253"/>
      <c r="H2562" s="253"/>
      <c r="I2562" s="253"/>
      <c r="J2562" s="253"/>
      <c r="K2562" s="253"/>
      <c r="L2562" s="7"/>
      <c r="M2562" s="7"/>
      <c r="N2562" s="253"/>
      <c r="O2562" s="255"/>
      <c r="P2562" s="253"/>
      <c r="Q2562" s="7"/>
      <c r="R2562" s="7"/>
      <c r="S2562" s="7"/>
      <c r="T2562" s="7"/>
      <c r="U2562" s="7"/>
      <c r="V2562" s="253"/>
      <c r="W2562" s="7"/>
      <c r="X2562" s="256"/>
      <c r="Y2562" s="256"/>
      <c r="Z2562" s="256"/>
      <c r="AA2562" s="256"/>
      <c r="AB2562" s="257"/>
      <c r="AC2562" s="258"/>
      <c r="AD2562" s="7"/>
      <c r="AE2562" s="253"/>
      <c r="AF2562" s="253"/>
      <c r="AG2562" s="259"/>
      <c r="AH2562" s="253"/>
      <c r="AI2562" s="253"/>
      <c r="AJ2562" s="7"/>
      <c r="AK2562" s="253"/>
      <c r="AL2562" s="253"/>
      <c r="AM2562" s="7"/>
      <c r="AN2562" s="253"/>
      <c r="AO2562" s="253"/>
      <c r="AP2562" s="253"/>
      <c r="AQ2562" s="253"/>
      <c r="AR2562" s="253"/>
      <c r="AS2562" s="253"/>
      <c r="AT2562" s="253"/>
      <c r="AU2562" s="253"/>
      <c r="AV2562" s="253"/>
      <c r="AW2562" s="253"/>
      <c r="AX2562" s="253"/>
      <c r="AY2562" s="253"/>
      <c r="AZ2562" s="253"/>
    </row>
    <row r="2563" spans="1:52" ht="15.5" customHeight="1">
      <c r="A2563" s="363"/>
      <c r="B2563" s="343"/>
      <c r="C2563" s="7"/>
      <c r="D2563" s="254"/>
      <c r="E2563" s="254"/>
      <c r="F2563" s="254"/>
      <c r="G2563" s="253"/>
      <c r="H2563" s="253"/>
      <c r="I2563" s="253"/>
      <c r="J2563" s="253"/>
      <c r="K2563" s="253"/>
      <c r="L2563" s="7"/>
      <c r="M2563" s="7"/>
      <c r="N2563" s="253"/>
      <c r="O2563" s="255"/>
      <c r="P2563" s="253"/>
      <c r="Q2563" s="7"/>
      <c r="R2563" s="7"/>
      <c r="S2563" s="7"/>
      <c r="T2563" s="7"/>
      <c r="U2563" s="7"/>
      <c r="V2563" s="253"/>
      <c r="W2563" s="7"/>
      <c r="X2563" s="256"/>
      <c r="Y2563" s="256"/>
      <c r="Z2563" s="256"/>
      <c r="AA2563" s="256"/>
      <c r="AB2563" s="257"/>
      <c r="AC2563" s="258"/>
      <c r="AD2563" s="7"/>
      <c r="AE2563" s="253"/>
      <c r="AF2563" s="253"/>
      <c r="AG2563" s="259"/>
      <c r="AH2563" s="253"/>
      <c r="AI2563" s="253"/>
      <c r="AJ2563" s="7"/>
      <c r="AK2563" s="253"/>
      <c r="AL2563" s="253"/>
      <c r="AM2563" s="7"/>
      <c r="AN2563" s="253"/>
      <c r="AO2563" s="253"/>
      <c r="AP2563" s="253"/>
      <c r="AQ2563" s="253"/>
      <c r="AR2563" s="253"/>
      <c r="AS2563" s="253"/>
      <c r="AT2563" s="253"/>
      <c r="AU2563" s="253"/>
      <c r="AV2563" s="253"/>
      <c r="AW2563" s="253"/>
      <c r="AX2563" s="253"/>
      <c r="AY2563" s="253"/>
      <c r="AZ2563" s="253"/>
    </row>
    <row r="2564" spans="1:52" ht="15.5" customHeight="1">
      <c r="A2564" s="363"/>
      <c r="B2564" s="343"/>
      <c r="C2564" s="7"/>
      <c r="D2564" s="254"/>
      <c r="E2564" s="254"/>
      <c r="F2564" s="254"/>
      <c r="G2564" s="253"/>
      <c r="H2564" s="253"/>
      <c r="I2564" s="253"/>
      <c r="J2564" s="253"/>
      <c r="K2564" s="253"/>
      <c r="L2564" s="7"/>
      <c r="M2564" s="7"/>
      <c r="N2564" s="253"/>
      <c r="O2564" s="255"/>
      <c r="P2564" s="253"/>
      <c r="Q2564" s="7"/>
      <c r="R2564" s="7"/>
      <c r="S2564" s="7"/>
      <c r="T2564" s="7"/>
      <c r="U2564" s="7"/>
      <c r="V2564" s="253"/>
      <c r="W2564" s="7"/>
      <c r="X2564" s="256"/>
      <c r="Y2564" s="256"/>
      <c r="Z2564" s="256"/>
      <c r="AA2564" s="256"/>
      <c r="AB2564" s="257"/>
      <c r="AC2564" s="258"/>
      <c r="AD2564" s="7"/>
      <c r="AE2564" s="253"/>
      <c r="AF2564" s="253"/>
      <c r="AG2564" s="259"/>
      <c r="AH2564" s="253"/>
      <c r="AI2564" s="253"/>
      <c r="AJ2564" s="7"/>
      <c r="AK2564" s="253"/>
      <c r="AL2564" s="253"/>
      <c r="AM2564" s="7"/>
      <c r="AN2564" s="253"/>
      <c r="AO2564" s="253"/>
      <c r="AP2564" s="253"/>
      <c r="AQ2564" s="253"/>
      <c r="AR2564" s="253"/>
      <c r="AS2564" s="253"/>
      <c r="AT2564" s="253"/>
      <c r="AU2564" s="253"/>
      <c r="AV2564" s="253"/>
      <c r="AW2564" s="253"/>
      <c r="AX2564" s="253"/>
      <c r="AY2564" s="253"/>
      <c r="AZ2564" s="253"/>
    </row>
    <row r="2565" spans="1:52" ht="15.5" customHeight="1">
      <c r="A2565" s="363"/>
      <c r="B2565" s="343"/>
      <c r="C2565" s="7"/>
      <c r="D2565" s="254"/>
      <c r="E2565" s="254"/>
      <c r="F2565" s="254"/>
      <c r="G2565" s="253"/>
      <c r="H2565" s="253"/>
      <c r="I2565" s="253"/>
      <c r="J2565" s="253"/>
      <c r="K2565" s="253"/>
      <c r="L2565" s="7"/>
      <c r="M2565" s="7"/>
      <c r="N2565" s="253"/>
      <c r="O2565" s="255"/>
      <c r="P2565" s="253"/>
      <c r="Q2565" s="7"/>
      <c r="R2565" s="7"/>
      <c r="S2565" s="7"/>
      <c r="T2565" s="7"/>
      <c r="U2565" s="7"/>
      <c r="V2565" s="253"/>
      <c r="W2565" s="7"/>
      <c r="X2565" s="256"/>
      <c r="Y2565" s="256"/>
      <c r="Z2565" s="256"/>
      <c r="AA2565" s="256"/>
      <c r="AB2565" s="257"/>
      <c r="AC2565" s="258"/>
      <c r="AD2565" s="7"/>
      <c r="AE2565" s="253"/>
      <c r="AF2565" s="253"/>
      <c r="AG2565" s="259"/>
      <c r="AH2565" s="253"/>
      <c r="AI2565" s="253"/>
      <c r="AJ2565" s="7"/>
      <c r="AK2565" s="253"/>
      <c r="AL2565" s="253"/>
      <c r="AM2565" s="7"/>
      <c r="AN2565" s="253"/>
      <c r="AO2565" s="253"/>
      <c r="AP2565" s="253"/>
      <c r="AQ2565" s="253"/>
      <c r="AR2565" s="253"/>
      <c r="AS2565" s="253"/>
      <c r="AT2565" s="253"/>
      <c r="AU2565" s="253"/>
      <c r="AV2565" s="253"/>
      <c r="AW2565" s="253"/>
      <c r="AX2565" s="253"/>
      <c r="AY2565" s="253"/>
      <c r="AZ2565" s="253"/>
    </row>
    <row r="2566" spans="1:52" ht="15.5" customHeight="1">
      <c r="A2566" s="363"/>
      <c r="B2566" s="343"/>
      <c r="C2566" s="7"/>
      <c r="D2566" s="254"/>
      <c r="E2566" s="254"/>
      <c r="F2566" s="254"/>
      <c r="G2566" s="253"/>
      <c r="H2566" s="253"/>
      <c r="I2566" s="253"/>
      <c r="J2566" s="253"/>
      <c r="K2566" s="253"/>
      <c r="L2566" s="7"/>
      <c r="M2566" s="7"/>
      <c r="N2566" s="253"/>
      <c r="O2566" s="255"/>
      <c r="P2566" s="253"/>
      <c r="Q2566" s="7"/>
      <c r="R2566" s="7"/>
      <c r="S2566" s="7"/>
      <c r="T2566" s="7"/>
      <c r="U2566" s="7"/>
      <c r="V2566" s="253"/>
      <c r="W2566" s="7"/>
      <c r="X2566" s="256"/>
      <c r="Y2566" s="256"/>
      <c r="Z2566" s="256"/>
      <c r="AA2566" s="256"/>
      <c r="AB2566" s="257"/>
      <c r="AC2566" s="258"/>
      <c r="AD2566" s="7"/>
      <c r="AE2566" s="253"/>
      <c r="AF2566" s="253"/>
      <c r="AG2566" s="259"/>
      <c r="AH2566" s="253"/>
      <c r="AI2566" s="253"/>
      <c r="AJ2566" s="7"/>
      <c r="AK2566" s="253"/>
      <c r="AL2566" s="253"/>
      <c r="AM2566" s="7"/>
      <c r="AN2566" s="253"/>
      <c r="AO2566" s="253"/>
      <c r="AP2566" s="253"/>
      <c r="AQ2566" s="253"/>
      <c r="AR2566" s="253"/>
      <c r="AS2566" s="253"/>
      <c r="AT2566" s="253"/>
      <c r="AU2566" s="253"/>
      <c r="AV2566" s="253"/>
      <c r="AW2566" s="253"/>
      <c r="AX2566" s="253"/>
      <c r="AY2566" s="253"/>
      <c r="AZ2566" s="253"/>
    </row>
    <row r="2567" spans="1:52" ht="15.5" customHeight="1">
      <c r="A2567" s="363"/>
      <c r="B2567" s="343"/>
      <c r="C2567" s="7"/>
      <c r="D2567" s="254"/>
      <c r="E2567" s="254"/>
      <c r="F2567" s="254"/>
      <c r="G2567" s="253"/>
      <c r="H2567" s="253"/>
      <c r="I2567" s="253"/>
      <c r="J2567" s="253"/>
      <c r="K2567" s="253"/>
      <c r="L2567" s="7"/>
      <c r="M2567" s="7"/>
      <c r="N2567" s="253"/>
      <c r="O2567" s="255"/>
      <c r="P2567" s="253"/>
      <c r="Q2567" s="7"/>
      <c r="R2567" s="7"/>
      <c r="S2567" s="7"/>
      <c r="T2567" s="7"/>
      <c r="U2567" s="7"/>
      <c r="V2567" s="253"/>
      <c r="W2567" s="7"/>
      <c r="X2567" s="256"/>
      <c r="Y2567" s="256"/>
      <c r="Z2567" s="256"/>
      <c r="AA2567" s="256"/>
      <c r="AB2567" s="257"/>
      <c r="AC2567" s="258"/>
      <c r="AD2567" s="7"/>
      <c r="AE2567" s="253"/>
      <c r="AF2567" s="253"/>
      <c r="AG2567" s="259"/>
      <c r="AH2567" s="253"/>
      <c r="AI2567" s="253"/>
      <c r="AJ2567" s="7"/>
      <c r="AK2567" s="253"/>
      <c r="AL2567" s="253"/>
      <c r="AM2567" s="7"/>
      <c r="AN2567" s="253"/>
      <c r="AO2567" s="253"/>
      <c r="AP2567" s="253"/>
      <c r="AQ2567" s="253"/>
      <c r="AR2567" s="253"/>
      <c r="AS2567" s="253"/>
      <c r="AT2567" s="253"/>
      <c r="AU2567" s="253"/>
      <c r="AV2567" s="253"/>
      <c r="AW2567" s="253"/>
      <c r="AX2567" s="253"/>
      <c r="AY2567" s="253"/>
      <c r="AZ2567" s="253"/>
    </row>
    <row r="2568" spans="1:52" ht="15.5" customHeight="1">
      <c r="A2568" s="363"/>
      <c r="B2568" s="343"/>
      <c r="C2568" s="7"/>
      <c r="D2568" s="254"/>
      <c r="E2568" s="254"/>
      <c r="F2568" s="254"/>
      <c r="G2568" s="253"/>
      <c r="H2568" s="253"/>
      <c r="I2568" s="253"/>
      <c r="J2568" s="253"/>
      <c r="K2568" s="253"/>
      <c r="L2568" s="7"/>
      <c r="M2568" s="7"/>
      <c r="N2568" s="253"/>
      <c r="O2568" s="255"/>
      <c r="P2568" s="253"/>
      <c r="Q2568" s="7"/>
      <c r="R2568" s="7"/>
      <c r="S2568" s="7"/>
      <c r="T2568" s="7"/>
      <c r="U2568" s="7"/>
      <c r="V2568" s="253"/>
      <c r="W2568" s="7"/>
      <c r="X2568" s="256"/>
      <c r="Y2568" s="256"/>
      <c r="Z2568" s="256"/>
      <c r="AA2568" s="256"/>
      <c r="AB2568" s="257"/>
      <c r="AC2568" s="258"/>
      <c r="AD2568" s="7"/>
      <c r="AE2568" s="253"/>
      <c r="AF2568" s="253"/>
      <c r="AG2568" s="259"/>
      <c r="AH2568" s="253"/>
      <c r="AI2568" s="253"/>
      <c r="AJ2568" s="7"/>
      <c r="AK2568" s="253"/>
      <c r="AL2568" s="253"/>
      <c r="AM2568" s="7"/>
      <c r="AN2568" s="253"/>
      <c r="AO2568" s="253"/>
      <c r="AP2568" s="253"/>
      <c r="AQ2568" s="253"/>
      <c r="AR2568" s="253"/>
      <c r="AS2568" s="253"/>
      <c r="AT2568" s="253"/>
      <c r="AU2568" s="253"/>
      <c r="AV2568" s="253"/>
      <c r="AW2568" s="253"/>
      <c r="AX2568" s="253"/>
      <c r="AY2568" s="253"/>
      <c r="AZ2568" s="253"/>
    </row>
    <row r="2569" spans="1:52" ht="15.5" customHeight="1">
      <c r="A2569" s="363"/>
      <c r="B2569" s="343"/>
      <c r="C2569" s="7"/>
      <c r="D2569" s="254"/>
      <c r="E2569" s="254"/>
      <c r="F2569" s="254"/>
      <c r="G2569" s="253"/>
      <c r="H2569" s="253"/>
      <c r="I2569" s="253"/>
      <c r="J2569" s="253"/>
      <c r="K2569" s="253"/>
      <c r="L2569" s="7"/>
      <c r="M2569" s="7"/>
      <c r="N2569" s="253"/>
      <c r="O2569" s="255"/>
      <c r="P2569" s="253"/>
      <c r="Q2569" s="7"/>
      <c r="R2569" s="7"/>
      <c r="S2569" s="7"/>
      <c r="T2569" s="7"/>
      <c r="U2569" s="7"/>
      <c r="V2569" s="253"/>
      <c r="W2569" s="7"/>
      <c r="X2569" s="256"/>
      <c r="Y2569" s="256"/>
      <c r="Z2569" s="256"/>
      <c r="AA2569" s="256"/>
      <c r="AB2569" s="257"/>
      <c r="AC2569" s="258"/>
      <c r="AD2569" s="7"/>
      <c r="AE2569" s="253"/>
      <c r="AF2569" s="253"/>
      <c r="AG2569" s="259"/>
      <c r="AH2569" s="253"/>
      <c r="AI2569" s="253"/>
      <c r="AJ2569" s="7"/>
      <c r="AK2569" s="253"/>
      <c r="AL2569" s="253"/>
      <c r="AM2569" s="7"/>
      <c r="AN2569" s="253"/>
      <c r="AO2569" s="253"/>
      <c r="AP2569" s="253"/>
      <c r="AQ2569" s="253"/>
      <c r="AR2569" s="253"/>
      <c r="AS2569" s="253"/>
      <c r="AT2569" s="253"/>
      <c r="AU2569" s="253"/>
      <c r="AV2569" s="253"/>
      <c r="AW2569" s="253"/>
      <c r="AX2569" s="253"/>
      <c r="AY2569" s="253"/>
      <c r="AZ2569" s="253"/>
    </row>
    <row r="2570" spans="1:52" ht="15.5" customHeight="1">
      <c r="A2570" s="363"/>
      <c r="B2570" s="343"/>
      <c r="C2570" s="7"/>
      <c r="D2570" s="254"/>
      <c r="E2570" s="254"/>
      <c r="F2570" s="254"/>
      <c r="G2570" s="253"/>
      <c r="H2570" s="253"/>
      <c r="I2570" s="253"/>
      <c r="J2570" s="253"/>
      <c r="K2570" s="253"/>
      <c r="L2570" s="7"/>
      <c r="M2570" s="7"/>
      <c r="N2570" s="253"/>
      <c r="O2570" s="255"/>
      <c r="P2570" s="253"/>
      <c r="Q2570" s="7"/>
      <c r="R2570" s="7"/>
      <c r="S2570" s="7"/>
      <c r="T2570" s="7"/>
      <c r="U2570" s="7"/>
      <c r="V2570" s="253"/>
      <c r="W2570" s="7"/>
      <c r="X2570" s="256"/>
      <c r="Y2570" s="256"/>
      <c r="Z2570" s="256"/>
      <c r="AA2570" s="256"/>
      <c r="AB2570" s="257"/>
      <c r="AC2570" s="258"/>
      <c r="AD2570" s="7"/>
      <c r="AE2570" s="253"/>
      <c r="AF2570" s="253"/>
      <c r="AG2570" s="259"/>
      <c r="AH2570" s="253"/>
      <c r="AI2570" s="253"/>
      <c r="AJ2570" s="7"/>
      <c r="AK2570" s="253"/>
      <c r="AL2570" s="253"/>
      <c r="AM2570" s="7"/>
      <c r="AN2570" s="253"/>
      <c r="AO2570" s="253"/>
      <c r="AP2570" s="253"/>
      <c r="AQ2570" s="253"/>
      <c r="AR2570" s="253"/>
      <c r="AS2570" s="253"/>
      <c r="AT2570" s="253"/>
      <c r="AU2570" s="253"/>
      <c r="AV2570" s="253"/>
      <c r="AW2570" s="253"/>
      <c r="AX2570" s="253"/>
      <c r="AY2570" s="253"/>
      <c r="AZ2570" s="253"/>
    </row>
    <row r="2571" spans="1:52" ht="15.5" customHeight="1">
      <c r="A2571" s="363"/>
      <c r="B2571" s="343"/>
      <c r="C2571" s="7"/>
      <c r="D2571" s="254"/>
      <c r="E2571" s="254"/>
      <c r="F2571" s="254"/>
      <c r="G2571" s="253"/>
      <c r="H2571" s="253"/>
      <c r="I2571" s="253"/>
      <c r="J2571" s="253"/>
      <c r="K2571" s="253"/>
      <c r="L2571" s="7"/>
      <c r="M2571" s="7"/>
      <c r="N2571" s="253"/>
      <c r="O2571" s="255"/>
      <c r="P2571" s="253"/>
      <c r="Q2571" s="7"/>
      <c r="R2571" s="7"/>
      <c r="S2571" s="7"/>
      <c r="T2571" s="7"/>
      <c r="U2571" s="7"/>
      <c r="V2571" s="253"/>
      <c r="W2571" s="7"/>
      <c r="X2571" s="256"/>
      <c r="Y2571" s="256"/>
      <c r="Z2571" s="256"/>
      <c r="AA2571" s="256"/>
      <c r="AB2571" s="257"/>
      <c r="AC2571" s="258"/>
      <c r="AD2571" s="7"/>
      <c r="AE2571" s="253"/>
      <c r="AF2571" s="253"/>
      <c r="AG2571" s="259"/>
      <c r="AH2571" s="253"/>
      <c r="AI2571" s="253"/>
      <c r="AJ2571" s="7"/>
      <c r="AK2571" s="253"/>
      <c r="AL2571" s="253"/>
      <c r="AM2571" s="7"/>
      <c r="AN2571" s="253"/>
      <c r="AO2571" s="253"/>
      <c r="AP2571" s="253"/>
      <c r="AQ2571" s="253"/>
      <c r="AR2571" s="253"/>
      <c r="AS2571" s="253"/>
      <c r="AT2571" s="253"/>
      <c r="AU2571" s="253"/>
      <c r="AV2571" s="253"/>
      <c r="AW2571" s="253"/>
      <c r="AX2571" s="253"/>
      <c r="AY2571" s="253"/>
      <c r="AZ2571" s="253"/>
    </row>
    <row r="2572" spans="1:52" ht="15.5" customHeight="1">
      <c r="A2572" s="363"/>
      <c r="B2572" s="343"/>
      <c r="C2572" s="7"/>
      <c r="D2572" s="254"/>
      <c r="E2572" s="254"/>
      <c r="F2572" s="254"/>
      <c r="G2572" s="253"/>
      <c r="H2572" s="253"/>
      <c r="I2572" s="253"/>
      <c r="J2572" s="253"/>
      <c r="K2572" s="253"/>
      <c r="L2572" s="7"/>
      <c r="M2572" s="7"/>
      <c r="N2572" s="253"/>
      <c r="O2572" s="255"/>
      <c r="P2572" s="253"/>
      <c r="Q2572" s="7"/>
      <c r="R2572" s="7"/>
      <c r="S2572" s="7"/>
      <c r="T2572" s="7"/>
      <c r="U2572" s="7"/>
      <c r="V2572" s="253"/>
      <c r="W2572" s="7"/>
      <c r="X2572" s="256"/>
      <c r="Y2572" s="256"/>
      <c r="Z2572" s="256"/>
      <c r="AA2572" s="256"/>
      <c r="AB2572" s="257"/>
      <c r="AC2572" s="258"/>
      <c r="AD2572" s="7"/>
      <c r="AE2572" s="253"/>
      <c r="AF2572" s="253"/>
      <c r="AG2572" s="259"/>
      <c r="AH2572" s="253"/>
      <c r="AI2572" s="253"/>
      <c r="AJ2572" s="7"/>
      <c r="AK2572" s="253"/>
      <c r="AL2572" s="253"/>
      <c r="AM2572" s="7"/>
      <c r="AN2572" s="253"/>
      <c r="AO2572" s="253"/>
      <c r="AP2572" s="253"/>
      <c r="AQ2572" s="253"/>
      <c r="AR2572" s="253"/>
      <c r="AS2572" s="253"/>
      <c r="AT2572" s="253"/>
      <c r="AU2572" s="253"/>
      <c r="AV2572" s="253"/>
      <c r="AW2572" s="253"/>
      <c r="AX2572" s="253"/>
      <c r="AY2572" s="253"/>
      <c r="AZ2572" s="253"/>
    </row>
    <row r="2573" spans="1:52" ht="15.5" customHeight="1">
      <c r="A2573" s="363"/>
      <c r="B2573" s="343"/>
      <c r="C2573" s="7"/>
      <c r="D2573" s="254"/>
      <c r="E2573" s="254"/>
      <c r="F2573" s="254"/>
      <c r="G2573" s="253"/>
      <c r="H2573" s="253"/>
      <c r="I2573" s="253"/>
      <c r="J2573" s="253"/>
      <c r="K2573" s="253"/>
      <c r="L2573" s="7"/>
      <c r="M2573" s="7"/>
      <c r="N2573" s="253"/>
      <c r="O2573" s="255"/>
      <c r="P2573" s="253"/>
      <c r="Q2573" s="7"/>
      <c r="R2573" s="7"/>
      <c r="S2573" s="7"/>
      <c r="T2573" s="7"/>
      <c r="U2573" s="7"/>
      <c r="V2573" s="253"/>
      <c r="W2573" s="7"/>
      <c r="X2573" s="256"/>
      <c r="Y2573" s="256"/>
      <c r="Z2573" s="256"/>
      <c r="AA2573" s="256"/>
      <c r="AB2573" s="257"/>
      <c r="AC2573" s="258"/>
      <c r="AD2573" s="7"/>
      <c r="AE2573" s="253"/>
      <c r="AF2573" s="253"/>
      <c r="AG2573" s="259"/>
      <c r="AH2573" s="253"/>
      <c r="AI2573" s="253"/>
      <c r="AJ2573" s="7"/>
      <c r="AK2573" s="253"/>
      <c r="AL2573" s="253"/>
      <c r="AM2573" s="7"/>
      <c r="AN2573" s="253"/>
      <c r="AO2573" s="253"/>
      <c r="AP2573" s="253"/>
      <c r="AQ2573" s="253"/>
      <c r="AR2573" s="253"/>
      <c r="AS2573" s="253"/>
      <c r="AT2573" s="253"/>
      <c r="AU2573" s="253"/>
      <c r="AV2573" s="253"/>
      <c r="AW2573" s="253"/>
      <c r="AX2573" s="253"/>
      <c r="AY2573" s="253"/>
      <c r="AZ2573" s="253"/>
    </row>
    <row r="2574" spans="1:52" ht="15.5" customHeight="1">
      <c r="A2574" s="363"/>
      <c r="B2574" s="343"/>
      <c r="C2574" s="7"/>
      <c r="D2574" s="254"/>
      <c r="E2574" s="254"/>
      <c r="F2574" s="254"/>
      <c r="G2574" s="253"/>
      <c r="H2574" s="253"/>
      <c r="I2574" s="253"/>
      <c r="J2574" s="253"/>
      <c r="K2574" s="253"/>
      <c r="L2574" s="7"/>
      <c r="M2574" s="7"/>
      <c r="N2574" s="253"/>
      <c r="O2574" s="255"/>
      <c r="P2574" s="253"/>
      <c r="Q2574" s="7"/>
      <c r="R2574" s="7"/>
      <c r="S2574" s="7"/>
      <c r="T2574" s="7"/>
      <c r="U2574" s="7"/>
      <c r="V2574" s="253"/>
      <c r="W2574" s="7"/>
      <c r="X2574" s="256"/>
      <c r="Y2574" s="256"/>
      <c r="Z2574" s="256"/>
      <c r="AA2574" s="256"/>
      <c r="AB2574" s="257"/>
      <c r="AC2574" s="258"/>
      <c r="AD2574" s="7"/>
      <c r="AE2574" s="253"/>
      <c r="AF2574" s="253"/>
      <c r="AG2574" s="259"/>
      <c r="AH2574" s="253"/>
      <c r="AI2574" s="253"/>
      <c r="AJ2574" s="7"/>
      <c r="AK2574" s="253"/>
      <c r="AL2574" s="253"/>
      <c r="AM2574" s="7"/>
      <c r="AN2574" s="253"/>
      <c r="AO2574" s="253"/>
      <c r="AP2574" s="253"/>
      <c r="AQ2574" s="253"/>
      <c r="AR2574" s="253"/>
      <c r="AS2574" s="253"/>
      <c r="AT2574" s="253"/>
      <c r="AU2574" s="253"/>
      <c r="AV2574" s="253"/>
      <c r="AW2574" s="253"/>
      <c r="AX2574" s="253"/>
      <c r="AY2574" s="253"/>
      <c r="AZ2574" s="253"/>
    </row>
    <row r="2575" spans="1:52" ht="15.5" customHeight="1">
      <c r="A2575" s="363"/>
      <c r="B2575" s="343"/>
      <c r="C2575" s="7"/>
      <c r="D2575" s="254"/>
      <c r="E2575" s="254"/>
      <c r="F2575" s="254"/>
      <c r="G2575" s="253"/>
      <c r="H2575" s="253"/>
      <c r="I2575" s="253"/>
      <c r="J2575" s="253"/>
      <c r="K2575" s="253"/>
      <c r="L2575" s="7"/>
      <c r="M2575" s="7"/>
      <c r="N2575" s="253"/>
      <c r="O2575" s="255"/>
      <c r="P2575" s="253"/>
      <c r="Q2575" s="7"/>
      <c r="R2575" s="7"/>
      <c r="S2575" s="7"/>
      <c r="T2575" s="7"/>
      <c r="U2575" s="7"/>
      <c r="V2575" s="253"/>
      <c r="W2575" s="7"/>
      <c r="X2575" s="256"/>
      <c r="Y2575" s="256"/>
      <c r="Z2575" s="256"/>
      <c r="AA2575" s="256"/>
      <c r="AB2575" s="257"/>
      <c r="AC2575" s="258"/>
      <c r="AD2575" s="7"/>
      <c r="AE2575" s="253"/>
      <c r="AF2575" s="253"/>
      <c r="AG2575" s="259"/>
      <c r="AH2575" s="253"/>
      <c r="AI2575" s="253"/>
      <c r="AJ2575" s="7"/>
      <c r="AK2575" s="253"/>
      <c r="AL2575" s="253"/>
      <c r="AM2575" s="7"/>
      <c r="AN2575" s="253"/>
      <c r="AO2575" s="253"/>
      <c r="AP2575" s="253"/>
      <c r="AQ2575" s="253"/>
      <c r="AR2575" s="253"/>
      <c r="AS2575" s="253"/>
      <c r="AT2575" s="253"/>
      <c r="AU2575" s="253"/>
      <c r="AV2575" s="253"/>
      <c r="AW2575" s="253"/>
      <c r="AX2575" s="253"/>
      <c r="AY2575" s="253"/>
      <c r="AZ2575" s="253"/>
    </row>
    <row r="2576" spans="1:52" ht="15.5" customHeight="1">
      <c r="A2576" s="363"/>
      <c r="B2576" s="343"/>
      <c r="C2576" s="7"/>
      <c r="D2576" s="254"/>
      <c r="E2576" s="254"/>
      <c r="F2576" s="254"/>
      <c r="G2576" s="253"/>
      <c r="H2576" s="253"/>
      <c r="I2576" s="253"/>
      <c r="J2576" s="253"/>
      <c r="K2576" s="253"/>
      <c r="L2576" s="7"/>
      <c r="M2576" s="7"/>
      <c r="N2576" s="253"/>
      <c r="O2576" s="255"/>
      <c r="P2576" s="253"/>
      <c r="Q2576" s="7"/>
      <c r="R2576" s="7"/>
      <c r="S2576" s="7"/>
      <c r="T2576" s="7"/>
      <c r="U2576" s="7"/>
      <c r="V2576" s="253"/>
      <c r="W2576" s="7"/>
      <c r="X2576" s="256"/>
      <c r="Y2576" s="256"/>
      <c r="Z2576" s="256"/>
      <c r="AA2576" s="256"/>
      <c r="AB2576" s="257"/>
      <c r="AC2576" s="258"/>
      <c r="AD2576" s="7"/>
      <c r="AE2576" s="253"/>
      <c r="AF2576" s="253"/>
      <c r="AG2576" s="259"/>
      <c r="AH2576" s="253"/>
      <c r="AI2576" s="253"/>
      <c r="AJ2576" s="7"/>
      <c r="AK2576" s="253"/>
      <c r="AL2576" s="253"/>
      <c r="AM2576" s="7"/>
      <c r="AN2576" s="253"/>
      <c r="AO2576" s="253"/>
      <c r="AP2576" s="253"/>
      <c r="AQ2576" s="253"/>
      <c r="AR2576" s="253"/>
      <c r="AS2576" s="253"/>
      <c r="AT2576" s="253"/>
      <c r="AU2576" s="253"/>
      <c r="AV2576" s="253"/>
      <c r="AW2576" s="253"/>
      <c r="AX2576" s="253"/>
      <c r="AY2576" s="253"/>
      <c r="AZ2576" s="253"/>
    </row>
    <row r="2577" spans="1:52" ht="15.5" customHeight="1">
      <c r="A2577" s="363"/>
      <c r="B2577" s="343"/>
      <c r="C2577" s="7"/>
      <c r="D2577" s="254"/>
      <c r="E2577" s="254"/>
      <c r="F2577" s="254"/>
      <c r="G2577" s="253"/>
      <c r="H2577" s="253"/>
      <c r="I2577" s="253"/>
      <c r="J2577" s="253"/>
      <c r="K2577" s="253"/>
      <c r="L2577" s="7"/>
      <c r="M2577" s="7"/>
      <c r="N2577" s="253"/>
      <c r="O2577" s="255"/>
      <c r="P2577" s="253"/>
      <c r="Q2577" s="7"/>
      <c r="R2577" s="7"/>
      <c r="S2577" s="7"/>
      <c r="T2577" s="7"/>
      <c r="U2577" s="7"/>
      <c r="V2577" s="253"/>
      <c r="W2577" s="7"/>
      <c r="X2577" s="256"/>
      <c r="Y2577" s="256"/>
      <c r="Z2577" s="256"/>
      <c r="AA2577" s="256"/>
      <c r="AB2577" s="257"/>
      <c r="AC2577" s="258"/>
      <c r="AD2577" s="7"/>
      <c r="AE2577" s="253"/>
      <c r="AF2577" s="253"/>
      <c r="AG2577" s="259"/>
      <c r="AH2577" s="253"/>
      <c r="AI2577" s="253"/>
      <c r="AJ2577" s="7"/>
      <c r="AK2577" s="253"/>
      <c r="AL2577" s="253"/>
      <c r="AM2577" s="7"/>
      <c r="AN2577" s="253"/>
      <c r="AO2577" s="253"/>
      <c r="AP2577" s="253"/>
      <c r="AQ2577" s="253"/>
      <c r="AR2577" s="253"/>
      <c r="AS2577" s="253"/>
      <c r="AT2577" s="253"/>
      <c r="AU2577" s="253"/>
      <c r="AV2577" s="253"/>
      <c r="AW2577" s="253"/>
      <c r="AX2577" s="253"/>
      <c r="AY2577" s="253"/>
      <c r="AZ2577" s="253"/>
    </row>
    <row r="2578" spans="1:52" ht="15.5" customHeight="1">
      <c r="A2578" s="363"/>
      <c r="B2578" s="343"/>
      <c r="C2578" s="7"/>
      <c r="D2578" s="254"/>
      <c r="E2578" s="254"/>
      <c r="F2578" s="254"/>
      <c r="G2578" s="253"/>
      <c r="H2578" s="253"/>
      <c r="I2578" s="253"/>
      <c r="J2578" s="253"/>
      <c r="K2578" s="253"/>
      <c r="L2578" s="7"/>
      <c r="M2578" s="7"/>
      <c r="N2578" s="253"/>
      <c r="O2578" s="255"/>
      <c r="P2578" s="253"/>
      <c r="Q2578" s="7"/>
      <c r="R2578" s="7"/>
      <c r="S2578" s="7"/>
      <c r="T2578" s="7"/>
      <c r="U2578" s="7"/>
      <c r="V2578" s="253"/>
      <c r="W2578" s="7"/>
      <c r="X2578" s="256"/>
      <c r="Y2578" s="256"/>
      <c r="Z2578" s="256"/>
      <c r="AA2578" s="256"/>
      <c r="AB2578" s="257"/>
      <c r="AC2578" s="258"/>
      <c r="AD2578" s="7"/>
      <c r="AE2578" s="253"/>
      <c r="AF2578" s="253"/>
      <c r="AG2578" s="259"/>
      <c r="AH2578" s="253"/>
      <c r="AI2578" s="253"/>
      <c r="AJ2578" s="7"/>
      <c r="AK2578" s="253"/>
      <c r="AL2578" s="253"/>
      <c r="AM2578" s="7"/>
      <c r="AN2578" s="253"/>
      <c r="AO2578" s="253"/>
      <c r="AP2578" s="253"/>
      <c r="AQ2578" s="253"/>
      <c r="AR2578" s="253"/>
      <c r="AS2578" s="253"/>
      <c r="AT2578" s="253"/>
      <c r="AU2578" s="253"/>
      <c r="AV2578" s="253"/>
      <c r="AW2578" s="253"/>
      <c r="AX2578" s="253"/>
      <c r="AY2578" s="253"/>
      <c r="AZ2578" s="253"/>
    </row>
    <row r="2579" spans="1:52" ht="15.5" customHeight="1">
      <c r="A2579" s="363"/>
      <c r="B2579" s="343"/>
      <c r="C2579" s="7"/>
      <c r="D2579" s="254"/>
      <c r="E2579" s="254"/>
      <c r="F2579" s="254"/>
      <c r="G2579" s="253"/>
      <c r="H2579" s="253"/>
      <c r="I2579" s="253"/>
      <c r="J2579" s="253"/>
      <c r="K2579" s="253"/>
      <c r="L2579" s="7"/>
      <c r="M2579" s="7"/>
      <c r="N2579" s="253"/>
      <c r="O2579" s="255"/>
      <c r="P2579" s="253"/>
      <c r="Q2579" s="7"/>
      <c r="R2579" s="7"/>
      <c r="S2579" s="7"/>
      <c r="T2579" s="7"/>
      <c r="U2579" s="7"/>
      <c r="V2579" s="253"/>
      <c r="W2579" s="7"/>
      <c r="X2579" s="256"/>
      <c r="Y2579" s="256"/>
      <c r="Z2579" s="256"/>
      <c r="AA2579" s="256"/>
      <c r="AB2579" s="257"/>
      <c r="AC2579" s="258"/>
      <c r="AD2579" s="7"/>
      <c r="AE2579" s="253"/>
      <c r="AF2579" s="253"/>
      <c r="AG2579" s="259"/>
      <c r="AH2579" s="253"/>
      <c r="AI2579" s="253"/>
      <c r="AJ2579" s="7"/>
      <c r="AK2579" s="253"/>
      <c r="AL2579" s="253"/>
      <c r="AM2579" s="7"/>
      <c r="AN2579" s="253"/>
      <c r="AO2579" s="253"/>
      <c r="AP2579" s="253"/>
      <c r="AQ2579" s="253"/>
      <c r="AR2579" s="253"/>
      <c r="AS2579" s="253"/>
      <c r="AT2579" s="253"/>
      <c r="AU2579" s="253"/>
      <c r="AV2579" s="253"/>
      <c r="AW2579" s="253"/>
      <c r="AX2579" s="253"/>
      <c r="AY2579" s="253"/>
      <c r="AZ2579" s="253"/>
    </row>
    <row r="2580" spans="1:52" ht="15.5" customHeight="1">
      <c r="A2580" s="363"/>
      <c r="B2580" s="343"/>
      <c r="C2580" s="7"/>
      <c r="D2580" s="254"/>
      <c r="E2580" s="254"/>
      <c r="F2580" s="254"/>
      <c r="G2580" s="253"/>
      <c r="H2580" s="253"/>
      <c r="I2580" s="253"/>
      <c r="J2580" s="253"/>
      <c r="K2580" s="253"/>
      <c r="L2580" s="7"/>
      <c r="M2580" s="7"/>
      <c r="N2580" s="253"/>
      <c r="O2580" s="255"/>
      <c r="P2580" s="253"/>
      <c r="Q2580" s="7"/>
      <c r="R2580" s="7"/>
      <c r="S2580" s="7"/>
      <c r="T2580" s="7"/>
      <c r="U2580" s="7"/>
      <c r="V2580" s="253"/>
      <c r="W2580" s="7"/>
      <c r="X2580" s="256"/>
      <c r="Y2580" s="256"/>
      <c r="Z2580" s="256"/>
      <c r="AA2580" s="256"/>
      <c r="AB2580" s="257"/>
      <c r="AC2580" s="258"/>
      <c r="AD2580" s="7"/>
      <c r="AE2580" s="253"/>
      <c r="AF2580" s="253"/>
      <c r="AG2580" s="259"/>
      <c r="AH2580" s="253"/>
      <c r="AI2580" s="253"/>
      <c r="AJ2580" s="7"/>
      <c r="AK2580" s="253"/>
      <c r="AL2580" s="253"/>
      <c r="AM2580" s="7"/>
      <c r="AN2580" s="253"/>
      <c r="AO2580" s="253"/>
      <c r="AP2580" s="253"/>
      <c r="AQ2580" s="253"/>
      <c r="AR2580" s="253"/>
      <c r="AS2580" s="253"/>
      <c r="AT2580" s="253"/>
      <c r="AU2580" s="253"/>
      <c r="AV2580" s="253"/>
      <c r="AW2580" s="253"/>
      <c r="AX2580" s="253"/>
      <c r="AY2580" s="253"/>
      <c r="AZ2580" s="253"/>
    </row>
    <row r="2581" spans="1:52" ht="15.5" customHeight="1">
      <c r="A2581" s="363"/>
      <c r="B2581" s="343"/>
      <c r="C2581" s="7"/>
      <c r="D2581" s="254"/>
      <c r="E2581" s="254"/>
      <c r="F2581" s="254"/>
      <c r="G2581" s="253"/>
      <c r="H2581" s="253"/>
      <c r="I2581" s="253"/>
      <c r="J2581" s="253"/>
      <c r="K2581" s="253"/>
      <c r="L2581" s="7"/>
      <c r="M2581" s="7"/>
      <c r="N2581" s="253"/>
      <c r="O2581" s="255"/>
      <c r="P2581" s="253"/>
      <c r="Q2581" s="7"/>
      <c r="R2581" s="7"/>
      <c r="S2581" s="7"/>
      <c r="T2581" s="7"/>
      <c r="U2581" s="7"/>
      <c r="V2581" s="253"/>
      <c r="W2581" s="7"/>
      <c r="X2581" s="256"/>
      <c r="Y2581" s="256"/>
      <c r="Z2581" s="256"/>
      <c r="AA2581" s="256"/>
      <c r="AB2581" s="257"/>
      <c r="AC2581" s="258"/>
      <c r="AD2581" s="7"/>
      <c r="AE2581" s="253"/>
      <c r="AF2581" s="253"/>
      <c r="AG2581" s="259"/>
      <c r="AH2581" s="253"/>
      <c r="AI2581" s="253"/>
      <c r="AJ2581" s="7"/>
      <c r="AK2581" s="253"/>
      <c r="AL2581" s="253"/>
      <c r="AM2581" s="7"/>
      <c r="AN2581" s="253"/>
      <c r="AO2581" s="253"/>
      <c r="AP2581" s="253"/>
      <c r="AQ2581" s="253"/>
      <c r="AR2581" s="253"/>
      <c r="AS2581" s="253"/>
      <c r="AT2581" s="253"/>
      <c r="AU2581" s="253"/>
      <c r="AV2581" s="253"/>
      <c r="AW2581" s="253"/>
      <c r="AX2581" s="253"/>
      <c r="AY2581" s="253"/>
      <c r="AZ2581" s="253"/>
    </row>
    <row r="2582" spans="1:52" ht="15.5" customHeight="1">
      <c r="A2582" s="363"/>
      <c r="B2582" s="343"/>
      <c r="C2582" s="7"/>
      <c r="D2582" s="254"/>
      <c r="E2582" s="254"/>
      <c r="F2582" s="254"/>
      <c r="G2582" s="253"/>
      <c r="H2582" s="253"/>
      <c r="I2582" s="253"/>
      <c r="J2582" s="253"/>
      <c r="K2582" s="253"/>
      <c r="L2582" s="7"/>
      <c r="M2582" s="7"/>
      <c r="N2582" s="253"/>
      <c r="O2582" s="255"/>
      <c r="P2582" s="253"/>
      <c r="Q2582" s="7"/>
      <c r="R2582" s="7"/>
      <c r="S2582" s="7"/>
      <c r="T2582" s="7"/>
      <c r="U2582" s="7"/>
      <c r="V2582" s="253"/>
      <c r="W2582" s="7"/>
      <c r="X2582" s="256"/>
      <c r="Y2582" s="256"/>
      <c r="Z2582" s="256"/>
      <c r="AA2582" s="256"/>
      <c r="AB2582" s="257"/>
      <c r="AC2582" s="258"/>
      <c r="AD2582" s="7"/>
      <c r="AE2582" s="253"/>
      <c r="AF2582" s="253"/>
      <c r="AG2582" s="259"/>
      <c r="AH2582" s="253"/>
      <c r="AI2582" s="253"/>
      <c r="AJ2582" s="7"/>
      <c r="AK2582" s="253"/>
      <c r="AL2582" s="253"/>
      <c r="AM2582" s="7"/>
      <c r="AN2582" s="253"/>
      <c r="AO2582" s="253"/>
      <c r="AP2582" s="253"/>
      <c r="AQ2582" s="253"/>
      <c r="AR2582" s="253"/>
      <c r="AS2582" s="253"/>
      <c r="AT2582" s="253"/>
      <c r="AU2582" s="253"/>
      <c r="AV2582" s="253"/>
      <c r="AW2582" s="253"/>
      <c r="AX2582" s="253"/>
      <c r="AY2582" s="253"/>
      <c r="AZ2582" s="253"/>
    </row>
    <row r="2583" spans="1:52" ht="15.5" customHeight="1">
      <c r="A2583" s="363"/>
      <c r="B2583" s="343"/>
      <c r="C2583" s="7"/>
      <c r="D2583" s="254"/>
      <c r="E2583" s="254"/>
      <c r="F2583" s="254"/>
      <c r="G2583" s="253"/>
      <c r="H2583" s="253"/>
      <c r="I2583" s="253"/>
      <c r="J2583" s="253"/>
      <c r="K2583" s="253"/>
      <c r="L2583" s="7"/>
      <c r="M2583" s="7"/>
      <c r="N2583" s="253"/>
      <c r="O2583" s="255"/>
      <c r="P2583" s="253"/>
      <c r="Q2583" s="7"/>
      <c r="R2583" s="7"/>
      <c r="S2583" s="7"/>
      <c r="T2583" s="7"/>
      <c r="U2583" s="7"/>
      <c r="V2583" s="253"/>
      <c r="W2583" s="7"/>
      <c r="X2583" s="256"/>
      <c r="Y2583" s="256"/>
      <c r="Z2583" s="256"/>
      <c r="AA2583" s="256"/>
      <c r="AB2583" s="257"/>
      <c r="AC2583" s="258"/>
      <c r="AD2583" s="7"/>
      <c r="AE2583" s="253"/>
      <c r="AF2583" s="253"/>
      <c r="AG2583" s="259"/>
      <c r="AH2583" s="253"/>
      <c r="AI2583" s="253"/>
      <c r="AJ2583" s="7"/>
      <c r="AK2583" s="253"/>
      <c r="AL2583" s="253"/>
      <c r="AM2583" s="7"/>
      <c r="AN2583" s="253"/>
      <c r="AO2583" s="253"/>
      <c r="AP2583" s="253"/>
      <c r="AQ2583" s="253"/>
      <c r="AR2583" s="253"/>
      <c r="AS2583" s="253"/>
      <c r="AT2583" s="253"/>
      <c r="AU2583" s="253"/>
      <c r="AV2583" s="253"/>
      <c r="AW2583" s="253"/>
      <c r="AX2583" s="253"/>
      <c r="AY2583" s="253"/>
      <c r="AZ2583" s="253"/>
    </row>
    <row r="2584" spans="1:52" ht="15.5" customHeight="1">
      <c r="A2584" s="363"/>
      <c r="B2584" s="343"/>
      <c r="C2584" s="7"/>
      <c r="D2584" s="254"/>
      <c r="E2584" s="254"/>
      <c r="F2584" s="254"/>
      <c r="G2584" s="253"/>
      <c r="H2584" s="253"/>
      <c r="I2584" s="253"/>
      <c r="J2584" s="253"/>
      <c r="K2584" s="253"/>
      <c r="L2584" s="7"/>
      <c r="M2584" s="7"/>
      <c r="N2584" s="253"/>
      <c r="O2584" s="255"/>
      <c r="P2584" s="253"/>
      <c r="Q2584" s="7"/>
      <c r="R2584" s="7"/>
      <c r="S2584" s="7"/>
      <c r="T2584" s="7"/>
      <c r="U2584" s="7"/>
      <c r="V2584" s="253"/>
      <c r="W2584" s="7"/>
      <c r="X2584" s="256"/>
      <c r="Y2584" s="256"/>
      <c r="Z2584" s="256"/>
      <c r="AA2584" s="256"/>
      <c r="AB2584" s="257"/>
      <c r="AC2584" s="258"/>
      <c r="AD2584" s="7"/>
      <c r="AE2584" s="253"/>
      <c r="AF2584" s="253"/>
      <c r="AG2584" s="259"/>
      <c r="AH2584" s="253"/>
      <c r="AI2584" s="253"/>
      <c r="AJ2584" s="7"/>
      <c r="AK2584" s="253"/>
      <c r="AL2584" s="253"/>
      <c r="AM2584" s="7"/>
      <c r="AN2584" s="253"/>
      <c r="AO2584" s="253"/>
      <c r="AP2584" s="253"/>
      <c r="AQ2584" s="253"/>
      <c r="AR2584" s="253"/>
      <c r="AS2584" s="253"/>
      <c r="AT2584" s="253"/>
      <c r="AU2584" s="253"/>
      <c r="AV2584" s="253"/>
      <c r="AW2584" s="253"/>
      <c r="AX2584" s="253"/>
      <c r="AY2584" s="253"/>
      <c r="AZ2584" s="253"/>
    </row>
    <row r="2585" spans="1:52" ht="15.5" customHeight="1">
      <c r="A2585" s="363"/>
      <c r="B2585" s="343"/>
      <c r="C2585" s="7"/>
      <c r="D2585" s="254"/>
      <c r="E2585" s="254"/>
      <c r="F2585" s="254"/>
      <c r="G2585" s="253"/>
      <c r="H2585" s="253"/>
      <c r="I2585" s="253"/>
      <c r="J2585" s="253"/>
      <c r="K2585" s="253"/>
      <c r="L2585" s="7"/>
      <c r="M2585" s="7"/>
      <c r="N2585" s="253"/>
      <c r="O2585" s="255"/>
      <c r="P2585" s="253"/>
      <c r="Q2585" s="7"/>
      <c r="R2585" s="7"/>
      <c r="S2585" s="7"/>
      <c r="T2585" s="7"/>
      <c r="U2585" s="7"/>
      <c r="V2585" s="253"/>
      <c r="W2585" s="7"/>
      <c r="X2585" s="256"/>
      <c r="Y2585" s="256"/>
      <c r="Z2585" s="256"/>
      <c r="AA2585" s="256"/>
      <c r="AB2585" s="257"/>
      <c r="AC2585" s="258"/>
      <c r="AD2585" s="7"/>
      <c r="AE2585" s="253"/>
      <c r="AF2585" s="253"/>
      <c r="AG2585" s="259"/>
      <c r="AH2585" s="253"/>
      <c r="AI2585" s="253"/>
      <c r="AJ2585" s="7"/>
      <c r="AK2585" s="253"/>
      <c r="AL2585" s="253"/>
      <c r="AM2585" s="7"/>
      <c r="AN2585" s="253"/>
      <c r="AO2585" s="253"/>
      <c r="AP2585" s="253"/>
      <c r="AQ2585" s="253"/>
      <c r="AR2585" s="253"/>
      <c r="AS2585" s="253"/>
      <c r="AT2585" s="253"/>
      <c r="AU2585" s="253"/>
      <c r="AV2585" s="253"/>
      <c r="AW2585" s="253"/>
      <c r="AX2585" s="253"/>
      <c r="AY2585" s="253"/>
      <c r="AZ2585" s="253"/>
    </row>
    <row r="2586" spans="1:52" ht="15.5" customHeight="1">
      <c r="A2586" s="363"/>
      <c r="B2586" s="343"/>
      <c r="C2586" s="7"/>
      <c r="D2586" s="254"/>
      <c r="E2586" s="254"/>
      <c r="F2586" s="254"/>
      <c r="G2586" s="253"/>
      <c r="H2586" s="253"/>
      <c r="I2586" s="253"/>
      <c r="J2586" s="253"/>
      <c r="K2586" s="253"/>
      <c r="L2586" s="7"/>
      <c r="M2586" s="7"/>
      <c r="N2586" s="253"/>
      <c r="O2586" s="255"/>
      <c r="P2586" s="253"/>
      <c r="Q2586" s="7"/>
      <c r="R2586" s="7"/>
      <c r="S2586" s="7"/>
      <c r="T2586" s="7"/>
      <c r="U2586" s="7"/>
      <c r="V2586" s="253"/>
      <c r="W2586" s="7"/>
      <c r="X2586" s="256"/>
      <c r="Y2586" s="256"/>
      <c r="Z2586" s="256"/>
      <c r="AA2586" s="256"/>
      <c r="AB2586" s="257"/>
      <c r="AC2586" s="258"/>
      <c r="AD2586" s="7"/>
      <c r="AE2586" s="253"/>
      <c r="AF2586" s="253"/>
      <c r="AG2586" s="259"/>
      <c r="AH2586" s="253"/>
      <c r="AI2586" s="253"/>
      <c r="AJ2586" s="7"/>
      <c r="AK2586" s="253"/>
      <c r="AL2586" s="253"/>
      <c r="AM2586" s="7"/>
      <c r="AN2586" s="253"/>
      <c r="AO2586" s="253"/>
      <c r="AP2586" s="253"/>
      <c r="AQ2586" s="253"/>
      <c r="AR2586" s="253"/>
      <c r="AS2586" s="253"/>
      <c r="AT2586" s="253"/>
      <c r="AU2586" s="253"/>
      <c r="AV2586" s="253"/>
      <c r="AW2586" s="253"/>
      <c r="AX2586" s="253"/>
      <c r="AY2586" s="253"/>
      <c r="AZ2586" s="253"/>
    </row>
    <row r="2587" spans="1:52" ht="15.5" customHeight="1">
      <c r="A2587" s="363"/>
      <c r="B2587" s="343"/>
      <c r="C2587" s="7"/>
      <c r="D2587" s="254"/>
      <c r="E2587" s="254"/>
      <c r="F2587" s="254"/>
      <c r="G2587" s="253"/>
      <c r="H2587" s="253"/>
      <c r="I2587" s="253"/>
      <c r="J2587" s="253"/>
      <c r="K2587" s="253"/>
      <c r="L2587" s="7"/>
      <c r="M2587" s="7"/>
      <c r="N2587" s="253"/>
      <c r="O2587" s="255"/>
      <c r="P2587" s="253"/>
      <c r="Q2587" s="7"/>
      <c r="R2587" s="7"/>
      <c r="S2587" s="7"/>
      <c r="T2587" s="7"/>
      <c r="U2587" s="7"/>
      <c r="V2587" s="253"/>
      <c r="W2587" s="7"/>
      <c r="X2587" s="256"/>
      <c r="Y2587" s="256"/>
      <c r="Z2587" s="256"/>
      <c r="AA2587" s="256"/>
      <c r="AB2587" s="257"/>
      <c r="AC2587" s="258"/>
      <c r="AD2587" s="7"/>
      <c r="AE2587" s="253"/>
      <c r="AF2587" s="253"/>
      <c r="AG2587" s="259"/>
      <c r="AH2587" s="253"/>
      <c r="AI2587" s="253"/>
      <c r="AJ2587" s="7"/>
      <c r="AK2587" s="253"/>
      <c r="AL2587" s="253"/>
      <c r="AM2587" s="7"/>
      <c r="AN2587" s="253"/>
      <c r="AO2587" s="253"/>
      <c r="AP2587" s="253"/>
      <c r="AQ2587" s="253"/>
      <c r="AR2587" s="253"/>
      <c r="AS2587" s="253"/>
      <c r="AT2587" s="253"/>
      <c r="AU2587" s="253"/>
      <c r="AV2587" s="253"/>
      <c r="AW2587" s="253"/>
      <c r="AX2587" s="253"/>
      <c r="AY2587" s="253"/>
      <c r="AZ2587" s="253"/>
    </row>
    <row r="2588" spans="1:52" ht="15.5" customHeight="1">
      <c r="A2588" s="363"/>
      <c r="B2588" s="343"/>
      <c r="C2588" s="7"/>
      <c r="D2588" s="254"/>
      <c r="E2588" s="254"/>
      <c r="F2588" s="254"/>
      <c r="G2588" s="253"/>
      <c r="H2588" s="253"/>
      <c r="I2588" s="253"/>
      <c r="J2588" s="253"/>
      <c r="K2588" s="253"/>
      <c r="L2588" s="7"/>
      <c r="M2588" s="7"/>
      <c r="N2588" s="253"/>
      <c r="O2588" s="255"/>
      <c r="P2588" s="253"/>
      <c r="Q2588" s="7"/>
      <c r="R2588" s="7"/>
      <c r="S2588" s="7"/>
      <c r="T2588" s="7"/>
      <c r="U2588" s="7"/>
      <c r="V2588" s="253"/>
      <c r="W2588" s="7"/>
      <c r="X2588" s="256"/>
      <c r="Y2588" s="256"/>
      <c r="Z2588" s="256"/>
      <c r="AA2588" s="256"/>
      <c r="AB2588" s="257"/>
      <c r="AC2588" s="258"/>
      <c r="AD2588" s="7"/>
      <c r="AE2588" s="253"/>
      <c r="AF2588" s="253"/>
      <c r="AG2588" s="259"/>
      <c r="AH2588" s="253"/>
      <c r="AI2588" s="253"/>
      <c r="AJ2588" s="7"/>
      <c r="AK2588" s="253"/>
      <c r="AL2588" s="253"/>
      <c r="AM2588" s="7"/>
      <c r="AN2588" s="253"/>
      <c r="AO2588" s="253"/>
      <c r="AP2588" s="253"/>
      <c r="AQ2588" s="253"/>
      <c r="AR2588" s="253"/>
      <c r="AS2588" s="253"/>
      <c r="AT2588" s="253"/>
      <c r="AU2588" s="253"/>
      <c r="AV2588" s="253"/>
      <c r="AW2588" s="253"/>
      <c r="AX2588" s="253"/>
      <c r="AY2588" s="253"/>
      <c r="AZ2588" s="253"/>
    </row>
    <row r="2589" spans="1:52" ht="15.5" customHeight="1">
      <c r="A2589" s="363"/>
      <c r="B2589" s="343"/>
      <c r="C2589" s="7"/>
      <c r="D2589" s="254"/>
      <c r="E2589" s="254"/>
      <c r="F2589" s="254"/>
      <c r="G2589" s="253"/>
      <c r="H2589" s="253"/>
      <c r="I2589" s="253"/>
      <c r="J2589" s="253"/>
      <c r="K2589" s="253"/>
      <c r="L2589" s="7"/>
      <c r="M2589" s="7"/>
      <c r="N2589" s="253"/>
      <c r="O2589" s="255"/>
      <c r="P2589" s="253"/>
      <c r="Q2589" s="7"/>
      <c r="R2589" s="7"/>
      <c r="S2589" s="7"/>
      <c r="T2589" s="7"/>
      <c r="U2589" s="7"/>
      <c r="V2589" s="253"/>
      <c r="W2589" s="7"/>
      <c r="X2589" s="256"/>
      <c r="Y2589" s="256"/>
      <c r="Z2589" s="256"/>
      <c r="AA2589" s="256"/>
      <c r="AB2589" s="257"/>
      <c r="AC2589" s="258"/>
      <c r="AD2589" s="7"/>
      <c r="AE2589" s="253"/>
      <c r="AF2589" s="253"/>
      <c r="AG2589" s="259"/>
      <c r="AH2589" s="253"/>
      <c r="AI2589" s="253"/>
      <c r="AJ2589" s="7"/>
      <c r="AK2589" s="253"/>
      <c r="AL2589" s="253"/>
      <c r="AM2589" s="7"/>
      <c r="AN2589" s="253"/>
      <c r="AO2589" s="253"/>
      <c r="AP2589" s="253"/>
      <c r="AQ2589" s="253"/>
      <c r="AR2589" s="253"/>
      <c r="AS2589" s="253"/>
      <c r="AT2589" s="253"/>
      <c r="AU2589" s="253"/>
      <c r="AV2589" s="253"/>
      <c r="AW2589" s="253"/>
      <c r="AX2589" s="253"/>
      <c r="AY2589" s="253"/>
      <c r="AZ2589" s="253"/>
    </row>
    <row r="2590" spans="1:52" ht="15.5" customHeight="1">
      <c r="A2590" s="363"/>
      <c r="B2590" s="343"/>
      <c r="C2590" s="7"/>
      <c r="D2590" s="254"/>
      <c r="E2590" s="254"/>
      <c r="F2590" s="254"/>
      <c r="G2590" s="253"/>
      <c r="H2590" s="253"/>
      <c r="I2590" s="253"/>
      <c r="J2590" s="253"/>
      <c r="K2590" s="253"/>
      <c r="L2590" s="7"/>
      <c r="M2590" s="7"/>
      <c r="N2590" s="253"/>
      <c r="O2590" s="255"/>
      <c r="P2590" s="253"/>
      <c r="Q2590" s="7"/>
      <c r="R2590" s="7"/>
      <c r="S2590" s="7"/>
      <c r="T2590" s="7"/>
      <c r="U2590" s="7"/>
      <c r="V2590" s="253"/>
      <c r="W2590" s="7"/>
      <c r="X2590" s="256"/>
      <c r="Y2590" s="256"/>
      <c r="Z2590" s="256"/>
      <c r="AA2590" s="256"/>
      <c r="AB2590" s="257"/>
      <c r="AC2590" s="258"/>
      <c r="AD2590" s="7"/>
      <c r="AE2590" s="253"/>
      <c r="AF2590" s="253"/>
      <c r="AG2590" s="259"/>
      <c r="AH2590" s="253"/>
      <c r="AI2590" s="253"/>
      <c r="AJ2590" s="7"/>
      <c r="AK2590" s="253"/>
      <c r="AL2590" s="253"/>
      <c r="AM2590" s="7"/>
      <c r="AN2590" s="253"/>
      <c r="AO2590" s="253"/>
      <c r="AP2590" s="253"/>
      <c r="AQ2590" s="253"/>
      <c r="AR2590" s="253"/>
      <c r="AS2590" s="253"/>
      <c r="AT2590" s="253"/>
      <c r="AU2590" s="253"/>
      <c r="AV2590" s="253"/>
      <c r="AW2590" s="253"/>
      <c r="AX2590" s="253"/>
      <c r="AY2590" s="253"/>
      <c r="AZ2590" s="253"/>
    </row>
    <row r="2591" spans="1:52" ht="15.5" customHeight="1">
      <c r="A2591" s="363"/>
      <c r="B2591" s="343"/>
      <c r="C2591" s="7"/>
      <c r="D2591" s="254"/>
      <c r="E2591" s="254"/>
      <c r="F2591" s="254"/>
      <c r="G2591" s="253"/>
      <c r="H2591" s="253"/>
      <c r="I2591" s="253"/>
      <c r="J2591" s="253"/>
      <c r="K2591" s="253"/>
      <c r="L2591" s="7"/>
      <c r="M2591" s="7"/>
      <c r="N2591" s="253"/>
      <c r="O2591" s="255"/>
      <c r="P2591" s="253"/>
      <c r="Q2591" s="7"/>
      <c r="R2591" s="7"/>
      <c r="S2591" s="7"/>
      <c r="T2591" s="7"/>
      <c r="U2591" s="7"/>
      <c r="V2591" s="253"/>
      <c r="W2591" s="7"/>
      <c r="X2591" s="256"/>
      <c r="Y2591" s="256"/>
      <c r="Z2591" s="256"/>
      <c r="AA2591" s="256"/>
      <c r="AB2591" s="257"/>
      <c r="AC2591" s="258"/>
      <c r="AD2591" s="7"/>
      <c r="AE2591" s="253"/>
      <c r="AF2591" s="253"/>
      <c r="AG2591" s="259"/>
      <c r="AH2591" s="253"/>
      <c r="AI2591" s="253"/>
      <c r="AJ2591" s="7"/>
      <c r="AK2591" s="253"/>
      <c r="AL2591" s="253"/>
      <c r="AM2591" s="7"/>
      <c r="AN2591" s="253"/>
      <c r="AO2591" s="253"/>
      <c r="AP2591" s="253"/>
      <c r="AQ2591" s="253"/>
      <c r="AR2591" s="253"/>
      <c r="AS2591" s="253"/>
      <c r="AT2591" s="253"/>
      <c r="AU2591" s="253"/>
      <c r="AV2591" s="253"/>
      <c r="AW2591" s="253"/>
      <c r="AX2591" s="253"/>
      <c r="AY2591" s="253"/>
      <c r="AZ2591" s="253"/>
    </row>
    <row r="2592" spans="1:52" ht="15.5" customHeight="1">
      <c r="A2592" s="363"/>
      <c r="B2592" s="343"/>
      <c r="C2592" s="7"/>
      <c r="D2592" s="254"/>
      <c r="E2592" s="254"/>
      <c r="F2592" s="254"/>
      <c r="G2592" s="253"/>
      <c r="H2592" s="253"/>
      <c r="I2592" s="253"/>
      <c r="J2592" s="253"/>
      <c r="K2592" s="253"/>
      <c r="L2592" s="7"/>
      <c r="M2592" s="7"/>
      <c r="N2592" s="253"/>
      <c r="O2592" s="255"/>
      <c r="P2592" s="253"/>
      <c r="Q2592" s="7"/>
      <c r="R2592" s="7"/>
      <c r="S2592" s="7"/>
      <c r="T2592" s="7"/>
      <c r="U2592" s="7"/>
      <c r="V2592" s="253"/>
      <c r="W2592" s="7"/>
      <c r="X2592" s="256"/>
      <c r="Y2592" s="256"/>
      <c r="Z2592" s="256"/>
      <c r="AA2592" s="256"/>
      <c r="AB2592" s="257"/>
      <c r="AC2592" s="258"/>
      <c r="AD2592" s="7"/>
      <c r="AE2592" s="253"/>
      <c r="AF2592" s="253"/>
      <c r="AG2592" s="259"/>
      <c r="AH2592" s="253"/>
      <c r="AI2592" s="253"/>
      <c r="AJ2592" s="7"/>
      <c r="AK2592" s="253"/>
      <c r="AL2592" s="253"/>
      <c r="AM2592" s="7"/>
      <c r="AN2592" s="253"/>
      <c r="AO2592" s="253"/>
      <c r="AP2592" s="253"/>
      <c r="AQ2592" s="253"/>
      <c r="AR2592" s="253"/>
      <c r="AS2592" s="253"/>
      <c r="AT2592" s="253"/>
      <c r="AU2592" s="253"/>
      <c r="AV2592" s="253"/>
      <c r="AW2592" s="253"/>
      <c r="AX2592" s="253"/>
      <c r="AY2592" s="253"/>
      <c r="AZ2592" s="253"/>
    </row>
    <row r="2593" spans="1:52" ht="15.5" customHeight="1">
      <c r="A2593" s="363"/>
      <c r="B2593" s="343"/>
      <c r="C2593" s="7"/>
      <c r="D2593" s="254"/>
      <c r="E2593" s="254"/>
      <c r="F2593" s="254"/>
      <c r="G2593" s="253"/>
      <c r="H2593" s="253"/>
      <c r="I2593" s="253"/>
      <c r="J2593" s="253"/>
      <c r="K2593" s="253"/>
      <c r="L2593" s="7"/>
      <c r="M2593" s="7"/>
      <c r="N2593" s="253"/>
      <c r="O2593" s="255"/>
      <c r="P2593" s="253"/>
      <c r="Q2593" s="7"/>
      <c r="R2593" s="7"/>
      <c r="S2593" s="7"/>
      <c r="T2593" s="7"/>
      <c r="U2593" s="7"/>
      <c r="V2593" s="253"/>
      <c r="W2593" s="7"/>
      <c r="X2593" s="256"/>
      <c r="Y2593" s="256"/>
      <c r="Z2593" s="256"/>
      <c r="AA2593" s="256"/>
      <c r="AB2593" s="257"/>
      <c r="AC2593" s="258"/>
      <c r="AD2593" s="7"/>
      <c r="AE2593" s="253"/>
      <c r="AF2593" s="253"/>
      <c r="AG2593" s="259"/>
      <c r="AH2593" s="253"/>
      <c r="AI2593" s="253"/>
      <c r="AJ2593" s="7"/>
      <c r="AK2593" s="253"/>
      <c r="AL2593" s="253"/>
      <c r="AM2593" s="7"/>
      <c r="AN2593" s="253"/>
      <c r="AO2593" s="253"/>
      <c r="AP2593" s="253"/>
      <c r="AQ2593" s="253"/>
      <c r="AR2593" s="253"/>
      <c r="AS2593" s="253"/>
      <c r="AT2593" s="253"/>
      <c r="AU2593" s="253"/>
      <c r="AV2593" s="253"/>
      <c r="AW2593" s="253"/>
      <c r="AX2593" s="253"/>
      <c r="AY2593" s="253"/>
      <c r="AZ2593" s="253"/>
    </row>
    <row r="2594" spans="1:52" ht="15.5" customHeight="1">
      <c r="A2594" s="363"/>
      <c r="B2594" s="343"/>
      <c r="C2594" s="7"/>
      <c r="D2594" s="254"/>
      <c r="E2594" s="254"/>
      <c r="F2594" s="254"/>
      <c r="G2594" s="253"/>
      <c r="H2594" s="253"/>
      <c r="I2594" s="253"/>
      <c r="J2594" s="253"/>
      <c r="K2594" s="253"/>
      <c r="L2594" s="7"/>
      <c r="M2594" s="7"/>
      <c r="N2594" s="253"/>
      <c r="O2594" s="255"/>
      <c r="P2594" s="253"/>
      <c r="Q2594" s="7"/>
      <c r="R2594" s="7"/>
      <c r="S2594" s="7"/>
      <c r="T2594" s="7"/>
      <c r="U2594" s="7"/>
      <c r="V2594" s="253"/>
      <c r="W2594" s="7"/>
      <c r="X2594" s="256"/>
      <c r="Y2594" s="256"/>
      <c r="Z2594" s="256"/>
      <c r="AA2594" s="256"/>
      <c r="AB2594" s="257"/>
      <c r="AC2594" s="258"/>
      <c r="AD2594" s="7"/>
      <c r="AE2594" s="253"/>
      <c r="AF2594" s="253"/>
      <c r="AG2594" s="259"/>
      <c r="AH2594" s="253"/>
      <c r="AI2594" s="253"/>
      <c r="AJ2594" s="7"/>
      <c r="AK2594" s="253"/>
      <c r="AL2594" s="253"/>
      <c r="AM2594" s="7"/>
      <c r="AN2594" s="253"/>
      <c r="AO2594" s="253"/>
      <c r="AP2594" s="253"/>
      <c r="AQ2594" s="253"/>
      <c r="AR2594" s="253"/>
      <c r="AS2594" s="253"/>
      <c r="AT2594" s="253"/>
      <c r="AU2594" s="253"/>
      <c r="AV2594" s="253"/>
      <c r="AW2594" s="253"/>
      <c r="AX2594" s="253"/>
      <c r="AY2594" s="253"/>
      <c r="AZ2594" s="253"/>
    </row>
    <row r="2595" spans="1:52" ht="15.5" customHeight="1">
      <c r="A2595" s="363"/>
      <c r="B2595" s="343"/>
      <c r="C2595" s="7"/>
      <c r="D2595" s="254"/>
      <c r="E2595" s="254"/>
      <c r="F2595" s="254"/>
      <c r="G2595" s="253"/>
      <c r="H2595" s="253"/>
      <c r="I2595" s="253"/>
      <c r="J2595" s="253"/>
      <c r="K2595" s="253"/>
      <c r="L2595" s="7"/>
      <c r="M2595" s="7"/>
      <c r="N2595" s="253"/>
      <c r="O2595" s="255"/>
      <c r="P2595" s="253"/>
      <c r="Q2595" s="7"/>
      <c r="R2595" s="7"/>
      <c r="S2595" s="7"/>
      <c r="T2595" s="7"/>
      <c r="U2595" s="7"/>
      <c r="V2595" s="253"/>
      <c r="W2595" s="7"/>
      <c r="X2595" s="256"/>
      <c r="Y2595" s="256"/>
      <c r="Z2595" s="256"/>
      <c r="AA2595" s="256"/>
      <c r="AB2595" s="257"/>
      <c r="AC2595" s="258"/>
      <c r="AD2595" s="7"/>
      <c r="AE2595" s="253"/>
      <c r="AF2595" s="253"/>
      <c r="AG2595" s="259"/>
      <c r="AH2595" s="253"/>
      <c r="AI2595" s="253"/>
      <c r="AJ2595" s="7"/>
      <c r="AK2595" s="253"/>
      <c r="AL2595" s="253"/>
      <c r="AM2595" s="7"/>
      <c r="AN2595" s="253"/>
      <c r="AO2595" s="253"/>
      <c r="AP2595" s="253"/>
      <c r="AQ2595" s="253"/>
      <c r="AR2595" s="253"/>
      <c r="AS2595" s="253"/>
      <c r="AT2595" s="253"/>
      <c r="AU2595" s="253"/>
      <c r="AV2595" s="253"/>
      <c r="AW2595" s="253"/>
      <c r="AX2595" s="253"/>
      <c r="AY2595" s="253"/>
      <c r="AZ2595" s="253"/>
    </row>
    <row r="2596" spans="1:52" ht="15.5" customHeight="1">
      <c r="A2596" s="363"/>
      <c r="B2596" s="343"/>
      <c r="C2596" s="7"/>
      <c r="D2596" s="254"/>
      <c r="E2596" s="254"/>
      <c r="F2596" s="254"/>
      <c r="G2596" s="253"/>
      <c r="H2596" s="253"/>
      <c r="I2596" s="253"/>
      <c r="J2596" s="253"/>
      <c r="K2596" s="253"/>
      <c r="L2596" s="7"/>
      <c r="M2596" s="7"/>
      <c r="N2596" s="253"/>
      <c r="O2596" s="255"/>
      <c r="P2596" s="253"/>
      <c r="Q2596" s="7"/>
      <c r="R2596" s="7"/>
      <c r="S2596" s="7"/>
      <c r="T2596" s="7"/>
      <c r="U2596" s="7"/>
      <c r="V2596" s="253"/>
      <c r="W2596" s="7"/>
      <c r="X2596" s="256"/>
      <c r="Y2596" s="256"/>
      <c r="Z2596" s="256"/>
      <c r="AA2596" s="256"/>
      <c r="AB2596" s="257"/>
      <c r="AC2596" s="258"/>
      <c r="AD2596" s="7"/>
      <c r="AE2596" s="253"/>
      <c r="AF2596" s="253"/>
      <c r="AG2596" s="259"/>
      <c r="AH2596" s="253"/>
      <c r="AI2596" s="253"/>
      <c r="AJ2596" s="7"/>
      <c r="AK2596" s="253"/>
      <c r="AL2596" s="253"/>
      <c r="AM2596" s="7"/>
      <c r="AN2596" s="253"/>
      <c r="AO2596" s="253"/>
      <c r="AP2596" s="253"/>
      <c r="AQ2596" s="253"/>
      <c r="AR2596" s="253"/>
      <c r="AS2596" s="253"/>
      <c r="AT2596" s="253"/>
      <c r="AU2596" s="253"/>
      <c r="AV2596" s="253"/>
      <c r="AW2596" s="253"/>
      <c r="AX2596" s="253"/>
      <c r="AY2596" s="253"/>
      <c r="AZ2596" s="253"/>
    </row>
    <row r="2597" spans="1:52" ht="15.5" customHeight="1">
      <c r="A2597" s="363"/>
      <c r="B2597" s="343"/>
      <c r="C2597" s="7"/>
      <c r="D2597" s="254"/>
      <c r="E2597" s="254"/>
      <c r="F2597" s="254"/>
      <c r="G2597" s="253"/>
      <c r="H2597" s="253"/>
      <c r="I2597" s="253"/>
      <c r="J2597" s="253"/>
      <c r="K2597" s="253"/>
      <c r="L2597" s="7"/>
      <c r="M2597" s="7"/>
      <c r="N2597" s="253"/>
      <c r="O2597" s="255"/>
      <c r="P2597" s="253"/>
      <c r="Q2597" s="7"/>
      <c r="R2597" s="7"/>
      <c r="S2597" s="7"/>
      <c r="T2597" s="7"/>
      <c r="U2597" s="7"/>
      <c r="V2597" s="253"/>
      <c r="W2597" s="7"/>
      <c r="X2597" s="256"/>
      <c r="Y2597" s="256"/>
      <c r="Z2597" s="256"/>
      <c r="AA2597" s="256"/>
      <c r="AB2597" s="257"/>
      <c r="AC2597" s="258"/>
      <c r="AD2597" s="7"/>
      <c r="AE2597" s="253"/>
      <c r="AF2597" s="253"/>
      <c r="AG2597" s="259"/>
      <c r="AH2597" s="253"/>
      <c r="AI2597" s="253"/>
      <c r="AJ2597" s="7"/>
      <c r="AK2597" s="253"/>
      <c r="AL2597" s="253"/>
      <c r="AM2597" s="7"/>
      <c r="AN2597" s="253"/>
      <c r="AO2597" s="253"/>
      <c r="AP2597" s="253"/>
      <c r="AQ2597" s="253"/>
      <c r="AR2597" s="253"/>
      <c r="AS2597" s="253"/>
      <c r="AT2597" s="253"/>
      <c r="AU2597" s="253"/>
      <c r="AV2597" s="253"/>
      <c r="AW2597" s="253"/>
      <c r="AX2597" s="253"/>
      <c r="AY2597" s="253"/>
      <c r="AZ2597" s="253"/>
    </row>
    <row r="2598" spans="1:52" ht="15.5" customHeight="1">
      <c r="A2598" s="363"/>
      <c r="B2598" s="343"/>
      <c r="C2598" s="7"/>
      <c r="D2598" s="254"/>
      <c r="E2598" s="254"/>
      <c r="F2598" s="254"/>
      <c r="G2598" s="253"/>
      <c r="H2598" s="253"/>
      <c r="I2598" s="253"/>
      <c r="J2598" s="253"/>
      <c r="K2598" s="253"/>
      <c r="L2598" s="7"/>
      <c r="M2598" s="7"/>
      <c r="N2598" s="253"/>
      <c r="O2598" s="255"/>
      <c r="P2598" s="253"/>
      <c r="Q2598" s="7"/>
      <c r="R2598" s="7"/>
      <c r="S2598" s="7"/>
      <c r="T2598" s="7"/>
      <c r="U2598" s="7"/>
      <c r="V2598" s="253"/>
      <c r="W2598" s="7"/>
      <c r="X2598" s="256"/>
      <c r="Y2598" s="256"/>
      <c r="Z2598" s="256"/>
      <c r="AA2598" s="256"/>
      <c r="AB2598" s="257"/>
      <c r="AC2598" s="258"/>
      <c r="AD2598" s="7"/>
      <c r="AE2598" s="253"/>
      <c r="AF2598" s="253"/>
      <c r="AG2598" s="259"/>
      <c r="AH2598" s="253"/>
      <c r="AI2598" s="253"/>
      <c r="AJ2598" s="7"/>
      <c r="AK2598" s="253"/>
      <c r="AL2598" s="253"/>
      <c r="AM2598" s="7"/>
      <c r="AN2598" s="253"/>
      <c r="AO2598" s="253"/>
      <c r="AP2598" s="253"/>
      <c r="AQ2598" s="253"/>
      <c r="AR2598" s="253"/>
      <c r="AS2598" s="253"/>
      <c r="AT2598" s="253"/>
      <c r="AU2598" s="253"/>
      <c r="AV2598" s="253"/>
      <c r="AW2598" s="253"/>
      <c r="AX2598" s="253"/>
      <c r="AY2598" s="253"/>
      <c r="AZ2598" s="253"/>
    </row>
    <row r="2599" spans="1:52" ht="15.5" customHeight="1">
      <c r="A2599" s="363"/>
      <c r="B2599" s="343"/>
      <c r="C2599" s="7"/>
      <c r="D2599" s="254"/>
      <c r="E2599" s="254"/>
      <c r="F2599" s="254"/>
      <c r="G2599" s="253"/>
      <c r="H2599" s="253"/>
      <c r="I2599" s="253"/>
      <c r="J2599" s="253"/>
      <c r="K2599" s="253"/>
      <c r="L2599" s="7"/>
      <c r="M2599" s="7"/>
      <c r="N2599" s="253"/>
      <c r="O2599" s="255"/>
      <c r="P2599" s="253"/>
      <c r="Q2599" s="7"/>
      <c r="R2599" s="7"/>
      <c r="S2599" s="7"/>
      <c r="T2599" s="7"/>
      <c r="U2599" s="7"/>
      <c r="V2599" s="253"/>
      <c r="W2599" s="7"/>
      <c r="X2599" s="256"/>
      <c r="Y2599" s="256"/>
      <c r="Z2599" s="256"/>
      <c r="AA2599" s="256"/>
      <c r="AB2599" s="257"/>
      <c r="AC2599" s="258"/>
      <c r="AD2599" s="7"/>
      <c r="AE2599" s="253"/>
      <c r="AF2599" s="253"/>
      <c r="AG2599" s="259"/>
      <c r="AH2599" s="253"/>
      <c r="AI2599" s="253"/>
      <c r="AJ2599" s="7"/>
      <c r="AK2599" s="253"/>
      <c r="AL2599" s="253"/>
      <c r="AM2599" s="7"/>
      <c r="AN2599" s="253"/>
      <c r="AO2599" s="253"/>
      <c r="AP2599" s="253"/>
      <c r="AQ2599" s="253"/>
      <c r="AR2599" s="253"/>
      <c r="AS2599" s="253"/>
      <c r="AT2599" s="253"/>
      <c r="AU2599" s="253"/>
      <c r="AV2599" s="253"/>
      <c r="AW2599" s="253"/>
      <c r="AX2599" s="253"/>
      <c r="AY2599" s="253"/>
      <c r="AZ2599" s="253"/>
    </row>
    <row r="2600" spans="1:52" ht="15.5" customHeight="1">
      <c r="A2600" s="363"/>
      <c r="B2600" s="343"/>
      <c r="C2600" s="7"/>
      <c r="D2600" s="254"/>
      <c r="E2600" s="254"/>
      <c r="F2600" s="254"/>
      <c r="G2600" s="253"/>
      <c r="H2600" s="253"/>
      <c r="I2600" s="253"/>
      <c r="J2600" s="253"/>
      <c r="K2600" s="253"/>
      <c r="L2600" s="7"/>
      <c r="M2600" s="7"/>
      <c r="N2600" s="253"/>
      <c r="O2600" s="255"/>
      <c r="P2600" s="253"/>
      <c r="Q2600" s="7"/>
      <c r="R2600" s="7"/>
      <c r="S2600" s="7"/>
      <c r="T2600" s="7"/>
      <c r="U2600" s="7"/>
      <c r="V2600" s="253"/>
      <c r="W2600" s="7"/>
      <c r="X2600" s="256"/>
      <c r="Y2600" s="256"/>
      <c r="Z2600" s="256"/>
      <c r="AA2600" s="256"/>
      <c r="AB2600" s="257"/>
      <c r="AC2600" s="258"/>
      <c r="AD2600" s="7"/>
      <c r="AE2600" s="253"/>
      <c r="AF2600" s="253"/>
      <c r="AG2600" s="259"/>
      <c r="AH2600" s="253"/>
      <c r="AI2600" s="253"/>
      <c r="AJ2600" s="7"/>
      <c r="AK2600" s="253"/>
      <c r="AL2600" s="253"/>
      <c r="AM2600" s="7"/>
      <c r="AN2600" s="253"/>
      <c r="AO2600" s="253"/>
      <c r="AP2600" s="253"/>
      <c r="AQ2600" s="253"/>
      <c r="AR2600" s="253"/>
      <c r="AS2600" s="253"/>
      <c r="AT2600" s="253"/>
      <c r="AU2600" s="253"/>
      <c r="AV2600" s="253"/>
      <c r="AW2600" s="253"/>
      <c r="AX2600" s="253"/>
      <c r="AY2600" s="253"/>
      <c r="AZ2600" s="253"/>
    </row>
    <row r="2601" spans="1:52" ht="15.5" customHeight="1">
      <c r="A2601" s="363"/>
      <c r="B2601" s="343"/>
      <c r="C2601" s="7"/>
      <c r="D2601" s="254"/>
      <c r="E2601" s="254"/>
      <c r="F2601" s="254"/>
      <c r="G2601" s="253"/>
      <c r="H2601" s="253"/>
      <c r="I2601" s="253"/>
      <c r="J2601" s="253"/>
      <c r="K2601" s="253"/>
      <c r="L2601" s="7"/>
      <c r="M2601" s="7"/>
      <c r="N2601" s="253"/>
      <c r="O2601" s="255"/>
      <c r="P2601" s="253"/>
      <c r="Q2601" s="7"/>
      <c r="R2601" s="7"/>
      <c r="S2601" s="7"/>
      <c r="T2601" s="7"/>
      <c r="U2601" s="7"/>
      <c r="V2601" s="253"/>
      <c r="W2601" s="7"/>
      <c r="X2601" s="256"/>
      <c r="Y2601" s="256"/>
      <c r="Z2601" s="256"/>
      <c r="AA2601" s="256"/>
      <c r="AB2601" s="257"/>
      <c r="AC2601" s="258"/>
      <c r="AD2601" s="7"/>
      <c r="AE2601" s="253"/>
      <c r="AF2601" s="253"/>
      <c r="AG2601" s="259"/>
      <c r="AH2601" s="253"/>
      <c r="AI2601" s="253"/>
      <c r="AJ2601" s="7"/>
      <c r="AK2601" s="253"/>
      <c r="AL2601" s="253"/>
      <c r="AM2601" s="7"/>
      <c r="AN2601" s="253"/>
      <c r="AO2601" s="253"/>
      <c r="AP2601" s="253"/>
      <c r="AQ2601" s="253"/>
      <c r="AR2601" s="253"/>
      <c r="AS2601" s="253"/>
      <c r="AT2601" s="253"/>
      <c r="AU2601" s="253"/>
      <c r="AV2601" s="253"/>
      <c r="AW2601" s="253"/>
      <c r="AX2601" s="253"/>
      <c r="AY2601" s="253"/>
      <c r="AZ2601" s="253"/>
    </row>
    <row r="2602" spans="1:52" ht="15.5" customHeight="1">
      <c r="A2602" s="363"/>
      <c r="B2602" s="343"/>
      <c r="C2602" s="7"/>
      <c r="D2602" s="254"/>
      <c r="E2602" s="254"/>
      <c r="F2602" s="254"/>
      <c r="G2602" s="253"/>
      <c r="H2602" s="253"/>
      <c r="I2602" s="253"/>
      <c r="J2602" s="253"/>
      <c r="K2602" s="253"/>
      <c r="L2602" s="7"/>
      <c r="M2602" s="7"/>
      <c r="N2602" s="253"/>
      <c r="O2602" s="255"/>
      <c r="P2602" s="253"/>
      <c r="Q2602" s="7"/>
      <c r="R2602" s="7"/>
      <c r="S2602" s="7"/>
      <c r="T2602" s="7"/>
      <c r="U2602" s="7"/>
      <c r="V2602" s="253"/>
      <c r="W2602" s="7"/>
      <c r="X2602" s="256"/>
      <c r="Y2602" s="256"/>
      <c r="Z2602" s="256"/>
      <c r="AA2602" s="256"/>
      <c r="AB2602" s="257"/>
      <c r="AC2602" s="258"/>
      <c r="AD2602" s="7"/>
      <c r="AE2602" s="253"/>
      <c r="AF2602" s="253"/>
      <c r="AG2602" s="259"/>
      <c r="AH2602" s="253"/>
      <c r="AI2602" s="253"/>
      <c r="AJ2602" s="7"/>
      <c r="AK2602" s="253"/>
      <c r="AL2602" s="253"/>
      <c r="AM2602" s="7"/>
      <c r="AN2602" s="253"/>
      <c r="AO2602" s="253"/>
      <c r="AP2602" s="253"/>
      <c r="AQ2602" s="253"/>
      <c r="AR2602" s="253"/>
      <c r="AS2602" s="253"/>
      <c r="AT2602" s="253"/>
      <c r="AU2602" s="253"/>
      <c r="AV2602" s="253"/>
      <c r="AW2602" s="253"/>
      <c r="AX2602" s="253"/>
      <c r="AY2602" s="253"/>
      <c r="AZ2602" s="253"/>
    </row>
    <row r="2603" spans="1:52" ht="15.5" customHeight="1">
      <c r="A2603" s="363"/>
      <c r="B2603" s="343"/>
      <c r="C2603" s="7"/>
      <c r="D2603" s="254"/>
      <c r="E2603" s="254"/>
      <c r="F2603" s="254"/>
      <c r="G2603" s="253"/>
      <c r="H2603" s="253"/>
      <c r="I2603" s="253"/>
      <c r="J2603" s="253"/>
      <c r="K2603" s="253"/>
      <c r="L2603" s="7"/>
      <c r="M2603" s="7"/>
      <c r="N2603" s="253"/>
      <c r="O2603" s="255"/>
      <c r="P2603" s="253"/>
      <c r="Q2603" s="7"/>
      <c r="R2603" s="7"/>
      <c r="S2603" s="7"/>
      <c r="T2603" s="7"/>
      <c r="U2603" s="7"/>
      <c r="V2603" s="253"/>
      <c r="W2603" s="7"/>
      <c r="X2603" s="256"/>
      <c r="Y2603" s="256"/>
      <c r="Z2603" s="256"/>
      <c r="AA2603" s="256"/>
      <c r="AB2603" s="257"/>
      <c r="AC2603" s="258"/>
      <c r="AD2603" s="7"/>
      <c r="AE2603" s="253"/>
      <c r="AF2603" s="253"/>
      <c r="AG2603" s="259"/>
      <c r="AH2603" s="253"/>
      <c r="AI2603" s="253"/>
      <c r="AJ2603" s="7"/>
      <c r="AK2603" s="253"/>
      <c r="AL2603" s="253"/>
      <c r="AM2603" s="7"/>
      <c r="AN2603" s="253"/>
      <c r="AO2603" s="253"/>
      <c r="AP2603" s="253"/>
      <c r="AQ2603" s="253"/>
      <c r="AR2603" s="253"/>
      <c r="AS2603" s="253"/>
      <c r="AT2603" s="253"/>
      <c r="AU2603" s="253"/>
      <c r="AV2603" s="253"/>
      <c r="AW2603" s="253"/>
      <c r="AX2603" s="253"/>
      <c r="AY2603" s="253"/>
      <c r="AZ2603" s="253"/>
    </row>
    <row r="2604" spans="1:52" ht="15.5" customHeight="1">
      <c r="A2604" s="363"/>
      <c r="B2604" s="343"/>
      <c r="C2604" s="7"/>
      <c r="D2604" s="254"/>
      <c r="E2604" s="254"/>
      <c r="F2604" s="254"/>
      <c r="G2604" s="253"/>
      <c r="H2604" s="253"/>
      <c r="I2604" s="253"/>
      <c r="J2604" s="253"/>
      <c r="K2604" s="253"/>
      <c r="L2604" s="7"/>
      <c r="M2604" s="7"/>
      <c r="N2604" s="253"/>
      <c r="O2604" s="255"/>
      <c r="P2604" s="253"/>
      <c r="Q2604" s="7"/>
      <c r="R2604" s="7"/>
      <c r="S2604" s="7"/>
      <c r="T2604" s="7"/>
      <c r="U2604" s="7"/>
      <c r="V2604" s="253"/>
      <c r="W2604" s="7"/>
      <c r="X2604" s="256"/>
      <c r="Y2604" s="256"/>
      <c r="Z2604" s="256"/>
      <c r="AA2604" s="256"/>
      <c r="AB2604" s="257"/>
      <c r="AC2604" s="258"/>
      <c r="AD2604" s="7"/>
      <c r="AE2604" s="253"/>
      <c r="AF2604" s="253"/>
      <c r="AG2604" s="259"/>
      <c r="AH2604" s="253"/>
      <c r="AI2604" s="253"/>
      <c r="AJ2604" s="7"/>
      <c r="AK2604" s="253"/>
      <c r="AL2604" s="253"/>
      <c r="AM2604" s="7"/>
      <c r="AN2604" s="253"/>
      <c r="AO2604" s="253"/>
      <c r="AP2604" s="253"/>
      <c r="AQ2604" s="253"/>
      <c r="AR2604" s="253"/>
      <c r="AS2604" s="253"/>
      <c r="AT2604" s="253"/>
      <c r="AU2604" s="253"/>
      <c r="AV2604" s="253"/>
      <c r="AW2604" s="253"/>
      <c r="AX2604" s="253"/>
      <c r="AY2604" s="253"/>
      <c r="AZ2604" s="253"/>
    </row>
    <row r="2605" spans="1:52" ht="15.5" customHeight="1">
      <c r="A2605" s="363"/>
      <c r="B2605" s="343"/>
      <c r="C2605" s="7"/>
      <c r="D2605" s="254"/>
      <c r="E2605" s="254"/>
      <c r="F2605" s="254"/>
      <c r="G2605" s="253"/>
      <c r="H2605" s="253"/>
      <c r="I2605" s="253"/>
      <c r="J2605" s="253"/>
      <c r="K2605" s="253"/>
      <c r="L2605" s="7"/>
      <c r="M2605" s="7"/>
      <c r="N2605" s="253"/>
      <c r="O2605" s="255"/>
      <c r="P2605" s="253"/>
      <c r="Q2605" s="7"/>
      <c r="R2605" s="7"/>
      <c r="S2605" s="7"/>
      <c r="T2605" s="7"/>
      <c r="U2605" s="7"/>
      <c r="V2605" s="253"/>
      <c r="W2605" s="7"/>
      <c r="X2605" s="256"/>
      <c r="Y2605" s="256"/>
      <c r="Z2605" s="256"/>
      <c r="AA2605" s="256"/>
      <c r="AB2605" s="257"/>
      <c r="AC2605" s="258"/>
      <c r="AD2605" s="7"/>
      <c r="AE2605" s="253"/>
      <c r="AF2605" s="253"/>
      <c r="AG2605" s="259"/>
      <c r="AH2605" s="253"/>
      <c r="AI2605" s="253"/>
      <c r="AJ2605" s="7"/>
      <c r="AK2605" s="253"/>
      <c r="AL2605" s="253"/>
      <c r="AM2605" s="7"/>
      <c r="AN2605" s="253"/>
      <c r="AO2605" s="253"/>
      <c r="AP2605" s="253"/>
      <c r="AQ2605" s="253"/>
      <c r="AR2605" s="253"/>
      <c r="AS2605" s="253"/>
      <c r="AT2605" s="253"/>
      <c r="AU2605" s="253"/>
      <c r="AV2605" s="253"/>
      <c r="AW2605" s="253"/>
      <c r="AX2605" s="253"/>
      <c r="AY2605" s="253"/>
      <c r="AZ2605" s="253"/>
    </row>
    <row r="2606" spans="1:52" ht="15.5" customHeight="1">
      <c r="A2606" s="363"/>
      <c r="B2606" s="343"/>
      <c r="C2606" s="7"/>
      <c r="D2606" s="254"/>
      <c r="E2606" s="254"/>
      <c r="F2606" s="254"/>
      <c r="G2606" s="253"/>
      <c r="H2606" s="253"/>
      <c r="I2606" s="253"/>
      <c r="J2606" s="253"/>
      <c r="K2606" s="253"/>
      <c r="L2606" s="7"/>
      <c r="M2606" s="7"/>
      <c r="N2606" s="253"/>
      <c r="O2606" s="255"/>
      <c r="P2606" s="253"/>
      <c r="Q2606" s="7"/>
      <c r="R2606" s="7"/>
      <c r="S2606" s="7"/>
      <c r="T2606" s="7"/>
      <c r="U2606" s="7"/>
      <c r="V2606" s="253"/>
      <c r="W2606" s="7"/>
      <c r="X2606" s="256"/>
      <c r="Y2606" s="256"/>
      <c r="Z2606" s="256"/>
      <c r="AA2606" s="256"/>
      <c r="AB2606" s="257"/>
      <c r="AC2606" s="258"/>
      <c r="AD2606" s="7"/>
      <c r="AE2606" s="253"/>
      <c r="AF2606" s="253"/>
      <c r="AG2606" s="259"/>
      <c r="AH2606" s="253"/>
      <c r="AI2606" s="253"/>
      <c r="AJ2606" s="7"/>
      <c r="AK2606" s="253"/>
      <c r="AL2606" s="253"/>
      <c r="AM2606" s="7"/>
      <c r="AN2606" s="253"/>
      <c r="AO2606" s="253"/>
      <c r="AP2606" s="253"/>
      <c r="AQ2606" s="253"/>
      <c r="AR2606" s="253"/>
      <c r="AS2606" s="253"/>
      <c r="AT2606" s="253"/>
      <c r="AU2606" s="253"/>
      <c r="AV2606" s="253"/>
      <c r="AW2606" s="253"/>
      <c r="AX2606" s="253"/>
      <c r="AY2606" s="253"/>
      <c r="AZ2606" s="253"/>
    </row>
    <row r="2607" spans="1:52" ht="15.5" customHeight="1">
      <c r="A2607" s="363"/>
      <c r="B2607" s="343"/>
      <c r="C2607" s="7"/>
      <c r="D2607" s="254"/>
      <c r="E2607" s="254"/>
      <c r="F2607" s="254"/>
      <c r="G2607" s="253"/>
      <c r="H2607" s="253"/>
      <c r="I2607" s="253"/>
      <c r="J2607" s="253"/>
      <c r="K2607" s="253"/>
      <c r="L2607" s="7"/>
      <c r="M2607" s="7"/>
      <c r="N2607" s="253"/>
      <c r="O2607" s="255"/>
      <c r="P2607" s="253"/>
      <c r="Q2607" s="7"/>
      <c r="R2607" s="7"/>
      <c r="S2607" s="7"/>
      <c r="T2607" s="7"/>
      <c r="U2607" s="7"/>
      <c r="V2607" s="253"/>
      <c r="W2607" s="7"/>
      <c r="X2607" s="256"/>
      <c r="Y2607" s="256"/>
      <c r="Z2607" s="256"/>
      <c r="AA2607" s="256"/>
      <c r="AB2607" s="257"/>
      <c r="AC2607" s="258"/>
      <c r="AD2607" s="7"/>
      <c r="AE2607" s="253"/>
      <c r="AF2607" s="253"/>
      <c r="AG2607" s="259"/>
      <c r="AH2607" s="253"/>
      <c r="AI2607" s="253"/>
      <c r="AJ2607" s="7"/>
      <c r="AK2607" s="253"/>
      <c r="AL2607" s="253"/>
      <c r="AM2607" s="7"/>
      <c r="AN2607" s="253"/>
      <c r="AO2607" s="253"/>
      <c r="AP2607" s="253"/>
      <c r="AQ2607" s="253"/>
      <c r="AR2607" s="253"/>
      <c r="AS2607" s="253"/>
      <c r="AT2607" s="253"/>
      <c r="AU2607" s="253"/>
      <c r="AV2607" s="253"/>
      <c r="AW2607" s="253"/>
      <c r="AX2607" s="253"/>
      <c r="AY2607" s="253"/>
      <c r="AZ2607" s="253"/>
    </row>
    <row r="2608" spans="1:52" ht="15.5" customHeight="1">
      <c r="A2608" s="363"/>
      <c r="B2608" s="343"/>
      <c r="C2608" s="7"/>
      <c r="D2608" s="254"/>
      <c r="E2608" s="254"/>
      <c r="F2608" s="254"/>
      <c r="G2608" s="253"/>
      <c r="H2608" s="253"/>
      <c r="I2608" s="253"/>
      <c r="J2608" s="253"/>
      <c r="K2608" s="253"/>
      <c r="L2608" s="7"/>
      <c r="M2608" s="7"/>
      <c r="N2608" s="253"/>
      <c r="O2608" s="255"/>
      <c r="P2608" s="253"/>
      <c r="Q2608" s="7"/>
      <c r="R2608" s="7"/>
      <c r="S2608" s="7"/>
      <c r="T2608" s="7"/>
      <c r="U2608" s="7"/>
      <c r="V2608" s="253"/>
      <c r="W2608" s="7"/>
      <c r="X2608" s="256"/>
      <c r="Y2608" s="256"/>
      <c r="Z2608" s="256"/>
      <c r="AA2608" s="256"/>
      <c r="AB2608" s="257"/>
      <c r="AC2608" s="258"/>
      <c r="AD2608" s="7"/>
      <c r="AE2608" s="253"/>
      <c r="AF2608" s="253"/>
      <c r="AG2608" s="259"/>
      <c r="AH2608" s="253"/>
      <c r="AI2608" s="253"/>
      <c r="AJ2608" s="7"/>
      <c r="AK2608" s="253"/>
      <c r="AL2608" s="253"/>
      <c r="AM2608" s="7"/>
      <c r="AN2608" s="253"/>
      <c r="AO2608" s="253"/>
      <c r="AP2608" s="253"/>
      <c r="AQ2608" s="253"/>
      <c r="AR2608" s="253"/>
      <c r="AS2608" s="253"/>
      <c r="AT2608" s="253"/>
      <c r="AU2608" s="253"/>
      <c r="AV2608" s="253"/>
      <c r="AW2608" s="253"/>
      <c r="AX2608" s="253"/>
      <c r="AY2608" s="253"/>
      <c r="AZ2608" s="253"/>
    </row>
    <row r="2609" spans="1:52" ht="15.5" customHeight="1">
      <c r="A2609" s="363"/>
      <c r="B2609" s="343"/>
      <c r="C2609" s="7"/>
      <c r="D2609" s="254"/>
      <c r="E2609" s="254"/>
      <c r="F2609" s="254"/>
      <c r="G2609" s="253"/>
      <c r="H2609" s="253"/>
      <c r="I2609" s="253"/>
      <c r="J2609" s="253"/>
      <c r="K2609" s="253"/>
      <c r="L2609" s="7"/>
      <c r="M2609" s="7"/>
      <c r="N2609" s="253"/>
      <c r="O2609" s="255"/>
      <c r="P2609" s="253"/>
      <c r="Q2609" s="7"/>
      <c r="R2609" s="7"/>
      <c r="S2609" s="7"/>
      <c r="T2609" s="7"/>
      <c r="U2609" s="7"/>
      <c r="V2609" s="253"/>
      <c r="W2609" s="7"/>
      <c r="X2609" s="256"/>
      <c r="Y2609" s="256"/>
      <c r="Z2609" s="256"/>
      <c r="AA2609" s="256"/>
      <c r="AB2609" s="257"/>
      <c r="AC2609" s="258"/>
      <c r="AD2609" s="7"/>
      <c r="AE2609" s="253"/>
      <c r="AF2609" s="253"/>
      <c r="AG2609" s="259"/>
      <c r="AH2609" s="253"/>
      <c r="AI2609" s="253"/>
      <c r="AJ2609" s="7"/>
      <c r="AK2609" s="253"/>
      <c r="AL2609" s="253"/>
      <c r="AM2609" s="7"/>
      <c r="AN2609" s="253"/>
      <c r="AO2609" s="253"/>
      <c r="AP2609" s="253"/>
      <c r="AQ2609" s="253"/>
      <c r="AR2609" s="253"/>
      <c r="AS2609" s="253"/>
      <c r="AT2609" s="253"/>
      <c r="AU2609" s="253"/>
      <c r="AV2609" s="253"/>
      <c r="AW2609" s="253"/>
      <c r="AX2609" s="253"/>
      <c r="AY2609" s="253"/>
      <c r="AZ2609" s="253"/>
    </row>
    <row r="2610" spans="1:52" ht="15.5" customHeight="1">
      <c r="A2610" s="363"/>
      <c r="B2610" s="343"/>
      <c r="C2610" s="7"/>
      <c r="D2610" s="254"/>
      <c r="E2610" s="254"/>
      <c r="F2610" s="254"/>
      <c r="G2610" s="253"/>
      <c r="H2610" s="253"/>
      <c r="I2610" s="253"/>
      <c r="J2610" s="253"/>
      <c r="K2610" s="253"/>
      <c r="L2610" s="7"/>
      <c r="M2610" s="7"/>
      <c r="N2610" s="253"/>
      <c r="O2610" s="255"/>
      <c r="P2610" s="253"/>
      <c r="Q2610" s="7"/>
      <c r="R2610" s="7"/>
      <c r="S2610" s="7"/>
      <c r="T2610" s="7"/>
      <c r="U2610" s="7"/>
      <c r="V2610" s="253"/>
      <c r="W2610" s="7"/>
      <c r="X2610" s="256"/>
      <c r="Y2610" s="256"/>
      <c r="Z2610" s="256"/>
      <c r="AA2610" s="256"/>
      <c r="AB2610" s="257"/>
      <c r="AC2610" s="258"/>
      <c r="AD2610" s="7"/>
      <c r="AE2610" s="253"/>
      <c r="AF2610" s="253"/>
      <c r="AG2610" s="259"/>
      <c r="AH2610" s="253"/>
      <c r="AI2610" s="253"/>
      <c r="AJ2610" s="7"/>
      <c r="AK2610" s="253"/>
      <c r="AL2610" s="253"/>
      <c r="AM2610" s="7"/>
      <c r="AN2610" s="253"/>
      <c r="AO2610" s="253"/>
      <c r="AP2610" s="253"/>
      <c r="AQ2610" s="253"/>
      <c r="AR2610" s="253"/>
      <c r="AS2610" s="253"/>
      <c r="AT2610" s="253"/>
      <c r="AU2610" s="253"/>
      <c r="AV2610" s="253"/>
      <c r="AW2610" s="253"/>
      <c r="AX2610" s="253"/>
      <c r="AY2610" s="253"/>
      <c r="AZ2610" s="253"/>
    </row>
    <row r="2611" spans="1:52" ht="15.5" customHeight="1">
      <c r="A2611" s="363"/>
      <c r="B2611" s="343"/>
      <c r="C2611" s="7"/>
      <c r="D2611" s="254"/>
      <c r="E2611" s="254"/>
      <c r="F2611" s="254"/>
      <c r="G2611" s="253"/>
      <c r="H2611" s="253"/>
      <c r="I2611" s="253"/>
      <c r="J2611" s="253"/>
      <c r="K2611" s="253"/>
      <c r="L2611" s="7"/>
      <c r="M2611" s="7"/>
      <c r="N2611" s="253"/>
      <c r="O2611" s="255"/>
      <c r="P2611" s="253"/>
      <c r="Q2611" s="7"/>
      <c r="R2611" s="7"/>
      <c r="S2611" s="7"/>
      <c r="T2611" s="7"/>
      <c r="U2611" s="7"/>
      <c r="V2611" s="253"/>
      <c r="W2611" s="7"/>
      <c r="X2611" s="256"/>
      <c r="Y2611" s="256"/>
      <c r="Z2611" s="256"/>
      <c r="AA2611" s="256"/>
      <c r="AB2611" s="257"/>
      <c r="AC2611" s="258"/>
      <c r="AD2611" s="7"/>
      <c r="AE2611" s="253"/>
      <c r="AF2611" s="253"/>
      <c r="AG2611" s="259"/>
      <c r="AH2611" s="253"/>
      <c r="AI2611" s="253"/>
      <c r="AJ2611" s="7"/>
      <c r="AK2611" s="253"/>
      <c r="AL2611" s="253"/>
      <c r="AM2611" s="7"/>
      <c r="AN2611" s="253"/>
      <c r="AO2611" s="253"/>
      <c r="AP2611" s="253"/>
      <c r="AQ2611" s="253"/>
      <c r="AR2611" s="253"/>
      <c r="AS2611" s="253"/>
      <c r="AT2611" s="253"/>
      <c r="AU2611" s="253"/>
      <c r="AV2611" s="253"/>
      <c r="AW2611" s="253"/>
      <c r="AX2611" s="253"/>
      <c r="AY2611" s="253"/>
      <c r="AZ2611" s="253"/>
    </row>
    <row r="2612" spans="1:52" ht="15.5" customHeight="1">
      <c r="A2612" s="363"/>
      <c r="B2612" s="343"/>
      <c r="C2612" s="7"/>
      <c r="D2612" s="254"/>
      <c r="E2612" s="254"/>
      <c r="F2612" s="254"/>
      <c r="G2612" s="253"/>
      <c r="H2612" s="253"/>
      <c r="I2612" s="253"/>
      <c r="J2612" s="253"/>
      <c r="K2612" s="253"/>
      <c r="L2612" s="7"/>
      <c r="M2612" s="7"/>
      <c r="N2612" s="253"/>
      <c r="O2612" s="255"/>
      <c r="P2612" s="253"/>
      <c r="Q2612" s="7"/>
      <c r="R2612" s="7"/>
      <c r="S2612" s="7"/>
      <c r="T2612" s="7"/>
      <c r="U2612" s="7"/>
      <c r="V2612" s="253"/>
      <c r="W2612" s="7"/>
      <c r="X2612" s="256"/>
      <c r="Y2612" s="256"/>
      <c r="Z2612" s="256"/>
      <c r="AA2612" s="256"/>
      <c r="AB2612" s="257"/>
      <c r="AC2612" s="258"/>
      <c r="AD2612" s="7"/>
      <c r="AE2612" s="253"/>
      <c r="AF2612" s="253"/>
      <c r="AG2612" s="259"/>
      <c r="AH2612" s="253"/>
      <c r="AI2612" s="253"/>
      <c r="AJ2612" s="7"/>
      <c r="AK2612" s="253"/>
      <c r="AL2612" s="253"/>
      <c r="AM2612" s="7"/>
      <c r="AN2612" s="253"/>
      <c r="AO2612" s="253"/>
      <c r="AP2612" s="253"/>
      <c r="AQ2612" s="253"/>
      <c r="AR2612" s="253"/>
      <c r="AS2612" s="253"/>
      <c r="AT2612" s="253"/>
      <c r="AU2612" s="253"/>
      <c r="AV2612" s="253"/>
      <c r="AW2612" s="253"/>
      <c r="AX2612" s="253"/>
      <c r="AY2612" s="253"/>
      <c r="AZ2612" s="253"/>
    </row>
    <row r="2613" spans="1:52" ht="15.5" customHeight="1">
      <c r="A2613" s="363"/>
      <c r="B2613" s="343"/>
      <c r="C2613" s="7"/>
      <c r="D2613" s="254"/>
      <c r="E2613" s="254"/>
      <c r="F2613" s="254"/>
      <c r="G2613" s="253"/>
      <c r="H2613" s="253"/>
      <c r="I2613" s="253"/>
      <c r="J2613" s="253"/>
      <c r="K2613" s="253"/>
      <c r="L2613" s="7"/>
      <c r="M2613" s="7"/>
      <c r="N2613" s="253"/>
      <c r="O2613" s="255"/>
      <c r="P2613" s="253"/>
      <c r="Q2613" s="7"/>
      <c r="R2613" s="7"/>
      <c r="S2613" s="7"/>
      <c r="T2613" s="7"/>
      <c r="U2613" s="7"/>
      <c r="V2613" s="253"/>
      <c r="W2613" s="7"/>
      <c r="X2613" s="256"/>
      <c r="Y2613" s="256"/>
      <c r="Z2613" s="256"/>
      <c r="AA2613" s="256"/>
      <c r="AB2613" s="257"/>
      <c r="AC2613" s="258"/>
      <c r="AD2613" s="7"/>
      <c r="AE2613" s="253"/>
      <c r="AF2613" s="253"/>
      <c r="AG2613" s="259"/>
      <c r="AH2613" s="253"/>
      <c r="AI2613" s="253"/>
      <c r="AJ2613" s="7"/>
      <c r="AK2613" s="253"/>
      <c r="AL2613" s="253"/>
      <c r="AM2613" s="7"/>
      <c r="AN2613" s="253"/>
      <c r="AO2613" s="253"/>
      <c r="AP2613" s="253"/>
      <c r="AQ2613" s="253"/>
      <c r="AR2613" s="253"/>
      <c r="AS2613" s="253"/>
      <c r="AT2613" s="253"/>
      <c r="AU2613" s="253"/>
      <c r="AV2613" s="253"/>
      <c r="AW2613" s="253"/>
      <c r="AX2613" s="253"/>
      <c r="AY2613" s="253"/>
      <c r="AZ2613" s="253"/>
    </row>
    <row r="2614" spans="1:52" ht="15.5" customHeight="1">
      <c r="A2614" s="363"/>
      <c r="B2614" s="343"/>
      <c r="C2614" s="7"/>
      <c r="D2614" s="254"/>
      <c r="E2614" s="254"/>
      <c r="F2614" s="254"/>
      <c r="G2614" s="253"/>
      <c r="H2614" s="253"/>
      <c r="I2614" s="253"/>
      <c r="J2614" s="253"/>
      <c r="K2614" s="253"/>
      <c r="L2614" s="7"/>
      <c r="M2614" s="7"/>
      <c r="N2614" s="253"/>
      <c r="O2614" s="255"/>
      <c r="P2614" s="253"/>
      <c r="Q2614" s="7"/>
      <c r="R2614" s="7"/>
      <c r="S2614" s="7"/>
      <c r="T2614" s="7"/>
      <c r="U2614" s="7"/>
      <c r="V2614" s="253"/>
      <c r="W2614" s="7"/>
      <c r="X2614" s="256"/>
      <c r="Y2614" s="256"/>
      <c r="Z2614" s="256"/>
      <c r="AA2614" s="256"/>
      <c r="AB2614" s="257"/>
      <c r="AC2614" s="258"/>
      <c r="AD2614" s="7"/>
      <c r="AE2614" s="253"/>
      <c r="AF2614" s="253"/>
      <c r="AG2614" s="259"/>
      <c r="AH2614" s="253"/>
      <c r="AI2614" s="253"/>
      <c r="AJ2614" s="7"/>
      <c r="AK2614" s="253"/>
      <c r="AL2614" s="253"/>
      <c r="AM2614" s="7"/>
      <c r="AN2614" s="253"/>
      <c r="AO2614" s="253"/>
      <c r="AP2614" s="253"/>
      <c r="AQ2614" s="253"/>
      <c r="AR2614" s="253"/>
      <c r="AS2614" s="253"/>
      <c r="AT2614" s="253"/>
      <c r="AU2614" s="253"/>
      <c r="AV2614" s="253"/>
      <c r="AW2614" s="253"/>
      <c r="AX2614" s="253"/>
      <c r="AY2614" s="253"/>
      <c r="AZ2614" s="253"/>
    </row>
    <row r="2615" spans="1:52" ht="15.5" customHeight="1">
      <c r="A2615" s="363"/>
      <c r="B2615" s="343"/>
      <c r="C2615" s="7"/>
      <c r="D2615" s="254"/>
      <c r="E2615" s="254"/>
      <c r="F2615" s="254"/>
      <c r="G2615" s="253"/>
      <c r="H2615" s="253"/>
      <c r="I2615" s="253"/>
      <c r="J2615" s="253"/>
      <c r="K2615" s="253"/>
      <c r="L2615" s="7"/>
      <c r="M2615" s="7"/>
      <c r="N2615" s="253"/>
      <c r="O2615" s="255"/>
      <c r="P2615" s="253"/>
      <c r="Q2615" s="7"/>
      <c r="R2615" s="7"/>
      <c r="S2615" s="7"/>
      <c r="T2615" s="7"/>
      <c r="U2615" s="7"/>
      <c r="V2615" s="253"/>
      <c r="W2615" s="7"/>
      <c r="X2615" s="256"/>
      <c r="Y2615" s="256"/>
      <c r="Z2615" s="256"/>
      <c r="AA2615" s="256"/>
      <c r="AB2615" s="257"/>
      <c r="AC2615" s="258"/>
      <c r="AD2615" s="7"/>
      <c r="AE2615" s="253"/>
      <c r="AF2615" s="253"/>
      <c r="AG2615" s="259"/>
      <c r="AH2615" s="253"/>
      <c r="AI2615" s="253"/>
      <c r="AJ2615" s="7"/>
      <c r="AK2615" s="253"/>
      <c r="AL2615" s="253"/>
      <c r="AM2615" s="7"/>
      <c r="AN2615" s="253"/>
      <c r="AO2615" s="253"/>
      <c r="AP2615" s="253"/>
      <c r="AQ2615" s="253"/>
      <c r="AR2615" s="253"/>
      <c r="AS2615" s="253"/>
      <c r="AT2615" s="253"/>
      <c r="AU2615" s="253"/>
      <c r="AV2615" s="253"/>
      <c r="AW2615" s="253"/>
      <c r="AX2615" s="253"/>
      <c r="AY2615" s="253"/>
      <c r="AZ2615" s="253"/>
    </row>
    <row r="2616" spans="1:52" ht="15.5" customHeight="1">
      <c r="A2616" s="363"/>
      <c r="B2616" s="343"/>
      <c r="C2616" s="7"/>
      <c r="D2616" s="254"/>
      <c r="E2616" s="254"/>
      <c r="F2616" s="254"/>
      <c r="G2616" s="253"/>
      <c r="H2616" s="253"/>
      <c r="I2616" s="253"/>
      <c r="J2616" s="253"/>
      <c r="K2616" s="253"/>
      <c r="L2616" s="7"/>
      <c r="M2616" s="7"/>
      <c r="N2616" s="253"/>
      <c r="O2616" s="255"/>
      <c r="P2616" s="253"/>
      <c r="Q2616" s="7"/>
      <c r="R2616" s="7"/>
      <c r="S2616" s="7"/>
      <c r="T2616" s="7"/>
      <c r="U2616" s="7"/>
      <c r="V2616" s="253"/>
      <c r="W2616" s="7"/>
      <c r="X2616" s="256"/>
      <c r="Y2616" s="256"/>
      <c r="Z2616" s="256"/>
      <c r="AA2616" s="256"/>
      <c r="AB2616" s="257"/>
      <c r="AC2616" s="258"/>
      <c r="AD2616" s="7"/>
      <c r="AE2616" s="253"/>
      <c r="AF2616" s="253"/>
      <c r="AG2616" s="259"/>
      <c r="AH2616" s="253"/>
      <c r="AI2616" s="253"/>
      <c r="AJ2616" s="7"/>
      <c r="AK2616" s="253"/>
      <c r="AL2616" s="253"/>
      <c r="AM2616" s="7"/>
      <c r="AN2616" s="253"/>
      <c r="AO2616" s="253"/>
      <c r="AP2616" s="253"/>
      <c r="AQ2616" s="253"/>
      <c r="AR2616" s="253"/>
      <c r="AS2616" s="253"/>
      <c r="AT2616" s="253"/>
      <c r="AU2616" s="253"/>
      <c r="AV2616" s="253"/>
      <c r="AW2616" s="253"/>
      <c r="AX2616" s="253"/>
      <c r="AY2616" s="253"/>
      <c r="AZ2616" s="253"/>
    </row>
    <row r="2617" spans="1:52" ht="15.5" customHeight="1">
      <c r="A2617" s="363"/>
      <c r="B2617" s="343"/>
      <c r="C2617" s="7"/>
      <c r="D2617" s="254"/>
      <c r="E2617" s="254"/>
      <c r="F2617" s="254"/>
      <c r="G2617" s="253"/>
      <c r="H2617" s="253"/>
      <c r="I2617" s="253"/>
      <c r="J2617" s="253"/>
      <c r="K2617" s="253"/>
      <c r="L2617" s="7"/>
      <c r="M2617" s="7"/>
      <c r="N2617" s="253"/>
      <c r="O2617" s="255"/>
      <c r="P2617" s="253"/>
      <c r="Q2617" s="7"/>
      <c r="R2617" s="7"/>
      <c r="S2617" s="7"/>
      <c r="T2617" s="7"/>
      <c r="U2617" s="7"/>
      <c r="V2617" s="253"/>
      <c r="W2617" s="7"/>
      <c r="X2617" s="256"/>
      <c r="Y2617" s="256"/>
      <c r="Z2617" s="256"/>
      <c r="AA2617" s="256"/>
      <c r="AB2617" s="257"/>
      <c r="AC2617" s="258"/>
      <c r="AD2617" s="7"/>
      <c r="AE2617" s="253"/>
      <c r="AF2617" s="253"/>
      <c r="AG2617" s="259"/>
      <c r="AH2617" s="253"/>
      <c r="AI2617" s="253"/>
      <c r="AJ2617" s="7"/>
      <c r="AK2617" s="253"/>
      <c r="AL2617" s="253"/>
      <c r="AM2617" s="7"/>
      <c r="AN2617" s="253"/>
      <c r="AO2617" s="253"/>
      <c r="AP2617" s="253"/>
      <c r="AQ2617" s="253"/>
      <c r="AR2617" s="253"/>
      <c r="AS2617" s="253"/>
      <c r="AT2617" s="253"/>
      <c r="AU2617" s="253"/>
      <c r="AV2617" s="253"/>
      <c r="AW2617" s="253"/>
      <c r="AX2617" s="253"/>
      <c r="AY2617" s="253"/>
      <c r="AZ2617" s="253"/>
    </row>
    <row r="2618" spans="1:52" ht="15.5" customHeight="1">
      <c r="A2618" s="363"/>
      <c r="B2618" s="343"/>
      <c r="C2618" s="7"/>
      <c r="D2618" s="254"/>
      <c r="E2618" s="254"/>
      <c r="F2618" s="254"/>
      <c r="G2618" s="253"/>
      <c r="H2618" s="253"/>
      <c r="I2618" s="253"/>
      <c r="J2618" s="253"/>
      <c r="K2618" s="253"/>
      <c r="L2618" s="7"/>
      <c r="M2618" s="7"/>
      <c r="N2618" s="253"/>
      <c r="O2618" s="255"/>
      <c r="P2618" s="253"/>
      <c r="Q2618" s="7"/>
      <c r="R2618" s="7"/>
      <c r="S2618" s="7"/>
      <c r="T2618" s="7"/>
      <c r="U2618" s="7"/>
      <c r="V2618" s="253"/>
      <c r="W2618" s="7"/>
      <c r="X2618" s="256"/>
      <c r="Y2618" s="256"/>
      <c r="Z2618" s="256"/>
      <c r="AA2618" s="256"/>
      <c r="AB2618" s="257"/>
      <c r="AC2618" s="258"/>
      <c r="AD2618" s="7"/>
      <c r="AE2618" s="253"/>
      <c r="AF2618" s="253"/>
      <c r="AG2618" s="259"/>
      <c r="AH2618" s="253"/>
      <c r="AI2618" s="253"/>
      <c r="AJ2618" s="7"/>
      <c r="AK2618" s="253"/>
      <c r="AL2618" s="253"/>
      <c r="AM2618" s="7"/>
      <c r="AN2618" s="253"/>
      <c r="AO2618" s="253"/>
      <c r="AP2618" s="253"/>
      <c r="AQ2618" s="253"/>
      <c r="AR2618" s="253"/>
      <c r="AS2618" s="253"/>
      <c r="AT2618" s="253"/>
      <c r="AU2618" s="253"/>
      <c r="AV2618" s="253"/>
      <c r="AW2618" s="253"/>
      <c r="AX2618" s="253"/>
      <c r="AY2618" s="253"/>
      <c r="AZ2618" s="253"/>
    </row>
    <row r="2619" spans="1:52" ht="15.5" customHeight="1">
      <c r="A2619" s="363"/>
      <c r="B2619" s="343"/>
      <c r="C2619" s="7"/>
      <c r="D2619" s="254"/>
      <c r="E2619" s="254"/>
      <c r="F2619" s="254"/>
      <c r="G2619" s="253"/>
      <c r="H2619" s="253"/>
      <c r="I2619" s="253"/>
      <c r="J2619" s="253"/>
      <c r="K2619" s="253"/>
      <c r="L2619" s="7"/>
      <c r="M2619" s="7"/>
      <c r="N2619" s="253"/>
      <c r="O2619" s="255"/>
      <c r="P2619" s="253"/>
      <c r="Q2619" s="7"/>
      <c r="R2619" s="7"/>
      <c r="S2619" s="7"/>
      <c r="T2619" s="7"/>
      <c r="U2619" s="7"/>
      <c r="V2619" s="253"/>
      <c r="W2619" s="7"/>
      <c r="X2619" s="256"/>
      <c r="Y2619" s="256"/>
      <c r="Z2619" s="256"/>
      <c r="AA2619" s="256"/>
      <c r="AB2619" s="257"/>
      <c r="AC2619" s="258"/>
      <c r="AD2619" s="7"/>
      <c r="AE2619" s="253"/>
      <c r="AF2619" s="253"/>
      <c r="AG2619" s="259"/>
      <c r="AH2619" s="253"/>
      <c r="AI2619" s="253"/>
      <c r="AJ2619" s="7"/>
      <c r="AK2619" s="253"/>
      <c r="AL2619" s="253"/>
      <c r="AM2619" s="7"/>
      <c r="AN2619" s="253"/>
      <c r="AO2619" s="253"/>
      <c r="AP2619" s="253"/>
      <c r="AQ2619" s="253"/>
      <c r="AR2619" s="253"/>
      <c r="AS2619" s="253"/>
      <c r="AT2619" s="253"/>
      <c r="AU2619" s="253"/>
      <c r="AV2619" s="253"/>
      <c r="AW2619" s="253"/>
      <c r="AX2619" s="253"/>
      <c r="AY2619" s="253"/>
      <c r="AZ2619" s="253"/>
    </row>
    <row r="2620" spans="1:52" ht="15.5" customHeight="1">
      <c r="A2620" s="363"/>
      <c r="B2620" s="343"/>
      <c r="C2620" s="7"/>
      <c r="D2620" s="254"/>
      <c r="E2620" s="254"/>
      <c r="F2620" s="254"/>
      <c r="G2620" s="253"/>
      <c r="H2620" s="253"/>
      <c r="I2620" s="253"/>
      <c r="J2620" s="253"/>
      <c r="K2620" s="253"/>
      <c r="L2620" s="7"/>
      <c r="M2620" s="7"/>
      <c r="N2620" s="253"/>
      <c r="O2620" s="255"/>
      <c r="P2620" s="253"/>
      <c r="Q2620" s="7"/>
      <c r="R2620" s="7"/>
      <c r="S2620" s="7"/>
      <c r="T2620" s="7"/>
      <c r="U2620" s="7"/>
      <c r="V2620" s="253"/>
      <c r="W2620" s="7"/>
      <c r="X2620" s="256"/>
      <c r="Y2620" s="256"/>
      <c r="Z2620" s="256"/>
      <c r="AA2620" s="256"/>
      <c r="AB2620" s="257"/>
      <c r="AC2620" s="258"/>
      <c r="AD2620" s="7"/>
      <c r="AE2620" s="253"/>
      <c r="AF2620" s="253"/>
      <c r="AG2620" s="259"/>
      <c r="AH2620" s="253"/>
      <c r="AI2620" s="253"/>
      <c r="AJ2620" s="7"/>
      <c r="AK2620" s="253"/>
      <c r="AL2620" s="253"/>
      <c r="AM2620" s="7"/>
      <c r="AN2620" s="253"/>
      <c r="AO2620" s="253"/>
      <c r="AP2620" s="253"/>
      <c r="AQ2620" s="253"/>
      <c r="AR2620" s="253"/>
      <c r="AS2620" s="253"/>
      <c r="AT2620" s="253"/>
      <c r="AU2620" s="253"/>
      <c r="AV2620" s="253"/>
      <c r="AW2620" s="253"/>
      <c r="AX2620" s="253"/>
      <c r="AY2620" s="253"/>
      <c r="AZ2620" s="253"/>
    </row>
    <row r="2621" spans="1:52" ht="15.5" customHeight="1">
      <c r="A2621" s="363"/>
      <c r="B2621" s="343"/>
      <c r="C2621" s="7"/>
      <c r="D2621" s="254"/>
      <c r="E2621" s="254"/>
      <c r="F2621" s="254"/>
      <c r="G2621" s="253"/>
      <c r="H2621" s="253"/>
      <c r="I2621" s="253"/>
      <c r="J2621" s="253"/>
      <c r="K2621" s="253"/>
      <c r="L2621" s="7"/>
      <c r="M2621" s="7"/>
      <c r="N2621" s="253"/>
      <c r="O2621" s="255"/>
      <c r="P2621" s="253"/>
      <c r="Q2621" s="7"/>
      <c r="R2621" s="7"/>
      <c r="S2621" s="7"/>
      <c r="T2621" s="7"/>
      <c r="U2621" s="7"/>
      <c r="V2621" s="253"/>
      <c r="W2621" s="7"/>
      <c r="X2621" s="256"/>
      <c r="Y2621" s="256"/>
      <c r="Z2621" s="256"/>
      <c r="AA2621" s="256"/>
      <c r="AB2621" s="257"/>
      <c r="AC2621" s="258"/>
      <c r="AD2621" s="7"/>
      <c r="AE2621" s="253"/>
      <c r="AF2621" s="253"/>
      <c r="AG2621" s="259"/>
      <c r="AH2621" s="253"/>
      <c r="AI2621" s="253"/>
      <c r="AJ2621" s="7"/>
      <c r="AK2621" s="253"/>
      <c r="AL2621" s="253"/>
      <c r="AM2621" s="7"/>
      <c r="AN2621" s="253"/>
      <c r="AO2621" s="253"/>
      <c r="AP2621" s="253"/>
      <c r="AQ2621" s="253"/>
      <c r="AR2621" s="253"/>
      <c r="AS2621" s="253"/>
      <c r="AT2621" s="253"/>
      <c r="AU2621" s="253"/>
      <c r="AV2621" s="253"/>
      <c r="AW2621" s="253"/>
      <c r="AX2621" s="253"/>
      <c r="AY2621" s="253"/>
      <c r="AZ2621" s="253"/>
    </row>
    <row r="2622" spans="1:52" ht="15.5" customHeight="1">
      <c r="A2622" s="363"/>
      <c r="B2622" s="343"/>
      <c r="C2622" s="7"/>
      <c r="D2622" s="254"/>
      <c r="E2622" s="254"/>
      <c r="F2622" s="254"/>
      <c r="G2622" s="253"/>
      <c r="H2622" s="253"/>
      <c r="I2622" s="253"/>
      <c r="J2622" s="253"/>
      <c r="K2622" s="253"/>
      <c r="L2622" s="7"/>
      <c r="M2622" s="7"/>
      <c r="N2622" s="253"/>
      <c r="O2622" s="255"/>
      <c r="P2622" s="253"/>
      <c r="Q2622" s="7"/>
      <c r="R2622" s="7"/>
      <c r="S2622" s="7"/>
      <c r="T2622" s="7"/>
      <c r="U2622" s="7"/>
      <c r="V2622" s="253"/>
      <c r="W2622" s="7"/>
      <c r="X2622" s="256"/>
      <c r="Y2622" s="256"/>
      <c r="Z2622" s="256"/>
      <c r="AA2622" s="256"/>
      <c r="AB2622" s="257"/>
      <c r="AC2622" s="258"/>
      <c r="AD2622" s="7"/>
      <c r="AE2622" s="253"/>
      <c r="AF2622" s="253"/>
      <c r="AG2622" s="259"/>
      <c r="AH2622" s="253"/>
      <c r="AI2622" s="253"/>
      <c r="AJ2622" s="7"/>
      <c r="AK2622" s="253"/>
      <c r="AL2622" s="253"/>
      <c r="AM2622" s="7"/>
      <c r="AN2622" s="253"/>
      <c r="AO2622" s="253"/>
      <c r="AP2622" s="253"/>
      <c r="AQ2622" s="253"/>
      <c r="AR2622" s="253"/>
      <c r="AS2622" s="253"/>
      <c r="AT2622" s="253"/>
      <c r="AU2622" s="253"/>
      <c r="AV2622" s="253"/>
      <c r="AW2622" s="253"/>
      <c r="AX2622" s="253"/>
      <c r="AY2622" s="253"/>
      <c r="AZ2622" s="253"/>
    </row>
    <row r="2623" spans="1:52" ht="15.5" customHeight="1">
      <c r="A2623" s="363"/>
      <c r="B2623" s="343"/>
      <c r="C2623" s="7"/>
      <c r="D2623" s="254"/>
      <c r="E2623" s="254"/>
      <c r="F2623" s="254"/>
      <c r="G2623" s="253"/>
      <c r="H2623" s="253"/>
      <c r="I2623" s="253"/>
      <c r="J2623" s="253"/>
      <c r="K2623" s="253"/>
      <c r="L2623" s="7"/>
      <c r="M2623" s="7"/>
      <c r="N2623" s="253"/>
      <c r="O2623" s="255"/>
      <c r="P2623" s="253"/>
      <c r="Q2623" s="7"/>
      <c r="R2623" s="7"/>
      <c r="S2623" s="7"/>
      <c r="T2623" s="7"/>
      <c r="U2623" s="7"/>
      <c r="V2623" s="253"/>
      <c r="W2623" s="7"/>
      <c r="X2623" s="256"/>
      <c r="Y2623" s="256"/>
      <c r="Z2623" s="256"/>
      <c r="AA2623" s="256"/>
      <c r="AB2623" s="257"/>
      <c r="AC2623" s="258"/>
      <c r="AD2623" s="7"/>
      <c r="AE2623" s="253"/>
      <c r="AF2623" s="253"/>
      <c r="AG2623" s="259"/>
      <c r="AH2623" s="253"/>
      <c r="AI2623" s="253"/>
      <c r="AJ2623" s="7"/>
      <c r="AK2623" s="253"/>
      <c r="AL2623" s="253"/>
      <c r="AM2623" s="7"/>
      <c r="AN2623" s="253"/>
      <c r="AO2623" s="253"/>
      <c r="AP2623" s="253"/>
      <c r="AQ2623" s="253"/>
      <c r="AR2623" s="253"/>
      <c r="AS2623" s="253"/>
      <c r="AT2623" s="253"/>
      <c r="AU2623" s="253"/>
      <c r="AV2623" s="253"/>
      <c r="AW2623" s="253"/>
      <c r="AX2623" s="253"/>
      <c r="AY2623" s="253"/>
      <c r="AZ2623" s="253"/>
    </row>
    <row r="2624" spans="1:52" ht="15.5" customHeight="1">
      <c r="A2624" s="363"/>
      <c r="B2624" s="343"/>
      <c r="C2624" s="7"/>
      <c r="D2624" s="254"/>
      <c r="E2624" s="254"/>
      <c r="F2624" s="254"/>
      <c r="G2624" s="253"/>
      <c r="H2624" s="253"/>
      <c r="I2624" s="253"/>
      <c r="J2624" s="253"/>
      <c r="K2624" s="253"/>
      <c r="L2624" s="7"/>
      <c r="M2624" s="7"/>
      <c r="N2624" s="253"/>
      <c r="O2624" s="255"/>
      <c r="P2624" s="253"/>
      <c r="Q2624" s="7"/>
      <c r="R2624" s="7"/>
      <c r="S2624" s="7"/>
      <c r="T2624" s="7"/>
      <c r="U2624" s="7"/>
      <c r="V2624" s="253"/>
      <c r="W2624" s="7"/>
      <c r="X2624" s="256"/>
      <c r="Y2624" s="256"/>
      <c r="Z2624" s="256"/>
      <c r="AA2624" s="256"/>
      <c r="AB2624" s="257"/>
      <c r="AC2624" s="258"/>
      <c r="AD2624" s="7"/>
      <c r="AE2624" s="253"/>
      <c r="AF2624" s="253"/>
      <c r="AG2624" s="259"/>
      <c r="AH2624" s="253"/>
      <c r="AI2624" s="253"/>
      <c r="AJ2624" s="7"/>
      <c r="AK2624" s="253"/>
      <c r="AL2624" s="253"/>
      <c r="AM2624" s="7"/>
      <c r="AN2624" s="253"/>
      <c r="AO2624" s="253"/>
      <c r="AP2624" s="253"/>
      <c r="AQ2624" s="253"/>
      <c r="AR2624" s="253"/>
      <c r="AS2624" s="253"/>
      <c r="AT2624" s="253"/>
      <c r="AU2624" s="253"/>
      <c r="AV2624" s="253"/>
      <c r="AW2624" s="253"/>
      <c r="AX2624" s="253"/>
      <c r="AY2624" s="253"/>
      <c r="AZ2624" s="253"/>
    </row>
    <row r="2625" spans="1:52" ht="15.5" customHeight="1">
      <c r="A2625" s="363"/>
      <c r="B2625" s="343"/>
      <c r="C2625" s="7"/>
      <c r="D2625" s="254"/>
      <c r="E2625" s="254"/>
      <c r="F2625" s="254"/>
      <c r="G2625" s="253"/>
      <c r="H2625" s="253"/>
      <c r="I2625" s="253"/>
      <c r="J2625" s="253"/>
      <c r="K2625" s="253"/>
      <c r="L2625" s="7"/>
      <c r="M2625" s="7"/>
      <c r="N2625" s="253"/>
      <c r="O2625" s="255"/>
      <c r="P2625" s="253"/>
      <c r="Q2625" s="7"/>
      <c r="R2625" s="7"/>
      <c r="S2625" s="7"/>
      <c r="T2625" s="7"/>
      <c r="U2625" s="7"/>
      <c r="V2625" s="253"/>
      <c r="W2625" s="7"/>
      <c r="X2625" s="256"/>
      <c r="Y2625" s="256"/>
      <c r="Z2625" s="256"/>
      <c r="AA2625" s="256"/>
      <c r="AB2625" s="257"/>
      <c r="AC2625" s="258"/>
      <c r="AD2625" s="7"/>
      <c r="AE2625" s="253"/>
      <c r="AF2625" s="253"/>
      <c r="AG2625" s="259"/>
      <c r="AH2625" s="253"/>
      <c r="AI2625" s="253"/>
      <c r="AJ2625" s="7"/>
      <c r="AK2625" s="253"/>
      <c r="AL2625" s="253"/>
      <c r="AM2625" s="7"/>
      <c r="AN2625" s="253"/>
      <c r="AO2625" s="253"/>
      <c r="AP2625" s="253"/>
      <c r="AQ2625" s="253"/>
      <c r="AR2625" s="253"/>
      <c r="AS2625" s="253"/>
      <c r="AT2625" s="253"/>
      <c r="AU2625" s="253"/>
      <c r="AV2625" s="253"/>
      <c r="AW2625" s="253"/>
      <c r="AX2625" s="253"/>
      <c r="AY2625" s="253"/>
      <c r="AZ2625" s="253"/>
    </row>
    <row r="2626" spans="1:52" ht="15.5" customHeight="1">
      <c r="A2626" s="363"/>
      <c r="B2626" s="343"/>
      <c r="C2626" s="7"/>
      <c r="D2626" s="254"/>
      <c r="E2626" s="254"/>
      <c r="F2626" s="254"/>
      <c r="G2626" s="253"/>
      <c r="H2626" s="253"/>
      <c r="I2626" s="253"/>
      <c r="J2626" s="253"/>
      <c r="K2626" s="253"/>
      <c r="L2626" s="7"/>
      <c r="M2626" s="7"/>
      <c r="N2626" s="253"/>
      <c r="O2626" s="255"/>
      <c r="P2626" s="253"/>
      <c r="Q2626" s="7"/>
      <c r="R2626" s="7"/>
      <c r="S2626" s="7"/>
      <c r="T2626" s="7"/>
      <c r="U2626" s="7"/>
      <c r="V2626" s="253"/>
      <c r="W2626" s="7"/>
      <c r="X2626" s="256"/>
      <c r="Y2626" s="256"/>
      <c r="Z2626" s="256"/>
      <c r="AA2626" s="256"/>
      <c r="AB2626" s="257"/>
      <c r="AC2626" s="258"/>
      <c r="AD2626" s="7"/>
      <c r="AE2626" s="253"/>
      <c r="AF2626" s="253"/>
      <c r="AG2626" s="259"/>
      <c r="AH2626" s="253"/>
      <c r="AI2626" s="253"/>
      <c r="AJ2626" s="7"/>
      <c r="AK2626" s="253"/>
      <c r="AL2626" s="253"/>
      <c r="AM2626" s="7"/>
      <c r="AN2626" s="253"/>
      <c r="AO2626" s="253"/>
      <c r="AP2626" s="253"/>
      <c r="AQ2626" s="253"/>
      <c r="AR2626" s="253"/>
      <c r="AS2626" s="253"/>
      <c r="AT2626" s="253"/>
      <c r="AU2626" s="253"/>
      <c r="AV2626" s="253"/>
      <c r="AW2626" s="253"/>
      <c r="AX2626" s="253"/>
      <c r="AY2626" s="253"/>
      <c r="AZ2626" s="253"/>
    </row>
    <row r="2627" spans="1:52" ht="15.5" customHeight="1">
      <c r="A2627" s="363"/>
      <c r="B2627" s="343"/>
      <c r="C2627" s="7"/>
      <c r="D2627" s="254"/>
      <c r="E2627" s="254"/>
      <c r="F2627" s="254"/>
      <c r="G2627" s="253"/>
      <c r="H2627" s="253"/>
      <c r="I2627" s="253"/>
      <c r="J2627" s="253"/>
      <c r="K2627" s="253"/>
      <c r="L2627" s="7"/>
      <c r="M2627" s="7"/>
      <c r="N2627" s="253"/>
      <c r="O2627" s="255"/>
      <c r="P2627" s="253"/>
      <c r="Q2627" s="7"/>
      <c r="R2627" s="7"/>
      <c r="S2627" s="7"/>
      <c r="T2627" s="7"/>
      <c r="U2627" s="7"/>
      <c r="V2627" s="253"/>
      <c r="W2627" s="7"/>
      <c r="X2627" s="256"/>
      <c r="Y2627" s="256"/>
      <c r="Z2627" s="256"/>
      <c r="AA2627" s="256"/>
      <c r="AB2627" s="257"/>
      <c r="AC2627" s="258"/>
      <c r="AD2627" s="7"/>
      <c r="AE2627" s="253"/>
      <c r="AF2627" s="253"/>
      <c r="AG2627" s="259"/>
      <c r="AH2627" s="253"/>
      <c r="AI2627" s="253"/>
      <c r="AJ2627" s="7"/>
      <c r="AK2627" s="253"/>
      <c r="AL2627" s="253"/>
      <c r="AM2627" s="7"/>
      <c r="AN2627" s="253"/>
      <c r="AO2627" s="253"/>
      <c r="AP2627" s="253"/>
      <c r="AQ2627" s="253"/>
      <c r="AR2627" s="253"/>
      <c r="AS2627" s="253"/>
      <c r="AT2627" s="253"/>
      <c r="AU2627" s="253"/>
      <c r="AV2627" s="253"/>
      <c r="AW2627" s="253"/>
      <c r="AX2627" s="253"/>
      <c r="AY2627" s="253"/>
      <c r="AZ2627" s="253"/>
    </row>
    <row r="2628" spans="1:52" ht="15.5" customHeight="1">
      <c r="A2628" s="363"/>
      <c r="B2628" s="343"/>
      <c r="C2628" s="7"/>
      <c r="D2628" s="254"/>
      <c r="E2628" s="254"/>
      <c r="F2628" s="254"/>
      <c r="G2628" s="253"/>
      <c r="H2628" s="253"/>
      <c r="I2628" s="253"/>
      <c r="J2628" s="253"/>
      <c r="K2628" s="253"/>
      <c r="L2628" s="7"/>
      <c r="M2628" s="7"/>
      <c r="N2628" s="253"/>
      <c r="O2628" s="255"/>
      <c r="P2628" s="253"/>
      <c r="Q2628" s="7"/>
      <c r="R2628" s="7"/>
      <c r="S2628" s="7"/>
      <c r="T2628" s="7"/>
      <c r="U2628" s="7"/>
      <c r="V2628" s="253"/>
      <c r="W2628" s="7"/>
      <c r="X2628" s="256"/>
      <c r="Y2628" s="256"/>
      <c r="Z2628" s="256"/>
      <c r="AA2628" s="256"/>
      <c r="AB2628" s="257"/>
      <c r="AC2628" s="258"/>
      <c r="AD2628" s="7"/>
      <c r="AE2628" s="253"/>
      <c r="AF2628" s="253"/>
      <c r="AG2628" s="259"/>
      <c r="AH2628" s="253"/>
      <c r="AI2628" s="253"/>
      <c r="AJ2628" s="7"/>
      <c r="AK2628" s="253"/>
      <c r="AL2628" s="253"/>
      <c r="AM2628" s="7"/>
      <c r="AN2628" s="253"/>
      <c r="AO2628" s="253"/>
      <c r="AP2628" s="253"/>
      <c r="AQ2628" s="253"/>
      <c r="AR2628" s="253"/>
      <c r="AS2628" s="253"/>
      <c r="AT2628" s="253"/>
      <c r="AU2628" s="253"/>
      <c r="AV2628" s="253"/>
      <c r="AW2628" s="253"/>
      <c r="AX2628" s="253"/>
      <c r="AY2628" s="253"/>
      <c r="AZ2628" s="253"/>
    </row>
    <row r="2629" spans="1:52" ht="15.5" customHeight="1">
      <c r="A2629" s="363"/>
      <c r="B2629" s="343"/>
      <c r="C2629" s="7"/>
      <c r="D2629" s="254"/>
      <c r="E2629" s="254"/>
      <c r="F2629" s="254"/>
      <c r="G2629" s="253"/>
      <c r="H2629" s="253"/>
      <c r="I2629" s="253"/>
      <c r="J2629" s="253"/>
      <c r="K2629" s="253"/>
      <c r="L2629" s="7"/>
      <c r="M2629" s="7"/>
      <c r="N2629" s="253"/>
      <c r="O2629" s="255"/>
      <c r="P2629" s="253"/>
      <c r="Q2629" s="7"/>
      <c r="R2629" s="7"/>
      <c r="S2629" s="7"/>
      <c r="T2629" s="7"/>
      <c r="U2629" s="7"/>
      <c r="V2629" s="253"/>
      <c r="W2629" s="7"/>
      <c r="X2629" s="256"/>
      <c r="Y2629" s="256"/>
      <c r="Z2629" s="256"/>
      <c r="AA2629" s="256"/>
      <c r="AB2629" s="257"/>
      <c r="AC2629" s="258"/>
      <c r="AD2629" s="7"/>
      <c r="AE2629" s="253"/>
      <c r="AF2629" s="253"/>
      <c r="AG2629" s="259"/>
      <c r="AH2629" s="253"/>
      <c r="AI2629" s="253"/>
      <c r="AJ2629" s="7"/>
      <c r="AK2629" s="253"/>
      <c r="AL2629" s="253"/>
      <c r="AM2629" s="7"/>
      <c r="AN2629" s="253"/>
      <c r="AO2629" s="253"/>
      <c r="AP2629" s="253"/>
      <c r="AQ2629" s="253"/>
      <c r="AR2629" s="253"/>
      <c r="AS2629" s="253"/>
      <c r="AT2629" s="253"/>
      <c r="AU2629" s="253"/>
      <c r="AV2629" s="253"/>
      <c r="AW2629" s="253"/>
      <c r="AX2629" s="253"/>
      <c r="AY2629" s="253"/>
      <c r="AZ2629" s="253"/>
    </row>
    <row r="2630" spans="1:52" ht="15.5" customHeight="1">
      <c r="A2630" s="363"/>
      <c r="B2630" s="343"/>
      <c r="C2630" s="7"/>
      <c r="D2630" s="254"/>
      <c r="E2630" s="254"/>
      <c r="F2630" s="254"/>
      <c r="G2630" s="253"/>
      <c r="H2630" s="253"/>
      <c r="I2630" s="253"/>
      <c r="J2630" s="253"/>
      <c r="K2630" s="253"/>
      <c r="L2630" s="7"/>
      <c r="M2630" s="7"/>
      <c r="N2630" s="253"/>
      <c r="O2630" s="255"/>
      <c r="P2630" s="253"/>
      <c r="Q2630" s="7"/>
      <c r="R2630" s="7"/>
      <c r="S2630" s="7"/>
      <c r="T2630" s="7"/>
      <c r="U2630" s="7"/>
      <c r="V2630" s="253"/>
      <c r="W2630" s="7"/>
      <c r="X2630" s="256"/>
      <c r="Y2630" s="256"/>
      <c r="Z2630" s="256"/>
      <c r="AA2630" s="256"/>
      <c r="AB2630" s="257"/>
      <c r="AC2630" s="258"/>
      <c r="AD2630" s="7"/>
      <c r="AE2630" s="253"/>
      <c r="AF2630" s="253"/>
      <c r="AG2630" s="259"/>
      <c r="AH2630" s="253"/>
      <c r="AI2630" s="253"/>
      <c r="AJ2630" s="7"/>
      <c r="AK2630" s="253"/>
      <c r="AL2630" s="253"/>
      <c r="AM2630" s="7"/>
      <c r="AN2630" s="253"/>
      <c r="AO2630" s="253"/>
      <c r="AP2630" s="253"/>
      <c r="AQ2630" s="253"/>
      <c r="AR2630" s="253"/>
      <c r="AS2630" s="253"/>
      <c r="AT2630" s="253"/>
      <c r="AU2630" s="253"/>
      <c r="AV2630" s="253"/>
      <c r="AW2630" s="253"/>
      <c r="AX2630" s="253"/>
      <c r="AY2630" s="253"/>
      <c r="AZ2630" s="253"/>
    </row>
    <row r="2631" spans="1:52" ht="15.5" customHeight="1">
      <c r="A2631" s="363"/>
      <c r="B2631" s="343"/>
      <c r="C2631" s="7"/>
      <c r="D2631" s="254"/>
      <c r="E2631" s="254"/>
      <c r="F2631" s="254"/>
      <c r="G2631" s="253"/>
      <c r="H2631" s="253"/>
      <c r="I2631" s="253"/>
      <c r="J2631" s="253"/>
      <c r="K2631" s="253"/>
      <c r="L2631" s="7"/>
      <c r="M2631" s="7"/>
      <c r="N2631" s="253"/>
      <c r="O2631" s="255"/>
      <c r="P2631" s="253"/>
      <c r="Q2631" s="7"/>
      <c r="R2631" s="7"/>
      <c r="S2631" s="7"/>
      <c r="T2631" s="7"/>
      <c r="U2631" s="7"/>
      <c r="V2631" s="253"/>
      <c r="W2631" s="7"/>
      <c r="X2631" s="256"/>
      <c r="Y2631" s="256"/>
      <c r="Z2631" s="256"/>
      <c r="AA2631" s="256"/>
      <c r="AB2631" s="257"/>
      <c r="AC2631" s="258"/>
      <c r="AD2631" s="7"/>
      <c r="AE2631" s="253"/>
      <c r="AF2631" s="253"/>
      <c r="AG2631" s="259"/>
      <c r="AH2631" s="253"/>
      <c r="AI2631" s="253"/>
      <c r="AJ2631" s="7"/>
      <c r="AK2631" s="253"/>
      <c r="AL2631" s="253"/>
      <c r="AM2631" s="7"/>
      <c r="AN2631" s="253"/>
      <c r="AO2631" s="253"/>
      <c r="AP2631" s="253"/>
      <c r="AQ2631" s="253"/>
      <c r="AR2631" s="253"/>
      <c r="AS2631" s="253"/>
      <c r="AT2631" s="253"/>
      <c r="AU2631" s="253"/>
      <c r="AV2631" s="253"/>
      <c r="AW2631" s="253"/>
      <c r="AX2631" s="253"/>
      <c r="AY2631" s="253"/>
      <c r="AZ2631" s="253"/>
    </row>
    <row r="2632" spans="1:52" ht="15.5" customHeight="1">
      <c r="A2632" s="363"/>
      <c r="B2632" s="343"/>
      <c r="C2632" s="7"/>
      <c r="D2632" s="254"/>
      <c r="E2632" s="254"/>
      <c r="F2632" s="254"/>
      <c r="G2632" s="253"/>
      <c r="H2632" s="253"/>
      <c r="I2632" s="253"/>
      <c r="J2632" s="253"/>
      <c r="K2632" s="253"/>
      <c r="L2632" s="7"/>
      <c r="M2632" s="7"/>
      <c r="N2632" s="253"/>
      <c r="O2632" s="255"/>
      <c r="P2632" s="253"/>
      <c r="Q2632" s="7"/>
      <c r="R2632" s="7"/>
      <c r="S2632" s="7"/>
      <c r="T2632" s="7"/>
      <c r="U2632" s="7"/>
      <c r="V2632" s="253"/>
      <c r="W2632" s="7"/>
      <c r="X2632" s="256"/>
      <c r="Y2632" s="256"/>
      <c r="Z2632" s="256"/>
      <c r="AA2632" s="256"/>
      <c r="AB2632" s="257"/>
      <c r="AC2632" s="258"/>
      <c r="AD2632" s="7"/>
      <c r="AE2632" s="253"/>
      <c r="AF2632" s="253"/>
      <c r="AG2632" s="259"/>
      <c r="AH2632" s="253"/>
      <c r="AI2632" s="253"/>
      <c r="AJ2632" s="7"/>
      <c r="AK2632" s="253"/>
      <c r="AL2632" s="253"/>
      <c r="AM2632" s="7"/>
      <c r="AN2632" s="253"/>
      <c r="AO2632" s="253"/>
      <c r="AP2632" s="253"/>
      <c r="AQ2632" s="253"/>
      <c r="AR2632" s="253"/>
      <c r="AS2632" s="253"/>
      <c r="AT2632" s="253"/>
      <c r="AU2632" s="253"/>
      <c r="AV2632" s="253"/>
      <c r="AW2632" s="253"/>
      <c r="AX2632" s="253"/>
      <c r="AY2632" s="253"/>
      <c r="AZ2632" s="253"/>
    </row>
    <row r="2633" spans="1:52" ht="15.5" customHeight="1">
      <c r="A2633" s="363"/>
      <c r="B2633" s="343"/>
      <c r="C2633" s="7"/>
      <c r="D2633" s="254"/>
      <c r="E2633" s="254"/>
      <c r="F2633" s="254"/>
      <c r="G2633" s="253"/>
      <c r="H2633" s="253"/>
      <c r="I2633" s="253"/>
      <c r="J2633" s="253"/>
      <c r="K2633" s="253"/>
      <c r="L2633" s="7"/>
      <c r="M2633" s="7"/>
      <c r="N2633" s="253"/>
      <c r="O2633" s="255"/>
      <c r="P2633" s="253"/>
      <c r="Q2633" s="7"/>
      <c r="R2633" s="7"/>
      <c r="S2633" s="7"/>
      <c r="T2633" s="7"/>
      <c r="U2633" s="7"/>
      <c r="V2633" s="253"/>
      <c r="W2633" s="7"/>
      <c r="X2633" s="256"/>
      <c r="Y2633" s="256"/>
      <c r="Z2633" s="256"/>
      <c r="AA2633" s="256"/>
      <c r="AB2633" s="257"/>
      <c r="AC2633" s="258"/>
      <c r="AD2633" s="7"/>
      <c r="AE2633" s="253"/>
      <c r="AF2633" s="253"/>
      <c r="AG2633" s="259"/>
      <c r="AH2633" s="253"/>
      <c r="AI2633" s="253"/>
      <c r="AJ2633" s="7"/>
      <c r="AK2633" s="253"/>
      <c r="AL2633" s="253"/>
      <c r="AM2633" s="7"/>
      <c r="AN2633" s="253"/>
      <c r="AO2633" s="253"/>
      <c r="AP2633" s="253"/>
      <c r="AQ2633" s="253"/>
      <c r="AR2633" s="253"/>
      <c r="AS2633" s="253"/>
      <c r="AT2633" s="253"/>
      <c r="AU2633" s="253"/>
      <c r="AV2633" s="253"/>
      <c r="AW2633" s="253"/>
      <c r="AX2633" s="253"/>
      <c r="AY2633" s="253"/>
      <c r="AZ2633" s="253"/>
    </row>
    <row r="2634" spans="1:52" ht="15.5" customHeight="1">
      <c r="A2634" s="363"/>
      <c r="B2634" s="343"/>
      <c r="C2634" s="7"/>
      <c r="D2634" s="254"/>
      <c r="E2634" s="254"/>
      <c r="F2634" s="254"/>
      <c r="G2634" s="253"/>
      <c r="H2634" s="253"/>
      <c r="I2634" s="253"/>
      <c r="J2634" s="253"/>
      <c r="K2634" s="253"/>
      <c r="L2634" s="7"/>
      <c r="M2634" s="7"/>
      <c r="N2634" s="253"/>
      <c r="O2634" s="255"/>
      <c r="P2634" s="253"/>
      <c r="Q2634" s="7"/>
      <c r="R2634" s="7"/>
      <c r="S2634" s="7"/>
      <c r="T2634" s="7"/>
      <c r="U2634" s="7"/>
      <c r="V2634" s="253"/>
      <c r="W2634" s="7"/>
      <c r="X2634" s="256"/>
      <c r="Y2634" s="256"/>
      <c r="Z2634" s="256"/>
      <c r="AA2634" s="256"/>
      <c r="AB2634" s="257"/>
      <c r="AC2634" s="258"/>
      <c r="AD2634" s="7"/>
      <c r="AE2634" s="253"/>
      <c r="AF2634" s="253"/>
      <c r="AG2634" s="259"/>
      <c r="AH2634" s="253"/>
      <c r="AI2634" s="253"/>
      <c r="AJ2634" s="7"/>
      <c r="AK2634" s="253"/>
      <c r="AL2634" s="253"/>
      <c r="AM2634" s="7"/>
      <c r="AN2634" s="253"/>
      <c r="AO2634" s="253"/>
      <c r="AP2634" s="253"/>
      <c r="AQ2634" s="253"/>
      <c r="AR2634" s="253"/>
      <c r="AS2634" s="253"/>
      <c r="AT2634" s="253"/>
      <c r="AU2634" s="253"/>
      <c r="AV2634" s="253"/>
      <c r="AW2634" s="253"/>
      <c r="AX2634" s="253"/>
      <c r="AY2634" s="253"/>
      <c r="AZ2634" s="253"/>
    </row>
    <row r="2635" spans="1:52" ht="15.5" customHeight="1">
      <c r="A2635" s="363"/>
      <c r="B2635" s="343"/>
      <c r="C2635" s="7"/>
      <c r="D2635" s="254"/>
      <c r="E2635" s="254"/>
      <c r="F2635" s="254"/>
      <c r="G2635" s="253"/>
      <c r="H2635" s="253"/>
      <c r="I2635" s="253"/>
      <c r="J2635" s="253"/>
      <c r="K2635" s="253"/>
      <c r="L2635" s="7"/>
      <c r="M2635" s="7"/>
      <c r="N2635" s="253"/>
      <c r="O2635" s="255"/>
      <c r="P2635" s="253"/>
      <c r="Q2635" s="7"/>
      <c r="R2635" s="7"/>
      <c r="S2635" s="7"/>
      <c r="T2635" s="7"/>
      <c r="U2635" s="7"/>
      <c r="V2635" s="253"/>
      <c r="W2635" s="7"/>
      <c r="X2635" s="256"/>
      <c r="Y2635" s="256"/>
      <c r="Z2635" s="256"/>
      <c r="AA2635" s="256"/>
      <c r="AB2635" s="257"/>
      <c r="AC2635" s="258"/>
      <c r="AD2635" s="7"/>
      <c r="AE2635" s="253"/>
      <c r="AF2635" s="253"/>
      <c r="AG2635" s="259"/>
      <c r="AH2635" s="253"/>
      <c r="AI2635" s="253"/>
      <c r="AJ2635" s="7"/>
      <c r="AK2635" s="253"/>
      <c r="AL2635" s="253"/>
      <c r="AM2635" s="7"/>
      <c r="AN2635" s="253"/>
      <c r="AO2635" s="253"/>
      <c r="AP2635" s="253"/>
      <c r="AQ2635" s="253"/>
      <c r="AR2635" s="253"/>
      <c r="AS2635" s="253"/>
      <c r="AT2635" s="253"/>
      <c r="AU2635" s="253"/>
      <c r="AV2635" s="253"/>
      <c r="AW2635" s="253"/>
      <c r="AX2635" s="253"/>
      <c r="AY2635" s="253"/>
      <c r="AZ2635" s="253"/>
    </row>
    <row r="2636" spans="1:52" ht="15.5" customHeight="1">
      <c r="A2636" s="363"/>
      <c r="B2636" s="343"/>
      <c r="C2636" s="7"/>
      <c r="D2636" s="254"/>
      <c r="E2636" s="254"/>
      <c r="F2636" s="254"/>
      <c r="G2636" s="253"/>
      <c r="H2636" s="253"/>
      <c r="I2636" s="253"/>
      <c r="J2636" s="253"/>
      <c r="K2636" s="253"/>
      <c r="L2636" s="7"/>
      <c r="M2636" s="7"/>
      <c r="N2636" s="253"/>
      <c r="O2636" s="255"/>
      <c r="P2636" s="253"/>
      <c r="Q2636" s="7"/>
      <c r="R2636" s="7"/>
      <c r="S2636" s="7"/>
      <c r="T2636" s="7"/>
      <c r="U2636" s="7"/>
      <c r="V2636" s="253"/>
      <c r="W2636" s="7"/>
      <c r="X2636" s="256"/>
      <c r="Y2636" s="256"/>
      <c r="Z2636" s="256"/>
      <c r="AA2636" s="256"/>
      <c r="AB2636" s="257"/>
      <c r="AC2636" s="258"/>
      <c r="AD2636" s="7"/>
      <c r="AE2636" s="253"/>
      <c r="AF2636" s="253"/>
      <c r="AG2636" s="259"/>
      <c r="AH2636" s="253"/>
      <c r="AI2636" s="253"/>
      <c r="AJ2636" s="7"/>
      <c r="AK2636" s="253"/>
      <c r="AL2636" s="253"/>
      <c r="AM2636" s="7"/>
      <c r="AN2636" s="253"/>
      <c r="AO2636" s="253"/>
      <c r="AP2636" s="253"/>
      <c r="AQ2636" s="253"/>
      <c r="AR2636" s="253"/>
      <c r="AS2636" s="253"/>
      <c r="AT2636" s="253"/>
      <c r="AU2636" s="253"/>
      <c r="AV2636" s="253"/>
      <c r="AW2636" s="253"/>
      <c r="AX2636" s="253"/>
      <c r="AY2636" s="253"/>
      <c r="AZ2636" s="253"/>
    </row>
    <row r="2637" spans="1:52" ht="15.5" customHeight="1">
      <c r="A2637" s="363"/>
      <c r="B2637" s="343"/>
      <c r="C2637" s="7"/>
      <c r="D2637" s="254"/>
      <c r="E2637" s="254"/>
      <c r="F2637" s="254"/>
      <c r="G2637" s="253"/>
      <c r="H2637" s="253"/>
      <c r="I2637" s="253"/>
      <c r="J2637" s="253"/>
      <c r="K2637" s="253"/>
      <c r="L2637" s="7"/>
      <c r="M2637" s="7"/>
      <c r="N2637" s="253"/>
      <c r="O2637" s="255"/>
      <c r="P2637" s="253"/>
      <c r="Q2637" s="7"/>
      <c r="R2637" s="7"/>
      <c r="S2637" s="7"/>
      <c r="T2637" s="7"/>
      <c r="U2637" s="7"/>
      <c r="V2637" s="253"/>
      <c r="W2637" s="7"/>
      <c r="X2637" s="256"/>
      <c r="Y2637" s="256"/>
      <c r="Z2637" s="256"/>
      <c r="AA2637" s="256"/>
      <c r="AB2637" s="257"/>
      <c r="AC2637" s="258"/>
      <c r="AD2637" s="7"/>
      <c r="AE2637" s="253"/>
      <c r="AF2637" s="253"/>
      <c r="AG2637" s="259"/>
      <c r="AH2637" s="253"/>
      <c r="AI2637" s="253"/>
      <c r="AJ2637" s="7"/>
      <c r="AK2637" s="253"/>
      <c r="AL2637" s="253"/>
      <c r="AM2637" s="7"/>
      <c r="AN2637" s="253"/>
      <c r="AO2637" s="253"/>
      <c r="AP2637" s="253"/>
      <c r="AQ2637" s="253"/>
      <c r="AR2637" s="253"/>
      <c r="AS2637" s="253"/>
      <c r="AT2637" s="253"/>
      <c r="AU2637" s="253"/>
      <c r="AV2637" s="253"/>
      <c r="AW2637" s="253"/>
      <c r="AX2637" s="253"/>
      <c r="AY2637" s="253"/>
      <c r="AZ2637" s="253"/>
    </row>
    <row r="2638" spans="1:52" ht="15.5" customHeight="1">
      <c r="A2638" s="363"/>
      <c r="B2638" s="343"/>
      <c r="C2638" s="7"/>
      <c r="D2638" s="254"/>
      <c r="E2638" s="254"/>
      <c r="F2638" s="254"/>
      <c r="G2638" s="253"/>
      <c r="H2638" s="253"/>
      <c r="I2638" s="253"/>
      <c r="J2638" s="253"/>
      <c r="K2638" s="253"/>
      <c r="L2638" s="7"/>
      <c r="M2638" s="7"/>
      <c r="N2638" s="253"/>
      <c r="O2638" s="255"/>
      <c r="P2638" s="253"/>
      <c r="Q2638" s="7"/>
      <c r="R2638" s="7"/>
      <c r="S2638" s="7"/>
      <c r="T2638" s="7"/>
      <c r="U2638" s="7"/>
      <c r="V2638" s="253"/>
      <c r="W2638" s="7"/>
      <c r="X2638" s="256"/>
      <c r="Y2638" s="256"/>
      <c r="Z2638" s="256"/>
      <c r="AA2638" s="256"/>
      <c r="AB2638" s="257"/>
      <c r="AC2638" s="258"/>
      <c r="AD2638" s="7"/>
      <c r="AE2638" s="253"/>
      <c r="AF2638" s="253"/>
      <c r="AG2638" s="259"/>
      <c r="AH2638" s="253"/>
      <c r="AI2638" s="253"/>
      <c r="AJ2638" s="7"/>
      <c r="AK2638" s="253"/>
      <c r="AL2638" s="253"/>
      <c r="AM2638" s="7"/>
      <c r="AN2638" s="253"/>
      <c r="AO2638" s="253"/>
      <c r="AP2638" s="253"/>
      <c r="AQ2638" s="253"/>
      <c r="AR2638" s="253"/>
      <c r="AS2638" s="253"/>
      <c r="AT2638" s="253"/>
      <c r="AU2638" s="253"/>
      <c r="AV2638" s="253"/>
      <c r="AW2638" s="253"/>
      <c r="AX2638" s="253"/>
      <c r="AY2638" s="253"/>
      <c r="AZ2638" s="253"/>
    </row>
    <row r="2639" spans="1:52" ht="15.5" customHeight="1">
      <c r="A2639" s="363"/>
      <c r="B2639" s="343"/>
      <c r="C2639" s="7"/>
      <c r="D2639" s="254"/>
      <c r="E2639" s="254"/>
      <c r="F2639" s="254"/>
      <c r="G2639" s="253"/>
      <c r="H2639" s="253"/>
      <c r="I2639" s="253"/>
      <c r="J2639" s="253"/>
      <c r="K2639" s="253"/>
      <c r="L2639" s="7"/>
      <c r="M2639" s="7"/>
      <c r="N2639" s="253"/>
      <c r="O2639" s="255"/>
      <c r="P2639" s="253"/>
      <c r="Q2639" s="7"/>
      <c r="R2639" s="7"/>
      <c r="S2639" s="7"/>
      <c r="T2639" s="7"/>
      <c r="U2639" s="7"/>
      <c r="V2639" s="253"/>
      <c r="W2639" s="7"/>
      <c r="X2639" s="256"/>
      <c r="Y2639" s="256"/>
      <c r="Z2639" s="256"/>
      <c r="AA2639" s="256"/>
      <c r="AB2639" s="257"/>
      <c r="AC2639" s="258"/>
      <c r="AD2639" s="7"/>
      <c r="AE2639" s="253"/>
      <c r="AF2639" s="253"/>
      <c r="AG2639" s="259"/>
      <c r="AH2639" s="253"/>
      <c r="AI2639" s="253"/>
      <c r="AJ2639" s="7"/>
      <c r="AK2639" s="253"/>
      <c r="AL2639" s="253"/>
      <c r="AM2639" s="7"/>
      <c r="AN2639" s="253"/>
      <c r="AO2639" s="253"/>
      <c r="AP2639" s="253"/>
      <c r="AQ2639" s="253"/>
      <c r="AR2639" s="253"/>
      <c r="AS2639" s="253"/>
      <c r="AT2639" s="253"/>
      <c r="AU2639" s="253"/>
      <c r="AV2639" s="253"/>
      <c r="AW2639" s="253"/>
      <c r="AX2639" s="253"/>
      <c r="AY2639" s="253"/>
      <c r="AZ2639" s="253"/>
    </row>
    <row r="2640" spans="1:52" ht="15.5" customHeight="1">
      <c r="A2640" s="363"/>
      <c r="B2640" s="343"/>
      <c r="C2640" s="7"/>
      <c r="D2640" s="254"/>
      <c r="E2640" s="254"/>
      <c r="F2640" s="254"/>
      <c r="G2640" s="253"/>
      <c r="H2640" s="253"/>
      <c r="I2640" s="253"/>
      <c r="J2640" s="253"/>
      <c r="K2640" s="253"/>
      <c r="L2640" s="7"/>
      <c r="M2640" s="7"/>
      <c r="N2640" s="253"/>
      <c r="O2640" s="255"/>
      <c r="P2640" s="253"/>
      <c r="Q2640" s="7"/>
      <c r="R2640" s="7"/>
      <c r="S2640" s="7"/>
      <c r="T2640" s="7"/>
      <c r="U2640" s="7"/>
      <c r="V2640" s="253"/>
      <c r="W2640" s="7"/>
      <c r="X2640" s="256"/>
      <c r="Y2640" s="256"/>
      <c r="Z2640" s="256"/>
      <c r="AA2640" s="256"/>
      <c r="AB2640" s="257"/>
      <c r="AC2640" s="258"/>
      <c r="AD2640" s="7"/>
      <c r="AE2640" s="253"/>
      <c r="AF2640" s="253"/>
      <c r="AG2640" s="259"/>
      <c r="AH2640" s="253"/>
      <c r="AI2640" s="253"/>
      <c r="AJ2640" s="7"/>
      <c r="AK2640" s="253"/>
      <c r="AL2640" s="253"/>
      <c r="AM2640" s="7"/>
      <c r="AN2640" s="253"/>
      <c r="AO2640" s="253"/>
      <c r="AP2640" s="253"/>
      <c r="AQ2640" s="253"/>
      <c r="AR2640" s="253"/>
      <c r="AS2640" s="253"/>
      <c r="AT2640" s="253"/>
      <c r="AU2640" s="253"/>
      <c r="AV2640" s="253"/>
      <c r="AW2640" s="253"/>
      <c r="AX2640" s="253"/>
      <c r="AY2640" s="253"/>
      <c r="AZ2640" s="253"/>
    </row>
    <row r="2641" spans="1:52" ht="15.5" customHeight="1">
      <c r="A2641" s="363"/>
      <c r="B2641" s="343"/>
      <c r="C2641" s="7"/>
      <c r="D2641" s="254"/>
      <c r="E2641" s="254"/>
      <c r="F2641" s="254"/>
      <c r="G2641" s="253"/>
      <c r="H2641" s="253"/>
      <c r="I2641" s="253"/>
      <c r="J2641" s="253"/>
      <c r="K2641" s="253"/>
      <c r="L2641" s="7"/>
      <c r="M2641" s="7"/>
      <c r="N2641" s="253"/>
      <c r="O2641" s="255"/>
      <c r="P2641" s="253"/>
      <c r="Q2641" s="7"/>
      <c r="R2641" s="7"/>
      <c r="S2641" s="7"/>
      <c r="T2641" s="7"/>
      <c r="U2641" s="7"/>
      <c r="V2641" s="253"/>
      <c r="W2641" s="7"/>
      <c r="X2641" s="256"/>
      <c r="Y2641" s="256"/>
      <c r="Z2641" s="256"/>
      <c r="AA2641" s="256"/>
      <c r="AB2641" s="257"/>
      <c r="AC2641" s="258"/>
      <c r="AD2641" s="7"/>
      <c r="AE2641" s="253"/>
      <c r="AF2641" s="253"/>
      <c r="AG2641" s="259"/>
      <c r="AH2641" s="253"/>
      <c r="AI2641" s="253"/>
      <c r="AJ2641" s="7"/>
      <c r="AK2641" s="253"/>
      <c r="AL2641" s="253"/>
      <c r="AM2641" s="7"/>
      <c r="AN2641" s="253"/>
      <c r="AO2641" s="253"/>
      <c r="AP2641" s="253"/>
      <c r="AQ2641" s="253"/>
      <c r="AR2641" s="253"/>
      <c r="AS2641" s="253"/>
      <c r="AT2641" s="253"/>
      <c r="AU2641" s="253"/>
      <c r="AV2641" s="253"/>
      <c r="AW2641" s="253"/>
      <c r="AX2641" s="253"/>
      <c r="AY2641" s="253"/>
      <c r="AZ2641" s="253"/>
    </row>
    <row r="2642" spans="1:52" ht="15.5" customHeight="1">
      <c r="A2642" s="363"/>
      <c r="B2642" s="343"/>
      <c r="C2642" s="7"/>
      <c r="D2642" s="254"/>
      <c r="E2642" s="254"/>
      <c r="F2642" s="254"/>
      <c r="G2642" s="253"/>
      <c r="H2642" s="253"/>
      <c r="I2642" s="253"/>
      <c r="J2642" s="253"/>
      <c r="K2642" s="253"/>
      <c r="L2642" s="7"/>
      <c r="M2642" s="7"/>
      <c r="N2642" s="253"/>
      <c r="O2642" s="255"/>
      <c r="P2642" s="253"/>
      <c r="Q2642" s="7"/>
      <c r="R2642" s="7"/>
      <c r="S2642" s="7"/>
      <c r="T2642" s="7"/>
      <c r="U2642" s="7"/>
      <c r="V2642" s="253"/>
      <c r="W2642" s="7"/>
      <c r="X2642" s="256"/>
      <c r="Y2642" s="256"/>
      <c r="Z2642" s="256"/>
      <c r="AA2642" s="256"/>
      <c r="AB2642" s="257"/>
      <c r="AC2642" s="258"/>
      <c r="AD2642" s="7"/>
      <c r="AE2642" s="253"/>
      <c r="AF2642" s="253"/>
      <c r="AG2642" s="259"/>
      <c r="AH2642" s="253"/>
      <c r="AI2642" s="253"/>
      <c r="AJ2642" s="7"/>
      <c r="AK2642" s="253"/>
      <c r="AL2642" s="253"/>
      <c r="AM2642" s="7"/>
      <c r="AN2642" s="253"/>
      <c r="AO2642" s="253"/>
      <c r="AP2642" s="253"/>
      <c r="AQ2642" s="253"/>
      <c r="AR2642" s="253"/>
      <c r="AS2642" s="253"/>
      <c r="AT2642" s="253"/>
      <c r="AU2642" s="253"/>
      <c r="AV2642" s="253"/>
      <c r="AW2642" s="253"/>
      <c r="AX2642" s="253"/>
      <c r="AY2642" s="253"/>
      <c r="AZ2642" s="253"/>
    </row>
    <row r="2643" spans="1:52" ht="15.5" customHeight="1">
      <c r="A2643" s="363"/>
      <c r="B2643" s="343"/>
      <c r="C2643" s="7"/>
      <c r="D2643" s="254"/>
      <c r="E2643" s="254"/>
      <c r="F2643" s="254"/>
      <c r="G2643" s="253"/>
      <c r="H2643" s="253"/>
      <c r="I2643" s="253"/>
      <c r="J2643" s="253"/>
      <c r="K2643" s="253"/>
      <c r="L2643" s="7"/>
      <c r="M2643" s="7"/>
      <c r="N2643" s="253"/>
      <c r="O2643" s="255"/>
      <c r="P2643" s="253"/>
      <c r="Q2643" s="7"/>
      <c r="R2643" s="7"/>
      <c r="S2643" s="7"/>
      <c r="T2643" s="7"/>
      <c r="U2643" s="7"/>
      <c r="V2643" s="253"/>
      <c r="W2643" s="7"/>
      <c r="X2643" s="256"/>
      <c r="Y2643" s="256"/>
      <c r="Z2643" s="256"/>
      <c r="AA2643" s="256"/>
      <c r="AB2643" s="257"/>
      <c r="AC2643" s="258"/>
      <c r="AD2643" s="7"/>
      <c r="AE2643" s="253"/>
      <c r="AF2643" s="253"/>
      <c r="AG2643" s="259"/>
      <c r="AH2643" s="253"/>
      <c r="AI2643" s="253"/>
      <c r="AJ2643" s="7"/>
      <c r="AK2643" s="253"/>
      <c r="AL2643" s="253"/>
      <c r="AM2643" s="7"/>
      <c r="AN2643" s="253"/>
      <c r="AO2643" s="253"/>
      <c r="AP2643" s="253"/>
      <c r="AQ2643" s="253"/>
      <c r="AR2643" s="253"/>
      <c r="AS2643" s="253"/>
      <c r="AT2643" s="253"/>
      <c r="AU2643" s="253"/>
      <c r="AV2643" s="253"/>
      <c r="AW2643" s="253"/>
      <c r="AX2643" s="253"/>
      <c r="AY2643" s="253"/>
      <c r="AZ2643" s="253"/>
    </row>
    <row r="2644" spans="1:52" ht="15.5" customHeight="1">
      <c r="A2644" s="363"/>
      <c r="B2644" s="343"/>
      <c r="C2644" s="7"/>
      <c r="D2644" s="254"/>
      <c r="E2644" s="254"/>
      <c r="F2644" s="254"/>
      <c r="G2644" s="253"/>
      <c r="H2644" s="253"/>
      <c r="I2644" s="253"/>
      <c r="J2644" s="253"/>
      <c r="K2644" s="253"/>
      <c r="L2644" s="7"/>
      <c r="M2644" s="7"/>
      <c r="N2644" s="253"/>
      <c r="O2644" s="255"/>
      <c r="P2644" s="253"/>
      <c r="Q2644" s="7"/>
      <c r="R2644" s="7"/>
      <c r="S2644" s="7"/>
      <c r="T2644" s="7"/>
      <c r="U2644" s="7"/>
      <c r="V2644" s="253"/>
      <c r="W2644" s="7"/>
      <c r="X2644" s="256"/>
      <c r="Y2644" s="256"/>
      <c r="Z2644" s="256"/>
      <c r="AA2644" s="256"/>
      <c r="AB2644" s="257"/>
      <c r="AC2644" s="258"/>
      <c r="AD2644" s="7"/>
      <c r="AE2644" s="253"/>
      <c r="AF2644" s="253"/>
      <c r="AG2644" s="259"/>
      <c r="AH2644" s="253"/>
      <c r="AI2644" s="253"/>
      <c r="AJ2644" s="7"/>
      <c r="AK2644" s="253"/>
      <c r="AL2644" s="253"/>
      <c r="AM2644" s="7"/>
      <c r="AN2644" s="253"/>
      <c r="AO2644" s="253"/>
      <c r="AP2644" s="253"/>
      <c r="AQ2644" s="253"/>
      <c r="AR2644" s="253"/>
      <c r="AS2644" s="253"/>
      <c r="AT2644" s="253"/>
      <c r="AU2644" s="253"/>
      <c r="AV2644" s="253"/>
      <c r="AW2644" s="253"/>
      <c r="AX2644" s="253"/>
      <c r="AY2644" s="253"/>
      <c r="AZ2644" s="253"/>
    </row>
    <row r="2645" spans="1:52" ht="15.5" customHeight="1">
      <c r="A2645" s="363"/>
      <c r="B2645" s="343"/>
      <c r="C2645" s="7"/>
      <c r="D2645" s="254"/>
      <c r="E2645" s="254"/>
      <c r="F2645" s="254"/>
      <c r="G2645" s="253"/>
      <c r="H2645" s="253"/>
      <c r="I2645" s="253"/>
      <c r="J2645" s="253"/>
      <c r="K2645" s="253"/>
      <c r="L2645" s="7"/>
      <c r="M2645" s="7"/>
      <c r="N2645" s="253"/>
      <c r="O2645" s="255"/>
      <c r="P2645" s="253"/>
      <c r="Q2645" s="7"/>
      <c r="R2645" s="7"/>
      <c r="S2645" s="7"/>
      <c r="T2645" s="7"/>
      <c r="U2645" s="7"/>
      <c r="V2645" s="253"/>
      <c r="W2645" s="7"/>
      <c r="X2645" s="256"/>
      <c r="Y2645" s="256"/>
      <c r="Z2645" s="256"/>
      <c r="AA2645" s="256"/>
      <c r="AB2645" s="257"/>
      <c r="AC2645" s="258"/>
      <c r="AD2645" s="7"/>
      <c r="AE2645" s="253"/>
      <c r="AF2645" s="253"/>
      <c r="AG2645" s="259"/>
      <c r="AH2645" s="253"/>
      <c r="AI2645" s="253"/>
      <c r="AJ2645" s="7"/>
      <c r="AK2645" s="253"/>
      <c r="AL2645" s="253"/>
      <c r="AM2645" s="7"/>
      <c r="AN2645" s="253"/>
      <c r="AO2645" s="253"/>
      <c r="AP2645" s="253"/>
      <c r="AQ2645" s="253"/>
      <c r="AR2645" s="253"/>
      <c r="AS2645" s="253"/>
      <c r="AT2645" s="253"/>
      <c r="AU2645" s="253"/>
      <c r="AV2645" s="253"/>
      <c r="AW2645" s="253"/>
      <c r="AX2645" s="253"/>
      <c r="AY2645" s="253"/>
      <c r="AZ2645" s="253"/>
    </row>
    <row r="2646" spans="1:52" ht="15.5" customHeight="1">
      <c r="A2646" s="363"/>
      <c r="B2646" s="343"/>
      <c r="C2646" s="7"/>
      <c r="D2646" s="254"/>
      <c r="E2646" s="254"/>
      <c r="F2646" s="254"/>
      <c r="G2646" s="253"/>
      <c r="H2646" s="253"/>
      <c r="I2646" s="253"/>
      <c r="J2646" s="253"/>
      <c r="K2646" s="253"/>
      <c r="L2646" s="7"/>
      <c r="M2646" s="7"/>
      <c r="N2646" s="253"/>
      <c r="O2646" s="255"/>
      <c r="P2646" s="253"/>
      <c r="Q2646" s="7"/>
      <c r="R2646" s="7"/>
      <c r="S2646" s="7"/>
      <c r="T2646" s="7"/>
      <c r="U2646" s="7"/>
      <c r="V2646" s="253"/>
      <c r="W2646" s="7"/>
      <c r="X2646" s="256"/>
      <c r="Y2646" s="256"/>
      <c r="Z2646" s="256"/>
      <c r="AA2646" s="256"/>
      <c r="AB2646" s="257"/>
      <c r="AC2646" s="258"/>
      <c r="AD2646" s="7"/>
      <c r="AE2646" s="253"/>
      <c r="AF2646" s="253"/>
      <c r="AG2646" s="259"/>
      <c r="AH2646" s="253"/>
      <c r="AI2646" s="253"/>
      <c r="AJ2646" s="7"/>
      <c r="AK2646" s="253"/>
      <c r="AL2646" s="253"/>
      <c r="AM2646" s="7"/>
      <c r="AN2646" s="253"/>
      <c r="AO2646" s="253"/>
      <c r="AP2646" s="253"/>
      <c r="AQ2646" s="253"/>
      <c r="AR2646" s="253"/>
      <c r="AS2646" s="253"/>
      <c r="AT2646" s="253"/>
      <c r="AU2646" s="253"/>
      <c r="AV2646" s="253"/>
      <c r="AW2646" s="253"/>
      <c r="AX2646" s="253"/>
      <c r="AY2646" s="253"/>
      <c r="AZ2646" s="253"/>
    </row>
    <row r="2647" spans="1:52" ht="15.5" customHeight="1">
      <c r="A2647" s="363"/>
      <c r="B2647" s="343"/>
      <c r="C2647" s="7"/>
      <c r="D2647" s="254"/>
      <c r="E2647" s="254"/>
      <c r="F2647" s="254"/>
      <c r="G2647" s="253"/>
      <c r="H2647" s="253"/>
      <c r="I2647" s="253"/>
      <c r="J2647" s="253"/>
      <c r="K2647" s="253"/>
      <c r="L2647" s="7"/>
      <c r="M2647" s="7"/>
      <c r="N2647" s="253"/>
      <c r="O2647" s="255"/>
      <c r="P2647" s="253"/>
      <c r="Q2647" s="7"/>
      <c r="R2647" s="7"/>
      <c r="S2647" s="7"/>
      <c r="T2647" s="7"/>
      <c r="U2647" s="7"/>
      <c r="V2647" s="253"/>
      <c r="W2647" s="7"/>
      <c r="X2647" s="256"/>
      <c r="Y2647" s="256"/>
      <c r="Z2647" s="256"/>
      <c r="AA2647" s="256"/>
      <c r="AB2647" s="257"/>
      <c r="AC2647" s="258"/>
      <c r="AD2647" s="7"/>
      <c r="AE2647" s="253"/>
      <c r="AF2647" s="253"/>
      <c r="AG2647" s="259"/>
      <c r="AH2647" s="253"/>
      <c r="AI2647" s="253"/>
      <c r="AJ2647" s="7"/>
      <c r="AK2647" s="253"/>
      <c r="AL2647" s="253"/>
      <c r="AM2647" s="7"/>
      <c r="AN2647" s="253"/>
      <c r="AO2647" s="253"/>
      <c r="AP2647" s="253"/>
      <c r="AQ2647" s="253"/>
      <c r="AR2647" s="253"/>
      <c r="AS2647" s="253"/>
      <c r="AT2647" s="253"/>
      <c r="AU2647" s="253"/>
      <c r="AV2647" s="253"/>
      <c r="AW2647" s="253"/>
      <c r="AX2647" s="253"/>
      <c r="AY2647" s="253"/>
      <c r="AZ2647" s="253"/>
    </row>
    <row r="2648" spans="1:52" ht="15.5" customHeight="1">
      <c r="A2648" s="363"/>
      <c r="B2648" s="343"/>
      <c r="C2648" s="7"/>
      <c r="D2648" s="254"/>
      <c r="E2648" s="254"/>
      <c r="F2648" s="254"/>
      <c r="G2648" s="253"/>
      <c r="H2648" s="253"/>
      <c r="I2648" s="253"/>
      <c r="J2648" s="253"/>
      <c r="K2648" s="253"/>
      <c r="L2648" s="7"/>
      <c r="M2648" s="7"/>
      <c r="N2648" s="253"/>
      <c r="O2648" s="255"/>
      <c r="P2648" s="253"/>
      <c r="Q2648" s="7"/>
      <c r="R2648" s="7"/>
      <c r="S2648" s="7"/>
      <c r="T2648" s="7"/>
      <c r="U2648" s="7"/>
      <c r="V2648" s="253"/>
      <c r="W2648" s="7"/>
      <c r="X2648" s="256"/>
      <c r="Y2648" s="256"/>
      <c r="Z2648" s="256"/>
      <c r="AA2648" s="256"/>
      <c r="AB2648" s="257"/>
      <c r="AC2648" s="258"/>
      <c r="AD2648" s="7"/>
      <c r="AE2648" s="253"/>
      <c r="AF2648" s="253"/>
      <c r="AG2648" s="259"/>
      <c r="AH2648" s="253"/>
      <c r="AI2648" s="253"/>
      <c r="AJ2648" s="7"/>
      <c r="AK2648" s="253"/>
      <c r="AL2648" s="253"/>
      <c r="AM2648" s="7"/>
      <c r="AN2648" s="253"/>
      <c r="AO2648" s="253"/>
      <c r="AP2648" s="253"/>
      <c r="AQ2648" s="253"/>
      <c r="AR2648" s="253"/>
      <c r="AS2648" s="253"/>
      <c r="AT2648" s="253"/>
      <c r="AU2648" s="253"/>
      <c r="AV2648" s="253"/>
      <c r="AW2648" s="253"/>
      <c r="AX2648" s="253"/>
      <c r="AY2648" s="253"/>
      <c r="AZ2648" s="253"/>
    </row>
    <row r="2649" spans="1:52" ht="15.5" customHeight="1">
      <c r="A2649" s="363"/>
      <c r="B2649" s="343"/>
      <c r="C2649" s="7"/>
      <c r="D2649" s="254"/>
      <c r="E2649" s="254"/>
      <c r="F2649" s="254"/>
      <c r="G2649" s="253"/>
      <c r="H2649" s="253"/>
      <c r="I2649" s="253"/>
      <c r="J2649" s="253"/>
      <c r="K2649" s="253"/>
      <c r="L2649" s="7"/>
      <c r="M2649" s="7"/>
      <c r="N2649" s="253"/>
      <c r="O2649" s="255"/>
      <c r="P2649" s="253"/>
      <c r="Q2649" s="7"/>
      <c r="R2649" s="7"/>
      <c r="S2649" s="7"/>
      <c r="T2649" s="7"/>
      <c r="U2649" s="7"/>
      <c r="V2649" s="253"/>
      <c r="W2649" s="7"/>
      <c r="X2649" s="256"/>
      <c r="Y2649" s="256"/>
      <c r="Z2649" s="256"/>
      <c r="AA2649" s="256"/>
      <c r="AB2649" s="257"/>
      <c r="AC2649" s="258"/>
      <c r="AD2649" s="7"/>
      <c r="AE2649" s="253"/>
      <c r="AF2649" s="253"/>
      <c r="AG2649" s="259"/>
      <c r="AH2649" s="253"/>
      <c r="AI2649" s="253"/>
      <c r="AJ2649" s="7"/>
      <c r="AK2649" s="253"/>
      <c r="AL2649" s="253"/>
      <c r="AM2649" s="7"/>
      <c r="AN2649" s="253"/>
      <c r="AO2649" s="253"/>
      <c r="AP2649" s="253"/>
      <c r="AQ2649" s="253"/>
      <c r="AR2649" s="253"/>
      <c r="AS2649" s="253"/>
      <c r="AT2649" s="253"/>
      <c r="AU2649" s="253"/>
      <c r="AV2649" s="253"/>
      <c r="AW2649" s="253"/>
      <c r="AX2649" s="253"/>
      <c r="AY2649" s="253"/>
      <c r="AZ2649" s="253"/>
    </row>
    <row r="2650" spans="1:52" ht="15.5" customHeight="1">
      <c r="A2650" s="363"/>
      <c r="B2650" s="343"/>
      <c r="C2650" s="7"/>
      <c r="D2650" s="254"/>
      <c r="E2650" s="254"/>
      <c r="F2650" s="254"/>
      <c r="G2650" s="253"/>
      <c r="H2650" s="253"/>
      <c r="I2650" s="253"/>
      <c r="J2650" s="253"/>
      <c r="K2650" s="253"/>
      <c r="L2650" s="7"/>
      <c r="M2650" s="7"/>
      <c r="N2650" s="253"/>
      <c r="O2650" s="255"/>
      <c r="P2650" s="253"/>
      <c r="Q2650" s="7"/>
      <c r="R2650" s="7"/>
      <c r="S2650" s="7"/>
      <c r="T2650" s="7"/>
      <c r="U2650" s="7"/>
      <c r="V2650" s="253"/>
      <c r="W2650" s="7"/>
      <c r="X2650" s="256"/>
      <c r="Y2650" s="256"/>
      <c r="Z2650" s="256"/>
      <c r="AA2650" s="256"/>
      <c r="AB2650" s="257"/>
      <c r="AC2650" s="258"/>
      <c r="AD2650" s="7"/>
      <c r="AE2650" s="253"/>
      <c r="AF2650" s="253"/>
      <c r="AG2650" s="259"/>
      <c r="AH2650" s="253"/>
      <c r="AI2650" s="253"/>
      <c r="AJ2650" s="7"/>
      <c r="AK2650" s="253"/>
      <c r="AL2650" s="253"/>
      <c r="AM2650" s="7"/>
      <c r="AN2650" s="253"/>
      <c r="AO2650" s="253"/>
      <c r="AP2650" s="253"/>
      <c r="AQ2650" s="253"/>
      <c r="AR2650" s="253"/>
      <c r="AS2650" s="253"/>
      <c r="AT2650" s="253"/>
      <c r="AU2650" s="253"/>
      <c r="AV2650" s="253"/>
      <c r="AW2650" s="253"/>
      <c r="AX2650" s="253"/>
      <c r="AY2650" s="253"/>
      <c r="AZ2650" s="253"/>
    </row>
    <row r="2651" spans="1:52" ht="15.5" customHeight="1">
      <c r="A2651" s="363"/>
      <c r="B2651" s="343"/>
      <c r="C2651" s="7"/>
      <c r="D2651" s="254"/>
      <c r="E2651" s="254"/>
      <c r="F2651" s="254"/>
      <c r="G2651" s="253"/>
      <c r="H2651" s="253"/>
      <c r="I2651" s="253"/>
      <c r="J2651" s="253"/>
      <c r="K2651" s="253"/>
      <c r="L2651" s="7"/>
      <c r="M2651" s="7"/>
      <c r="N2651" s="253"/>
      <c r="O2651" s="255"/>
      <c r="P2651" s="253"/>
      <c r="Q2651" s="7"/>
      <c r="R2651" s="7"/>
      <c r="S2651" s="7"/>
      <c r="T2651" s="7"/>
      <c r="U2651" s="7"/>
      <c r="V2651" s="253"/>
      <c r="W2651" s="7"/>
      <c r="X2651" s="256"/>
      <c r="Y2651" s="256"/>
      <c r="Z2651" s="256"/>
      <c r="AA2651" s="256"/>
      <c r="AB2651" s="257"/>
      <c r="AC2651" s="258"/>
      <c r="AD2651" s="7"/>
      <c r="AE2651" s="253"/>
      <c r="AF2651" s="253"/>
      <c r="AG2651" s="259"/>
      <c r="AH2651" s="253"/>
      <c r="AI2651" s="253"/>
      <c r="AJ2651" s="7"/>
      <c r="AK2651" s="253"/>
      <c r="AL2651" s="253"/>
      <c r="AM2651" s="7"/>
      <c r="AN2651" s="253"/>
      <c r="AO2651" s="253"/>
      <c r="AP2651" s="253"/>
      <c r="AQ2651" s="253"/>
      <c r="AR2651" s="253"/>
      <c r="AS2651" s="253"/>
      <c r="AT2651" s="253"/>
      <c r="AU2651" s="253"/>
      <c r="AV2651" s="253"/>
      <c r="AW2651" s="253"/>
      <c r="AX2651" s="253"/>
      <c r="AY2651" s="253"/>
      <c r="AZ2651" s="253"/>
    </row>
    <row r="2652" spans="1:52" ht="15.5" customHeight="1">
      <c r="A2652" s="363"/>
      <c r="B2652" s="343"/>
      <c r="C2652" s="7"/>
      <c r="D2652" s="254"/>
      <c r="E2652" s="254"/>
      <c r="F2652" s="254"/>
      <c r="G2652" s="253"/>
      <c r="H2652" s="253"/>
      <c r="I2652" s="253"/>
      <c r="J2652" s="253"/>
      <c r="K2652" s="253"/>
      <c r="L2652" s="7"/>
      <c r="M2652" s="7"/>
      <c r="N2652" s="253"/>
      <c r="O2652" s="255"/>
      <c r="P2652" s="253"/>
      <c r="Q2652" s="7"/>
      <c r="R2652" s="7"/>
      <c r="S2652" s="7"/>
      <c r="T2652" s="7"/>
      <c r="U2652" s="7"/>
      <c r="V2652" s="253"/>
      <c r="W2652" s="7"/>
      <c r="X2652" s="256"/>
      <c r="Y2652" s="256"/>
      <c r="Z2652" s="256"/>
      <c r="AA2652" s="256"/>
      <c r="AB2652" s="257"/>
      <c r="AC2652" s="258"/>
      <c r="AD2652" s="7"/>
      <c r="AE2652" s="253"/>
      <c r="AF2652" s="253"/>
      <c r="AG2652" s="259"/>
      <c r="AH2652" s="253"/>
      <c r="AI2652" s="253"/>
      <c r="AJ2652" s="7"/>
      <c r="AK2652" s="253"/>
      <c r="AL2652" s="253"/>
      <c r="AM2652" s="7"/>
      <c r="AN2652" s="253"/>
      <c r="AO2652" s="253"/>
      <c r="AP2652" s="253"/>
      <c r="AQ2652" s="253"/>
      <c r="AR2652" s="253"/>
      <c r="AS2652" s="253"/>
      <c r="AT2652" s="253"/>
      <c r="AU2652" s="253"/>
      <c r="AV2652" s="253"/>
      <c r="AW2652" s="253"/>
      <c r="AX2652" s="253"/>
      <c r="AY2652" s="253"/>
      <c r="AZ2652" s="253"/>
    </row>
    <row r="2653" spans="1:52" ht="15.5" customHeight="1">
      <c r="A2653" s="363"/>
      <c r="B2653" s="343"/>
      <c r="C2653" s="7"/>
      <c r="D2653" s="254"/>
      <c r="E2653" s="254"/>
      <c r="F2653" s="254"/>
      <c r="G2653" s="253"/>
      <c r="H2653" s="253"/>
      <c r="I2653" s="253"/>
      <c r="J2653" s="253"/>
      <c r="K2653" s="253"/>
      <c r="L2653" s="7"/>
      <c r="M2653" s="7"/>
      <c r="N2653" s="253"/>
      <c r="O2653" s="255"/>
      <c r="P2653" s="253"/>
      <c r="Q2653" s="7"/>
      <c r="R2653" s="7"/>
      <c r="S2653" s="7"/>
      <c r="T2653" s="7"/>
      <c r="U2653" s="7"/>
      <c r="V2653" s="253"/>
      <c r="W2653" s="7"/>
      <c r="X2653" s="256"/>
      <c r="Y2653" s="256"/>
      <c r="Z2653" s="256"/>
      <c r="AA2653" s="256"/>
      <c r="AB2653" s="257"/>
      <c r="AC2653" s="258"/>
      <c r="AD2653" s="7"/>
      <c r="AE2653" s="253"/>
      <c r="AF2653" s="253"/>
      <c r="AG2653" s="259"/>
      <c r="AH2653" s="253"/>
      <c r="AI2653" s="253"/>
      <c r="AJ2653" s="7"/>
      <c r="AK2653" s="253"/>
      <c r="AL2653" s="253"/>
      <c r="AM2653" s="7"/>
      <c r="AN2653" s="253"/>
      <c r="AO2653" s="253"/>
      <c r="AP2653" s="253"/>
      <c r="AQ2653" s="253"/>
      <c r="AR2653" s="253"/>
      <c r="AS2653" s="253"/>
      <c r="AT2653" s="253"/>
      <c r="AU2653" s="253"/>
      <c r="AV2653" s="253"/>
      <c r="AW2653" s="253"/>
      <c r="AX2653" s="253"/>
      <c r="AY2653" s="253"/>
      <c r="AZ2653" s="253"/>
    </row>
    <row r="2654" spans="1:52" ht="15.5" customHeight="1">
      <c r="A2654" s="363"/>
      <c r="B2654" s="343"/>
      <c r="C2654" s="7"/>
      <c r="D2654" s="254"/>
      <c r="E2654" s="254"/>
      <c r="F2654" s="254"/>
      <c r="G2654" s="253"/>
      <c r="H2654" s="253"/>
      <c r="I2654" s="253"/>
      <c r="J2654" s="253"/>
      <c r="K2654" s="253"/>
      <c r="L2654" s="7"/>
      <c r="M2654" s="7"/>
      <c r="N2654" s="253"/>
      <c r="O2654" s="255"/>
      <c r="P2654" s="253"/>
      <c r="Q2654" s="7"/>
      <c r="R2654" s="7"/>
      <c r="S2654" s="7"/>
      <c r="T2654" s="7"/>
      <c r="U2654" s="7"/>
      <c r="V2654" s="253"/>
      <c r="W2654" s="7"/>
      <c r="X2654" s="256"/>
      <c r="Y2654" s="256"/>
      <c r="Z2654" s="256"/>
      <c r="AA2654" s="256"/>
      <c r="AB2654" s="257"/>
      <c r="AC2654" s="258"/>
      <c r="AD2654" s="7"/>
      <c r="AE2654" s="253"/>
      <c r="AF2654" s="253"/>
      <c r="AG2654" s="259"/>
      <c r="AH2654" s="253"/>
      <c r="AI2654" s="253"/>
      <c r="AJ2654" s="7"/>
      <c r="AK2654" s="253"/>
      <c r="AL2654" s="253"/>
      <c r="AM2654" s="7"/>
      <c r="AN2654" s="253"/>
      <c r="AO2654" s="253"/>
      <c r="AP2654" s="253"/>
      <c r="AQ2654" s="253"/>
      <c r="AR2654" s="253"/>
      <c r="AS2654" s="253"/>
      <c r="AT2654" s="253"/>
      <c r="AU2654" s="253"/>
      <c r="AV2654" s="253"/>
      <c r="AW2654" s="253"/>
      <c r="AX2654" s="253"/>
      <c r="AY2654" s="253"/>
      <c r="AZ2654" s="253"/>
    </row>
    <row r="2655" spans="1:52" ht="15.5" customHeight="1">
      <c r="A2655" s="363"/>
      <c r="B2655" s="343"/>
      <c r="C2655" s="7"/>
      <c r="D2655" s="254"/>
      <c r="E2655" s="254"/>
      <c r="F2655" s="254"/>
      <c r="G2655" s="253"/>
      <c r="H2655" s="253"/>
      <c r="I2655" s="253"/>
      <c r="J2655" s="253"/>
      <c r="K2655" s="253"/>
      <c r="L2655" s="7"/>
      <c r="M2655" s="7"/>
      <c r="N2655" s="253"/>
      <c r="O2655" s="255"/>
      <c r="P2655" s="253"/>
      <c r="Q2655" s="7"/>
      <c r="R2655" s="7"/>
      <c r="S2655" s="7"/>
      <c r="T2655" s="7"/>
      <c r="U2655" s="7"/>
      <c r="V2655" s="253"/>
      <c r="W2655" s="7"/>
      <c r="X2655" s="256"/>
      <c r="Y2655" s="256"/>
      <c r="Z2655" s="256"/>
      <c r="AA2655" s="256"/>
      <c r="AB2655" s="257"/>
      <c r="AC2655" s="258"/>
      <c r="AD2655" s="7"/>
      <c r="AE2655" s="253"/>
      <c r="AF2655" s="253"/>
      <c r="AG2655" s="259"/>
      <c r="AH2655" s="253"/>
      <c r="AI2655" s="253"/>
      <c r="AJ2655" s="7"/>
      <c r="AK2655" s="253"/>
      <c r="AL2655" s="253"/>
      <c r="AM2655" s="7"/>
      <c r="AN2655" s="253"/>
      <c r="AO2655" s="253"/>
      <c r="AP2655" s="253"/>
      <c r="AQ2655" s="253"/>
      <c r="AR2655" s="253"/>
      <c r="AS2655" s="253"/>
      <c r="AT2655" s="253"/>
      <c r="AU2655" s="253"/>
      <c r="AV2655" s="253"/>
      <c r="AW2655" s="253"/>
      <c r="AX2655" s="253"/>
      <c r="AY2655" s="253"/>
      <c r="AZ2655" s="253"/>
    </row>
    <row r="2656" spans="1:52" ht="15.5" customHeight="1">
      <c r="A2656" s="363"/>
      <c r="B2656" s="343"/>
      <c r="C2656" s="7"/>
      <c r="D2656" s="254"/>
      <c r="E2656" s="254"/>
      <c r="F2656" s="254"/>
      <c r="G2656" s="253"/>
      <c r="H2656" s="253"/>
      <c r="I2656" s="253"/>
      <c r="J2656" s="253"/>
      <c r="K2656" s="253"/>
      <c r="L2656" s="7"/>
      <c r="M2656" s="7"/>
      <c r="N2656" s="253"/>
      <c r="O2656" s="255"/>
      <c r="P2656" s="253"/>
      <c r="Q2656" s="7"/>
      <c r="R2656" s="7"/>
      <c r="S2656" s="7"/>
      <c r="T2656" s="7"/>
      <c r="U2656" s="7"/>
      <c r="V2656" s="253"/>
      <c r="W2656" s="7"/>
      <c r="X2656" s="256"/>
      <c r="Y2656" s="256"/>
      <c r="Z2656" s="256"/>
      <c r="AA2656" s="256"/>
      <c r="AB2656" s="257"/>
      <c r="AC2656" s="258"/>
      <c r="AD2656" s="7"/>
      <c r="AE2656" s="253"/>
      <c r="AF2656" s="253"/>
      <c r="AG2656" s="259"/>
      <c r="AH2656" s="253"/>
      <c r="AI2656" s="253"/>
      <c r="AJ2656" s="7"/>
      <c r="AK2656" s="253"/>
      <c r="AL2656" s="253"/>
      <c r="AM2656" s="7"/>
      <c r="AN2656" s="253"/>
      <c r="AO2656" s="253"/>
      <c r="AP2656" s="253"/>
      <c r="AQ2656" s="253"/>
      <c r="AR2656" s="253"/>
      <c r="AS2656" s="253"/>
      <c r="AT2656" s="253"/>
      <c r="AU2656" s="253"/>
      <c r="AV2656" s="253"/>
      <c r="AW2656" s="253"/>
      <c r="AX2656" s="253"/>
      <c r="AY2656" s="253"/>
      <c r="AZ2656" s="253"/>
    </row>
    <row r="2657" spans="1:52" ht="15.5" customHeight="1">
      <c r="A2657" s="363"/>
      <c r="B2657" s="343"/>
      <c r="C2657" s="7"/>
      <c r="D2657" s="254"/>
      <c r="E2657" s="254"/>
      <c r="F2657" s="254"/>
      <c r="G2657" s="253"/>
      <c r="H2657" s="253"/>
      <c r="I2657" s="253"/>
      <c r="J2657" s="253"/>
      <c r="K2657" s="253"/>
      <c r="L2657" s="7"/>
      <c r="M2657" s="7"/>
      <c r="N2657" s="253"/>
      <c r="O2657" s="255"/>
      <c r="P2657" s="253"/>
      <c r="Q2657" s="7"/>
      <c r="R2657" s="7"/>
      <c r="S2657" s="7"/>
      <c r="T2657" s="7"/>
      <c r="U2657" s="7"/>
      <c r="V2657" s="253"/>
      <c r="W2657" s="7"/>
      <c r="X2657" s="256"/>
      <c r="Y2657" s="256"/>
      <c r="Z2657" s="256"/>
      <c r="AA2657" s="256"/>
      <c r="AB2657" s="257"/>
      <c r="AC2657" s="258"/>
      <c r="AD2657" s="7"/>
      <c r="AE2657" s="253"/>
      <c r="AF2657" s="253"/>
      <c r="AG2657" s="259"/>
      <c r="AH2657" s="253"/>
      <c r="AI2657" s="253"/>
      <c r="AJ2657" s="7"/>
      <c r="AK2657" s="253"/>
      <c r="AL2657" s="253"/>
      <c r="AM2657" s="7"/>
      <c r="AN2657" s="253"/>
      <c r="AO2657" s="253"/>
      <c r="AP2657" s="253"/>
      <c r="AQ2657" s="253"/>
      <c r="AR2657" s="253"/>
      <c r="AS2657" s="253"/>
      <c r="AT2657" s="253"/>
      <c r="AU2657" s="253"/>
      <c r="AV2657" s="253"/>
      <c r="AW2657" s="253"/>
      <c r="AX2657" s="253"/>
      <c r="AY2657" s="253"/>
      <c r="AZ2657" s="253"/>
    </row>
    <row r="2658" spans="1:52" ht="15.5" customHeight="1">
      <c r="A2658" s="363"/>
      <c r="B2658" s="343"/>
      <c r="C2658" s="7"/>
      <c r="D2658" s="254"/>
      <c r="E2658" s="254"/>
      <c r="F2658" s="254"/>
      <c r="G2658" s="253"/>
      <c r="H2658" s="253"/>
      <c r="I2658" s="253"/>
      <c r="J2658" s="253"/>
      <c r="K2658" s="253"/>
      <c r="L2658" s="7"/>
      <c r="M2658" s="7"/>
      <c r="N2658" s="253"/>
      <c r="O2658" s="255"/>
      <c r="P2658" s="253"/>
      <c r="Q2658" s="7"/>
      <c r="R2658" s="7"/>
      <c r="S2658" s="7"/>
      <c r="T2658" s="7"/>
      <c r="U2658" s="7"/>
      <c r="V2658" s="253"/>
      <c r="W2658" s="7"/>
      <c r="X2658" s="256"/>
      <c r="Y2658" s="256"/>
      <c r="Z2658" s="256"/>
      <c r="AA2658" s="256"/>
      <c r="AB2658" s="257"/>
      <c r="AC2658" s="258"/>
      <c r="AD2658" s="7"/>
      <c r="AE2658" s="253"/>
      <c r="AF2658" s="253"/>
      <c r="AG2658" s="259"/>
      <c r="AH2658" s="253"/>
      <c r="AI2658" s="253"/>
      <c r="AJ2658" s="7"/>
      <c r="AK2658" s="253"/>
      <c r="AL2658" s="253"/>
      <c r="AM2658" s="7"/>
      <c r="AN2658" s="253"/>
      <c r="AO2658" s="253"/>
      <c r="AP2658" s="253"/>
      <c r="AQ2658" s="253"/>
      <c r="AR2658" s="253"/>
      <c r="AS2658" s="253"/>
      <c r="AT2658" s="253"/>
      <c r="AU2658" s="253"/>
      <c r="AV2658" s="253"/>
      <c r="AW2658" s="253"/>
      <c r="AX2658" s="253"/>
      <c r="AY2658" s="253"/>
      <c r="AZ2658" s="253"/>
    </row>
    <row r="2659" spans="1:52" ht="15.5" customHeight="1">
      <c r="A2659" s="363"/>
      <c r="B2659" s="343"/>
      <c r="C2659" s="7"/>
      <c r="D2659" s="254"/>
      <c r="E2659" s="254"/>
      <c r="F2659" s="254"/>
      <c r="G2659" s="253"/>
      <c r="H2659" s="253"/>
      <c r="I2659" s="253"/>
      <c r="J2659" s="253"/>
      <c r="K2659" s="253"/>
      <c r="L2659" s="7"/>
      <c r="M2659" s="7"/>
      <c r="N2659" s="253"/>
      <c r="O2659" s="255"/>
      <c r="P2659" s="253"/>
      <c r="Q2659" s="7"/>
      <c r="R2659" s="7"/>
      <c r="S2659" s="7"/>
      <c r="T2659" s="7"/>
      <c r="U2659" s="7"/>
      <c r="V2659" s="253"/>
      <c r="W2659" s="7"/>
      <c r="X2659" s="256"/>
      <c r="Y2659" s="256"/>
      <c r="Z2659" s="256"/>
      <c r="AA2659" s="256"/>
      <c r="AB2659" s="257"/>
      <c r="AC2659" s="258"/>
      <c r="AD2659" s="7"/>
      <c r="AE2659" s="253"/>
      <c r="AF2659" s="253"/>
      <c r="AG2659" s="259"/>
      <c r="AH2659" s="253"/>
      <c r="AI2659" s="253"/>
      <c r="AJ2659" s="7"/>
      <c r="AK2659" s="253"/>
      <c r="AL2659" s="253"/>
      <c r="AM2659" s="7"/>
      <c r="AN2659" s="253"/>
      <c r="AO2659" s="253"/>
      <c r="AP2659" s="253"/>
      <c r="AQ2659" s="253"/>
      <c r="AR2659" s="253"/>
      <c r="AS2659" s="253"/>
      <c r="AT2659" s="253"/>
      <c r="AU2659" s="253"/>
      <c r="AV2659" s="253"/>
      <c r="AW2659" s="253"/>
      <c r="AX2659" s="253"/>
      <c r="AY2659" s="253"/>
      <c r="AZ2659" s="253"/>
    </row>
    <row r="2660" spans="1:52" ht="15.5" customHeight="1">
      <c r="A2660" s="363"/>
      <c r="B2660" s="343"/>
      <c r="C2660" s="7"/>
      <c r="D2660" s="254"/>
      <c r="E2660" s="254"/>
      <c r="F2660" s="254"/>
      <c r="G2660" s="253"/>
      <c r="H2660" s="253"/>
      <c r="I2660" s="253"/>
      <c r="J2660" s="253"/>
      <c r="K2660" s="253"/>
      <c r="L2660" s="7"/>
      <c r="M2660" s="7"/>
      <c r="N2660" s="253"/>
      <c r="O2660" s="255"/>
      <c r="P2660" s="253"/>
      <c r="Q2660" s="7"/>
      <c r="R2660" s="7"/>
      <c r="S2660" s="7"/>
      <c r="T2660" s="7"/>
      <c r="U2660" s="7"/>
      <c r="V2660" s="253"/>
      <c r="W2660" s="7"/>
      <c r="X2660" s="256"/>
      <c r="Y2660" s="256"/>
      <c r="Z2660" s="256"/>
      <c r="AA2660" s="256"/>
      <c r="AB2660" s="257"/>
      <c r="AC2660" s="258"/>
      <c r="AD2660" s="7"/>
      <c r="AE2660" s="253"/>
      <c r="AF2660" s="253"/>
      <c r="AG2660" s="259"/>
      <c r="AH2660" s="253"/>
      <c r="AI2660" s="253"/>
      <c r="AJ2660" s="7"/>
      <c r="AK2660" s="253"/>
      <c r="AL2660" s="253"/>
      <c r="AM2660" s="7"/>
      <c r="AN2660" s="253"/>
      <c r="AO2660" s="253"/>
      <c r="AP2660" s="253"/>
      <c r="AQ2660" s="253"/>
      <c r="AR2660" s="253"/>
      <c r="AS2660" s="253"/>
      <c r="AT2660" s="253"/>
      <c r="AU2660" s="253"/>
      <c r="AV2660" s="253"/>
      <c r="AW2660" s="253"/>
      <c r="AX2660" s="253"/>
      <c r="AY2660" s="253"/>
      <c r="AZ2660" s="253"/>
    </row>
    <row r="2661" spans="1:52" ht="15.5" customHeight="1">
      <c r="A2661" s="363"/>
      <c r="B2661" s="343"/>
      <c r="C2661" s="7"/>
      <c r="D2661" s="254"/>
      <c r="E2661" s="254"/>
      <c r="F2661" s="254"/>
      <c r="G2661" s="253"/>
      <c r="H2661" s="253"/>
      <c r="I2661" s="253"/>
      <c r="J2661" s="253"/>
      <c r="K2661" s="253"/>
      <c r="L2661" s="7"/>
      <c r="M2661" s="7"/>
      <c r="N2661" s="253"/>
      <c r="O2661" s="255"/>
      <c r="P2661" s="253"/>
      <c r="Q2661" s="7"/>
      <c r="R2661" s="7"/>
      <c r="S2661" s="7"/>
      <c r="T2661" s="7"/>
      <c r="U2661" s="7"/>
      <c r="V2661" s="253"/>
      <c r="W2661" s="7"/>
      <c r="X2661" s="256"/>
      <c r="Y2661" s="256"/>
      <c r="Z2661" s="256"/>
      <c r="AA2661" s="256"/>
      <c r="AB2661" s="257"/>
      <c r="AC2661" s="258"/>
      <c r="AD2661" s="7"/>
      <c r="AE2661" s="253"/>
      <c r="AF2661" s="253"/>
      <c r="AG2661" s="259"/>
      <c r="AH2661" s="253"/>
      <c r="AI2661" s="253"/>
      <c r="AJ2661" s="7"/>
      <c r="AK2661" s="253"/>
      <c r="AL2661" s="253"/>
      <c r="AM2661" s="7"/>
      <c r="AN2661" s="253"/>
      <c r="AO2661" s="253"/>
      <c r="AP2661" s="253"/>
      <c r="AQ2661" s="253"/>
      <c r="AR2661" s="253"/>
      <c r="AS2661" s="253"/>
      <c r="AT2661" s="253"/>
      <c r="AU2661" s="253"/>
      <c r="AV2661" s="253"/>
      <c r="AW2661" s="253"/>
      <c r="AX2661" s="253"/>
      <c r="AY2661" s="253"/>
      <c r="AZ2661" s="253"/>
    </row>
    <row r="2662" spans="1:52" ht="15.5" customHeight="1">
      <c r="A2662" s="363"/>
      <c r="B2662" s="343"/>
      <c r="C2662" s="7"/>
      <c r="D2662" s="254"/>
      <c r="E2662" s="254"/>
      <c r="F2662" s="254"/>
      <c r="G2662" s="253"/>
      <c r="H2662" s="253"/>
      <c r="I2662" s="253"/>
      <c r="J2662" s="253"/>
      <c r="K2662" s="253"/>
      <c r="L2662" s="7"/>
      <c r="M2662" s="7"/>
      <c r="N2662" s="253"/>
      <c r="O2662" s="255"/>
      <c r="P2662" s="253"/>
      <c r="Q2662" s="7"/>
      <c r="R2662" s="7"/>
      <c r="S2662" s="7"/>
      <c r="T2662" s="7"/>
      <c r="U2662" s="7"/>
      <c r="V2662" s="253"/>
      <c r="W2662" s="7"/>
      <c r="X2662" s="256"/>
      <c r="Y2662" s="256"/>
      <c r="Z2662" s="256"/>
      <c r="AA2662" s="256"/>
      <c r="AB2662" s="257"/>
      <c r="AC2662" s="258"/>
      <c r="AD2662" s="7"/>
      <c r="AE2662" s="253"/>
      <c r="AF2662" s="253"/>
      <c r="AG2662" s="259"/>
      <c r="AH2662" s="253"/>
      <c r="AI2662" s="253"/>
      <c r="AJ2662" s="7"/>
      <c r="AK2662" s="253"/>
      <c r="AL2662" s="253"/>
      <c r="AM2662" s="7"/>
      <c r="AN2662" s="253"/>
      <c r="AO2662" s="253"/>
      <c r="AP2662" s="253"/>
      <c r="AQ2662" s="253"/>
      <c r="AR2662" s="253"/>
      <c r="AS2662" s="253"/>
      <c r="AT2662" s="253"/>
      <c r="AU2662" s="253"/>
      <c r="AV2662" s="253"/>
      <c r="AW2662" s="253"/>
      <c r="AX2662" s="253"/>
      <c r="AY2662" s="253"/>
      <c r="AZ2662" s="253"/>
    </row>
    <row r="2663" spans="1:52" ht="15.5" customHeight="1">
      <c r="A2663" s="363"/>
      <c r="B2663" s="343"/>
      <c r="C2663" s="7"/>
      <c r="D2663" s="254"/>
      <c r="E2663" s="254"/>
      <c r="F2663" s="254"/>
      <c r="G2663" s="253"/>
      <c r="H2663" s="253"/>
      <c r="I2663" s="253"/>
      <c r="J2663" s="253"/>
      <c r="K2663" s="253"/>
      <c r="L2663" s="7"/>
      <c r="M2663" s="7"/>
      <c r="N2663" s="253"/>
      <c r="O2663" s="255"/>
      <c r="P2663" s="253"/>
      <c r="Q2663" s="7"/>
      <c r="R2663" s="7"/>
      <c r="S2663" s="7"/>
      <c r="T2663" s="7"/>
      <c r="U2663" s="7"/>
      <c r="V2663" s="253"/>
      <c r="W2663" s="7"/>
      <c r="X2663" s="256"/>
      <c r="Y2663" s="256"/>
      <c r="Z2663" s="256"/>
      <c r="AA2663" s="256"/>
      <c r="AB2663" s="257"/>
      <c r="AC2663" s="258"/>
      <c r="AD2663" s="7"/>
      <c r="AE2663" s="253"/>
      <c r="AF2663" s="253"/>
      <c r="AG2663" s="259"/>
      <c r="AH2663" s="253"/>
      <c r="AI2663" s="253"/>
      <c r="AJ2663" s="7"/>
      <c r="AK2663" s="253"/>
      <c r="AL2663" s="253"/>
      <c r="AM2663" s="7"/>
      <c r="AN2663" s="253"/>
      <c r="AO2663" s="253"/>
      <c r="AP2663" s="253"/>
      <c r="AQ2663" s="253"/>
      <c r="AR2663" s="253"/>
      <c r="AS2663" s="253"/>
      <c r="AT2663" s="253"/>
      <c r="AU2663" s="253"/>
      <c r="AV2663" s="253"/>
      <c r="AW2663" s="253"/>
      <c r="AX2663" s="253"/>
      <c r="AY2663" s="253"/>
      <c r="AZ2663" s="253"/>
    </row>
    <row r="2664" spans="1:52" ht="15.5" customHeight="1">
      <c r="A2664" s="363"/>
      <c r="B2664" s="343"/>
      <c r="C2664" s="7"/>
      <c r="D2664" s="254"/>
      <c r="E2664" s="254"/>
      <c r="F2664" s="254"/>
      <c r="G2664" s="253"/>
      <c r="H2664" s="253"/>
      <c r="I2664" s="253"/>
      <c r="J2664" s="253"/>
      <c r="K2664" s="253"/>
      <c r="L2664" s="7"/>
      <c r="M2664" s="7"/>
      <c r="N2664" s="253"/>
      <c r="O2664" s="255"/>
      <c r="P2664" s="253"/>
      <c r="Q2664" s="7"/>
      <c r="R2664" s="7"/>
      <c r="S2664" s="7"/>
      <c r="T2664" s="7"/>
      <c r="U2664" s="7"/>
      <c r="V2664" s="253"/>
      <c r="W2664" s="7"/>
      <c r="X2664" s="256"/>
      <c r="Y2664" s="256"/>
      <c r="Z2664" s="256"/>
      <c r="AA2664" s="256"/>
      <c r="AB2664" s="257"/>
      <c r="AC2664" s="258"/>
      <c r="AD2664" s="7"/>
      <c r="AE2664" s="253"/>
      <c r="AF2664" s="253"/>
      <c r="AG2664" s="259"/>
      <c r="AH2664" s="253"/>
      <c r="AI2664" s="253"/>
      <c r="AJ2664" s="7"/>
      <c r="AK2664" s="253"/>
      <c r="AL2664" s="253"/>
      <c r="AM2664" s="7"/>
      <c r="AN2664" s="253"/>
      <c r="AO2664" s="253"/>
      <c r="AP2664" s="253"/>
      <c r="AQ2664" s="253"/>
      <c r="AR2664" s="253"/>
      <c r="AS2664" s="253"/>
      <c r="AT2664" s="253"/>
      <c r="AU2664" s="253"/>
      <c r="AV2664" s="253"/>
      <c r="AW2664" s="253"/>
      <c r="AX2664" s="253"/>
      <c r="AY2664" s="253"/>
      <c r="AZ2664" s="253"/>
    </row>
    <row r="2665" spans="1:52" ht="15.5" customHeight="1">
      <c r="A2665" s="363"/>
      <c r="B2665" s="343"/>
      <c r="C2665" s="7"/>
      <c r="D2665" s="254"/>
      <c r="E2665" s="254"/>
      <c r="F2665" s="254"/>
      <c r="G2665" s="253"/>
      <c r="H2665" s="253"/>
      <c r="I2665" s="253"/>
      <c r="J2665" s="253"/>
      <c r="K2665" s="253"/>
      <c r="L2665" s="7"/>
      <c r="M2665" s="7"/>
      <c r="N2665" s="253"/>
      <c r="O2665" s="255"/>
      <c r="P2665" s="253"/>
      <c r="Q2665" s="7"/>
      <c r="R2665" s="7"/>
      <c r="S2665" s="7"/>
      <c r="T2665" s="7"/>
      <c r="U2665" s="7"/>
      <c r="V2665" s="253"/>
      <c r="W2665" s="7"/>
      <c r="X2665" s="256"/>
      <c r="Y2665" s="256"/>
      <c r="Z2665" s="256"/>
      <c r="AA2665" s="256"/>
      <c r="AB2665" s="257"/>
      <c r="AC2665" s="258"/>
      <c r="AD2665" s="7"/>
      <c r="AE2665" s="253"/>
      <c r="AF2665" s="253"/>
      <c r="AG2665" s="259"/>
      <c r="AH2665" s="253"/>
      <c r="AI2665" s="253"/>
      <c r="AJ2665" s="7"/>
      <c r="AK2665" s="253"/>
      <c r="AL2665" s="253"/>
      <c r="AM2665" s="7"/>
      <c r="AN2665" s="253"/>
      <c r="AO2665" s="253"/>
      <c r="AP2665" s="253"/>
      <c r="AQ2665" s="253"/>
      <c r="AR2665" s="253"/>
      <c r="AS2665" s="253"/>
      <c r="AT2665" s="253"/>
      <c r="AU2665" s="253"/>
      <c r="AV2665" s="253"/>
      <c r="AW2665" s="253"/>
      <c r="AX2665" s="253"/>
      <c r="AY2665" s="253"/>
      <c r="AZ2665" s="253"/>
    </row>
    <row r="2666" spans="1:52" ht="15.5" customHeight="1">
      <c r="A2666" s="363"/>
      <c r="B2666" s="343"/>
      <c r="C2666" s="7"/>
      <c r="D2666" s="254"/>
      <c r="E2666" s="254"/>
      <c r="F2666" s="254"/>
      <c r="G2666" s="253"/>
      <c r="H2666" s="253"/>
      <c r="I2666" s="253"/>
      <c r="J2666" s="253"/>
      <c r="K2666" s="253"/>
      <c r="L2666" s="7"/>
      <c r="M2666" s="7"/>
      <c r="N2666" s="253"/>
      <c r="O2666" s="255"/>
      <c r="P2666" s="253"/>
      <c r="Q2666" s="7"/>
      <c r="R2666" s="7"/>
      <c r="S2666" s="7"/>
      <c r="T2666" s="7"/>
      <c r="U2666" s="7"/>
      <c r="V2666" s="253"/>
      <c r="W2666" s="7"/>
      <c r="X2666" s="256"/>
      <c r="Y2666" s="256"/>
      <c r="Z2666" s="256"/>
      <c r="AA2666" s="256"/>
      <c r="AB2666" s="257"/>
      <c r="AC2666" s="258"/>
      <c r="AD2666" s="7"/>
      <c r="AE2666" s="253"/>
      <c r="AF2666" s="253"/>
      <c r="AG2666" s="259"/>
      <c r="AH2666" s="253"/>
      <c r="AI2666" s="253"/>
      <c r="AJ2666" s="7"/>
      <c r="AK2666" s="253"/>
      <c r="AL2666" s="253"/>
      <c r="AM2666" s="7"/>
      <c r="AN2666" s="253"/>
      <c r="AO2666" s="253"/>
      <c r="AP2666" s="253"/>
      <c r="AQ2666" s="253"/>
      <c r="AR2666" s="253"/>
      <c r="AS2666" s="253"/>
      <c r="AT2666" s="253"/>
      <c r="AU2666" s="253"/>
      <c r="AV2666" s="253"/>
      <c r="AW2666" s="253"/>
      <c r="AX2666" s="253"/>
      <c r="AY2666" s="253"/>
      <c r="AZ2666" s="253"/>
    </row>
    <row r="2667" spans="1:52" ht="15.5" customHeight="1">
      <c r="A2667" s="363"/>
      <c r="B2667" s="343"/>
      <c r="C2667" s="7"/>
      <c r="D2667" s="254"/>
      <c r="E2667" s="254"/>
      <c r="F2667" s="254"/>
      <c r="G2667" s="253"/>
      <c r="H2667" s="253"/>
      <c r="I2667" s="253"/>
      <c r="J2667" s="253"/>
      <c r="K2667" s="253"/>
      <c r="L2667" s="7"/>
      <c r="M2667" s="7"/>
      <c r="N2667" s="253"/>
      <c r="O2667" s="255"/>
      <c r="P2667" s="253"/>
      <c r="Q2667" s="7"/>
      <c r="R2667" s="7"/>
      <c r="S2667" s="7"/>
      <c r="T2667" s="7"/>
      <c r="U2667" s="7"/>
      <c r="V2667" s="253"/>
      <c r="W2667" s="7"/>
      <c r="X2667" s="256"/>
      <c r="Y2667" s="256"/>
      <c r="Z2667" s="256"/>
      <c r="AA2667" s="256"/>
      <c r="AB2667" s="257"/>
      <c r="AC2667" s="258"/>
      <c r="AD2667" s="7"/>
      <c r="AE2667" s="253"/>
      <c r="AF2667" s="253"/>
      <c r="AG2667" s="259"/>
      <c r="AH2667" s="253"/>
      <c r="AI2667" s="253"/>
      <c r="AJ2667" s="7"/>
      <c r="AK2667" s="253"/>
      <c r="AL2667" s="253"/>
      <c r="AM2667" s="7"/>
      <c r="AN2667" s="253"/>
      <c r="AO2667" s="253"/>
      <c r="AP2667" s="253"/>
      <c r="AQ2667" s="253"/>
      <c r="AR2667" s="253"/>
      <c r="AS2667" s="253"/>
      <c r="AT2667" s="253"/>
      <c r="AU2667" s="253"/>
      <c r="AV2667" s="253"/>
      <c r="AW2667" s="253"/>
      <c r="AX2667" s="253"/>
      <c r="AY2667" s="253"/>
      <c r="AZ2667" s="253"/>
    </row>
    <row r="2668" spans="1:52" ht="15.5" customHeight="1">
      <c r="A2668" s="363"/>
      <c r="B2668" s="343"/>
      <c r="C2668" s="7"/>
      <c r="D2668" s="254"/>
      <c r="E2668" s="254"/>
      <c r="F2668" s="254"/>
      <c r="G2668" s="253"/>
      <c r="H2668" s="253"/>
      <c r="I2668" s="253"/>
      <c r="J2668" s="253"/>
      <c r="K2668" s="253"/>
      <c r="L2668" s="7"/>
      <c r="M2668" s="7"/>
      <c r="N2668" s="253"/>
      <c r="O2668" s="255"/>
      <c r="P2668" s="253"/>
      <c r="Q2668" s="7"/>
      <c r="R2668" s="7"/>
      <c r="S2668" s="7"/>
      <c r="T2668" s="7"/>
      <c r="U2668" s="7"/>
      <c r="V2668" s="253"/>
      <c r="W2668" s="7"/>
      <c r="X2668" s="256"/>
      <c r="Y2668" s="256"/>
      <c r="Z2668" s="256"/>
      <c r="AA2668" s="256"/>
      <c r="AB2668" s="257"/>
      <c r="AC2668" s="258"/>
      <c r="AD2668" s="7"/>
      <c r="AE2668" s="253"/>
      <c r="AF2668" s="253"/>
      <c r="AG2668" s="259"/>
      <c r="AH2668" s="253"/>
      <c r="AI2668" s="253"/>
      <c r="AJ2668" s="7"/>
      <c r="AK2668" s="253"/>
      <c r="AL2668" s="253"/>
      <c r="AM2668" s="7"/>
      <c r="AN2668" s="253"/>
      <c r="AO2668" s="253"/>
      <c r="AP2668" s="253"/>
      <c r="AQ2668" s="253"/>
      <c r="AR2668" s="253"/>
      <c r="AS2668" s="253"/>
      <c r="AT2668" s="253"/>
      <c r="AU2668" s="253"/>
      <c r="AV2668" s="253"/>
      <c r="AW2668" s="253"/>
      <c r="AX2668" s="253"/>
      <c r="AY2668" s="253"/>
      <c r="AZ2668" s="253"/>
    </row>
    <row r="2669" spans="1:52" ht="15.5" customHeight="1">
      <c r="A2669" s="363"/>
      <c r="B2669" s="343"/>
      <c r="C2669" s="7"/>
      <c r="D2669" s="254"/>
      <c r="E2669" s="254"/>
      <c r="F2669" s="254"/>
      <c r="G2669" s="253"/>
      <c r="H2669" s="253"/>
      <c r="I2669" s="253"/>
      <c r="J2669" s="253"/>
      <c r="K2669" s="253"/>
      <c r="L2669" s="7"/>
      <c r="M2669" s="7"/>
      <c r="N2669" s="253"/>
      <c r="O2669" s="255"/>
      <c r="P2669" s="253"/>
      <c r="Q2669" s="7"/>
      <c r="R2669" s="7"/>
      <c r="S2669" s="7"/>
      <c r="T2669" s="7"/>
      <c r="U2669" s="7"/>
      <c r="V2669" s="253"/>
      <c r="W2669" s="7"/>
      <c r="X2669" s="256"/>
      <c r="Y2669" s="256"/>
      <c r="Z2669" s="256"/>
      <c r="AA2669" s="256"/>
      <c r="AB2669" s="257"/>
      <c r="AC2669" s="258"/>
      <c r="AD2669" s="7"/>
      <c r="AE2669" s="253"/>
      <c r="AF2669" s="253"/>
      <c r="AG2669" s="259"/>
      <c r="AH2669" s="253"/>
      <c r="AI2669" s="253"/>
      <c r="AJ2669" s="7"/>
      <c r="AK2669" s="253"/>
      <c r="AL2669" s="253"/>
      <c r="AM2669" s="7"/>
      <c r="AN2669" s="253"/>
      <c r="AO2669" s="253"/>
      <c r="AP2669" s="253"/>
      <c r="AQ2669" s="253"/>
      <c r="AR2669" s="253"/>
      <c r="AS2669" s="253"/>
      <c r="AT2669" s="253"/>
      <c r="AU2669" s="253"/>
      <c r="AV2669" s="253"/>
      <c r="AW2669" s="253"/>
      <c r="AX2669" s="253"/>
      <c r="AY2669" s="253"/>
      <c r="AZ2669" s="253"/>
    </row>
    <row r="2670" spans="1:52" ht="15.5" customHeight="1">
      <c r="A2670" s="363"/>
      <c r="B2670" s="343"/>
      <c r="C2670" s="7"/>
      <c r="D2670" s="254"/>
      <c r="E2670" s="254"/>
      <c r="F2670" s="254"/>
      <c r="G2670" s="253"/>
      <c r="H2670" s="253"/>
      <c r="I2670" s="253"/>
      <c r="J2670" s="253"/>
      <c r="K2670" s="253"/>
      <c r="L2670" s="7"/>
      <c r="M2670" s="7"/>
      <c r="N2670" s="253"/>
      <c r="O2670" s="255"/>
      <c r="P2670" s="253"/>
      <c r="Q2670" s="7"/>
      <c r="R2670" s="7"/>
      <c r="S2670" s="7"/>
      <c r="T2670" s="7"/>
      <c r="U2670" s="7"/>
      <c r="V2670" s="253"/>
      <c r="W2670" s="7"/>
      <c r="X2670" s="256"/>
      <c r="Y2670" s="256"/>
      <c r="Z2670" s="256"/>
      <c r="AA2670" s="256"/>
      <c r="AB2670" s="257"/>
      <c r="AC2670" s="258"/>
      <c r="AD2670" s="7"/>
      <c r="AE2670" s="253"/>
      <c r="AF2670" s="253"/>
      <c r="AG2670" s="259"/>
      <c r="AH2670" s="253"/>
      <c r="AI2670" s="253"/>
      <c r="AJ2670" s="7"/>
      <c r="AK2670" s="253"/>
      <c r="AL2670" s="253"/>
      <c r="AM2670" s="7"/>
      <c r="AN2670" s="253"/>
      <c r="AO2670" s="253"/>
      <c r="AP2670" s="253"/>
      <c r="AQ2670" s="253"/>
      <c r="AR2670" s="253"/>
      <c r="AS2670" s="253"/>
      <c r="AT2670" s="253"/>
      <c r="AU2670" s="253"/>
      <c r="AV2670" s="253"/>
      <c r="AW2670" s="253"/>
      <c r="AX2670" s="253"/>
      <c r="AY2670" s="253"/>
      <c r="AZ2670" s="253"/>
    </row>
    <row r="2671" spans="1:52" ht="15.5" customHeight="1">
      <c r="A2671" s="363"/>
      <c r="B2671" s="343"/>
      <c r="C2671" s="7"/>
      <c r="D2671" s="254"/>
      <c r="E2671" s="254"/>
      <c r="F2671" s="254"/>
      <c r="G2671" s="253"/>
      <c r="H2671" s="253"/>
      <c r="I2671" s="253"/>
      <c r="J2671" s="253"/>
      <c r="K2671" s="253"/>
      <c r="L2671" s="7"/>
      <c r="M2671" s="7"/>
      <c r="N2671" s="253"/>
      <c r="O2671" s="255"/>
      <c r="P2671" s="253"/>
      <c r="Q2671" s="7"/>
      <c r="R2671" s="7"/>
      <c r="S2671" s="7"/>
      <c r="T2671" s="7"/>
      <c r="U2671" s="7"/>
      <c r="V2671" s="253"/>
      <c r="W2671" s="7"/>
      <c r="X2671" s="256"/>
      <c r="Y2671" s="256"/>
      <c r="Z2671" s="256"/>
      <c r="AA2671" s="256"/>
      <c r="AB2671" s="257"/>
      <c r="AC2671" s="258"/>
      <c r="AD2671" s="7"/>
      <c r="AE2671" s="253"/>
      <c r="AF2671" s="253"/>
      <c r="AG2671" s="259"/>
      <c r="AH2671" s="253"/>
      <c r="AI2671" s="253"/>
      <c r="AJ2671" s="7"/>
      <c r="AK2671" s="253"/>
      <c r="AL2671" s="253"/>
      <c r="AM2671" s="7"/>
      <c r="AN2671" s="253"/>
      <c r="AO2671" s="253"/>
      <c r="AP2671" s="253"/>
      <c r="AQ2671" s="253"/>
      <c r="AR2671" s="253"/>
      <c r="AS2671" s="253"/>
      <c r="AT2671" s="253"/>
      <c r="AU2671" s="253"/>
      <c r="AV2671" s="253"/>
      <c r="AW2671" s="253"/>
      <c r="AX2671" s="253"/>
      <c r="AY2671" s="253"/>
      <c r="AZ2671" s="253"/>
    </row>
    <row r="2672" spans="1:52" ht="15.5" customHeight="1">
      <c r="A2672" s="363"/>
      <c r="B2672" s="343"/>
      <c r="C2672" s="7"/>
      <c r="D2672" s="254"/>
      <c r="E2672" s="254"/>
      <c r="F2672" s="254"/>
      <c r="G2672" s="253"/>
      <c r="H2672" s="253"/>
      <c r="I2672" s="253"/>
      <c r="J2672" s="253"/>
      <c r="K2672" s="253"/>
      <c r="L2672" s="7"/>
      <c r="M2672" s="7"/>
      <c r="N2672" s="253"/>
      <c r="O2672" s="255"/>
      <c r="P2672" s="253"/>
      <c r="Q2672" s="7"/>
      <c r="R2672" s="7"/>
      <c r="S2672" s="7"/>
      <c r="T2672" s="7"/>
      <c r="U2672" s="7"/>
      <c r="V2672" s="253"/>
      <c r="W2672" s="7"/>
      <c r="X2672" s="256"/>
      <c r="Y2672" s="256"/>
      <c r="Z2672" s="256"/>
      <c r="AA2672" s="256"/>
      <c r="AB2672" s="257"/>
      <c r="AC2672" s="258"/>
      <c r="AD2672" s="7"/>
      <c r="AE2672" s="253"/>
      <c r="AF2672" s="253"/>
      <c r="AG2672" s="259"/>
      <c r="AH2672" s="253"/>
      <c r="AI2672" s="253"/>
      <c r="AJ2672" s="7"/>
      <c r="AK2672" s="253"/>
      <c r="AL2672" s="253"/>
      <c r="AM2672" s="7"/>
      <c r="AN2672" s="253"/>
      <c r="AO2672" s="253"/>
      <c r="AP2672" s="253"/>
      <c r="AQ2672" s="253"/>
      <c r="AR2672" s="253"/>
      <c r="AS2672" s="253"/>
      <c r="AT2672" s="253"/>
      <c r="AU2672" s="253"/>
      <c r="AV2672" s="253"/>
      <c r="AW2672" s="253"/>
      <c r="AX2672" s="253"/>
      <c r="AY2672" s="253"/>
      <c r="AZ2672" s="253"/>
    </row>
    <row r="2673" spans="1:52" ht="15.5" customHeight="1">
      <c r="A2673" s="363"/>
      <c r="B2673" s="343"/>
      <c r="C2673" s="7"/>
      <c r="D2673" s="254"/>
      <c r="E2673" s="254"/>
      <c r="F2673" s="254"/>
      <c r="G2673" s="253"/>
      <c r="H2673" s="253"/>
      <c r="I2673" s="253"/>
      <c r="J2673" s="253"/>
      <c r="K2673" s="253"/>
      <c r="L2673" s="7"/>
      <c r="M2673" s="7"/>
      <c r="N2673" s="253"/>
      <c r="O2673" s="255"/>
      <c r="P2673" s="253"/>
      <c r="Q2673" s="7"/>
      <c r="R2673" s="7"/>
      <c r="S2673" s="7"/>
      <c r="T2673" s="7"/>
      <c r="U2673" s="7"/>
      <c r="V2673" s="253"/>
      <c r="W2673" s="7"/>
      <c r="X2673" s="256"/>
      <c r="Y2673" s="256"/>
      <c r="Z2673" s="256"/>
      <c r="AA2673" s="256"/>
      <c r="AB2673" s="257"/>
      <c r="AC2673" s="258"/>
      <c r="AD2673" s="7"/>
      <c r="AE2673" s="253"/>
      <c r="AF2673" s="253"/>
      <c r="AG2673" s="259"/>
      <c r="AH2673" s="253"/>
      <c r="AI2673" s="253"/>
      <c r="AJ2673" s="7"/>
      <c r="AK2673" s="253"/>
      <c r="AL2673" s="253"/>
      <c r="AM2673" s="7"/>
      <c r="AN2673" s="253"/>
      <c r="AO2673" s="253"/>
      <c r="AP2673" s="253"/>
      <c r="AQ2673" s="253"/>
      <c r="AR2673" s="253"/>
      <c r="AS2673" s="253"/>
      <c r="AT2673" s="253"/>
      <c r="AU2673" s="253"/>
      <c r="AV2673" s="253"/>
      <c r="AW2673" s="253"/>
      <c r="AX2673" s="253"/>
      <c r="AY2673" s="253"/>
      <c r="AZ2673" s="253"/>
    </row>
    <row r="2674" spans="1:52" ht="15.5" customHeight="1">
      <c r="A2674" s="363"/>
      <c r="B2674" s="343"/>
      <c r="C2674" s="7"/>
      <c r="D2674" s="254"/>
      <c r="E2674" s="254"/>
      <c r="F2674" s="254"/>
      <c r="G2674" s="253"/>
      <c r="H2674" s="253"/>
      <c r="I2674" s="253"/>
      <c r="J2674" s="253"/>
      <c r="K2674" s="253"/>
      <c r="L2674" s="7"/>
      <c r="M2674" s="7"/>
      <c r="N2674" s="253"/>
      <c r="O2674" s="255"/>
      <c r="P2674" s="253"/>
      <c r="Q2674" s="7"/>
      <c r="R2674" s="7"/>
      <c r="S2674" s="7"/>
      <c r="T2674" s="7"/>
      <c r="U2674" s="7"/>
      <c r="V2674" s="253"/>
      <c r="W2674" s="7"/>
      <c r="X2674" s="256"/>
      <c r="Y2674" s="256"/>
      <c r="Z2674" s="256"/>
      <c r="AA2674" s="256"/>
      <c r="AB2674" s="257"/>
      <c r="AC2674" s="258"/>
      <c r="AD2674" s="7"/>
      <c r="AE2674" s="253"/>
      <c r="AF2674" s="253"/>
      <c r="AG2674" s="259"/>
      <c r="AH2674" s="253"/>
      <c r="AI2674" s="253"/>
      <c r="AJ2674" s="7"/>
      <c r="AK2674" s="253"/>
      <c r="AL2674" s="253"/>
      <c r="AM2674" s="7"/>
      <c r="AN2674" s="253"/>
      <c r="AO2674" s="253"/>
      <c r="AP2674" s="253"/>
      <c r="AQ2674" s="253"/>
      <c r="AR2674" s="253"/>
      <c r="AS2674" s="253"/>
      <c r="AT2674" s="253"/>
      <c r="AU2674" s="253"/>
      <c r="AV2674" s="253"/>
      <c r="AW2674" s="253"/>
      <c r="AX2674" s="253"/>
      <c r="AY2674" s="253"/>
      <c r="AZ2674" s="253"/>
    </row>
    <row r="2675" spans="1:52" ht="15.5" customHeight="1">
      <c r="A2675" s="363"/>
      <c r="B2675" s="343"/>
      <c r="C2675" s="7"/>
      <c r="D2675" s="254"/>
      <c r="E2675" s="254"/>
      <c r="F2675" s="254"/>
      <c r="G2675" s="253"/>
      <c r="H2675" s="253"/>
      <c r="I2675" s="253"/>
      <c r="J2675" s="253"/>
      <c r="K2675" s="253"/>
      <c r="L2675" s="7"/>
      <c r="M2675" s="7"/>
      <c r="N2675" s="253"/>
      <c r="O2675" s="255"/>
      <c r="P2675" s="253"/>
      <c r="Q2675" s="7"/>
      <c r="R2675" s="7"/>
      <c r="S2675" s="7"/>
      <c r="T2675" s="7"/>
      <c r="U2675" s="7"/>
      <c r="V2675" s="253"/>
      <c r="W2675" s="7"/>
      <c r="X2675" s="256"/>
      <c r="Y2675" s="256"/>
      <c r="Z2675" s="256"/>
      <c r="AA2675" s="256"/>
      <c r="AB2675" s="257"/>
      <c r="AC2675" s="258"/>
      <c r="AD2675" s="7"/>
      <c r="AE2675" s="253"/>
      <c r="AF2675" s="253"/>
      <c r="AG2675" s="259"/>
      <c r="AH2675" s="253"/>
      <c r="AI2675" s="253"/>
      <c r="AJ2675" s="7"/>
      <c r="AK2675" s="253"/>
      <c r="AL2675" s="253"/>
      <c r="AM2675" s="7"/>
      <c r="AN2675" s="253"/>
      <c r="AO2675" s="253"/>
      <c r="AP2675" s="253"/>
      <c r="AQ2675" s="253"/>
      <c r="AR2675" s="253"/>
      <c r="AS2675" s="253"/>
      <c r="AT2675" s="253"/>
      <c r="AU2675" s="253"/>
      <c r="AV2675" s="253"/>
      <c r="AW2675" s="253"/>
      <c r="AX2675" s="253"/>
      <c r="AY2675" s="253"/>
      <c r="AZ2675" s="253"/>
    </row>
    <row r="2676" spans="1:52" ht="15.5" customHeight="1">
      <c r="A2676" s="363"/>
      <c r="B2676" s="343"/>
      <c r="C2676" s="7"/>
      <c r="D2676" s="254"/>
      <c r="E2676" s="254"/>
      <c r="F2676" s="254"/>
      <c r="G2676" s="253"/>
      <c r="H2676" s="253"/>
      <c r="I2676" s="253"/>
      <c r="J2676" s="253"/>
      <c r="K2676" s="253"/>
      <c r="L2676" s="7"/>
      <c r="M2676" s="7"/>
      <c r="N2676" s="253"/>
      <c r="O2676" s="255"/>
      <c r="P2676" s="253"/>
      <c r="Q2676" s="7"/>
      <c r="R2676" s="7"/>
      <c r="S2676" s="7"/>
      <c r="T2676" s="7"/>
      <c r="U2676" s="7"/>
      <c r="V2676" s="253"/>
      <c r="W2676" s="7"/>
      <c r="X2676" s="256"/>
      <c r="Y2676" s="256"/>
      <c r="Z2676" s="256"/>
      <c r="AA2676" s="256"/>
      <c r="AB2676" s="257"/>
      <c r="AC2676" s="258"/>
      <c r="AD2676" s="7"/>
      <c r="AE2676" s="253"/>
      <c r="AF2676" s="253"/>
      <c r="AG2676" s="259"/>
      <c r="AH2676" s="253"/>
      <c r="AI2676" s="253"/>
      <c r="AJ2676" s="7"/>
      <c r="AK2676" s="253"/>
      <c r="AL2676" s="253"/>
      <c r="AM2676" s="7"/>
      <c r="AN2676" s="253"/>
      <c r="AO2676" s="253"/>
      <c r="AP2676" s="253"/>
      <c r="AQ2676" s="253"/>
      <c r="AR2676" s="253"/>
      <c r="AS2676" s="253"/>
      <c r="AT2676" s="253"/>
      <c r="AU2676" s="253"/>
      <c r="AV2676" s="253"/>
      <c r="AW2676" s="253"/>
      <c r="AX2676" s="253"/>
      <c r="AY2676" s="253"/>
      <c r="AZ2676" s="253"/>
    </row>
    <row r="2677" spans="1:52" ht="15.5" customHeight="1">
      <c r="A2677" s="363"/>
      <c r="B2677" s="343"/>
      <c r="C2677" s="7"/>
      <c r="D2677" s="254"/>
      <c r="E2677" s="254"/>
      <c r="F2677" s="254"/>
      <c r="G2677" s="253"/>
      <c r="H2677" s="253"/>
      <c r="I2677" s="253"/>
      <c r="J2677" s="253"/>
      <c r="K2677" s="253"/>
      <c r="L2677" s="7"/>
      <c r="M2677" s="7"/>
      <c r="N2677" s="253"/>
      <c r="O2677" s="255"/>
      <c r="P2677" s="253"/>
      <c r="Q2677" s="7"/>
      <c r="R2677" s="7"/>
      <c r="S2677" s="7"/>
      <c r="T2677" s="7"/>
      <c r="U2677" s="7"/>
      <c r="V2677" s="253"/>
      <c r="W2677" s="7"/>
      <c r="X2677" s="256"/>
      <c r="Y2677" s="256"/>
      <c r="Z2677" s="256"/>
      <c r="AA2677" s="256"/>
      <c r="AB2677" s="257"/>
      <c r="AC2677" s="258"/>
      <c r="AD2677" s="7"/>
      <c r="AE2677" s="253"/>
      <c r="AF2677" s="253"/>
      <c r="AG2677" s="259"/>
      <c r="AH2677" s="253"/>
      <c r="AI2677" s="253"/>
      <c r="AJ2677" s="7"/>
      <c r="AK2677" s="253"/>
      <c r="AL2677" s="253"/>
      <c r="AM2677" s="7"/>
      <c r="AN2677" s="253"/>
      <c r="AO2677" s="253"/>
      <c r="AP2677" s="253"/>
      <c r="AQ2677" s="253"/>
      <c r="AR2677" s="253"/>
      <c r="AS2677" s="253"/>
      <c r="AT2677" s="253"/>
      <c r="AU2677" s="253"/>
      <c r="AV2677" s="253"/>
      <c r="AW2677" s="253"/>
      <c r="AX2677" s="253"/>
      <c r="AY2677" s="253"/>
      <c r="AZ2677" s="253"/>
    </row>
    <row r="2678" spans="1:52" ht="15.5" customHeight="1">
      <c r="A2678" s="363"/>
      <c r="B2678" s="343"/>
      <c r="C2678" s="7"/>
      <c r="D2678" s="254"/>
      <c r="E2678" s="254"/>
      <c r="F2678" s="254"/>
      <c r="G2678" s="253"/>
      <c r="H2678" s="253"/>
      <c r="I2678" s="253"/>
      <c r="J2678" s="253"/>
      <c r="K2678" s="253"/>
      <c r="L2678" s="7"/>
      <c r="M2678" s="7"/>
      <c r="N2678" s="253"/>
      <c r="O2678" s="255"/>
      <c r="P2678" s="253"/>
      <c r="Q2678" s="7"/>
      <c r="R2678" s="7"/>
      <c r="S2678" s="7"/>
      <c r="T2678" s="7"/>
      <c r="U2678" s="7"/>
      <c r="V2678" s="253"/>
      <c r="W2678" s="7"/>
      <c r="X2678" s="256"/>
      <c r="Y2678" s="256"/>
      <c r="Z2678" s="256"/>
      <c r="AA2678" s="256"/>
      <c r="AB2678" s="257"/>
      <c r="AC2678" s="258"/>
      <c r="AD2678" s="7"/>
      <c r="AE2678" s="253"/>
      <c r="AF2678" s="253"/>
      <c r="AG2678" s="259"/>
      <c r="AH2678" s="253"/>
      <c r="AI2678" s="253"/>
      <c r="AJ2678" s="7"/>
      <c r="AK2678" s="253"/>
      <c r="AL2678" s="253"/>
      <c r="AM2678" s="7"/>
      <c r="AN2678" s="253"/>
      <c r="AO2678" s="253"/>
      <c r="AP2678" s="253"/>
      <c r="AQ2678" s="253"/>
      <c r="AR2678" s="253"/>
      <c r="AS2678" s="253"/>
      <c r="AT2678" s="253"/>
      <c r="AU2678" s="253"/>
      <c r="AV2678" s="253"/>
      <c r="AW2678" s="253"/>
      <c r="AX2678" s="253"/>
      <c r="AY2678" s="253"/>
      <c r="AZ2678" s="253"/>
    </row>
    <row r="2679" spans="1:52" ht="15.5" customHeight="1">
      <c r="A2679" s="363"/>
      <c r="B2679" s="343"/>
      <c r="C2679" s="7"/>
      <c r="D2679" s="254"/>
      <c r="E2679" s="254"/>
      <c r="F2679" s="254"/>
      <c r="G2679" s="253"/>
      <c r="H2679" s="253"/>
      <c r="I2679" s="253"/>
      <c r="J2679" s="253"/>
      <c r="K2679" s="253"/>
      <c r="L2679" s="7"/>
      <c r="M2679" s="7"/>
      <c r="N2679" s="253"/>
      <c r="O2679" s="255"/>
      <c r="P2679" s="253"/>
      <c r="Q2679" s="7"/>
      <c r="R2679" s="7"/>
      <c r="S2679" s="7"/>
      <c r="T2679" s="7"/>
      <c r="U2679" s="7"/>
      <c r="V2679" s="253"/>
      <c r="W2679" s="7"/>
      <c r="X2679" s="256"/>
      <c r="Y2679" s="256"/>
      <c r="Z2679" s="256"/>
      <c r="AA2679" s="256"/>
      <c r="AB2679" s="257"/>
      <c r="AC2679" s="258"/>
      <c r="AD2679" s="7"/>
      <c r="AE2679" s="253"/>
      <c r="AF2679" s="253"/>
      <c r="AG2679" s="259"/>
      <c r="AH2679" s="253"/>
      <c r="AI2679" s="253"/>
      <c r="AJ2679" s="7"/>
      <c r="AK2679" s="253"/>
      <c r="AL2679" s="253"/>
      <c r="AM2679" s="7"/>
      <c r="AN2679" s="253"/>
      <c r="AO2679" s="253"/>
      <c r="AP2679" s="253"/>
      <c r="AQ2679" s="253"/>
      <c r="AR2679" s="253"/>
      <c r="AS2679" s="253"/>
      <c r="AT2679" s="253"/>
      <c r="AU2679" s="253"/>
      <c r="AV2679" s="253"/>
      <c r="AW2679" s="253"/>
      <c r="AX2679" s="253"/>
      <c r="AY2679" s="253"/>
      <c r="AZ2679" s="253"/>
    </row>
    <row r="2680" spans="1:52" ht="15.5" customHeight="1">
      <c r="A2680" s="363"/>
      <c r="B2680" s="343"/>
      <c r="C2680" s="7"/>
      <c r="D2680" s="254"/>
      <c r="E2680" s="254"/>
      <c r="F2680" s="254"/>
      <c r="G2680" s="253"/>
      <c r="H2680" s="253"/>
      <c r="I2680" s="253"/>
      <c r="J2680" s="253"/>
      <c r="K2680" s="253"/>
      <c r="L2680" s="7"/>
      <c r="M2680" s="7"/>
      <c r="N2680" s="253"/>
      <c r="O2680" s="255"/>
      <c r="P2680" s="253"/>
      <c r="Q2680" s="7"/>
      <c r="R2680" s="7"/>
      <c r="S2680" s="7"/>
      <c r="T2680" s="7"/>
      <c r="U2680" s="7"/>
      <c r="V2680" s="253"/>
      <c r="W2680" s="7"/>
      <c r="X2680" s="256"/>
      <c r="Y2680" s="256"/>
      <c r="Z2680" s="256"/>
      <c r="AA2680" s="256"/>
      <c r="AB2680" s="257"/>
      <c r="AC2680" s="258"/>
      <c r="AD2680" s="7"/>
      <c r="AE2680" s="253"/>
      <c r="AF2680" s="253"/>
      <c r="AG2680" s="259"/>
      <c r="AH2680" s="253"/>
      <c r="AI2680" s="253"/>
      <c r="AJ2680" s="7"/>
      <c r="AK2680" s="253"/>
      <c r="AL2680" s="253"/>
      <c r="AM2680" s="7"/>
      <c r="AN2680" s="253"/>
      <c r="AO2680" s="253"/>
      <c r="AP2680" s="253"/>
      <c r="AQ2680" s="253"/>
      <c r="AR2680" s="253"/>
      <c r="AS2680" s="253"/>
      <c r="AT2680" s="253"/>
      <c r="AU2680" s="253"/>
      <c r="AV2680" s="253"/>
      <c r="AW2680" s="253"/>
      <c r="AX2680" s="253"/>
      <c r="AY2680" s="253"/>
      <c r="AZ2680" s="253"/>
    </row>
    <row r="2681" spans="1:52" ht="15.5" customHeight="1">
      <c r="A2681" s="363"/>
      <c r="B2681" s="343"/>
      <c r="C2681" s="7"/>
      <c r="D2681" s="254"/>
      <c r="E2681" s="254"/>
      <c r="F2681" s="254"/>
      <c r="G2681" s="253"/>
      <c r="H2681" s="253"/>
      <c r="I2681" s="253"/>
      <c r="J2681" s="253"/>
      <c r="K2681" s="253"/>
      <c r="L2681" s="7"/>
      <c r="M2681" s="7"/>
      <c r="N2681" s="253"/>
      <c r="O2681" s="255"/>
      <c r="P2681" s="253"/>
      <c r="Q2681" s="7"/>
      <c r="R2681" s="7"/>
      <c r="S2681" s="7"/>
      <c r="T2681" s="7"/>
      <c r="U2681" s="7"/>
      <c r="V2681" s="253"/>
      <c r="W2681" s="7"/>
      <c r="X2681" s="256"/>
      <c r="Y2681" s="256"/>
      <c r="Z2681" s="256"/>
      <c r="AA2681" s="256"/>
      <c r="AB2681" s="257"/>
      <c r="AC2681" s="258"/>
      <c r="AD2681" s="7"/>
      <c r="AE2681" s="253"/>
      <c r="AF2681" s="253"/>
      <c r="AG2681" s="259"/>
      <c r="AH2681" s="253"/>
      <c r="AI2681" s="253"/>
      <c r="AJ2681" s="7"/>
      <c r="AK2681" s="253"/>
      <c r="AL2681" s="253"/>
      <c r="AM2681" s="7"/>
      <c r="AN2681" s="253"/>
      <c r="AO2681" s="253"/>
      <c r="AP2681" s="253"/>
      <c r="AQ2681" s="253"/>
      <c r="AR2681" s="253"/>
      <c r="AS2681" s="253"/>
      <c r="AT2681" s="253"/>
      <c r="AU2681" s="253"/>
      <c r="AV2681" s="253"/>
      <c r="AW2681" s="253"/>
      <c r="AX2681" s="253"/>
      <c r="AY2681" s="253"/>
      <c r="AZ2681" s="253"/>
    </row>
    <row r="2682" spans="1:52" ht="15.5" customHeight="1">
      <c r="A2682" s="363"/>
      <c r="B2682" s="343"/>
      <c r="C2682" s="7"/>
      <c r="D2682" s="254"/>
      <c r="E2682" s="254"/>
      <c r="F2682" s="254"/>
      <c r="G2682" s="253"/>
      <c r="H2682" s="253"/>
      <c r="I2682" s="253"/>
      <c r="J2682" s="253"/>
      <c r="K2682" s="253"/>
      <c r="L2682" s="7"/>
      <c r="M2682" s="7"/>
      <c r="N2682" s="253"/>
      <c r="O2682" s="255"/>
      <c r="P2682" s="253"/>
      <c r="Q2682" s="7"/>
      <c r="R2682" s="7"/>
      <c r="S2682" s="7"/>
      <c r="T2682" s="7"/>
      <c r="U2682" s="7"/>
      <c r="V2682" s="253"/>
      <c r="W2682" s="7"/>
      <c r="X2682" s="256"/>
      <c r="Y2682" s="256"/>
      <c r="Z2682" s="256"/>
      <c r="AA2682" s="256"/>
      <c r="AB2682" s="257"/>
      <c r="AC2682" s="258"/>
      <c r="AD2682" s="7"/>
      <c r="AE2682" s="253"/>
      <c r="AF2682" s="253"/>
      <c r="AG2682" s="259"/>
      <c r="AH2682" s="253"/>
      <c r="AI2682" s="253"/>
      <c r="AJ2682" s="7"/>
      <c r="AK2682" s="253"/>
      <c r="AL2682" s="253"/>
      <c r="AM2682" s="7"/>
      <c r="AN2682" s="253"/>
      <c r="AO2682" s="253"/>
      <c r="AP2682" s="253"/>
      <c r="AQ2682" s="253"/>
      <c r="AR2682" s="253"/>
      <c r="AS2682" s="253"/>
      <c r="AT2682" s="253"/>
      <c r="AU2682" s="253"/>
      <c r="AV2682" s="253"/>
      <c r="AW2682" s="253"/>
      <c r="AX2682" s="253"/>
      <c r="AY2682" s="253"/>
      <c r="AZ2682" s="253"/>
    </row>
    <row r="2683" spans="1:52" ht="15.5" customHeight="1">
      <c r="A2683" s="363"/>
      <c r="B2683" s="343"/>
      <c r="C2683" s="7"/>
      <c r="D2683" s="254"/>
      <c r="E2683" s="254"/>
      <c r="F2683" s="254"/>
      <c r="G2683" s="253"/>
      <c r="H2683" s="253"/>
      <c r="I2683" s="253"/>
      <c r="J2683" s="253"/>
      <c r="K2683" s="253"/>
      <c r="L2683" s="7"/>
      <c r="M2683" s="7"/>
      <c r="N2683" s="253"/>
      <c r="O2683" s="255"/>
      <c r="P2683" s="253"/>
      <c r="Q2683" s="7"/>
      <c r="R2683" s="7"/>
      <c r="S2683" s="7"/>
      <c r="T2683" s="7"/>
      <c r="U2683" s="7"/>
      <c r="V2683" s="253"/>
      <c r="W2683" s="7"/>
      <c r="X2683" s="256"/>
      <c r="Y2683" s="256"/>
      <c r="Z2683" s="256"/>
      <c r="AA2683" s="256"/>
      <c r="AB2683" s="257"/>
      <c r="AC2683" s="258"/>
      <c r="AD2683" s="7"/>
      <c r="AE2683" s="253"/>
      <c r="AF2683" s="253"/>
      <c r="AG2683" s="259"/>
      <c r="AH2683" s="253"/>
      <c r="AI2683" s="253"/>
      <c r="AJ2683" s="7"/>
      <c r="AK2683" s="253"/>
      <c r="AL2683" s="253"/>
      <c r="AM2683" s="7"/>
      <c r="AN2683" s="253"/>
      <c r="AO2683" s="253"/>
      <c r="AP2683" s="253"/>
      <c r="AQ2683" s="253"/>
      <c r="AR2683" s="253"/>
      <c r="AS2683" s="253"/>
      <c r="AT2683" s="253"/>
      <c r="AU2683" s="253"/>
      <c r="AV2683" s="253"/>
      <c r="AW2683" s="253"/>
      <c r="AX2683" s="253"/>
      <c r="AY2683" s="253"/>
      <c r="AZ2683" s="253"/>
    </row>
    <row r="2684" spans="1:52" ht="15.5" customHeight="1">
      <c r="A2684" s="363"/>
      <c r="B2684" s="343"/>
      <c r="C2684" s="7"/>
      <c r="D2684" s="254"/>
      <c r="E2684" s="254"/>
      <c r="F2684" s="254"/>
      <c r="G2684" s="253"/>
      <c r="H2684" s="253"/>
      <c r="I2684" s="253"/>
      <c r="J2684" s="253"/>
      <c r="K2684" s="253"/>
      <c r="L2684" s="7"/>
      <c r="M2684" s="7"/>
      <c r="N2684" s="253"/>
      <c r="O2684" s="255"/>
      <c r="P2684" s="253"/>
      <c r="Q2684" s="7"/>
      <c r="R2684" s="7"/>
      <c r="S2684" s="7"/>
      <c r="T2684" s="7"/>
      <c r="U2684" s="7"/>
      <c r="V2684" s="253"/>
      <c r="W2684" s="7"/>
      <c r="X2684" s="256"/>
      <c r="Y2684" s="256"/>
      <c r="Z2684" s="256"/>
      <c r="AA2684" s="256"/>
      <c r="AB2684" s="257"/>
      <c r="AC2684" s="258"/>
      <c r="AD2684" s="7"/>
      <c r="AE2684" s="253"/>
      <c r="AF2684" s="253"/>
      <c r="AG2684" s="259"/>
      <c r="AH2684" s="253"/>
      <c r="AI2684" s="253"/>
      <c r="AJ2684" s="7"/>
      <c r="AK2684" s="253"/>
      <c r="AL2684" s="253"/>
      <c r="AM2684" s="7"/>
      <c r="AN2684" s="253"/>
      <c r="AO2684" s="253"/>
      <c r="AP2684" s="253"/>
      <c r="AQ2684" s="253"/>
      <c r="AR2684" s="253"/>
      <c r="AS2684" s="253"/>
      <c r="AT2684" s="253"/>
      <c r="AU2684" s="253"/>
      <c r="AV2684" s="253"/>
      <c r="AW2684" s="253"/>
      <c r="AX2684" s="253"/>
      <c r="AY2684" s="253"/>
      <c r="AZ2684" s="253"/>
    </row>
    <row r="2685" spans="1:52" ht="15.5" customHeight="1">
      <c r="A2685" s="363"/>
      <c r="B2685" s="343"/>
      <c r="C2685" s="7"/>
      <c r="D2685" s="254"/>
      <c r="E2685" s="254"/>
      <c r="F2685" s="254"/>
      <c r="G2685" s="253"/>
      <c r="H2685" s="253"/>
      <c r="I2685" s="253"/>
      <c r="J2685" s="253"/>
      <c r="K2685" s="253"/>
      <c r="L2685" s="7"/>
      <c r="M2685" s="7"/>
      <c r="N2685" s="253"/>
      <c r="O2685" s="255"/>
      <c r="P2685" s="253"/>
      <c r="Q2685" s="7"/>
      <c r="R2685" s="7"/>
      <c r="S2685" s="7"/>
      <c r="T2685" s="7"/>
      <c r="U2685" s="7"/>
      <c r="V2685" s="253"/>
      <c r="W2685" s="7"/>
      <c r="X2685" s="256"/>
      <c r="Y2685" s="256"/>
      <c r="Z2685" s="256"/>
      <c r="AA2685" s="256"/>
      <c r="AB2685" s="257"/>
      <c r="AC2685" s="258"/>
      <c r="AD2685" s="7"/>
      <c r="AE2685" s="253"/>
      <c r="AF2685" s="253"/>
      <c r="AG2685" s="259"/>
      <c r="AH2685" s="253"/>
      <c r="AI2685" s="253"/>
      <c r="AJ2685" s="7"/>
      <c r="AK2685" s="253"/>
      <c r="AL2685" s="253"/>
      <c r="AM2685" s="7"/>
      <c r="AN2685" s="253"/>
      <c r="AO2685" s="253"/>
      <c r="AP2685" s="253"/>
      <c r="AQ2685" s="253"/>
      <c r="AR2685" s="253"/>
      <c r="AS2685" s="253"/>
      <c r="AT2685" s="253"/>
      <c r="AU2685" s="253"/>
      <c r="AV2685" s="253"/>
      <c r="AW2685" s="253"/>
      <c r="AX2685" s="253"/>
      <c r="AY2685" s="253"/>
      <c r="AZ2685" s="253"/>
    </row>
    <row r="2686" spans="1:52" ht="15.5" customHeight="1">
      <c r="A2686" s="363"/>
      <c r="B2686" s="343"/>
      <c r="C2686" s="7"/>
      <c r="D2686" s="254"/>
      <c r="E2686" s="254"/>
      <c r="F2686" s="254"/>
      <c r="G2686" s="253"/>
      <c r="H2686" s="253"/>
      <c r="I2686" s="253"/>
      <c r="J2686" s="253"/>
      <c r="K2686" s="253"/>
      <c r="L2686" s="7"/>
      <c r="M2686" s="7"/>
      <c r="N2686" s="253"/>
      <c r="O2686" s="255"/>
      <c r="P2686" s="253"/>
      <c r="Q2686" s="7"/>
      <c r="R2686" s="7"/>
      <c r="S2686" s="7"/>
      <c r="T2686" s="7"/>
      <c r="U2686" s="7"/>
      <c r="V2686" s="253"/>
      <c r="W2686" s="7"/>
      <c r="X2686" s="256"/>
      <c r="Y2686" s="256"/>
      <c r="Z2686" s="256"/>
      <c r="AA2686" s="256"/>
      <c r="AB2686" s="257"/>
      <c r="AC2686" s="258"/>
      <c r="AD2686" s="7"/>
      <c r="AE2686" s="253"/>
      <c r="AF2686" s="253"/>
      <c r="AG2686" s="259"/>
      <c r="AH2686" s="253"/>
      <c r="AI2686" s="253"/>
      <c r="AJ2686" s="7"/>
      <c r="AK2686" s="253"/>
      <c r="AL2686" s="253"/>
      <c r="AM2686" s="7"/>
      <c r="AN2686" s="253"/>
      <c r="AO2686" s="253"/>
      <c r="AP2686" s="253"/>
      <c r="AQ2686" s="253"/>
      <c r="AR2686" s="253"/>
      <c r="AS2686" s="253"/>
      <c r="AT2686" s="253"/>
      <c r="AU2686" s="253"/>
      <c r="AV2686" s="253"/>
      <c r="AW2686" s="253"/>
      <c r="AX2686" s="253"/>
      <c r="AY2686" s="253"/>
      <c r="AZ2686" s="253"/>
    </row>
    <row r="2687" spans="1:52" ht="15.5" customHeight="1">
      <c r="A2687" s="363"/>
      <c r="B2687" s="343"/>
      <c r="C2687" s="7"/>
      <c r="D2687" s="254"/>
      <c r="E2687" s="254"/>
      <c r="F2687" s="254"/>
      <c r="G2687" s="253"/>
      <c r="H2687" s="253"/>
      <c r="I2687" s="253"/>
      <c r="J2687" s="253"/>
      <c r="K2687" s="253"/>
      <c r="L2687" s="7"/>
      <c r="M2687" s="7"/>
      <c r="N2687" s="253"/>
      <c r="O2687" s="255"/>
      <c r="P2687" s="253"/>
      <c r="Q2687" s="7"/>
      <c r="R2687" s="7"/>
      <c r="S2687" s="7"/>
      <c r="T2687" s="7"/>
      <c r="U2687" s="7"/>
      <c r="V2687" s="253"/>
      <c r="W2687" s="7"/>
      <c r="X2687" s="256"/>
      <c r="Y2687" s="256"/>
      <c r="Z2687" s="256"/>
      <c r="AA2687" s="256"/>
      <c r="AB2687" s="257"/>
      <c r="AC2687" s="258"/>
      <c r="AD2687" s="7"/>
      <c r="AE2687" s="253"/>
      <c r="AF2687" s="253"/>
      <c r="AG2687" s="259"/>
      <c r="AH2687" s="253"/>
      <c r="AI2687" s="253"/>
      <c r="AJ2687" s="7"/>
      <c r="AK2687" s="253"/>
      <c r="AL2687" s="253"/>
      <c r="AM2687" s="7"/>
      <c r="AN2687" s="253"/>
      <c r="AO2687" s="253"/>
      <c r="AP2687" s="253"/>
      <c r="AQ2687" s="253"/>
      <c r="AR2687" s="253"/>
      <c r="AS2687" s="253"/>
      <c r="AT2687" s="253"/>
      <c r="AU2687" s="253"/>
      <c r="AV2687" s="253"/>
      <c r="AW2687" s="253"/>
      <c r="AX2687" s="253"/>
      <c r="AY2687" s="253"/>
      <c r="AZ2687" s="253"/>
    </row>
    <row r="2688" spans="1:52" ht="15.5" customHeight="1">
      <c r="A2688" s="363"/>
      <c r="B2688" s="343"/>
      <c r="C2688" s="7"/>
      <c r="D2688" s="254"/>
      <c r="E2688" s="254"/>
      <c r="F2688" s="254"/>
      <c r="G2688" s="253"/>
      <c r="H2688" s="253"/>
      <c r="I2688" s="253"/>
      <c r="J2688" s="253"/>
      <c r="K2688" s="253"/>
      <c r="L2688" s="7"/>
      <c r="M2688" s="7"/>
      <c r="N2688" s="253"/>
      <c r="O2688" s="255"/>
      <c r="P2688" s="253"/>
      <c r="Q2688" s="7"/>
      <c r="R2688" s="7"/>
      <c r="S2688" s="7"/>
      <c r="T2688" s="7"/>
      <c r="U2688" s="7"/>
      <c r="V2688" s="253"/>
      <c r="W2688" s="7"/>
      <c r="X2688" s="256"/>
      <c r="Y2688" s="256"/>
      <c r="Z2688" s="256"/>
      <c r="AA2688" s="256"/>
      <c r="AB2688" s="257"/>
      <c r="AC2688" s="258"/>
      <c r="AD2688" s="7"/>
      <c r="AE2688" s="253"/>
      <c r="AF2688" s="253"/>
      <c r="AG2688" s="259"/>
      <c r="AH2688" s="253"/>
      <c r="AI2688" s="253"/>
      <c r="AJ2688" s="7"/>
      <c r="AK2688" s="253"/>
      <c r="AL2688" s="253"/>
      <c r="AM2688" s="7"/>
      <c r="AN2688" s="253"/>
      <c r="AO2688" s="253"/>
      <c r="AP2688" s="253"/>
      <c r="AQ2688" s="253"/>
      <c r="AR2688" s="253"/>
      <c r="AS2688" s="253"/>
      <c r="AT2688" s="253"/>
      <c r="AU2688" s="253"/>
      <c r="AV2688" s="253"/>
      <c r="AW2688" s="253"/>
      <c r="AX2688" s="253"/>
      <c r="AY2688" s="253"/>
      <c r="AZ2688" s="253"/>
    </row>
    <row r="2689" spans="1:52" ht="15.5" customHeight="1">
      <c r="A2689" s="363"/>
      <c r="B2689" s="343"/>
      <c r="C2689" s="7"/>
      <c r="D2689" s="254"/>
      <c r="E2689" s="254"/>
      <c r="F2689" s="254"/>
      <c r="G2689" s="253"/>
      <c r="H2689" s="253"/>
      <c r="I2689" s="253"/>
      <c r="J2689" s="253"/>
      <c r="K2689" s="253"/>
      <c r="L2689" s="7"/>
      <c r="M2689" s="7"/>
      <c r="N2689" s="253"/>
      <c r="O2689" s="255"/>
      <c r="P2689" s="253"/>
      <c r="Q2689" s="7"/>
      <c r="R2689" s="7"/>
      <c r="S2689" s="7"/>
      <c r="T2689" s="7"/>
      <c r="U2689" s="7"/>
      <c r="V2689" s="253"/>
      <c r="W2689" s="7"/>
      <c r="X2689" s="256"/>
      <c r="Y2689" s="256"/>
      <c r="Z2689" s="256"/>
      <c r="AA2689" s="256"/>
      <c r="AB2689" s="257"/>
      <c r="AC2689" s="258"/>
      <c r="AD2689" s="7"/>
      <c r="AE2689" s="253"/>
      <c r="AF2689" s="253"/>
      <c r="AG2689" s="259"/>
      <c r="AH2689" s="253"/>
      <c r="AI2689" s="253"/>
      <c r="AJ2689" s="7"/>
      <c r="AK2689" s="253"/>
      <c r="AL2689" s="253"/>
      <c r="AM2689" s="7"/>
      <c r="AN2689" s="253"/>
      <c r="AO2689" s="253"/>
      <c r="AP2689" s="253"/>
      <c r="AQ2689" s="253"/>
      <c r="AR2689" s="253"/>
      <c r="AS2689" s="253"/>
      <c r="AT2689" s="253"/>
      <c r="AU2689" s="253"/>
      <c r="AV2689" s="253"/>
      <c r="AW2689" s="253"/>
      <c r="AX2689" s="253"/>
      <c r="AY2689" s="253"/>
      <c r="AZ2689" s="253"/>
    </row>
    <row r="2690" spans="1:52" ht="15.5" customHeight="1">
      <c r="A2690" s="363"/>
      <c r="B2690" s="343"/>
      <c r="C2690" s="7"/>
      <c r="D2690" s="254"/>
      <c r="E2690" s="254"/>
      <c r="F2690" s="254"/>
      <c r="G2690" s="253"/>
      <c r="H2690" s="253"/>
      <c r="I2690" s="253"/>
      <c r="J2690" s="253"/>
      <c r="K2690" s="253"/>
      <c r="L2690" s="7"/>
      <c r="M2690" s="7"/>
      <c r="N2690" s="253"/>
      <c r="O2690" s="255"/>
      <c r="P2690" s="253"/>
      <c r="Q2690" s="7"/>
      <c r="R2690" s="7"/>
      <c r="S2690" s="7"/>
      <c r="T2690" s="7"/>
      <c r="U2690" s="7"/>
      <c r="V2690" s="253"/>
      <c r="W2690" s="7"/>
      <c r="X2690" s="256"/>
      <c r="Y2690" s="256"/>
      <c r="Z2690" s="256"/>
      <c r="AA2690" s="256"/>
      <c r="AB2690" s="257"/>
      <c r="AC2690" s="258"/>
      <c r="AD2690" s="7"/>
      <c r="AE2690" s="253"/>
      <c r="AF2690" s="253"/>
      <c r="AG2690" s="259"/>
      <c r="AH2690" s="253"/>
      <c r="AI2690" s="253"/>
      <c r="AJ2690" s="7"/>
      <c r="AK2690" s="253"/>
      <c r="AL2690" s="253"/>
      <c r="AM2690" s="7"/>
      <c r="AN2690" s="253"/>
      <c r="AO2690" s="253"/>
      <c r="AP2690" s="253"/>
      <c r="AQ2690" s="253"/>
      <c r="AR2690" s="253"/>
      <c r="AS2690" s="253"/>
      <c r="AT2690" s="253"/>
      <c r="AU2690" s="253"/>
      <c r="AV2690" s="253"/>
      <c r="AW2690" s="253"/>
      <c r="AX2690" s="253"/>
      <c r="AY2690" s="253"/>
      <c r="AZ2690" s="253"/>
    </row>
    <row r="2691" spans="1:52" ht="15.5" customHeight="1">
      <c r="A2691" s="363"/>
      <c r="B2691" s="343"/>
      <c r="C2691" s="7"/>
      <c r="D2691" s="254"/>
      <c r="E2691" s="254"/>
      <c r="F2691" s="254"/>
      <c r="G2691" s="253"/>
      <c r="H2691" s="253"/>
      <c r="I2691" s="253"/>
      <c r="J2691" s="253"/>
      <c r="K2691" s="253"/>
      <c r="L2691" s="7"/>
      <c r="M2691" s="7"/>
      <c r="N2691" s="253"/>
      <c r="O2691" s="255"/>
      <c r="P2691" s="253"/>
      <c r="Q2691" s="7"/>
      <c r="R2691" s="7"/>
      <c r="S2691" s="7"/>
      <c r="T2691" s="7"/>
      <c r="U2691" s="7"/>
      <c r="V2691" s="253"/>
      <c r="W2691" s="7"/>
      <c r="X2691" s="256"/>
      <c r="Y2691" s="256"/>
      <c r="Z2691" s="256"/>
      <c r="AA2691" s="256"/>
      <c r="AB2691" s="257"/>
      <c r="AC2691" s="258"/>
      <c r="AD2691" s="7"/>
      <c r="AE2691" s="253"/>
      <c r="AF2691" s="253"/>
      <c r="AG2691" s="259"/>
      <c r="AH2691" s="253"/>
      <c r="AI2691" s="253"/>
      <c r="AJ2691" s="7"/>
      <c r="AK2691" s="253"/>
      <c r="AL2691" s="253"/>
      <c r="AM2691" s="7"/>
      <c r="AN2691" s="253"/>
      <c r="AO2691" s="253"/>
      <c r="AP2691" s="253"/>
      <c r="AQ2691" s="253"/>
      <c r="AR2691" s="253"/>
      <c r="AS2691" s="253"/>
      <c r="AT2691" s="253"/>
      <c r="AU2691" s="253"/>
      <c r="AV2691" s="253"/>
      <c r="AW2691" s="253"/>
      <c r="AX2691" s="253"/>
      <c r="AY2691" s="253"/>
      <c r="AZ2691" s="253"/>
    </row>
    <row r="2692" spans="1:52" ht="15.5" customHeight="1">
      <c r="A2692" s="363"/>
      <c r="B2692" s="343"/>
      <c r="C2692" s="7"/>
      <c r="D2692" s="254"/>
      <c r="E2692" s="254"/>
      <c r="F2692" s="254"/>
      <c r="G2692" s="253"/>
      <c r="H2692" s="253"/>
      <c r="I2692" s="253"/>
      <c r="J2692" s="253"/>
      <c r="K2692" s="253"/>
      <c r="L2692" s="7"/>
      <c r="M2692" s="7"/>
      <c r="N2692" s="253"/>
      <c r="O2692" s="255"/>
      <c r="P2692" s="253"/>
      <c r="Q2692" s="7"/>
      <c r="R2692" s="7"/>
      <c r="S2692" s="7"/>
      <c r="T2692" s="7"/>
      <c r="U2692" s="7"/>
      <c r="V2692" s="253"/>
      <c r="W2692" s="7"/>
      <c r="X2692" s="256"/>
      <c r="Y2692" s="256"/>
      <c r="Z2692" s="256"/>
      <c r="AA2692" s="256"/>
      <c r="AB2692" s="257"/>
      <c r="AC2692" s="258"/>
      <c r="AD2692" s="7"/>
      <c r="AE2692" s="253"/>
      <c r="AF2692" s="253"/>
      <c r="AG2692" s="259"/>
      <c r="AH2692" s="253"/>
      <c r="AI2692" s="253"/>
      <c r="AJ2692" s="7"/>
      <c r="AK2692" s="253"/>
      <c r="AL2692" s="253"/>
      <c r="AM2692" s="7"/>
      <c r="AN2692" s="253"/>
      <c r="AO2692" s="253"/>
      <c r="AP2692" s="253"/>
      <c r="AQ2692" s="253"/>
      <c r="AR2692" s="253"/>
      <c r="AS2692" s="253"/>
      <c r="AT2692" s="253"/>
      <c r="AU2692" s="253"/>
      <c r="AV2692" s="253"/>
      <c r="AW2692" s="253"/>
      <c r="AX2692" s="253"/>
      <c r="AY2692" s="253"/>
      <c r="AZ2692" s="253"/>
    </row>
    <row r="2693" spans="1:52" ht="15.5" customHeight="1">
      <c r="A2693" s="363"/>
      <c r="B2693" s="343"/>
      <c r="C2693" s="7"/>
      <c r="D2693" s="254"/>
      <c r="E2693" s="254"/>
      <c r="F2693" s="254"/>
      <c r="G2693" s="253"/>
      <c r="H2693" s="253"/>
      <c r="I2693" s="253"/>
      <c r="J2693" s="253"/>
      <c r="K2693" s="253"/>
      <c r="L2693" s="7"/>
      <c r="M2693" s="7"/>
      <c r="N2693" s="253"/>
      <c r="O2693" s="255"/>
      <c r="P2693" s="253"/>
      <c r="Q2693" s="7"/>
      <c r="R2693" s="7"/>
      <c r="S2693" s="7"/>
      <c r="T2693" s="7"/>
      <c r="U2693" s="7"/>
      <c r="V2693" s="253"/>
      <c r="W2693" s="7"/>
      <c r="X2693" s="256"/>
      <c r="Y2693" s="256"/>
      <c r="Z2693" s="256"/>
      <c r="AA2693" s="256"/>
      <c r="AB2693" s="257"/>
      <c r="AC2693" s="258"/>
      <c r="AD2693" s="7"/>
      <c r="AE2693" s="253"/>
      <c r="AF2693" s="253"/>
      <c r="AG2693" s="259"/>
      <c r="AH2693" s="253"/>
      <c r="AI2693" s="253"/>
      <c r="AJ2693" s="7"/>
      <c r="AK2693" s="253"/>
      <c r="AL2693" s="253"/>
      <c r="AM2693" s="7"/>
      <c r="AN2693" s="253"/>
      <c r="AO2693" s="253"/>
      <c r="AP2693" s="253"/>
      <c r="AQ2693" s="253"/>
      <c r="AR2693" s="253"/>
      <c r="AS2693" s="253"/>
      <c r="AT2693" s="253"/>
      <c r="AU2693" s="253"/>
      <c r="AV2693" s="253"/>
      <c r="AW2693" s="253"/>
      <c r="AX2693" s="253"/>
      <c r="AY2693" s="253"/>
      <c r="AZ2693" s="253"/>
    </row>
    <row r="2694" spans="1:52" ht="15.5" customHeight="1">
      <c r="A2694" s="363"/>
      <c r="B2694" s="343"/>
      <c r="C2694" s="7"/>
      <c r="D2694" s="254"/>
      <c r="E2694" s="254"/>
      <c r="F2694" s="254"/>
      <c r="G2694" s="253"/>
      <c r="H2694" s="253"/>
      <c r="I2694" s="253"/>
      <c r="J2694" s="253"/>
      <c r="K2694" s="253"/>
      <c r="L2694" s="7"/>
      <c r="M2694" s="7"/>
      <c r="N2694" s="253"/>
      <c r="O2694" s="255"/>
      <c r="P2694" s="253"/>
      <c r="Q2694" s="7"/>
      <c r="R2694" s="7"/>
      <c r="S2694" s="7"/>
      <c r="T2694" s="7"/>
      <c r="U2694" s="7"/>
      <c r="V2694" s="253"/>
      <c r="W2694" s="7"/>
      <c r="X2694" s="256"/>
      <c r="Y2694" s="256"/>
      <c r="Z2694" s="256"/>
      <c r="AA2694" s="256"/>
      <c r="AB2694" s="257"/>
      <c r="AC2694" s="258"/>
      <c r="AD2694" s="7"/>
      <c r="AE2694" s="253"/>
      <c r="AF2694" s="253"/>
      <c r="AG2694" s="259"/>
      <c r="AH2694" s="253"/>
      <c r="AI2694" s="253"/>
      <c r="AJ2694" s="7"/>
      <c r="AK2694" s="253"/>
      <c r="AL2694" s="253"/>
      <c r="AM2694" s="7"/>
      <c r="AN2694" s="253"/>
      <c r="AO2694" s="253"/>
      <c r="AP2694" s="253"/>
      <c r="AQ2694" s="253"/>
      <c r="AR2694" s="253"/>
      <c r="AS2694" s="253"/>
      <c r="AT2694" s="253"/>
      <c r="AU2694" s="253"/>
      <c r="AV2694" s="253"/>
      <c r="AW2694" s="253"/>
      <c r="AX2694" s="253"/>
      <c r="AY2694" s="253"/>
      <c r="AZ2694" s="253"/>
    </row>
    <row r="2695" spans="1:52" ht="15.5" customHeight="1">
      <c r="A2695" s="363"/>
      <c r="B2695" s="343"/>
      <c r="C2695" s="7"/>
      <c r="D2695" s="254"/>
      <c r="E2695" s="254"/>
      <c r="F2695" s="254"/>
      <c r="G2695" s="253"/>
      <c r="H2695" s="253"/>
      <c r="I2695" s="253"/>
      <c r="J2695" s="253"/>
      <c r="K2695" s="253"/>
      <c r="L2695" s="7"/>
      <c r="M2695" s="7"/>
      <c r="N2695" s="253"/>
      <c r="O2695" s="255"/>
      <c r="P2695" s="253"/>
      <c r="Q2695" s="7"/>
      <c r="R2695" s="7"/>
      <c r="S2695" s="7"/>
      <c r="T2695" s="7"/>
      <c r="U2695" s="7"/>
      <c r="V2695" s="253"/>
      <c r="W2695" s="7"/>
      <c r="X2695" s="256"/>
      <c r="Y2695" s="256"/>
      <c r="Z2695" s="256"/>
      <c r="AA2695" s="256"/>
      <c r="AB2695" s="257"/>
      <c r="AC2695" s="258"/>
      <c r="AD2695" s="7"/>
      <c r="AE2695" s="253"/>
      <c r="AF2695" s="253"/>
      <c r="AG2695" s="259"/>
      <c r="AH2695" s="253"/>
      <c r="AI2695" s="253"/>
      <c r="AJ2695" s="7"/>
      <c r="AK2695" s="253"/>
      <c r="AL2695" s="253"/>
      <c r="AM2695" s="7"/>
      <c r="AN2695" s="253"/>
      <c r="AO2695" s="253"/>
      <c r="AP2695" s="253"/>
      <c r="AQ2695" s="253"/>
      <c r="AR2695" s="253"/>
      <c r="AS2695" s="253"/>
      <c r="AT2695" s="253"/>
      <c r="AU2695" s="253"/>
      <c r="AV2695" s="253"/>
      <c r="AW2695" s="253"/>
      <c r="AX2695" s="253"/>
      <c r="AY2695" s="253"/>
      <c r="AZ2695" s="253"/>
    </row>
    <row r="2696" spans="1:52" ht="15.5" customHeight="1">
      <c r="A2696" s="363"/>
      <c r="B2696" s="343"/>
      <c r="C2696" s="7"/>
      <c r="D2696" s="254"/>
      <c r="E2696" s="254"/>
      <c r="F2696" s="254"/>
      <c r="G2696" s="253"/>
      <c r="H2696" s="253"/>
      <c r="I2696" s="253"/>
      <c r="J2696" s="253"/>
      <c r="K2696" s="253"/>
      <c r="L2696" s="7"/>
      <c r="M2696" s="7"/>
      <c r="N2696" s="253"/>
      <c r="O2696" s="255"/>
      <c r="P2696" s="253"/>
      <c r="Q2696" s="7"/>
      <c r="R2696" s="7"/>
      <c r="S2696" s="7"/>
      <c r="T2696" s="7"/>
      <c r="U2696" s="7"/>
      <c r="V2696" s="253"/>
      <c r="W2696" s="7"/>
      <c r="X2696" s="256"/>
      <c r="Y2696" s="256"/>
      <c r="Z2696" s="256"/>
      <c r="AA2696" s="256"/>
      <c r="AB2696" s="257"/>
      <c r="AC2696" s="258"/>
      <c r="AD2696" s="7"/>
      <c r="AE2696" s="253"/>
      <c r="AF2696" s="253"/>
      <c r="AG2696" s="259"/>
      <c r="AH2696" s="253"/>
      <c r="AI2696" s="253"/>
      <c r="AJ2696" s="7"/>
      <c r="AK2696" s="253"/>
      <c r="AL2696" s="253"/>
      <c r="AM2696" s="7"/>
      <c r="AN2696" s="253"/>
      <c r="AO2696" s="253"/>
      <c r="AP2696" s="253"/>
      <c r="AQ2696" s="253"/>
      <c r="AR2696" s="253"/>
      <c r="AS2696" s="253"/>
      <c r="AT2696" s="253"/>
      <c r="AU2696" s="253"/>
      <c r="AV2696" s="253"/>
      <c r="AW2696" s="253"/>
      <c r="AX2696" s="253"/>
      <c r="AY2696" s="253"/>
      <c r="AZ2696" s="253"/>
    </row>
    <row r="2697" spans="1:52" ht="15.5" customHeight="1">
      <c r="A2697" s="363"/>
      <c r="B2697" s="343"/>
      <c r="C2697" s="7"/>
      <c r="D2697" s="254"/>
      <c r="E2697" s="254"/>
      <c r="F2697" s="254"/>
      <c r="G2697" s="253"/>
      <c r="H2697" s="253"/>
      <c r="I2697" s="253"/>
      <c r="J2697" s="253"/>
      <c r="K2697" s="253"/>
      <c r="L2697" s="7"/>
      <c r="M2697" s="7"/>
      <c r="N2697" s="253"/>
      <c r="O2697" s="255"/>
      <c r="P2697" s="253"/>
      <c r="Q2697" s="7"/>
      <c r="R2697" s="7"/>
      <c r="S2697" s="7"/>
      <c r="T2697" s="7"/>
      <c r="U2697" s="7"/>
      <c r="V2697" s="253"/>
      <c r="W2697" s="7"/>
      <c r="X2697" s="256"/>
      <c r="Y2697" s="256"/>
      <c r="Z2697" s="256"/>
      <c r="AA2697" s="256"/>
      <c r="AB2697" s="257"/>
      <c r="AC2697" s="258"/>
      <c r="AD2697" s="7"/>
      <c r="AE2697" s="253"/>
      <c r="AF2697" s="253"/>
      <c r="AG2697" s="259"/>
      <c r="AH2697" s="253"/>
      <c r="AI2697" s="253"/>
      <c r="AJ2697" s="7"/>
      <c r="AK2697" s="253"/>
      <c r="AL2697" s="253"/>
      <c r="AM2697" s="7"/>
      <c r="AN2697" s="253"/>
      <c r="AO2697" s="253"/>
      <c r="AP2697" s="253"/>
      <c r="AQ2697" s="253"/>
      <c r="AR2697" s="253"/>
      <c r="AS2697" s="253"/>
      <c r="AT2697" s="253"/>
      <c r="AU2697" s="253"/>
      <c r="AV2697" s="253"/>
      <c r="AW2697" s="253"/>
      <c r="AX2697" s="253"/>
      <c r="AY2697" s="253"/>
      <c r="AZ2697" s="253"/>
    </row>
    <row r="2698" spans="1:52" ht="15.5" customHeight="1">
      <c r="A2698" s="363"/>
      <c r="B2698" s="343"/>
      <c r="C2698" s="7"/>
      <c r="D2698" s="254"/>
      <c r="E2698" s="254"/>
      <c r="F2698" s="254"/>
      <c r="G2698" s="253"/>
      <c r="H2698" s="253"/>
      <c r="I2698" s="253"/>
      <c r="J2698" s="253"/>
      <c r="K2698" s="253"/>
      <c r="L2698" s="7"/>
      <c r="M2698" s="7"/>
      <c r="N2698" s="253"/>
      <c r="O2698" s="255"/>
      <c r="P2698" s="253"/>
      <c r="Q2698" s="7"/>
      <c r="R2698" s="7"/>
      <c r="S2698" s="7"/>
      <c r="T2698" s="7"/>
      <c r="U2698" s="7"/>
      <c r="V2698" s="253"/>
      <c r="W2698" s="7"/>
      <c r="X2698" s="256"/>
      <c r="Y2698" s="256"/>
      <c r="Z2698" s="256"/>
      <c r="AA2698" s="256"/>
      <c r="AB2698" s="257"/>
      <c r="AC2698" s="258"/>
      <c r="AD2698" s="7"/>
      <c r="AE2698" s="253"/>
      <c r="AF2698" s="253"/>
      <c r="AG2698" s="259"/>
      <c r="AH2698" s="253"/>
      <c r="AI2698" s="253"/>
      <c r="AJ2698" s="7"/>
      <c r="AK2698" s="253"/>
      <c r="AL2698" s="253"/>
      <c r="AM2698" s="7"/>
      <c r="AN2698" s="253"/>
      <c r="AO2698" s="253"/>
      <c r="AP2698" s="253"/>
      <c r="AQ2698" s="253"/>
      <c r="AR2698" s="253"/>
      <c r="AS2698" s="253"/>
      <c r="AT2698" s="253"/>
      <c r="AU2698" s="253"/>
      <c r="AV2698" s="253"/>
      <c r="AW2698" s="253"/>
      <c r="AX2698" s="253"/>
      <c r="AY2698" s="253"/>
      <c r="AZ2698" s="253"/>
    </row>
    <row r="2699" spans="1:52" ht="15.5" customHeight="1">
      <c r="A2699" s="363"/>
      <c r="B2699" s="343"/>
      <c r="C2699" s="7"/>
      <c r="D2699" s="254"/>
      <c r="E2699" s="254"/>
      <c r="F2699" s="254"/>
      <c r="G2699" s="253"/>
      <c r="H2699" s="253"/>
      <c r="I2699" s="253"/>
      <c r="J2699" s="253"/>
      <c r="K2699" s="253"/>
      <c r="L2699" s="7"/>
      <c r="M2699" s="7"/>
      <c r="N2699" s="253"/>
      <c r="O2699" s="255"/>
      <c r="P2699" s="253"/>
      <c r="Q2699" s="7"/>
      <c r="R2699" s="7"/>
      <c r="S2699" s="7"/>
      <c r="T2699" s="7"/>
      <c r="U2699" s="7"/>
      <c r="V2699" s="253"/>
      <c r="W2699" s="7"/>
      <c r="X2699" s="256"/>
      <c r="Y2699" s="256"/>
      <c r="Z2699" s="256"/>
      <c r="AA2699" s="256"/>
      <c r="AB2699" s="257"/>
      <c r="AC2699" s="258"/>
      <c r="AD2699" s="7"/>
      <c r="AE2699" s="253"/>
      <c r="AF2699" s="253"/>
      <c r="AG2699" s="259"/>
      <c r="AH2699" s="253"/>
      <c r="AI2699" s="253"/>
      <c r="AJ2699" s="7"/>
      <c r="AK2699" s="253"/>
      <c r="AL2699" s="253"/>
      <c r="AM2699" s="7"/>
      <c r="AN2699" s="253"/>
      <c r="AO2699" s="253"/>
      <c r="AP2699" s="253"/>
      <c r="AQ2699" s="253"/>
      <c r="AR2699" s="253"/>
      <c r="AS2699" s="253"/>
      <c r="AT2699" s="253"/>
      <c r="AU2699" s="253"/>
      <c r="AV2699" s="253"/>
      <c r="AW2699" s="253"/>
      <c r="AX2699" s="253"/>
      <c r="AY2699" s="253"/>
      <c r="AZ2699" s="253"/>
    </row>
    <row r="2700" spans="1:52" ht="15.5" customHeight="1">
      <c r="A2700" s="363"/>
      <c r="B2700" s="343"/>
      <c r="C2700" s="7"/>
      <c r="D2700" s="254"/>
      <c r="E2700" s="254"/>
      <c r="F2700" s="254"/>
      <c r="G2700" s="253"/>
      <c r="H2700" s="253"/>
      <c r="I2700" s="253"/>
      <c r="J2700" s="253"/>
      <c r="K2700" s="253"/>
      <c r="L2700" s="7"/>
      <c r="M2700" s="7"/>
      <c r="N2700" s="253"/>
      <c r="O2700" s="255"/>
      <c r="P2700" s="253"/>
      <c r="Q2700" s="7"/>
      <c r="R2700" s="7"/>
      <c r="S2700" s="7"/>
      <c r="T2700" s="7"/>
      <c r="U2700" s="7"/>
      <c r="V2700" s="253"/>
      <c r="W2700" s="7"/>
      <c r="X2700" s="256"/>
      <c r="Y2700" s="256"/>
      <c r="Z2700" s="256"/>
      <c r="AA2700" s="256"/>
      <c r="AB2700" s="257"/>
      <c r="AC2700" s="258"/>
      <c r="AD2700" s="7"/>
      <c r="AE2700" s="253"/>
      <c r="AF2700" s="253"/>
      <c r="AG2700" s="259"/>
      <c r="AH2700" s="253"/>
      <c r="AI2700" s="253"/>
      <c r="AJ2700" s="7"/>
      <c r="AK2700" s="253"/>
      <c r="AL2700" s="253"/>
      <c r="AM2700" s="7"/>
      <c r="AN2700" s="253"/>
      <c r="AO2700" s="253"/>
      <c r="AP2700" s="253"/>
      <c r="AQ2700" s="253"/>
      <c r="AR2700" s="253"/>
      <c r="AS2700" s="253"/>
      <c r="AT2700" s="253"/>
      <c r="AU2700" s="253"/>
      <c r="AV2700" s="253"/>
      <c r="AW2700" s="253"/>
      <c r="AX2700" s="253"/>
      <c r="AY2700" s="253"/>
      <c r="AZ2700" s="253"/>
    </row>
    <row r="2701" spans="1:52" ht="15.5" customHeight="1">
      <c r="A2701" s="363"/>
      <c r="B2701" s="343"/>
      <c r="C2701" s="7"/>
      <c r="D2701" s="254"/>
      <c r="E2701" s="254"/>
      <c r="F2701" s="254"/>
      <c r="G2701" s="253"/>
      <c r="H2701" s="253"/>
      <c r="I2701" s="253"/>
      <c r="J2701" s="253"/>
      <c r="K2701" s="253"/>
      <c r="L2701" s="7"/>
      <c r="M2701" s="7"/>
      <c r="N2701" s="253"/>
      <c r="O2701" s="255"/>
      <c r="P2701" s="253"/>
      <c r="Q2701" s="7"/>
      <c r="R2701" s="7"/>
      <c r="S2701" s="7"/>
      <c r="T2701" s="7"/>
      <c r="U2701" s="7"/>
      <c r="V2701" s="253"/>
      <c r="W2701" s="7"/>
      <c r="X2701" s="256"/>
      <c r="Y2701" s="256"/>
      <c r="Z2701" s="256"/>
      <c r="AA2701" s="256"/>
      <c r="AB2701" s="257"/>
      <c r="AC2701" s="258"/>
      <c r="AD2701" s="7"/>
      <c r="AE2701" s="253"/>
      <c r="AF2701" s="253"/>
      <c r="AG2701" s="259"/>
      <c r="AH2701" s="253"/>
      <c r="AI2701" s="253"/>
      <c r="AJ2701" s="7"/>
      <c r="AK2701" s="253"/>
      <c r="AL2701" s="253"/>
      <c r="AM2701" s="7"/>
      <c r="AN2701" s="253"/>
      <c r="AO2701" s="253"/>
      <c r="AP2701" s="253"/>
      <c r="AQ2701" s="253"/>
      <c r="AR2701" s="253"/>
      <c r="AS2701" s="253"/>
      <c r="AT2701" s="253"/>
      <c r="AU2701" s="253"/>
      <c r="AV2701" s="253"/>
      <c r="AW2701" s="253"/>
      <c r="AX2701" s="253"/>
      <c r="AY2701" s="253"/>
      <c r="AZ2701" s="253"/>
    </row>
    <row r="2702" spans="1:52" ht="15.5" customHeight="1">
      <c r="A2702" s="363"/>
      <c r="B2702" s="343"/>
      <c r="C2702" s="7"/>
      <c r="D2702" s="254"/>
      <c r="E2702" s="254"/>
      <c r="F2702" s="254"/>
      <c r="G2702" s="253"/>
      <c r="H2702" s="253"/>
      <c r="I2702" s="253"/>
      <c r="J2702" s="253"/>
      <c r="K2702" s="253"/>
      <c r="L2702" s="7"/>
      <c r="M2702" s="7"/>
      <c r="N2702" s="253"/>
      <c r="O2702" s="255"/>
      <c r="P2702" s="253"/>
      <c r="Q2702" s="7"/>
      <c r="R2702" s="7"/>
      <c r="S2702" s="7"/>
      <c r="T2702" s="7"/>
      <c r="U2702" s="7"/>
      <c r="V2702" s="253"/>
      <c r="W2702" s="7"/>
      <c r="X2702" s="256"/>
      <c r="Y2702" s="256"/>
      <c r="Z2702" s="256"/>
      <c r="AA2702" s="256"/>
      <c r="AB2702" s="257"/>
      <c r="AC2702" s="258"/>
      <c r="AD2702" s="7"/>
      <c r="AE2702" s="253"/>
      <c r="AF2702" s="253"/>
      <c r="AG2702" s="259"/>
      <c r="AH2702" s="253"/>
      <c r="AI2702" s="253"/>
      <c r="AJ2702" s="7"/>
      <c r="AK2702" s="253"/>
      <c r="AL2702" s="253"/>
      <c r="AM2702" s="7"/>
      <c r="AN2702" s="253"/>
      <c r="AO2702" s="253"/>
      <c r="AP2702" s="253"/>
      <c r="AQ2702" s="253"/>
      <c r="AR2702" s="253"/>
      <c r="AS2702" s="253"/>
      <c r="AT2702" s="253"/>
      <c r="AU2702" s="253"/>
      <c r="AV2702" s="253"/>
      <c r="AW2702" s="253"/>
      <c r="AX2702" s="253"/>
      <c r="AY2702" s="253"/>
      <c r="AZ2702" s="253"/>
    </row>
    <row r="2703" spans="1:52" ht="15.5" customHeight="1">
      <c r="A2703" s="363"/>
      <c r="B2703" s="343"/>
      <c r="C2703" s="7"/>
      <c r="D2703" s="254"/>
      <c r="E2703" s="254"/>
      <c r="F2703" s="254"/>
      <c r="G2703" s="253"/>
      <c r="H2703" s="253"/>
      <c r="I2703" s="253"/>
      <c r="J2703" s="253"/>
      <c r="K2703" s="253"/>
      <c r="L2703" s="7"/>
      <c r="M2703" s="7"/>
      <c r="N2703" s="253"/>
      <c r="O2703" s="255"/>
      <c r="P2703" s="253"/>
      <c r="Q2703" s="7"/>
      <c r="R2703" s="7"/>
      <c r="S2703" s="7"/>
      <c r="T2703" s="7"/>
      <c r="U2703" s="7"/>
      <c r="V2703" s="253"/>
      <c r="W2703" s="7"/>
      <c r="X2703" s="256"/>
      <c r="Y2703" s="256"/>
      <c r="Z2703" s="256"/>
      <c r="AA2703" s="256"/>
      <c r="AB2703" s="257"/>
      <c r="AC2703" s="258"/>
      <c r="AD2703" s="7"/>
      <c r="AE2703" s="253"/>
      <c r="AF2703" s="253"/>
      <c r="AG2703" s="259"/>
      <c r="AH2703" s="253"/>
      <c r="AI2703" s="253"/>
      <c r="AJ2703" s="7"/>
      <c r="AK2703" s="253"/>
      <c r="AL2703" s="253"/>
      <c r="AM2703" s="7"/>
      <c r="AN2703" s="253"/>
      <c r="AO2703" s="253"/>
      <c r="AP2703" s="253"/>
      <c r="AQ2703" s="253"/>
      <c r="AR2703" s="253"/>
      <c r="AS2703" s="253"/>
      <c r="AT2703" s="253"/>
      <c r="AU2703" s="253"/>
      <c r="AV2703" s="253"/>
      <c r="AW2703" s="253"/>
      <c r="AX2703" s="253"/>
      <c r="AY2703" s="253"/>
      <c r="AZ2703" s="253"/>
    </row>
    <row r="2704" spans="1:52" ht="15.5" customHeight="1">
      <c r="A2704" s="363"/>
      <c r="B2704" s="343"/>
      <c r="C2704" s="7"/>
      <c r="D2704" s="254"/>
      <c r="E2704" s="254"/>
      <c r="F2704" s="254"/>
      <c r="G2704" s="253"/>
      <c r="H2704" s="253"/>
      <c r="I2704" s="253"/>
      <c r="J2704" s="253"/>
      <c r="K2704" s="253"/>
      <c r="L2704" s="7"/>
      <c r="M2704" s="7"/>
      <c r="N2704" s="253"/>
      <c r="O2704" s="255"/>
      <c r="P2704" s="253"/>
      <c r="Q2704" s="7"/>
      <c r="R2704" s="7"/>
      <c r="S2704" s="7"/>
      <c r="T2704" s="7"/>
      <c r="U2704" s="7"/>
      <c r="V2704" s="253"/>
      <c r="W2704" s="7"/>
      <c r="X2704" s="256"/>
      <c r="Y2704" s="256"/>
      <c r="Z2704" s="256"/>
      <c r="AA2704" s="256"/>
      <c r="AB2704" s="257"/>
      <c r="AC2704" s="258"/>
      <c r="AD2704" s="7"/>
      <c r="AE2704" s="253"/>
      <c r="AF2704" s="253"/>
      <c r="AG2704" s="259"/>
      <c r="AH2704" s="253"/>
      <c r="AI2704" s="253"/>
      <c r="AJ2704" s="7"/>
      <c r="AK2704" s="253"/>
      <c r="AL2704" s="253"/>
      <c r="AM2704" s="7"/>
      <c r="AN2704" s="253"/>
      <c r="AO2704" s="253"/>
      <c r="AP2704" s="253"/>
      <c r="AQ2704" s="253"/>
      <c r="AR2704" s="253"/>
      <c r="AS2704" s="253"/>
      <c r="AT2704" s="253"/>
      <c r="AU2704" s="253"/>
      <c r="AV2704" s="253"/>
      <c r="AW2704" s="253"/>
      <c r="AX2704" s="253"/>
      <c r="AY2704" s="253"/>
      <c r="AZ2704" s="253"/>
    </row>
    <row r="2705" spans="1:52" ht="15.5" customHeight="1">
      <c r="A2705" s="363"/>
      <c r="B2705" s="343"/>
      <c r="C2705" s="7"/>
      <c r="D2705" s="254"/>
      <c r="E2705" s="254"/>
      <c r="F2705" s="254"/>
      <c r="G2705" s="253"/>
      <c r="H2705" s="253"/>
      <c r="I2705" s="253"/>
      <c r="J2705" s="253"/>
      <c r="K2705" s="253"/>
      <c r="L2705" s="7"/>
      <c r="M2705" s="7"/>
      <c r="N2705" s="253"/>
      <c r="O2705" s="255"/>
      <c r="P2705" s="253"/>
      <c r="Q2705" s="7"/>
      <c r="R2705" s="7"/>
      <c r="S2705" s="7"/>
      <c r="T2705" s="7"/>
      <c r="U2705" s="7"/>
      <c r="V2705" s="253"/>
      <c r="W2705" s="7"/>
      <c r="X2705" s="256"/>
      <c r="Y2705" s="256"/>
      <c r="Z2705" s="256"/>
      <c r="AA2705" s="256"/>
      <c r="AB2705" s="257"/>
      <c r="AC2705" s="258"/>
      <c r="AD2705" s="7"/>
      <c r="AE2705" s="253"/>
      <c r="AF2705" s="253"/>
      <c r="AG2705" s="259"/>
      <c r="AH2705" s="253"/>
      <c r="AI2705" s="253"/>
      <c r="AJ2705" s="7"/>
      <c r="AK2705" s="253"/>
      <c r="AL2705" s="253"/>
      <c r="AM2705" s="7"/>
      <c r="AN2705" s="253"/>
      <c r="AO2705" s="253"/>
      <c r="AP2705" s="253"/>
      <c r="AQ2705" s="253"/>
      <c r="AR2705" s="253"/>
      <c r="AS2705" s="253"/>
      <c r="AT2705" s="253"/>
      <c r="AU2705" s="253"/>
      <c r="AV2705" s="253"/>
      <c r="AW2705" s="253"/>
      <c r="AX2705" s="253"/>
      <c r="AY2705" s="253"/>
      <c r="AZ2705" s="253"/>
    </row>
    <row r="2706" spans="1:52" ht="15.5" customHeight="1">
      <c r="A2706" s="363"/>
      <c r="B2706" s="343"/>
      <c r="C2706" s="7"/>
      <c r="D2706" s="254"/>
      <c r="E2706" s="254"/>
      <c r="F2706" s="254"/>
      <c r="G2706" s="253"/>
      <c r="H2706" s="253"/>
      <c r="I2706" s="253"/>
      <c r="J2706" s="253"/>
      <c r="K2706" s="253"/>
      <c r="L2706" s="7"/>
      <c r="M2706" s="7"/>
      <c r="N2706" s="253"/>
      <c r="O2706" s="255"/>
      <c r="P2706" s="253"/>
      <c r="Q2706" s="7"/>
      <c r="R2706" s="7"/>
      <c r="S2706" s="7"/>
      <c r="T2706" s="7"/>
      <c r="U2706" s="7"/>
      <c r="V2706" s="253"/>
      <c r="W2706" s="7"/>
      <c r="X2706" s="256"/>
      <c r="Y2706" s="256"/>
      <c r="Z2706" s="256"/>
      <c r="AA2706" s="256"/>
      <c r="AB2706" s="257"/>
      <c r="AC2706" s="258"/>
      <c r="AD2706" s="7"/>
      <c r="AE2706" s="253"/>
      <c r="AF2706" s="253"/>
      <c r="AG2706" s="259"/>
      <c r="AH2706" s="253"/>
      <c r="AI2706" s="253"/>
      <c r="AJ2706" s="7"/>
      <c r="AK2706" s="253"/>
      <c r="AL2706" s="253"/>
      <c r="AM2706" s="7"/>
      <c r="AN2706" s="253"/>
      <c r="AO2706" s="253"/>
      <c r="AP2706" s="253"/>
      <c r="AQ2706" s="253"/>
      <c r="AR2706" s="253"/>
      <c r="AS2706" s="253"/>
      <c r="AT2706" s="253"/>
      <c r="AU2706" s="253"/>
      <c r="AV2706" s="253"/>
      <c r="AW2706" s="253"/>
      <c r="AX2706" s="253"/>
      <c r="AY2706" s="253"/>
      <c r="AZ2706" s="253"/>
    </row>
    <row r="2707" spans="1:52" ht="15.5" customHeight="1">
      <c r="A2707" s="363"/>
      <c r="B2707" s="343"/>
      <c r="C2707" s="7"/>
      <c r="D2707" s="254"/>
      <c r="E2707" s="254"/>
      <c r="F2707" s="254"/>
      <c r="G2707" s="253"/>
      <c r="H2707" s="253"/>
      <c r="I2707" s="253"/>
      <c r="J2707" s="253"/>
      <c r="K2707" s="253"/>
      <c r="L2707" s="7"/>
      <c r="M2707" s="7"/>
      <c r="N2707" s="253"/>
      <c r="O2707" s="255"/>
      <c r="P2707" s="253"/>
      <c r="Q2707" s="7"/>
      <c r="R2707" s="7"/>
      <c r="S2707" s="7"/>
      <c r="T2707" s="7"/>
      <c r="U2707" s="7"/>
      <c r="V2707" s="253"/>
      <c r="W2707" s="7"/>
      <c r="X2707" s="256"/>
      <c r="Y2707" s="256"/>
      <c r="Z2707" s="256"/>
      <c r="AA2707" s="256"/>
      <c r="AB2707" s="257"/>
      <c r="AC2707" s="258"/>
      <c r="AD2707" s="7"/>
      <c r="AE2707" s="253"/>
      <c r="AF2707" s="253"/>
      <c r="AG2707" s="259"/>
      <c r="AH2707" s="253"/>
      <c r="AI2707" s="253"/>
      <c r="AJ2707" s="7"/>
      <c r="AK2707" s="253"/>
      <c r="AL2707" s="253"/>
      <c r="AM2707" s="7"/>
      <c r="AN2707" s="253"/>
      <c r="AO2707" s="253"/>
      <c r="AP2707" s="253"/>
      <c r="AQ2707" s="253"/>
      <c r="AR2707" s="253"/>
      <c r="AS2707" s="253"/>
      <c r="AT2707" s="253"/>
      <c r="AU2707" s="253"/>
      <c r="AV2707" s="253"/>
      <c r="AW2707" s="253"/>
      <c r="AX2707" s="253"/>
      <c r="AY2707" s="253"/>
      <c r="AZ2707" s="253"/>
    </row>
    <row r="2708" spans="1:52" ht="15.5" customHeight="1">
      <c r="A2708" s="363"/>
      <c r="B2708" s="343"/>
      <c r="C2708" s="7"/>
      <c r="D2708" s="254"/>
      <c r="E2708" s="254"/>
      <c r="F2708" s="254"/>
      <c r="G2708" s="253"/>
      <c r="H2708" s="253"/>
      <c r="I2708" s="253"/>
      <c r="J2708" s="253"/>
      <c r="K2708" s="253"/>
      <c r="L2708" s="7"/>
      <c r="M2708" s="7"/>
      <c r="N2708" s="253"/>
      <c r="O2708" s="255"/>
      <c r="P2708" s="253"/>
      <c r="Q2708" s="7"/>
      <c r="R2708" s="7"/>
      <c r="S2708" s="7"/>
      <c r="T2708" s="7"/>
      <c r="U2708" s="7"/>
      <c r="V2708" s="253"/>
      <c r="W2708" s="7"/>
      <c r="X2708" s="256"/>
      <c r="Y2708" s="256"/>
      <c r="Z2708" s="256"/>
      <c r="AA2708" s="256"/>
      <c r="AB2708" s="257"/>
      <c r="AC2708" s="258"/>
      <c r="AD2708" s="7"/>
      <c r="AE2708" s="253"/>
      <c r="AF2708" s="253"/>
      <c r="AG2708" s="259"/>
      <c r="AH2708" s="253"/>
      <c r="AI2708" s="253"/>
      <c r="AJ2708" s="7"/>
      <c r="AK2708" s="253"/>
      <c r="AL2708" s="253"/>
      <c r="AM2708" s="7"/>
      <c r="AN2708" s="253"/>
      <c r="AO2708" s="253"/>
      <c r="AP2708" s="253"/>
      <c r="AQ2708" s="253"/>
      <c r="AR2708" s="253"/>
      <c r="AS2708" s="253"/>
      <c r="AT2708" s="253"/>
      <c r="AU2708" s="253"/>
      <c r="AV2708" s="253"/>
      <c r="AW2708" s="253"/>
      <c r="AX2708" s="253"/>
      <c r="AY2708" s="253"/>
      <c r="AZ2708" s="253"/>
    </row>
    <row r="2709" spans="1:52" ht="15.5" customHeight="1">
      <c r="A2709" s="363"/>
      <c r="B2709" s="343"/>
      <c r="C2709" s="7"/>
      <c r="D2709" s="254"/>
      <c r="E2709" s="254"/>
      <c r="F2709" s="254"/>
      <c r="G2709" s="253"/>
      <c r="H2709" s="253"/>
      <c r="I2709" s="253"/>
      <c r="J2709" s="253"/>
      <c r="K2709" s="253"/>
      <c r="L2709" s="7"/>
      <c r="M2709" s="7"/>
      <c r="N2709" s="253"/>
      <c r="O2709" s="255"/>
      <c r="P2709" s="253"/>
      <c r="Q2709" s="7"/>
      <c r="R2709" s="7"/>
      <c r="S2709" s="7"/>
      <c r="T2709" s="7"/>
      <c r="U2709" s="7"/>
      <c r="V2709" s="253"/>
      <c r="W2709" s="7"/>
      <c r="X2709" s="256"/>
      <c r="Y2709" s="256"/>
      <c r="Z2709" s="256"/>
      <c r="AA2709" s="256"/>
      <c r="AB2709" s="257"/>
      <c r="AC2709" s="258"/>
      <c r="AD2709" s="7"/>
      <c r="AE2709" s="253"/>
      <c r="AF2709" s="253"/>
      <c r="AG2709" s="259"/>
      <c r="AH2709" s="253"/>
      <c r="AI2709" s="253"/>
      <c r="AJ2709" s="7"/>
      <c r="AK2709" s="253"/>
      <c r="AL2709" s="253"/>
      <c r="AM2709" s="7"/>
      <c r="AN2709" s="253"/>
      <c r="AO2709" s="253"/>
      <c r="AP2709" s="253"/>
      <c r="AQ2709" s="253"/>
      <c r="AR2709" s="253"/>
      <c r="AS2709" s="253"/>
      <c r="AT2709" s="253"/>
      <c r="AU2709" s="253"/>
      <c r="AV2709" s="253"/>
      <c r="AW2709" s="253"/>
      <c r="AX2709" s="253"/>
      <c r="AY2709" s="253"/>
      <c r="AZ2709" s="253"/>
    </row>
    <row r="2710" spans="1:52" ht="15.5" customHeight="1">
      <c r="A2710" s="363"/>
      <c r="B2710" s="343"/>
      <c r="C2710" s="7"/>
      <c r="D2710" s="254"/>
      <c r="E2710" s="254"/>
      <c r="F2710" s="254"/>
      <c r="G2710" s="253"/>
      <c r="H2710" s="253"/>
      <c r="I2710" s="253"/>
      <c r="J2710" s="253"/>
      <c r="K2710" s="253"/>
      <c r="L2710" s="7"/>
      <c r="M2710" s="7"/>
      <c r="N2710" s="253"/>
      <c r="O2710" s="255"/>
      <c r="P2710" s="253"/>
      <c r="Q2710" s="7"/>
      <c r="R2710" s="7"/>
      <c r="S2710" s="7"/>
      <c r="T2710" s="7"/>
      <c r="U2710" s="7"/>
      <c r="V2710" s="253"/>
      <c r="W2710" s="7"/>
      <c r="X2710" s="256"/>
      <c r="Y2710" s="256"/>
      <c r="Z2710" s="256"/>
      <c r="AA2710" s="256"/>
      <c r="AB2710" s="257"/>
      <c r="AC2710" s="258"/>
      <c r="AD2710" s="7"/>
      <c r="AE2710" s="253"/>
      <c r="AF2710" s="253"/>
      <c r="AG2710" s="259"/>
      <c r="AH2710" s="253"/>
      <c r="AI2710" s="253"/>
      <c r="AJ2710" s="7"/>
      <c r="AK2710" s="253"/>
      <c r="AL2710" s="253"/>
      <c r="AM2710" s="7"/>
      <c r="AN2710" s="253"/>
      <c r="AO2710" s="253"/>
      <c r="AP2710" s="253"/>
      <c r="AQ2710" s="253"/>
      <c r="AR2710" s="253"/>
      <c r="AS2710" s="253"/>
      <c r="AT2710" s="253"/>
      <c r="AU2710" s="253"/>
      <c r="AV2710" s="253"/>
      <c r="AW2710" s="253"/>
      <c r="AX2710" s="253"/>
      <c r="AY2710" s="253"/>
      <c r="AZ2710" s="253"/>
    </row>
    <row r="2711" spans="1:52" ht="15.5" customHeight="1">
      <c r="A2711" s="363"/>
      <c r="B2711" s="343"/>
      <c r="C2711" s="7"/>
      <c r="D2711" s="254"/>
      <c r="E2711" s="254"/>
      <c r="F2711" s="254"/>
      <c r="G2711" s="253"/>
      <c r="H2711" s="253"/>
      <c r="I2711" s="253"/>
      <c r="J2711" s="253"/>
      <c r="K2711" s="253"/>
      <c r="L2711" s="7"/>
      <c r="M2711" s="7"/>
      <c r="N2711" s="253"/>
      <c r="O2711" s="255"/>
      <c r="P2711" s="253"/>
      <c r="Q2711" s="7"/>
      <c r="R2711" s="7"/>
      <c r="S2711" s="7"/>
      <c r="T2711" s="7"/>
      <c r="U2711" s="7"/>
      <c r="V2711" s="253"/>
      <c r="W2711" s="7"/>
      <c r="X2711" s="256"/>
      <c r="Y2711" s="256"/>
      <c r="Z2711" s="256"/>
      <c r="AA2711" s="256"/>
      <c r="AB2711" s="257"/>
      <c r="AC2711" s="258"/>
      <c r="AD2711" s="7"/>
      <c r="AE2711" s="253"/>
      <c r="AF2711" s="253"/>
      <c r="AG2711" s="259"/>
      <c r="AH2711" s="253"/>
      <c r="AI2711" s="253"/>
      <c r="AJ2711" s="7"/>
      <c r="AK2711" s="253"/>
      <c r="AL2711" s="253"/>
      <c r="AM2711" s="7"/>
      <c r="AN2711" s="253"/>
      <c r="AO2711" s="253"/>
      <c r="AP2711" s="253"/>
      <c r="AQ2711" s="253"/>
      <c r="AR2711" s="253"/>
      <c r="AS2711" s="253"/>
      <c r="AT2711" s="253"/>
      <c r="AU2711" s="253"/>
      <c r="AV2711" s="253"/>
      <c r="AW2711" s="253"/>
      <c r="AX2711" s="253"/>
      <c r="AY2711" s="253"/>
      <c r="AZ2711" s="253"/>
    </row>
    <row r="2712" spans="1:52" ht="15.5" customHeight="1">
      <c r="A2712" s="363"/>
      <c r="B2712" s="343"/>
      <c r="C2712" s="7"/>
      <c r="D2712" s="254"/>
      <c r="E2712" s="254"/>
      <c r="F2712" s="254"/>
      <c r="G2712" s="253"/>
      <c r="H2712" s="253"/>
      <c r="I2712" s="253"/>
      <c r="J2712" s="253"/>
      <c r="K2712" s="253"/>
      <c r="L2712" s="7"/>
      <c r="M2712" s="7"/>
      <c r="N2712" s="253"/>
      <c r="O2712" s="255"/>
      <c r="P2712" s="253"/>
      <c r="Q2712" s="7"/>
      <c r="R2712" s="7"/>
      <c r="S2712" s="7"/>
      <c r="T2712" s="7"/>
      <c r="U2712" s="7"/>
      <c r="V2712" s="253"/>
      <c r="W2712" s="7"/>
      <c r="X2712" s="256"/>
      <c r="Y2712" s="256"/>
      <c r="Z2712" s="256"/>
      <c r="AA2712" s="256"/>
      <c r="AB2712" s="257"/>
      <c r="AC2712" s="258"/>
      <c r="AD2712" s="7"/>
      <c r="AE2712" s="253"/>
      <c r="AF2712" s="253"/>
      <c r="AG2712" s="259"/>
      <c r="AH2712" s="253"/>
      <c r="AI2712" s="253"/>
      <c r="AJ2712" s="7"/>
      <c r="AK2712" s="253"/>
      <c r="AL2712" s="253"/>
      <c r="AM2712" s="7"/>
      <c r="AN2712" s="253"/>
      <c r="AO2712" s="253"/>
      <c r="AP2712" s="253"/>
      <c r="AQ2712" s="253"/>
      <c r="AR2712" s="253"/>
      <c r="AS2712" s="253"/>
      <c r="AT2712" s="253"/>
      <c r="AU2712" s="253"/>
      <c r="AV2712" s="253"/>
      <c r="AW2712" s="253"/>
      <c r="AX2712" s="253"/>
      <c r="AY2712" s="253"/>
      <c r="AZ2712" s="253"/>
    </row>
    <row r="2713" spans="1:52" ht="15.5" customHeight="1">
      <c r="A2713" s="363"/>
      <c r="B2713" s="343"/>
      <c r="C2713" s="7"/>
      <c r="D2713" s="254"/>
      <c r="E2713" s="254"/>
      <c r="F2713" s="254"/>
      <c r="G2713" s="253"/>
      <c r="H2713" s="253"/>
      <c r="I2713" s="253"/>
      <c r="J2713" s="253"/>
      <c r="K2713" s="253"/>
      <c r="L2713" s="7"/>
      <c r="M2713" s="7"/>
      <c r="N2713" s="253"/>
      <c r="O2713" s="255"/>
      <c r="P2713" s="253"/>
      <c r="Q2713" s="7"/>
      <c r="R2713" s="7"/>
      <c r="S2713" s="7"/>
      <c r="T2713" s="7"/>
      <c r="U2713" s="7"/>
      <c r="V2713" s="253"/>
      <c r="W2713" s="7"/>
      <c r="X2713" s="256"/>
      <c r="Y2713" s="256"/>
      <c r="Z2713" s="256"/>
      <c r="AA2713" s="256"/>
      <c r="AB2713" s="257"/>
      <c r="AC2713" s="258"/>
      <c r="AD2713" s="7"/>
      <c r="AE2713" s="253"/>
      <c r="AF2713" s="253"/>
      <c r="AG2713" s="259"/>
      <c r="AH2713" s="253"/>
      <c r="AI2713" s="253"/>
      <c r="AJ2713" s="7"/>
      <c r="AK2713" s="253"/>
      <c r="AL2713" s="253"/>
      <c r="AM2713" s="7"/>
      <c r="AN2713" s="253"/>
      <c r="AO2713" s="253"/>
      <c r="AP2713" s="253"/>
      <c r="AQ2713" s="253"/>
      <c r="AR2713" s="253"/>
      <c r="AS2713" s="253"/>
      <c r="AT2713" s="253"/>
      <c r="AU2713" s="253"/>
      <c r="AV2713" s="253"/>
      <c r="AW2713" s="253"/>
      <c r="AX2713" s="253"/>
      <c r="AY2713" s="253"/>
      <c r="AZ2713" s="253"/>
    </row>
    <row r="2714" spans="1:52" ht="15.5" customHeight="1">
      <c r="A2714" s="363"/>
      <c r="B2714" s="343"/>
      <c r="C2714" s="7"/>
      <c r="D2714" s="254"/>
      <c r="E2714" s="254"/>
      <c r="F2714" s="254"/>
      <c r="G2714" s="253"/>
      <c r="H2714" s="253"/>
      <c r="I2714" s="253"/>
      <c r="J2714" s="253"/>
      <c r="K2714" s="253"/>
      <c r="L2714" s="7"/>
      <c r="M2714" s="7"/>
      <c r="N2714" s="253"/>
      <c r="O2714" s="255"/>
      <c r="P2714" s="253"/>
      <c r="Q2714" s="7"/>
      <c r="R2714" s="7"/>
      <c r="S2714" s="7"/>
      <c r="T2714" s="7"/>
      <c r="U2714" s="7"/>
      <c r="V2714" s="253"/>
      <c r="W2714" s="7"/>
      <c r="X2714" s="256"/>
      <c r="Y2714" s="256"/>
      <c r="Z2714" s="256"/>
      <c r="AA2714" s="256"/>
      <c r="AB2714" s="257"/>
      <c r="AC2714" s="258"/>
      <c r="AD2714" s="7"/>
      <c r="AE2714" s="253"/>
      <c r="AF2714" s="253"/>
      <c r="AG2714" s="259"/>
      <c r="AH2714" s="253"/>
      <c r="AI2714" s="253"/>
      <c r="AJ2714" s="7"/>
      <c r="AK2714" s="253"/>
      <c r="AL2714" s="253"/>
      <c r="AM2714" s="7"/>
      <c r="AN2714" s="253"/>
      <c r="AO2714" s="253"/>
      <c r="AP2714" s="253"/>
      <c r="AQ2714" s="253"/>
      <c r="AR2714" s="253"/>
      <c r="AS2714" s="253"/>
      <c r="AT2714" s="253"/>
      <c r="AU2714" s="253"/>
      <c r="AV2714" s="253"/>
      <c r="AW2714" s="253"/>
      <c r="AX2714" s="253"/>
      <c r="AY2714" s="253"/>
      <c r="AZ2714" s="253"/>
    </row>
    <row r="2715" spans="1:52" ht="15.5" customHeight="1">
      <c r="A2715" s="363"/>
      <c r="B2715" s="343"/>
      <c r="C2715" s="7"/>
      <c r="D2715" s="254"/>
      <c r="E2715" s="254"/>
      <c r="F2715" s="254"/>
      <c r="G2715" s="253"/>
      <c r="H2715" s="253"/>
      <c r="I2715" s="253"/>
      <c r="J2715" s="253"/>
      <c r="K2715" s="253"/>
      <c r="L2715" s="7"/>
      <c r="M2715" s="7"/>
      <c r="N2715" s="253"/>
      <c r="O2715" s="255"/>
      <c r="P2715" s="253"/>
      <c r="Q2715" s="7"/>
      <c r="R2715" s="7"/>
      <c r="S2715" s="7"/>
      <c r="T2715" s="7"/>
      <c r="U2715" s="7"/>
      <c r="V2715" s="253"/>
      <c r="W2715" s="7"/>
      <c r="X2715" s="256"/>
      <c r="Y2715" s="256"/>
      <c r="Z2715" s="256"/>
      <c r="AA2715" s="256"/>
      <c r="AB2715" s="257"/>
      <c r="AC2715" s="258"/>
      <c r="AD2715" s="7"/>
      <c r="AE2715" s="253"/>
      <c r="AF2715" s="253"/>
      <c r="AG2715" s="259"/>
      <c r="AH2715" s="253"/>
      <c r="AI2715" s="253"/>
      <c r="AJ2715" s="7"/>
      <c r="AK2715" s="253"/>
      <c r="AL2715" s="253"/>
      <c r="AM2715" s="7"/>
      <c r="AN2715" s="253"/>
      <c r="AO2715" s="253"/>
      <c r="AP2715" s="253"/>
      <c r="AQ2715" s="253"/>
      <c r="AR2715" s="253"/>
      <c r="AS2715" s="253"/>
      <c r="AT2715" s="253"/>
      <c r="AU2715" s="253"/>
      <c r="AV2715" s="253"/>
      <c r="AW2715" s="253"/>
      <c r="AX2715" s="253"/>
      <c r="AY2715" s="253"/>
      <c r="AZ2715" s="253"/>
    </row>
    <row r="2716" spans="1:52" ht="15.5" customHeight="1">
      <c r="A2716" s="363"/>
      <c r="B2716" s="343"/>
      <c r="C2716" s="7"/>
      <c r="D2716" s="254"/>
      <c r="E2716" s="254"/>
      <c r="F2716" s="254"/>
      <c r="G2716" s="253"/>
      <c r="H2716" s="253"/>
      <c r="I2716" s="253"/>
      <c r="J2716" s="253"/>
      <c r="K2716" s="253"/>
      <c r="L2716" s="7"/>
      <c r="M2716" s="7"/>
      <c r="N2716" s="253"/>
      <c r="O2716" s="255"/>
      <c r="P2716" s="253"/>
      <c r="Q2716" s="7"/>
      <c r="R2716" s="7"/>
      <c r="S2716" s="7"/>
      <c r="T2716" s="7"/>
      <c r="U2716" s="7"/>
      <c r="V2716" s="253"/>
      <c r="W2716" s="7"/>
      <c r="X2716" s="256"/>
      <c r="Y2716" s="256"/>
      <c r="Z2716" s="256"/>
      <c r="AA2716" s="256"/>
      <c r="AB2716" s="257"/>
      <c r="AC2716" s="258"/>
      <c r="AD2716" s="7"/>
      <c r="AE2716" s="253"/>
      <c r="AF2716" s="253"/>
      <c r="AG2716" s="259"/>
      <c r="AH2716" s="253"/>
      <c r="AI2716" s="253"/>
      <c r="AJ2716" s="7"/>
      <c r="AK2716" s="253"/>
      <c r="AL2716" s="253"/>
      <c r="AM2716" s="7"/>
      <c r="AN2716" s="253"/>
      <c r="AO2716" s="253"/>
      <c r="AP2716" s="253"/>
      <c r="AQ2716" s="253"/>
      <c r="AR2716" s="253"/>
      <c r="AS2716" s="253"/>
      <c r="AT2716" s="253"/>
      <c r="AU2716" s="253"/>
      <c r="AV2716" s="253"/>
      <c r="AW2716" s="253"/>
      <c r="AX2716" s="253"/>
      <c r="AY2716" s="253"/>
      <c r="AZ2716" s="253"/>
    </row>
    <row r="2717" spans="1:52" ht="15.5" customHeight="1">
      <c r="A2717" s="363"/>
      <c r="B2717" s="343"/>
      <c r="C2717" s="7"/>
      <c r="D2717" s="254"/>
      <c r="E2717" s="254"/>
      <c r="F2717" s="254"/>
      <c r="G2717" s="253"/>
      <c r="H2717" s="253"/>
      <c r="I2717" s="253"/>
      <c r="J2717" s="253"/>
      <c r="K2717" s="253"/>
      <c r="L2717" s="7"/>
      <c r="M2717" s="7"/>
      <c r="N2717" s="253"/>
      <c r="O2717" s="255"/>
      <c r="P2717" s="253"/>
      <c r="Q2717" s="7"/>
      <c r="R2717" s="7"/>
      <c r="S2717" s="7"/>
      <c r="T2717" s="7"/>
      <c r="U2717" s="7"/>
      <c r="V2717" s="253"/>
      <c r="W2717" s="7"/>
      <c r="X2717" s="256"/>
      <c r="Y2717" s="256"/>
      <c r="Z2717" s="256"/>
      <c r="AA2717" s="256"/>
      <c r="AB2717" s="257"/>
      <c r="AC2717" s="258"/>
      <c r="AD2717" s="7"/>
      <c r="AE2717" s="253"/>
      <c r="AF2717" s="253"/>
      <c r="AG2717" s="259"/>
      <c r="AH2717" s="253"/>
      <c r="AI2717" s="253"/>
      <c r="AJ2717" s="7"/>
      <c r="AK2717" s="253"/>
      <c r="AL2717" s="253"/>
      <c r="AM2717" s="7"/>
      <c r="AN2717" s="253"/>
      <c r="AO2717" s="253"/>
      <c r="AP2717" s="253"/>
      <c r="AQ2717" s="253"/>
      <c r="AR2717" s="253"/>
      <c r="AS2717" s="253"/>
      <c r="AT2717" s="253"/>
      <c r="AU2717" s="253"/>
      <c r="AV2717" s="253"/>
      <c r="AW2717" s="253"/>
      <c r="AX2717" s="253"/>
      <c r="AY2717" s="253"/>
      <c r="AZ2717" s="253"/>
    </row>
    <row r="2718" spans="1:52" ht="15.5" customHeight="1">
      <c r="A2718" s="363"/>
      <c r="B2718" s="343"/>
      <c r="C2718" s="7"/>
      <c r="D2718" s="254"/>
      <c r="E2718" s="254"/>
      <c r="F2718" s="254"/>
      <c r="G2718" s="253"/>
      <c r="H2718" s="253"/>
      <c r="I2718" s="253"/>
      <c r="J2718" s="253"/>
      <c r="K2718" s="253"/>
      <c r="L2718" s="7"/>
      <c r="M2718" s="7"/>
      <c r="N2718" s="253"/>
      <c r="O2718" s="255"/>
      <c r="P2718" s="253"/>
      <c r="Q2718" s="7"/>
      <c r="R2718" s="7"/>
      <c r="S2718" s="7"/>
      <c r="T2718" s="7"/>
      <c r="U2718" s="7"/>
      <c r="V2718" s="253"/>
      <c r="W2718" s="7"/>
      <c r="X2718" s="256"/>
      <c r="Y2718" s="256"/>
      <c r="Z2718" s="256"/>
      <c r="AA2718" s="256"/>
      <c r="AB2718" s="257"/>
      <c r="AC2718" s="258"/>
      <c r="AD2718" s="7"/>
      <c r="AE2718" s="253"/>
      <c r="AF2718" s="253"/>
      <c r="AG2718" s="259"/>
      <c r="AH2718" s="253"/>
      <c r="AI2718" s="253"/>
      <c r="AJ2718" s="7"/>
      <c r="AK2718" s="253"/>
      <c r="AL2718" s="253"/>
      <c r="AM2718" s="7"/>
      <c r="AN2718" s="253"/>
      <c r="AO2718" s="253"/>
      <c r="AP2718" s="253"/>
      <c r="AQ2718" s="253"/>
      <c r="AR2718" s="253"/>
      <c r="AS2718" s="253"/>
      <c r="AT2718" s="253"/>
      <c r="AU2718" s="253"/>
      <c r="AV2718" s="253"/>
      <c r="AW2718" s="253"/>
      <c r="AX2718" s="253"/>
      <c r="AY2718" s="253"/>
      <c r="AZ2718" s="253"/>
    </row>
    <row r="2719" spans="1:52" ht="15.5" customHeight="1">
      <c r="A2719" s="363"/>
      <c r="B2719" s="343"/>
      <c r="C2719" s="7"/>
      <c r="D2719" s="254"/>
      <c r="E2719" s="254"/>
      <c r="F2719" s="254"/>
      <c r="G2719" s="253"/>
      <c r="H2719" s="253"/>
      <c r="I2719" s="253"/>
      <c r="J2719" s="253"/>
      <c r="K2719" s="253"/>
      <c r="L2719" s="7"/>
      <c r="M2719" s="7"/>
      <c r="N2719" s="253"/>
      <c r="O2719" s="255"/>
      <c r="P2719" s="253"/>
      <c r="Q2719" s="7"/>
      <c r="R2719" s="7"/>
      <c r="S2719" s="7"/>
      <c r="T2719" s="7"/>
      <c r="U2719" s="7"/>
      <c r="V2719" s="253"/>
      <c r="W2719" s="7"/>
      <c r="X2719" s="256"/>
      <c r="Y2719" s="256"/>
      <c r="Z2719" s="256"/>
      <c r="AA2719" s="256"/>
      <c r="AB2719" s="257"/>
      <c r="AC2719" s="258"/>
      <c r="AD2719" s="7"/>
      <c r="AE2719" s="253"/>
      <c r="AF2719" s="253"/>
      <c r="AG2719" s="259"/>
      <c r="AH2719" s="253"/>
      <c r="AI2719" s="253"/>
      <c r="AJ2719" s="7"/>
      <c r="AK2719" s="253"/>
      <c r="AL2719" s="253"/>
      <c r="AM2719" s="7"/>
      <c r="AN2719" s="253"/>
      <c r="AO2719" s="253"/>
      <c r="AP2719" s="253"/>
      <c r="AQ2719" s="253"/>
      <c r="AR2719" s="253"/>
      <c r="AS2719" s="253"/>
      <c r="AT2719" s="253"/>
      <c r="AU2719" s="253"/>
      <c r="AV2719" s="253"/>
      <c r="AW2719" s="253"/>
      <c r="AX2719" s="253"/>
      <c r="AY2719" s="253"/>
      <c r="AZ2719" s="253"/>
    </row>
    <row r="2720" spans="1:52" ht="15.5" customHeight="1">
      <c r="A2720" s="363"/>
      <c r="B2720" s="343"/>
      <c r="C2720" s="7"/>
      <c r="D2720" s="254"/>
      <c r="E2720" s="254"/>
      <c r="F2720" s="254"/>
      <c r="G2720" s="253"/>
      <c r="H2720" s="253"/>
      <c r="I2720" s="253"/>
      <c r="J2720" s="253"/>
      <c r="K2720" s="253"/>
      <c r="L2720" s="7"/>
      <c r="M2720" s="7"/>
      <c r="N2720" s="253"/>
      <c r="O2720" s="255"/>
      <c r="P2720" s="253"/>
      <c r="Q2720" s="7"/>
      <c r="R2720" s="7"/>
      <c r="S2720" s="7"/>
      <c r="T2720" s="7"/>
      <c r="U2720" s="7"/>
      <c r="V2720" s="253"/>
      <c r="W2720" s="7"/>
      <c r="X2720" s="256"/>
      <c r="Y2720" s="256"/>
      <c r="Z2720" s="256"/>
      <c r="AA2720" s="256"/>
      <c r="AB2720" s="257"/>
      <c r="AC2720" s="258"/>
      <c r="AD2720" s="7"/>
      <c r="AE2720" s="253"/>
      <c r="AF2720" s="253"/>
      <c r="AG2720" s="259"/>
      <c r="AH2720" s="253"/>
      <c r="AI2720" s="253"/>
      <c r="AJ2720" s="7"/>
      <c r="AK2720" s="253"/>
      <c r="AL2720" s="253"/>
      <c r="AM2720" s="7"/>
      <c r="AN2720" s="253"/>
      <c r="AO2720" s="253"/>
      <c r="AP2720" s="253"/>
      <c r="AQ2720" s="253"/>
      <c r="AR2720" s="253"/>
      <c r="AS2720" s="253"/>
      <c r="AT2720" s="253"/>
      <c r="AU2720" s="253"/>
      <c r="AV2720" s="253"/>
      <c r="AW2720" s="253"/>
      <c r="AX2720" s="253"/>
      <c r="AY2720" s="253"/>
      <c r="AZ2720" s="253"/>
    </row>
    <row r="2721" spans="1:52" ht="15.5" customHeight="1">
      <c r="A2721" s="363"/>
      <c r="B2721" s="343"/>
      <c r="C2721" s="7"/>
      <c r="D2721" s="254"/>
      <c r="E2721" s="254"/>
      <c r="F2721" s="254"/>
      <c r="G2721" s="253"/>
      <c r="H2721" s="253"/>
      <c r="I2721" s="253"/>
      <c r="J2721" s="253"/>
      <c r="K2721" s="253"/>
      <c r="L2721" s="7"/>
      <c r="M2721" s="7"/>
      <c r="N2721" s="253"/>
      <c r="O2721" s="255"/>
      <c r="P2721" s="253"/>
      <c r="Q2721" s="7"/>
      <c r="R2721" s="7"/>
      <c r="S2721" s="7"/>
      <c r="T2721" s="7"/>
      <c r="U2721" s="7"/>
      <c r="V2721" s="253"/>
      <c r="W2721" s="7"/>
      <c r="X2721" s="256"/>
      <c r="Y2721" s="256"/>
      <c r="Z2721" s="256"/>
      <c r="AA2721" s="256"/>
      <c r="AB2721" s="257"/>
      <c r="AC2721" s="258"/>
      <c r="AD2721" s="7"/>
      <c r="AE2721" s="253"/>
      <c r="AF2721" s="253"/>
      <c r="AG2721" s="259"/>
      <c r="AH2721" s="253"/>
      <c r="AI2721" s="253"/>
      <c r="AJ2721" s="7"/>
      <c r="AK2721" s="253"/>
      <c r="AL2721" s="253"/>
      <c r="AM2721" s="7"/>
      <c r="AN2721" s="253"/>
      <c r="AO2721" s="253"/>
      <c r="AP2721" s="253"/>
      <c r="AQ2721" s="253"/>
      <c r="AR2721" s="253"/>
      <c r="AS2721" s="253"/>
      <c r="AT2721" s="253"/>
      <c r="AU2721" s="253"/>
      <c r="AV2721" s="253"/>
      <c r="AW2721" s="253"/>
      <c r="AX2721" s="253"/>
      <c r="AY2721" s="253"/>
      <c r="AZ2721" s="253"/>
    </row>
    <row r="2722" spans="1:52" ht="15.5" customHeight="1">
      <c r="A2722" s="363"/>
      <c r="B2722" s="343"/>
      <c r="C2722" s="7"/>
      <c r="D2722" s="254"/>
      <c r="E2722" s="254"/>
      <c r="F2722" s="254"/>
      <c r="G2722" s="253"/>
      <c r="H2722" s="253"/>
      <c r="I2722" s="253"/>
      <c r="J2722" s="253"/>
      <c r="K2722" s="253"/>
      <c r="L2722" s="7"/>
      <c r="M2722" s="7"/>
      <c r="N2722" s="253"/>
      <c r="O2722" s="255"/>
      <c r="P2722" s="253"/>
      <c r="Q2722" s="7"/>
      <c r="R2722" s="7"/>
      <c r="S2722" s="7"/>
      <c r="T2722" s="7"/>
      <c r="U2722" s="7"/>
      <c r="V2722" s="253"/>
      <c r="W2722" s="7"/>
      <c r="X2722" s="256"/>
      <c r="Y2722" s="256"/>
      <c r="Z2722" s="256"/>
      <c r="AA2722" s="256"/>
      <c r="AB2722" s="257"/>
      <c r="AC2722" s="258"/>
      <c r="AD2722" s="7"/>
      <c r="AE2722" s="253"/>
      <c r="AF2722" s="253"/>
      <c r="AG2722" s="259"/>
      <c r="AH2722" s="253"/>
      <c r="AI2722" s="253"/>
      <c r="AJ2722" s="7"/>
      <c r="AK2722" s="253"/>
      <c r="AL2722" s="253"/>
      <c r="AM2722" s="7"/>
      <c r="AN2722" s="253"/>
      <c r="AO2722" s="253"/>
      <c r="AP2722" s="253"/>
      <c r="AQ2722" s="253"/>
      <c r="AR2722" s="253"/>
      <c r="AS2722" s="253"/>
      <c r="AT2722" s="253"/>
      <c r="AU2722" s="253"/>
      <c r="AV2722" s="253"/>
      <c r="AW2722" s="253"/>
      <c r="AX2722" s="253"/>
      <c r="AY2722" s="253"/>
      <c r="AZ2722" s="253"/>
    </row>
    <row r="2723" spans="1:52" ht="15.5" customHeight="1">
      <c r="A2723" s="363"/>
      <c r="B2723" s="343"/>
      <c r="C2723" s="7"/>
      <c r="D2723" s="254"/>
      <c r="E2723" s="254"/>
      <c r="F2723" s="254"/>
      <c r="G2723" s="253"/>
      <c r="H2723" s="253"/>
      <c r="I2723" s="253"/>
      <c r="J2723" s="253"/>
      <c r="K2723" s="253"/>
      <c r="L2723" s="7"/>
      <c r="M2723" s="7"/>
      <c r="N2723" s="253"/>
      <c r="O2723" s="255"/>
      <c r="P2723" s="253"/>
      <c r="Q2723" s="7"/>
      <c r="R2723" s="7"/>
      <c r="S2723" s="7"/>
      <c r="T2723" s="7"/>
      <c r="U2723" s="7"/>
      <c r="V2723" s="253"/>
      <c r="W2723" s="7"/>
      <c r="X2723" s="256"/>
      <c r="Y2723" s="256"/>
      <c r="Z2723" s="256"/>
      <c r="AA2723" s="256"/>
      <c r="AB2723" s="257"/>
      <c r="AC2723" s="258"/>
      <c r="AD2723" s="7"/>
      <c r="AE2723" s="253"/>
      <c r="AF2723" s="253"/>
      <c r="AG2723" s="259"/>
      <c r="AH2723" s="253"/>
      <c r="AI2723" s="253"/>
      <c r="AJ2723" s="7"/>
      <c r="AK2723" s="253"/>
      <c r="AL2723" s="253"/>
      <c r="AM2723" s="7"/>
      <c r="AN2723" s="253"/>
      <c r="AO2723" s="253"/>
      <c r="AP2723" s="253"/>
      <c r="AQ2723" s="253"/>
      <c r="AR2723" s="253"/>
      <c r="AS2723" s="253"/>
      <c r="AT2723" s="253"/>
      <c r="AU2723" s="253"/>
      <c r="AV2723" s="253"/>
      <c r="AW2723" s="253"/>
      <c r="AX2723" s="253"/>
      <c r="AY2723" s="253"/>
      <c r="AZ2723" s="253"/>
    </row>
    <row r="2724" spans="1:52" ht="15.5" customHeight="1">
      <c r="A2724" s="363"/>
      <c r="B2724" s="343"/>
      <c r="C2724" s="7"/>
      <c r="D2724" s="254"/>
      <c r="E2724" s="254"/>
      <c r="F2724" s="254"/>
      <c r="G2724" s="253"/>
      <c r="H2724" s="253"/>
      <c r="I2724" s="253"/>
      <c r="J2724" s="253"/>
      <c r="K2724" s="253"/>
      <c r="L2724" s="7"/>
      <c r="M2724" s="7"/>
      <c r="N2724" s="253"/>
      <c r="O2724" s="255"/>
      <c r="P2724" s="253"/>
      <c r="Q2724" s="7"/>
      <c r="R2724" s="7"/>
      <c r="S2724" s="7"/>
      <c r="T2724" s="7"/>
      <c r="U2724" s="7"/>
      <c r="V2724" s="253"/>
      <c r="W2724" s="7"/>
      <c r="X2724" s="256"/>
      <c r="Y2724" s="256"/>
      <c r="Z2724" s="256"/>
      <c r="AA2724" s="256"/>
      <c r="AB2724" s="257"/>
      <c r="AC2724" s="258"/>
      <c r="AD2724" s="7"/>
      <c r="AE2724" s="253"/>
      <c r="AF2724" s="253"/>
      <c r="AG2724" s="259"/>
      <c r="AH2724" s="253"/>
      <c r="AI2724" s="253"/>
      <c r="AJ2724" s="7"/>
      <c r="AK2724" s="253"/>
      <c r="AL2724" s="253"/>
      <c r="AM2724" s="7"/>
      <c r="AN2724" s="253"/>
      <c r="AO2724" s="253"/>
      <c r="AP2724" s="253"/>
      <c r="AQ2724" s="253"/>
      <c r="AR2724" s="253"/>
      <c r="AS2724" s="253"/>
      <c r="AT2724" s="253"/>
      <c r="AU2724" s="253"/>
      <c r="AV2724" s="253"/>
      <c r="AW2724" s="253"/>
      <c r="AX2724" s="253"/>
      <c r="AY2724" s="253"/>
      <c r="AZ2724" s="253"/>
    </row>
    <row r="2725" spans="1:52" ht="15.5" customHeight="1">
      <c r="A2725" s="363"/>
      <c r="B2725" s="343"/>
      <c r="C2725" s="7"/>
      <c r="D2725" s="254"/>
      <c r="E2725" s="254"/>
      <c r="F2725" s="254"/>
      <c r="G2725" s="253"/>
      <c r="H2725" s="253"/>
      <c r="I2725" s="253"/>
      <c r="J2725" s="253"/>
      <c r="K2725" s="253"/>
      <c r="L2725" s="7"/>
      <c r="M2725" s="7"/>
      <c r="N2725" s="253"/>
      <c r="O2725" s="255"/>
      <c r="P2725" s="253"/>
      <c r="Q2725" s="7"/>
      <c r="R2725" s="7"/>
      <c r="S2725" s="7"/>
      <c r="T2725" s="7"/>
      <c r="U2725" s="7"/>
      <c r="V2725" s="253"/>
      <c r="W2725" s="7"/>
      <c r="X2725" s="256"/>
      <c r="Y2725" s="256"/>
      <c r="Z2725" s="256"/>
      <c r="AA2725" s="256"/>
      <c r="AB2725" s="257"/>
      <c r="AC2725" s="258"/>
      <c r="AD2725" s="7"/>
      <c r="AE2725" s="253"/>
      <c r="AF2725" s="253"/>
      <c r="AG2725" s="259"/>
      <c r="AH2725" s="253"/>
      <c r="AI2725" s="253"/>
      <c r="AJ2725" s="7"/>
      <c r="AK2725" s="253"/>
      <c r="AL2725" s="253"/>
      <c r="AM2725" s="7"/>
      <c r="AN2725" s="253"/>
      <c r="AO2725" s="253"/>
      <c r="AP2725" s="253"/>
      <c r="AQ2725" s="253"/>
      <c r="AR2725" s="253"/>
      <c r="AS2725" s="253"/>
      <c r="AT2725" s="253"/>
      <c r="AU2725" s="253"/>
      <c r="AV2725" s="253"/>
      <c r="AW2725" s="253"/>
      <c r="AX2725" s="253"/>
      <c r="AY2725" s="253"/>
      <c r="AZ2725" s="253"/>
    </row>
    <row r="2726" spans="1:52" ht="15.5" customHeight="1">
      <c r="A2726" s="363"/>
      <c r="B2726" s="343"/>
      <c r="C2726" s="7"/>
      <c r="D2726" s="254"/>
      <c r="E2726" s="254"/>
      <c r="F2726" s="254"/>
      <c r="G2726" s="253"/>
      <c r="H2726" s="253"/>
      <c r="I2726" s="253"/>
      <c r="J2726" s="253"/>
      <c r="K2726" s="253"/>
      <c r="L2726" s="7"/>
      <c r="M2726" s="7"/>
      <c r="N2726" s="253"/>
      <c r="O2726" s="255"/>
      <c r="P2726" s="253"/>
      <c r="Q2726" s="7"/>
      <c r="R2726" s="7"/>
      <c r="S2726" s="7"/>
      <c r="T2726" s="7"/>
      <c r="U2726" s="7"/>
      <c r="V2726" s="253"/>
      <c r="W2726" s="7"/>
      <c r="X2726" s="256"/>
      <c r="Y2726" s="256"/>
      <c r="Z2726" s="256"/>
      <c r="AA2726" s="256"/>
      <c r="AB2726" s="257"/>
      <c r="AC2726" s="258"/>
      <c r="AD2726" s="7"/>
      <c r="AE2726" s="253"/>
      <c r="AF2726" s="253"/>
      <c r="AG2726" s="259"/>
      <c r="AH2726" s="253"/>
      <c r="AI2726" s="253"/>
      <c r="AJ2726" s="7"/>
      <c r="AK2726" s="253"/>
      <c r="AL2726" s="253"/>
      <c r="AM2726" s="7"/>
      <c r="AN2726" s="253"/>
      <c r="AO2726" s="253"/>
      <c r="AP2726" s="253"/>
      <c r="AQ2726" s="253"/>
      <c r="AR2726" s="253"/>
      <c r="AS2726" s="253"/>
      <c r="AT2726" s="253"/>
      <c r="AU2726" s="253"/>
      <c r="AV2726" s="253"/>
      <c r="AW2726" s="253"/>
      <c r="AX2726" s="253"/>
      <c r="AY2726" s="253"/>
      <c r="AZ2726" s="253"/>
    </row>
    <row r="2727" spans="1:52" ht="15.5" customHeight="1">
      <c r="A2727" s="363"/>
      <c r="B2727" s="343"/>
      <c r="C2727" s="7"/>
      <c r="D2727" s="254"/>
      <c r="E2727" s="254"/>
      <c r="F2727" s="254"/>
      <c r="G2727" s="253"/>
      <c r="H2727" s="253"/>
      <c r="I2727" s="253"/>
      <c r="J2727" s="253"/>
      <c r="K2727" s="253"/>
      <c r="L2727" s="7"/>
      <c r="M2727" s="7"/>
      <c r="N2727" s="253"/>
      <c r="O2727" s="255"/>
      <c r="P2727" s="253"/>
      <c r="Q2727" s="7"/>
      <c r="R2727" s="7"/>
      <c r="S2727" s="7"/>
      <c r="T2727" s="7"/>
      <c r="U2727" s="7"/>
      <c r="V2727" s="253"/>
      <c r="W2727" s="7"/>
      <c r="X2727" s="256"/>
      <c r="Y2727" s="256"/>
      <c r="Z2727" s="256"/>
      <c r="AA2727" s="256"/>
      <c r="AB2727" s="257"/>
      <c r="AC2727" s="258"/>
      <c r="AD2727" s="7"/>
      <c r="AE2727" s="253"/>
      <c r="AF2727" s="253"/>
      <c r="AG2727" s="259"/>
      <c r="AH2727" s="253"/>
      <c r="AI2727" s="253"/>
      <c r="AJ2727" s="7"/>
      <c r="AK2727" s="253"/>
      <c r="AL2727" s="253"/>
      <c r="AM2727" s="7"/>
      <c r="AN2727" s="253"/>
      <c r="AO2727" s="253"/>
      <c r="AP2727" s="253"/>
      <c r="AQ2727" s="253"/>
      <c r="AR2727" s="253"/>
      <c r="AS2727" s="253"/>
      <c r="AT2727" s="253"/>
      <c r="AU2727" s="253"/>
      <c r="AV2727" s="253"/>
      <c r="AW2727" s="253"/>
      <c r="AX2727" s="253"/>
      <c r="AY2727" s="253"/>
      <c r="AZ2727" s="253"/>
    </row>
    <row r="2728" spans="1:52" ht="15.5" customHeight="1">
      <c r="A2728" s="363"/>
      <c r="B2728" s="343"/>
      <c r="C2728" s="7"/>
      <c r="D2728" s="254"/>
      <c r="E2728" s="254"/>
      <c r="F2728" s="254"/>
      <c r="G2728" s="253"/>
      <c r="H2728" s="253"/>
      <c r="I2728" s="253"/>
      <c r="J2728" s="253"/>
      <c r="K2728" s="253"/>
      <c r="L2728" s="7"/>
      <c r="M2728" s="7"/>
      <c r="N2728" s="253"/>
      <c r="O2728" s="255"/>
      <c r="P2728" s="253"/>
      <c r="Q2728" s="7"/>
      <c r="R2728" s="7"/>
      <c r="S2728" s="7"/>
      <c r="T2728" s="7"/>
      <c r="U2728" s="7"/>
      <c r="V2728" s="253"/>
      <c r="W2728" s="7"/>
      <c r="X2728" s="256"/>
      <c r="Y2728" s="256"/>
      <c r="Z2728" s="256"/>
      <c r="AA2728" s="256"/>
      <c r="AB2728" s="257"/>
      <c r="AC2728" s="258"/>
      <c r="AD2728" s="7"/>
      <c r="AE2728" s="253"/>
      <c r="AF2728" s="253"/>
      <c r="AG2728" s="259"/>
      <c r="AH2728" s="253"/>
      <c r="AI2728" s="253"/>
      <c r="AJ2728" s="7"/>
      <c r="AK2728" s="253"/>
      <c r="AL2728" s="253"/>
      <c r="AM2728" s="7"/>
      <c r="AN2728" s="253"/>
      <c r="AO2728" s="253"/>
      <c r="AP2728" s="253"/>
      <c r="AQ2728" s="253"/>
      <c r="AR2728" s="253"/>
      <c r="AS2728" s="253"/>
      <c r="AT2728" s="253"/>
      <c r="AU2728" s="253"/>
      <c r="AV2728" s="253"/>
      <c r="AW2728" s="253"/>
      <c r="AX2728" s="253"/>
      <c r="AY2728" s="253"/>
      <c r="AZ2728" s="253"/>
    </row>
    <row r="2729" spans="1:52" ht="15.5" customHeight="1">
      <c r="A2729" s="363"/>
      <c r="B2729" s="343"/>
      <c r="C2729" s="7"/>
      <c r="D2729" s="254"/>
      <c r="E2729" s="254"/>
      <c r="F2729" s="254"/>
      <c r="G2729" s="253"/>
      <c r="H2729" s="253"/>
      <c r="I2729" s="253"/>
      <c r="J2729" s="253"/>
      <c r="K2729" s="253"/>
      <c r="L2729" s="7"/>
      <c r="M2729" s="7"/>
      <c r="N2729" s="253"/>
      <c r="O2729" s="255"/>
      <c r="P2729" s="253"/>
      <c r="Q2729" s="7"/>
      <c r="R2729" s="7"/>
      <c r="S2729" s="7"/>
      <c r="T2729" s="7"/>
      <c r="U2729" s="7"/>
      <c r="V2729" s="253"/>
      <c r="W2729" s="7"/>
      <c r="X2729" s="256"/>
      <c r="Y2729" s="256"/>
      <c r="Z2729" s="256"/>
      <c r="AA2729" s="256"/>
      <c r="AB2729" s="257"/>
      <c r="AC2729" s="258"/>
      <c r="AD2729" s="7"/>
      <c r="AE2729" s="253"/>
      <c r="AF2729" s="253"/>
      <c r="AG2729" s="259"/>
      <c r="AH2729" s="253"/>
      <c r="AI2729" s="253"/>
      <c r="AJ2729" s="7"/>
      <c r="AK2729" s="253"/>
      <c r="AL2729" s="253"/>
      <c r="AM2729" s="7"/>
      <c r="AN2729" s="253"/>
      <c r="AO2729" s="253"/>
      <c r="AP2729" s="253"/>
      <c r="AQ2729" s="253"/>
      <c r="AR2729" s="253"/>
      <c r="AS2729" s="253"/>
      <c r="AT2729" s="253"/>
      <c r="AU2729" s="253"/>
      <c r="AV2729" s="253"/>
      <c r="AW2729" s="253"/>
      <c r="AX2729" s="253"/>
      <c r="AY2729" s="253"/>
      <c r="AZ2729" s="253"/>
    </row>
    <row r="2730" spans="1:52" ht="15.5" customHeight="1">
      <c r="A2730" s="363"/>
      <c r="B2730" s="343"/>
      <c r="C2730" s="7"/>
      <c r="D2730" s="254"/>
      <c r="E2730" s="254"/>
      <c r="F2730" s="254"/>
      <c r="G2730" s="253"/>
      <c r="H2730" s="253"/>
      <c r="I2730" s="253"/>
      <c r="J2730" s="253"/>
      <c r="K2730" s="253"/>
      <c r="L2730" s="7"/>
      <c r="M2730" s="7"/>
      <c r="N2730" s="253"/>
      <c r="O2730" s="255"/>
      <c r="P2730" s="253"/>
      <c r="Q2730" s="7"/>
      <c r="R2730" s="7"/>
      <c r="S2730" s="7"/>
      <c r="T2730" s="7"/>
      <c r="U2730" s="7"/>
      <c r="V2730" s="253"/>
      <c r="W2730" s="7"/>
      <c r="X2730" s="256"/>
      <c r="Y2730" s="256"/>
      <c r="Z2730" s="256"/>
      <c r="AA2730" s="256"/>
      <c r="AB2730" s="257"/>
      <c r="AC2730" s="258"/>
      <c r="AD2730" s="7"/>
      <c r="AE2730" s="253"/>
      <c r="AF2730" s="253"/>
      <c r="AG2730" s="259"/>
      <c r="AH2730" s="253"/>
      <c r="AI2730" s="253"/>
      <c r="AJ2730" s="7"/>
      <c r="AK2730" s="253"/>
      <c r="AL2730" s="253"/>
      <c r="AM2730" s="7"/>
      <c r="AN2730" s="253"/>
      <c r="AO2730" s="253"/>
      <c r="AP2730" s="253"/>
      <c r="AQ2730" s="253"/>
      <c r="AR2730" s="253"/>
      <c r="AS2730" s="253"/>
      <c r="AT2730" s="253"/>
      <c r="AU2730" s="253"/>
      <c r="AV2730" s="253"/>
      <c r="AW2730" s="253"/>
      <c r="AX2730" s="253"/>
      <c r="AY2730" s="253"/>
      <c r="AZ2730" s="253"/>
    </row>
    <row r="2731" spans="1:52" ht="15.5" customHeight="1">
      <c r="A2731" s="363"/>
      <c r="B2731" s="343"/>
      <c r="C2731" s="7"/>
      <c r="D2731" s="254"/>
      <c r="E2731" s="254"/>
      <c r="F2731" s="254"/>
      <c r="G2731" s="253"/>
      <c r="H2731" s="253"/>
      <c r="I2731" s="253"/>
      <c r="J2731" s="253"/>
      <c r="K2731" s="253"/>
      <c r="L2731" s="7"/>
      <c r="M2731" s="7"/>
      <c r="N2731" s="253"/>
      <c r="O2731" s="255"/>
      <c r="P2731" s="253"/>
      <c r="Q2731" s="7"/>
      <c r="R2731" s="7"/>
      <c r="S2731" s="7"/>
      <c r="T2731" s="7"/>
      <c r="U2731" s="7"/>
      <c r="V2731" s="253"/>
      <c r="W2731" s="7"/>
      <c r="X2731" s="256"/>
      <c r="Y2731" s="256"/>
      <c r="Z2731" s="256"/>
      <c r="AA2731" s="256"/>
      <c r="AB2731" s="257"/>
      <c r="AC2731" s="258"/>
      <c r="AD2731" s="7"/>
      <c r="AE2731" s="253"/>
      <c r="AF2731" s="253"/>
      <c r="AG2731" s="259"/>
      <c r="AH2731" s="253"/>
      <c r="AI2731" s="253"/>
      <c r="AJ2731" s="7"/>
      <c r="AK2731" s="253"/>
      <c r="AL2731" s="253"/>
      <c r="AM2731" s="7"/>
      <c r="AN2731" s="253"/>
      <c r="AO2731" s="253"/>
      <c r="AP2731" s="253"/>
      <c r="AQ2731" s="253"/>
      <c r="AR2731" s="253"/>
      <c r="AS2731" s="253"/>
      <c r="AT2731" s="253"/>
      <c r="AU2731" s="253"/>
      <c r="AV2731" s="253"/>
      <c r="AW2731" s="253"/>
      <c r="AX2731" s="253"/>
      <c r="AY2731" s="253"/>
      <c r="AZ2731" s="253"/>
    </row>
    <row r="2732" spans="1:52" ht="15.5" customHeight="1">
      <c r="A2732" s="363"/>
      <c r="B2732" s="343"/>
      <c r="C2732" s="7"/>
      <c r="D2732" s="254"/>
      <c r="E2732" s="254"/>
      <c r="F2732" s="254"/>
      <c r="G2732" s="253"/>
      <c r="H2732" s="253"/>
      <c r="I2732" s="253"/>
      <c r="J2732" s="253"/>
      <c r="K2732" s="253"/>
      <c r="L2732" s="7"/>
      <c r="M2732" s="7"/>
      <c r="N2732" s="253"/>
      <c r="O2732" s="255"/>
      <c r="P2732" s="253"/>
      <c r="Q2732" s="7"/>
      <c r="R2732" s="7"/>
      <c r="S2732" s="7"/>
      <c r="T2732" s="7"/>
      <c r="U2732" s="7"/>
      <c r="V2732" s="253"/>
      <c r="W2732" s="7"/>
      <c r="X2732" s="256"/>
      <c r="Y2732" s="256"/>
      <c r="Z2732" s="256"/>
      <c r="AA2732" s="256"/>
      <c r="AB2732" s="257"/>
      <c r="AC2732" s="258"/>
      <c r="AD2732" s="7"/>
      <c r="AE2732" s="253"/>
      <c r="AF2732" s="253"/>
      <c r="AG2732" s="259"/>
      <c r="AH2732" s="253"/>
      <c r="AI2732" s="253"/>
      <c r="AJ2732" s="7"/>
      <c r="AK2732" s="253"/>
      <c r="AL2732" s="253"/>
      <c r="AM2732" s="7"/>
      <c r="AN2732" s="253"/>
      <c r="AO2732" s="253"/>
      <c r="AP2732" s="253"/>
      <c r="AQ2732" s="253"/>
      <c r="AR2732" s="253"/>
      <c r="AS2732" s="253"/>
      <c r="AT2732" s="253"/>
      <c r="AU2732" s="253"/>
      <c r="AV2732" s="253"/>
      <c r="AW2732" s="253"/>
      <c r="AX2732" s="253"/>
      <c r="AY2732" s="253"/>
      <c r="AZ2732" s="253"/>
    </row>
    <row r="2733" spans="1:52" ht="15.5" customHeight="1">
      <c r="A2733" s="363"/>
      <c r="B2733" s="343"/>
      <c r="C2733" s="7"/>
      <c r="D2733" s="254"/>
      <c r="E2733" s="254"/>
      <c r="F2733" s="254"/>
      <c r="G2733" s="253"/>
      <c r="H2733" s="253"/>
      <c r="I2733" s="253"/>
      <c r="J2733" s="253"/>
      <c r="K2733" s="253"/>
      <c r="L2733" s="7"/>
      <c r="M2733" s="7"/>
      <c r="N2733" s="253"/>
      <c r="O2733" s="255"/>
      <c r="P2733" s="253"/>
      <c r="Q2733" s="7"/>
      <c r="R2733" s="7"/>
      <c r="S2733" s="7"/>
      <c r="T2733" s="7"/>
      <c r="U2733" s="7"/>
      <c r="V2733" s="253"/>
      <c r="W2733" s="7"/>
      <c r="X2733" s="256"/>
      <c r="Y2733" s="256"/>
      <c r="Z2733" s="256"/>
      <c r="AA2733" s="256"/>
      <c r="AB2733" s="257"/>
      <c r="AC2733" s="258"/>
      <c r="AD2733" s="7"/>
      <c r="AE2733" s="253"/>
      <c r="AF2733" s="253"/>
      <c r="AG2733" s="259"/>
      <c r="AH2733" s="253"/>
      <c r="AI2733" s="253"/>
      <c r="AJ2733" s="7"/>
      <c r="AK2733" s="253"/>
      <c r="AL2733" s="253"/>
      <c r="AM2733" s="7"/>
      <c r="AN2733" s="253"/>
      <c r="AO2733" s="253"/>
      <c r="AP2733" s="253"/>
      <c r="AQ2733" s="253"/>
      <c r="AR2733" s="253"/>
      <c r="AS2733" s="253"/>
      <c r="AT2733" s="253"/>
      <c r="AU2733" s="253"/>
      <c r="AV2733" s="253"/>
      <c r="AW2733" s="253"/>
      <c r="AX2733" s="253"/>
      <c r="AY2733" s="253"/>
      <c r="AZ2733" s="253"/>
    </row>
    <row r="2734" spans="1:52" ht="15.5" customHeight="1">
      <c r="A2734" s="363"/>
      <c r="B2734" s="343"/>
      <c r="C2734" s="7"/>
      <c r="D2734" s="254"/>
      <c r="E2734" s="254"/>
      <c r="F2734" s="254"/>
      <c r="G2734" s="253"/>
      <c r="H2734" s="253"/>
      <c r="I2734" s="253"/>
      <c r="J2734" s="253"/>
      <c r="K2734" s="253"/>
      <c r="L2734" s="7"/>
      <c r="M2734" s="7"/>
      <c r="N2734" s="253"/>
      <c r="O2734" s="255"/>
      <c r="P2734" s="253"/>
      <c r="Q2734" s="7"/>
      <c r="R2734" s="7"/>
      <c r="S2734" s="7"/>
      <c r="T2734" s="7"/>
      <c r="U2734" s="7"/>
      <c r="V2734" s="253"/>
      <c r="W2734" s="7"/>
      <c r="X2734" s="256"/>
      <c r="Y2734" s="256"/>
      <c r="Z2734" s="256"/>
      <c r="AA2734" s="256"/>
      <c r="AB2734" s="257"/>
      <c r="AC2734" s="258"/>
      <c r="AD2734" s="7"/>
      <c r="AE2734" s="253"/>
      <c r="AF2734" s="253"/>
      <c r="AG2734" s="259"/>
      <c r="AH2734" s="253"/>
      <c r="AI2734" s="253"/>
      <c r="AJ2734" s="7"/>
      <c r="AK2734" s="253"/>
      <c r="AL2734" s="253"/>
      <c r="AM2734" s="7"/>
      <c r="AN2734" s="253"/>
      <c r="AO2734" s="253"/>
      <c r="AP2734" s="253"/>
      <c r="AQ2734" s="253"/>
      <c r="AR2734" s="253"/>
      <c r="AS2734" s="253"/>
      <c r="AT2734" s="253"/>
      <c r="AU2734" s="253"/>
      <c r="AV2734" s="253"/>
      <c r="AW2734" s="253"/>
      <c r="AX2734" s="253"/>
      <c r="AY2734" s="253"/>
      <c r="AZ2734" s="253"/>
    </row>
    <row r="2735" spans="1:52" ht="15.5" customHeight="1">
      <c r="A2735" s="363"/>
      <c r="B2735" s="343"/>
      <c r="C2735" s="7"/>
      <c r="D2735" s="254"/>
      <c r="E2735" s="254"/>
      <c r="F2735" s="254"/>
      <c r="G2735" s="253"/>
      <c r="H2735" s="253"/>
      <c r="I2735" s="253"/>
      <c r="J2735" s="253"/>
      <c r="K2735" s="253"/>
      <c r="L2735" s="7"/>
      <c r="M2735" s="7"/>
      <c r="N2735" s="253"/>
      <c r="O2735" s="255"/>
      <c r="P2735" s="253"/>
      <c r="Q2735" s="7"/>
      <c r="R2735" s="7"/>
      <c r="S2735" s="7"/>
      <c r="T2735" s="7"/>
      <c r="U2735" s="7"/>
      <c r="V2735" s="253"/>
      <c r="W2735" s="7"/>
      <c r="X2735" s="256"/>
      <c r="Y2735" s="256"/>
      <c r="Z2735" s="256"/>
      <c r="AA2735" s="256"/>
      <c r="AB2735" s="257"/>
      <c r="AC2735" s="258"/>
      <c r="AD2735" s="7"/>
      <c r="AE2735" s="253"/>
      <c r="AF2735" s="253"/>
      <c r="AG2735" s="259"/>
      <c r="AH2735" s="253"/>
      <c r="AI2735" s="253"/>
      <c r="AJ2735" s="7"/>
      <c r="AK2735" s="253"/>
      <c r="AL2735" s="253"/>
      <c r="AM2735" s="7"/>
      <c r="AN2735" s="253"/>
      <c r="AO2735" s="253"/>
      <c r="AP2735" s="253"/>
      <c r="AQ2735" s="253"/>
      <c r="AR2735" s="253"/>
      <c r="AS2735" s="253"/>
      <c r="AT2735" s="253"/>
      <c r="AU2735" s="253"/>
      <c r="AV2735" s="253"/>
      <c r="AW2735" s="253"/>
      <c r="AX2735" s="253"/>
      <c r="AY2735" s="253"/>
      <c r="AZ2735" s="253"/>
    </row>
    <row r="2736" spans="1:52" ht="15.5" customHeight="1">
      <c r="A2736" s="363"/>
      <c r="B2736" s="343"/>
      <c r="C2736" s="7"/>
      <c r="D2736" s="254"/>
      <c r="E2736" s="254"/>
      <c r="F2736" s="254"/>
      <c r="G2736" s="253"/>
      <c r="H2736" s="253"/>
      <c r="I2736" s="253"/>
      <c r="J2736" s="253"/>
      <c r="K2736" s="253"/>
      <c r="L2736" s="7"/>
      <c r="M2736" s="7"/>
      <c r="N2736" s="253"/>
      <c r="O2736" s="255"/>
      <c r="P2736" s="253"/>
      <c r="Q2736" s="7"/>
      <c r="R2736" s="7"/>
      <c r="S2736" s="7"/>
      <c r="T2736" s="7"/>
      <c r="U2736" s="7"/>
      <c r="V2736" s="253"/>
      <c r="W2736" s="7"/>
      <c r="X2736" s="256"/>
      <c r="Y2736" s="256"/>
      <c r="Z2736" s="256"/>
      <c r="AA2736" s="256"/>
      <c r="AB2736" s="257"/>
      <c r="AC2736" s="258"/>
      <c r="AD2736" s="7"/>
      <c r="AE2736" s="253"/>
      <c r="AF2736" s="253"/>
      <c r="AG2736" s="259"/>
      <c r="AH2736" s="253"/>
      <c r="AI2736" s="253"/>
      <c r="AJ2736" s="7"/>
      <c r="AK2736" s="253"/>
      <c r="AL2736" s="253"/>
      <c r="AM2736" s="7"/>
      <c r="AN2736" s="253"/>
      <c r="AO2736" s="253"/>
      <c r="AP2736" s="253"/>
      <c r="AQ2736" s="253"/>
      <c r="AR2736" s="253"/>
      <c r="AS2736" s="253"/>
      <c r="AT2736" s="253"/>
      <c r="AU2736" s="253"/>
      <c r="AV2736" s="253"/>
      <c r="AW2736" s="253"/>
      <c r="AX2736" s="253"/>
      <c r="AY2736" s="253"/>
      <c r="AZ2736" s="253"/>
    </row>
    <row r="2737" spans="1:52" ht="15.5" customHeight="1">
      <c r="A2737" s="363"/>
      <c r="B2737" s="343"/>
      <c r="C2737" s="7"/>
      <c r="D2737" s="254"/>
      <c r="E2737" s="254"/>
      <c r="F2737" s="254"/>
      <c r="G2737" s="253"/>
      <c r="H2737" s="253"/>
      <c r="I2737" s="253"/>
      <c r="J2737" s="253"/>
      <c r="K2737" s="253"/>
      <c r="L2737" s="7"/>
      <c r="M2737" s="7"/>
      <c r="N2737" s="253"/>
      <c r="O2737" s="255"/>
      <c r="P2737" s="253"/>
      <c r="Q2737" s="7"/>
      <c r="R2737" s="7"/>
      <c r="S2737" s="7"/>
      <c r="T2737" s="7"/>
      <c r="U2737" s="7"/>
      <c r="V2737" s="253"/>
      <c r="W2737" s="7"/>
      <c r="X2737" s="256"/>
      <c r="Y2737" s="256"/>
      <c r="Z2737" s="256"/>
      <c r="AA2737" s="256"/>
      <c r="AB2737" s="257"/>
      <c r="AC2737" s="258"/>
      <c r="AD2737" s="7"/>
      <c r="AE2737" s="253"/>
      <c r="AF2737" s="253"/>
      <c r="AG2737" s="259"/>
      <c r="AH2737" s="253"/>
      <c r="AI2737" s="253"/>
      <c r="AJ2737" s="7"/>
      <c r="AK2737" s="253"/>
      <c r="AL2737" s="253"/>
      <c r="AM2737" s="7"/>
      <c r="AN2737" s="253"/>
      <c r="AO2737" s="253"/>
      <c r="AP2737" s="253"/>
      <c r="AQ2737" s="253"/>
      <c r="AR2737" s="253"/>
      <c r="AS2737" s="253"/>
      <c r="AT2737" s="253"/>
      <c r="AU2737" s="253"/>
      <c r="AV2737" s="253"/>
      <c r="AW2737" s="253"/>
      <c r="AX2737" s="253"/>
      <c r="AY2737" s="253"/>
      <c r="AZ2737" s="253"/>
    </row>
    <row r="2738" spans="1:52" ht="15.5" customHeight="1">
      <c r="A2738" s="363"/>
      <c r="B2738" s="343"/>
      <c r="C2738" s="7"/>
      <c r="D2738" s="254"/>
      <c r="E2738" s="254"/>
      <c r="F2738" s="254"/>
      <c r="G2738" s="253"/>
      <c r="H2738" s="253"/>
      <c r="I2738" s="253"/>
      <c r="J2738" s="253"/>
      <c r="K2738" s="253"/>
      <c r="L2738" s="7"/>
      <c r="M2738" s="7"/>
      <c r="N2738" s="253"/>
      <c r="O2738" s="255"/>
      <c r="P2738" s="253"/>
      <c r="Q2738" s="7"/>
      <c r="R2738" s="7"/>
      <c r="S2738" s="7"/>
      <c r="T2738" s="7"/>
      <c r="U2738" s="7"/>
      <c r="V2738" s="253"/>
      <c r="W2738" s="7"/>
      <c r="X2738" s="256"/>
      <c r="Y2738" s="256"/>
      <c r="Z2738" s="256"/>
      <c r="AA2738" s="256"/>
      <c r="AB2738" s="257"/>
      <c r="AC2738" s="258"/>
      <c r="AD2738" s="7"/>
      <c r="AE2738" s="253"/>
      <c r="AF2738" s="253"/>
      <c r="AG2738" s="259"/>
      <c r="AH2738" s="253"/>
      <c r="AI2738" s="253"/>
      <c r="AJ2738" s="7"/>
      <c r="AK2738" s="253"/>
      <c r="AL2738" s="253"/>
      <c r="AM2738" s="7"/>
      <c r="AN2738" s="253"/>
      <c r="AO2738" s="253"/>
      <c r="AP2738" s="253"/>
      <c r="AQ2738" s="253"/>
      <c r="AR2738" s="253"/>
      <c r="AS2738" s="253"/>
      <c r="AT2738" s="253"/>
      <c r="AU2738" s="253"/>
      <c r="AV2738" s="253"/>
      <c r="AW2738" s="253"/>
      <c r="AX2738" s="253"/>
      <c r="AY2738" s="253"/>
      <c r="AZ2738" s="253"/>
    </row>
    <row r="2739" spans="1:52" ht="15.5" customHeight="1">
      <c r="A2739" s="363"/>
      <c r="B2739" s="343"/>
      <c r="C2739" s="7"/>
      <c r="D2739" s="254"/>
      <c r="E2739" s="254"/>
      <c r="F2739" s="254"/>
      <c r="G2739" s="253"/>
      <c r="H2739" s="253"/>
      <c r="I2739" s="253"/>
      <c r="J2739" s="253"/>
      <c r="K2739" s="253"/>
      <c r="L2739" s="7"/>
      <c r="M2739" s="7"/>
      <c r="N2739" s="253"/>
      <c r="O2739" s="255"/>
      <c r="P2739" s="253"/>
      <c r="Q2739" s="7"/>
      <c r="R2739" s="7"/>
      <c r="S2739" s="7"/>
      <c r="T2739" s="7"/>
      <c r="U2739" s="7"/>
      <c r="V2739" s="253"/>
      <c r="W2739" s="7"/>
      <c r="X2739" s="256"/>
      <c r="Y2739" s="256"/>
      <c r="Z2739" s="256"/>
      <c r="AA2739" s="256"/>
      <c r="AB2739" s="257"/>
      <c r="AC2739" s="258"/>
      <c r="AD2739" s="7"/>
      <c r="AE2739" s="253"/>
      <c r="AF2739" s="253"/>
      <c r="AG2739" s="259"/>
      <c r="AH2739" s="253"/>
      <c r="AI2739" s="253"/>
      <c r="AJ2739" s="7"/>
      <c r="AK2739" s="253"/>
      <c r="AL2739" s="253"/>
      <c r="AM2739" s="7"/>
      <c r="AN2739" s="253"/>
      <c r="AO2739" s="253"/>
      <c r="AP2739" s="253"/>
      <c r="AQ2739" s="253"/>
      <c r="AR2739" s="253"/>
      <c r="AS2739" s="253"/>
      <c r="AT2739" s="253"/>
      <c r="AU2739" s="253"/>
      <c r="AV2739" s="253"/>
      <c r="AW2739" s="253"/>
      <c r="AX2739" s="253"/>
      <c r="AY2739" s="253"/>
      <c r="AZ2739" s="253"/>
    </row>
    <row r="2740" spans="1:52" ht="15.5" customHeight="1">
      <c r="A2740" s="363"/>
      <c r="B2740" s="343"/>
      <c r="C2740" s="7"/>
      <c r="D2740" s="254"/>
      <c r="E2740" s="254"/>
      <c r="F2740" s="254"/>
      <c r="G2740" s="253"/>
      <c r="H2740" s="253"/>
      <c r="I2740" s="253"/>
      <c r="J2740" s="253"/>
      <c r="K2740" s="253"/>
      <c r="L2740" s="7"/>
      <c r="M2740" s="7"/>
      <c r="N2740" s="253"/>
      <c r="O2740" s="255"/>
      <c r="P2740" s="253"/>
      <c r="Q2740" s="7"/>
      <c r="R2740" s="7"/>
      <c r="S2740" s="7"/>
      <c r="T2740" s="7"/>
      <c r="U2740" s="7"/>
      <c r="V2740" s="253"/>
      <c r="W2740" s="7"/>
      <c r="X2740" s="256"/>
      <c r="Y2740" s="256"/>
      <c r="Z2740" s="256"/>
      <c r="AA2740" s="256"/>
      <c r="AB2740" s="257"/>
      <c r="AC2740" s="258"/>
      <c r="AD2740" s="7"/>
      <c r="AE2740" s="253"/>
      <c r="AF2740" s="253"/>
      <c r="AG2740" s="259"/>
      <c r="AH2740" s="253"/>
      <c r="AI2740" s="253"/>
      <c r="AJ2740" s="7"/>
      <c r="AK2740" s="253"/>
      <c r="AL2740" s="253"/>
      <c r="AM2740" s="7"/>
      <c r="AN2740" s="253"/>
      <c r="AO2740" s="253"/>
      <c r="AP2740" s="253"/>
      <c r="AQ2740" s="253"/>
      <c r="AR2740" s="253"/>
      <c r="AS2740" s="253"/>
      <c r="AT2740" s="253"/>
      <c r="AU2740" s="253"/>
      <c r="AV2740" s="253"/>
      <c r="AW2740" s="253"/>
      <c r="AX2740" s="253"/>
      <c r="AY2740" s="253"/>
      <c r="AZ2740" s="253"/>
    </row>
    <row r="2741" spans="1:52" ht="15.5" customHeight="1">
      <c r="A2741" s="363"/>
      <c r="B2741" s="343"/>
      <c r="C2741" s="7"/>
      <c r="D2741" s="254"/>
      <c r="E2741" s="254"/>
      <c r="F2741" s="254"/>
      <c r="G2741" s="253"/>
      <c r="H2741" s="253"/>
      <c r="I2741" s="253"/>
      <c r="J2741" s="253"/>
      <c r="K2741" s="253"/>
      <c r="L2741" s="7"/>
      <c r="M2741" s="7"/>
      <c r="N2741" s="253"/>
      <c r="O2741" s="255"/>
      <c r="P2741" s="253"/>
      <c r="Q2741" s="7"/>
      <c r="R2741" s="7"/>
      <c r="S2741" s="7"/>
      <c r="T2741" s="7"/>
      <c r="U2741" s="7"/>
      <c r="V2741" s="253"/>
      <c r="W2741" s="7"/>
      <c r="X2741" s="256"/>
      <c r="Y2741" s="256"/>
      <c r="Z2741" s="256"/>
      <c r="AA2741" s="256"/>
      <c r="AB2741" s="257"/>
      <c r="AC2741" s="258"/>
      <c r="AD2741" s="7"/>
      <c r="AE2741" s="253"/>
      <c r="AF2741" s="253"/>
      <c r="AG2741" s="259"/>
      <c r="AH2741" s="253"/>
      <c r="AI2741" s="253"/>
      <c r="AJ2741" s="7"/>
      <c r="AK2741" s="253"/>
      <c r="AL2741" s="253"/>
      <c r="AM2741" s="7"/>
      <c r="AN2741" s="253"/>
      <c r="AO2741" s="253"/>
      <c r="AP2741" s="253"/>
      <c r="AQ2741" s="253"/>
      <c r="AR2741" s="253"/>
      <c r="AS2741" s="253"/>
      <c r="AT2741" s="253"/>
      <c r="AU2741" s="253"/>
      <c r="AV2741" s="253"/>
      <c r="AW2741" s="253"/>
      <c r="AX2741" s="253"/>
      <c r="AY2741" s="253"/>
      <c r="AZ2741" s="253"/>
    </row>
    <row r="2742" spans="1:52" ht="15.5" customHeight="1">
      <c r="A2742" s="363"/>
      <c r="B2742" s="343"/>
      <c r="C2742" s="7"/>
      <c r="D2742" s="254"/>
      <c r="E2742" s="254"/>
      <c r="F2742" s="254"/>
      <c r="G2742" s="253"/>
      <c r="H2742" s="253"/>
      <c r="I2742" s="253"/>
      <c r="J2742" s="253"/>
      <c r="K2742" s="253"/>
      <c r="L2742" s="7"/>
      <c r="M2742" s="7"/>
      <c r="N2742" s="253"/>
      <c r="O2742" s="255"/>
      <c r="P2742" s="253"/>
      <c r="Q2742" s="7"/>
      <c r="R2742" s="7"/>
      <c r="S2742" s="7"/>
      <c r="T2742" s="7"/>
      <c r="U2742" s="7"/>
      <c r="V2742" s="253"/>
      <c r="W2742" s="7"/>
      <c r="X2742" s="256"/>
      <c r="Y2742" s="256"/>
      <c r="Z2742" s="256"/>
      <c r="AA2742" s="256"/>
      <c r="AB2742" s="257"/>
      <c r="AC2742" s="258"/>
      <c r="AD2742" s="7"/>
      <c r="AE2742" s="253"/>
      <c r="AF2742" s="253"/>
      <c r="AG2742" s="259"/>
      <c r="AH2742" s="253"/>
      <c r="AI2742" s="253"/>
      <c r="AJ2742" s="7"/>
      <c r="AK2742" s="253"/>
      <c r="AL2742" s="253"/>
      <c r="AM2742" s="7"/>
      <c r="AN2742" s="253"/>
      <c r="AO2742" s="253"/>
      <c r="AP2742" s="253"/>
      <c r="AQ2742" s="253"/>
      <c r="AR2742" s="253"/>
      <c r="AS2742" s="253"/>
      <c r="AT2742" s="253"/>
      <c r="AU2742" s="253"/>
      <c r="AV2742" s="253"/>
      <c r="AW2742" s="253"/>
      <c r="AX2742" s="253"/>
      <c r="AY2742" s="253"/>
      <c r="AZ2742" s="253"/>
    </row>
    <row r="2743" spans="1:52" ht="15.5" customHeight="1">
      <c r="A2743" s="363"/>
      <c r="B2743" s="343"/>
      <c r="C2743" s="7"/>
      <c r="D2743" s="254"/>
      <c r="E2743" s="254"/>
      <c r="F2743" s="254"/>
      <c r="G2743" s="253"/>
      <c r="H2743" s="253"/>
      <c r="I2743" s="253"/>
      <c r="J2743" s="253"/>
      <c r="K2743" s="253"/>
      <c r="L2743" s="7"/>
      <c r="M2743" s="7"/>
      <c r="N2743" s="253"/>
      <c r="O2743" s="255"/>
      <c r="P2743" s="253"/>
      <c r="Q2743" s="7"/>
      <c r="R2743" s="7"/>
      <c r="S2743" s="7"/>
      <c r="T2743" s="7"/>
      <c r="U2743" s="7"/>
      <c r="V2743" s="253"/>
      <c r="W2743" s="7"/>
      <c r="X2743" s="256"/>
      <c r="Y2743" s="256"/>
      <c r="Z2743" s="256"/>
      <c r="AA2743" s="256"/>
      <c r="AB2743" s="257"/>
      <c r="AC2743" s="258"/>
      <c r="AD2743" s="7"/>
      <c r="AE2743" s="253"/>
      <c r="AF2743" s="253"/>
      <c r="AG2743" s="259"/>
      <c r="AH2743" s="253"/>
      <c r="AI2743" s="253"/>
      <c r="AJ2743" s="7"/>
      <c r="AK2743" s="253"/>
      <c r="AL2743" s="253"/>
      <c r="AM2743" s="7"/>
      <c r="AN2743" s="253"/>
      <c r="AO2743" s="253"/>
      <c r="AP2743" s="253"/>
      <c r="AQ2743" s="253"/>
      <c r="AR2743" s="253"/>
      <c r="AS2743" s="253"/>
      <c r="AT2743" s="253"/>
      <c r="AU2743" s="253"/>
      <c r="AV2743" s="253"/>
      <c r="AW2743" s="253"/>
      <c r="AX2743" s="253"/>
      <c r="AY2743" s="253"/>
      <c r="AZ2743" s="253"/>
    </row>
    <row r="2744" spans="1:52" ht="15.5" customHeight="1">
      <c r="A2744" s="363"/>
      <c r="B2744" s="343"/>
      <c r="C2744" s="7"/>
      <c r="D2744" s="254"/>
      <c r="E2744" s="254"/>
      <c r="F2744" s="254"/>
      <c r="G2744" s="253"/>
      <c r="H2744" s="253"/>
      <c r="I2744" s="253"/>
      <c r="J2744" s="253"/>
      <c r="K2744" s="253"/>
      <c r="L2744" s="7"/>
      <c r="M2744" s="7"/>
      <c r="N2744" s="253"/>
      <c r="O2744" s="255"/>
      <c r="P2744" s="253"/>
      <c r="Q2744" s="7"/>
      <c r="R2744" s="7"/>
      <c r="S2744" s="7"/>
      <c r="T2744" s="7"/>
      <c r="U2744" s="7"/>
      <c r="V2744" s="253"/>
      <c r="W2744" s="7"/>
      <c r="X2744" s="256"/>
      <c r="Y2744" s="256"/>
      <c r="Z2744" s="256"/>
      <c r="AA2744" s="256"/>
      <c r="AB2744" s="257"/>
      <c r="AC2744" s="258"/>
      <c r="AD2744" s="7"/>
      <c r="AE2744" s="253"/>
      <c r="AF2744" s="253"/>
      <c r="AG2744" s="259"/>
      <c r="AH2744" s="253"/>
      <c r="AI2744" s="253"/>
      <c r="AJ2744" s="7"/>
      <c r="AK2744" s="253"/>
      <c r="AL2744" s="253"/>
      <c r="AM2744" s="7"/>
      <c r="AN2744" s="253"/>
      <c r="AO2744" s="253"/>
      <c r="AP2744" s="253"/>
      <c r="AQ2744" s="253"/>
      <c r="AR2744" s="253"/>
      <c r="AS2744" s="253"/>
      <c r="AT2744" s="253"/>
      <c r="AU2744" s="253"/>
      <c r="AV2744" s="253"/>
      <c r="AW2744" s="253"/>
      <c r="AX2744" s="253"/>
      <c r="AY2744" s="253"/>
      <c r="AZ2744" s="253"/>
    </row>
    <row r="2745" spans="1:52" ht="15.5" customHeight="1">
      <c r="A2745" s="363"/>
      <c r="B2745" s="343"/>
      <c r="C2745" s="7"/>
      <c r="D2745" s="254"/>
      <c r="E2745" s="254"/>
      <c r="F2745" s="254"/>
      <c r="G2745" s="253"/>
      <c r="H2745" s="253"/>
      <c r="I2745" s="253"/>
      <c r="J2745" s="253"/>
      <c r="K2745" s="253"/>
      <c r="L2745" s="7"/>
      <c r="M2745" s="7"/>
      <c r="N2745" s="253"/>
      <c r="O2745" s="255"/>
      <c r="P2745" s="253"/>
      <c r="Q2745" s="7"/>
      <c r="R2745" s="7"/>
      <c r="S2745" s="7"/>
      <c r="T2745" s="7"/>
      <c r="U2745" s="7"/>
      <c r="V2745" s="253"/>
      <c r="W2745" s="7"/>
      <c r="X2745" s="256"/>
      <c r="Y2745" s="256"/>
      <c r="Z2745" s="256"/>
      <c r="AA2745" s="256"/>
      <c r="AB2745" s="257"/>
      <c r="AC2745" s="258"/>
      <c r="AD2745" s="7"/>
      <c r="AE2745" s="253"/>
      <c r="AF2745" s="253"/>
      <c r="AG2745" s="259"/>
      <c r="AH2745" s="253"/>
      <c r="AI2745" s="253"/>
      <c r="AJ2745" s="7"/>
      <c r="AK2745" s="253"/>
      <c r="AL2745" s="253"/>
      <c r="AM2745" s="7"/>
      <c r="AN2745" s="253"/>
      <c r="AO2745" s="253"/>
      <c r="AP2745" s="253"/>
      <c r="AQ2745" s="253"/>
      <c r="AR2745" s="253"/>
      <c r="AS2745" s="253"/>
      <c r="AT2745" s="253"/>
      <c r="AU2745" s="253"/>
      <c r="AV2745" s="253"/>
      <c r="AW2745" s="253"/>
      <c r="AX2745" s="253"/>
      <c r="AY2745" s="253"/>
      <c r="AZ2745" s="253"/>
    </row>
    <row r="2746" spans="1:52" ht="15.5" customHeight="1">
      <c r="A2746" s="363"/>
      <c r="B2746" s="343"/>
      <c r="C2746" s="7"/>
      <c r="D2746" s="254"/>
      <c r="E2746" s="254"/>
      <c r="F2746" s="254"/>
      <c r="G2746" s="253"/>
      <c r="H2746" s="253"/>
      <c r="I2746" s="253"/>
      <c r="J2746" s="253"/>
      <c r="K2746" s="253"/>
      <c r="L2746" s="7"/>
      <c r="M2746" s="7"/>
      <c r="N2746" s="253"/>
      <c r="O2746" s="255"/>
      <c r="P2746" s="253"/>
      <c r="Q2746" s="7"/>
      <c r="R2746" s="7"/>
      <c r="S2746" s="7"/>
      <c r="T2746" s="7"/>
      <c r="U2746" s="7"/>
      <c r="V2746" s="253"/>
      <c r="W2746" s="7"/>
      <c r="X2746" s="256"/>
      <c r="Y2746" s="256"/>
      <c r="Z2746" s="256"/>
      <c r="AA2746" s="256"/>
      <c r="AB2746" s="257"/>
      <c r="AC2746" s="258"/>
      <c r="AD2746" s="7"/>
      <c r="AE2746" s="253"/>
      <c r="AF2746" s="253"/>
      <c r="AG2746" s="259"/>
      <c r="AH2746" s="253"/>
      <c r="AI2746" s="253"/>
      <c r="AJ2746" s="7"/>
      <c r="AK2746" s="253"/>
      <c r="AL2746" s="253"/>
      <c r="AM2746" s="7"/>
      <c r="AN2746" s="253"/>
      <c r="AO2746" s="253"/>
      <c r="AP2746" s="253"/>
      <c r="AQ2746" s="253"/>
      <c r="AR2746" s="253"/>
      <c r="AS2746" s="253"/>
      <c r="AT2746" s="253"/>
      <c r="AU2746" s="253"/>
      <c r="AV2746" s="253"/>
      <c r="AW2746" s="253"/>
      <c r="AX2746" s="253"/>
      <c r="AY2746" s="253"/>
      <c r="AZ2746" s="253"/>
    </row>
    <row r="2747" spans="1:52" ht="15.5" customHeight="1">
      <c r="A2747" s="363"/>
      <c r="B2747" s="343"/>
      <c r="C2747" s="7"/>
      <c r="D2747" s="254"/>
      <c r="E2747" s="254"/>
      <c r="F2747" s="254"/>
      <c r="G2747" s="253"/>
      <c r="H2747" s="253"/>
      <c r="I2747" s="253"/>
      <c r="J2747" s="253"/>
      <c r="K2747" s="253"/>
      <c r="L2747" s="7"/>
      <c r="M2747" s="7"/>
      <c r="N2747" s="253"/>
      <c r="O2747" s="255"/>
      <c r="P2747" s="253"/>
      <c r="Q2747" s="7"/>
      <c r="R2747" s="7"/>
      <c r="S2747" s="7"/>
      <c r="T2747" s="7"/>
      <c r="U2747" s="7"/>
      <c r="V2747" s="253"/>
      <c r="W2747" s="7"/>
      <c r="X2747" s="256"/>
      <c r="Y2747" s="256"/>
      <c r="Z2747" s="256"/>
      <c r="AA2747" s="256"/>
      <c r="AB2747" s="257"/>
      <c r="AC2747" s="258"/>
      <c r="AD2747" s="7"/>
      <c r="AE2747" s="253"/>
      <c r="AF2747" s="253"/>
      <c r="AG2747" s="259"/>
      <c r="AH2747" s="253"/>
      <c r="AI2747" s="253"/>
      <c r="AJ2747" s="7"/>
      <c r="AK2747" s="253"/>
      <c r="AL2747" s="253"/>
      <c r="AM2747" s="7"/>
      <c r="AN2747" s="253"/>
      <c r="AO2747" s="253"/>
      <c r="AP2747" s="253"/>
      <c r="AQ2747" s="253"/>
      <c r="AR2747" s="253"/>
      <c r="AS2747" s="253"/>
      <c r="AT2747" s="253"/>
      <c r="AU2747" s="253"/>
      <c r="AV2747" s="253"/>
      <c r="AW2747" s="253"/>
      <c r="AX2747" s="253"/>
      <c r="AY2747" s="253"/>
      <c r="AZ2747" s="253"/>
    </row>
    <row r="2748" spans="1:52" ht="15.5" customHeight="1">
      <c r="A2748" s="363"/>
      <c r="B2748" s="343"/>
      <c r="C2748" s="7"/>
      <c r="D2748" s="254"/>
      <c r="E2748" s="254"/>
      <c r="F2748" s="254"/>
      <c r="G2748" s="253"/>
      <c r="H2748" s="253"/>
      <c r="I2748" s="253"/>
      <c r="J2748" s="253"/>
      <c r="K2748" s="253"/>
      <c r="L2748" s="7"/>
      <c r="M2748" s="7"/>
      <c r="N2748" s="253"/>
      <c r="O2748" s="255"/>
      <c r="P2748" s="253"/>
      <c r="Q2748" s="7"/>
      <c r="R2748" s="7"/>
      <c r="S2748" s="7"/>
      <c r="T2748" s="7"/>
      <c r="U2748" s="7"/>
      <c r="V2748" s="253"/>
      <c r="W2748" s="7"/>
      <c r="X2748" s="256"/>
      <c r="Y2748" s="256"/>
      <c r="Z2748" s="256"/>
      <c r="AA2748" s="256"/>
      <c r="AB2748" s="257"/>
      <c r="AC2748" s="258"/>
      <c r="AD2748" s="7"/>
      <c r="AE2748" s="253"/>
      <c r="AF2748" s="253"/>
      <c r="AG2748" s="259"/>
      <c r="AH2748" s="253"/>
      <c r="AI2748" s="253"/>
      <c r="AJ2748" s="7"/>
      <c r="AK2748" s="253"/>
      <c r="AL2748" s="253"/>
      <c r="AM2748" s="7"/>
      <c r="AN2748" s="253"/>
      <c r="AO2748" s="253"/>
      <c r="AP2748" s="253"/>
      <c r="AQ2748" s="253"/>
      <c r="AR2748" s="253"/>
      <c r="AS2748" s="253"/>
      <c r="AT2748" s="253"/>
      <c r="AU2748" s="253"/>
      <c r="AV2748" s="253"/>
      <c r="AW2748" s="253"/>
      <c r="AX2748" s="253"/>
      <c r="AY2748" s="253"/>
      <c r="AZ2748" s="253"/>
    </row>
    <row r="2749" spans="1:52" ht="15.5" customHeight="1">
      <c r="A2749" s="363"/>
      <c r="B2749" s="343"/>
      <c r="C2749" s="7"/>
      <c r="D2749" s="254"/>
      <c r="E2749" s="254"/>
      <c r="F2749" s="254"/>
      <c r="G2749" s="253"/>
      <c r="H2749" s="253"/>
      <c r="I2749" s="253"/>
      <c r="J2749" s="253"/>
      <c r="K2749" s="253"/>
      <c r="L2749" s="7"/>
      <c r="M2749" s="7"/>
      <c r="N2749" s="253"/>
      <c r="O2749" s="255"/>
      <c r="P2749" s="253"/>
      <c r="Q2749" s="7"/>
      <c r="R2749" s="7"/>
      <c r="S2749" s="7"/>
      <c r="T2749" s="7"/>
      <c r="U2749" s="7"/>
      <c r="V2749" s="253"/>
      <c r="W2749" s="7"/>
      <c r="X2749" s="256"/>
      <c r="Y2749" s="256"/>
      <c r="Z2749" s="256"/>
      <c r="AA2749" s="256"/>
      <c r="AB2749" s="257"/>
      <c r="AC2749" s="258"/>
      <c r="AD2749" s="7"/>
      <c r="AE2749" s="253"/>
      <c r="AF2749" s="253"/>
      <c r="AG2749" s="259"/>
      <c r="AH2749" s="253"/>
      <c r="AI2749" s="253"/>
      <c r="AJ2749" s="7"/>
      <c r="AK2749" s="253"/>
      <c r="AL2749" s="253"/>
      <c r="AM2749" s="7"/>
      <c r="AN2749" s="253"/>
      <c r="AO2749" s="253"/>
      <c r="AP2749" s="253"/>
      <c r="AQ2749" s="253"/>
      <c r="AR2749" s="253"/>
      <c r="AS2749" s="253"/>
      <c r="AT2749" s="253"/>
      <c r="AU2749" s="253"/>
      <c r="AV2749" s="253"/>
      <c r="AW2749" s="253"/>
      <c r="AX2749" s="253"/>
      <c r="AY2749" s="253"/>
      <c r="AZ2749" s="253"/>
    </row>
    <row r="2750" spans="1:52" ht="15.5" customHeight="1">
      <c r="A2750" s="363"/>
      <c r="B2750" s="343"/>
      <c r="C2750" s="7"/>
      <c r="D2750" s="254"/>
      <c r="E2750" s="254"/>
      <c r="F2750" s="254"/>
      <c r="G2750" s="253"/>
      <c r="H2750" s="253"/>
      <c r="I2750" s="253"/>
      <c r="J2750" s="253"/>
      <c r="K2750" s="253"/>
      <c r="L2750" s="7"/>
      <c r="M2750" s="7"/>
      <c r="N2750" s="253"/>
      <c r="O2750" s="255"/>
      <c r="P2750" s="253"/>
      <c r="Q2750" s="7"/>
      <c r="R2750" s="7"/>
      <c r="S2750" s="7"/>
      <c r="T2750" s="7"/>
      <c r="U2750" s="7"/>
      <c r="V2750" s="253"/>
      <c r="W2750" s="7"/>
      <c r="X2750" s="256"/>
      <c r="Y2750" s="256"/>
      <c r="Z2750" s="256"/>
      <c r="AA2750" s="256"/>
      <c r="AB2750" s="257"/>
      <c r="AC2750" s="258"/>
      <c r="AD2750" s="7"/>
      <c r="AE2750" s="253"/>
      <c r="AF2750" s="253"/>
      <c r="AG2750" s="259"/>
      <c r="AH2750" s="253"/>
      <c r="AI2750" s="253"/>
      <c r="AJ2750" s="7"/>
      <c r="AK2750" s="253"/>
      <c r="AL2750" s="253"/>
      <c r="AM2750" s="7"/>
      <c r="AN2750" s="253"/>
      <c r="AO2750" s="253"/>
      <c r="AP2750" s="253"/>
      <c r="AQ2750" s="253"/>
      <c r="AR2750" s="253"/>
      <c r="AS2750" s="253"/>
      <c r="AT2750" s="253"/>
      <c r="AU2750" s="253"/>
      <c r="AV2750" s="253"/>
      <c r="AW2750" s="253"/>
      <c r="AX2750" s="253"/>
      <c r="AY2750" s="253"/>
      <c r="AZ2750" s="253"/>
    </row>
    <row r="2751" spans="1:52" ht="15.5" customHeight="1">
      <c r="A2751" s="363"/>
      <c r="B2751" s="343"/>
      <c r="C2751" s="7"/>
      <c r="D2751" s="254"/>
      <c r="E2751" s="254"/>
      <c r="F2751" s="254"/>
      <c r="G2751" s="253"/>
      <c r="H2751" s="253"/>
      <c r="I2751" s="253"/>
      <c r="J2751" s="253"/>
      <c r="K2751" s="253"/>
      <c r="L2751" s="7"/>
      <c r="M2751" s="7"/>
      <c r="N2751" s="253"/>
      <c r="O2751" s="255"/>
      <c r="P2751" s="253"/>
      <c r="Q2751" s="7"/>
      <c r="R2751" s="7"/>
      <c r="S2751" s="7"/>
      <c r="T2751" s="7"/>
      <c r="U2751" s="7"/>
      <c r="V2751" s="253"/>
      <c r="W2751" s="7"/>
      <c r="X2751" s="256"/>
      <c r="Y2751" s="256"/>
      <c r="Z2751" s="256"/>
      <c r="AA2751" s="256"/>
      <c r="AB2751" s="257"/>
      <c r="AC2751" s="258"/>
      <c r="AD2751" s="7"/>
      <c r="AE2751" s="253"/>
      <c r="AF2751" s="253"/>
      <c r="AG2751" s="259"/>
      <c r="AH2751" s="253"/>
      <c r="AI2751" s="253"/>
      <c r="AJ2751" s="7"/>
      <c r="AK2751" s="253"/>
      <c r="AL2751" s="253"/>
      <c r="AM2751" s="7"/>
      <c r="AN2751" s="253"/>
      <c r="AO2751" s="253"/>
      <c r="AP2751" s="253"/>
      <c r="AQ2751" s="253"/>
      <c r="AR2751" s="253"/>
      <c r="AS2751" s="253"/>
      <c r="AT2751" s="253"/>
      <c r="AU2751" s="253"/>
      <c r="AV2751" s="253"/>
      <c r="AW2751" s="253"/>
      <c r="AX2751" s="253"/>
      <c r="AY2751" s="253"/>
      <c r="AZ2751" s="253"/>
    </row>
    <row r="2752" spans="1:52" ht="15.5" customHeight="1">
      <c r="A2752" s="363"/>
      <c r="B2752" s="343"/>
      <c r="C2752" s="7"/>
      <c r="D2752" s="254"/>
      <c r="E2752" s="254"/>
      <c r="F2752" s="254"/>
      <c r="G2752" s="253"/>
      <c r="H2752" s="253"/>
      <c r="I2752" s="253"/>
      <c r="J2752" s="253"/>
      <c r="K2752" s="253"/>
      <c r="L2752" s="7"/>
      <c r="M2752" s="7"/>
      <c r="N2752" s="253"/>
      <c r="O2752" s="255"/>
      <c r="P2752" s="253"/>
      <c r="Q2752" s="7"/>
      <c r="R2752" s="7"/>
      <c r="S2752" s="7"/>
      <c r="T2752" s="7"/>
      <c r="U2752" s="7"/>
      <c r="V2752" s="253"/>
      <c r="W2752" s="7"/>
      <c r="X2752" s="256"/>
      <c r="Y2752" s="256"/>
      <c r="Z2752" s="256"/>
      <c r="AA2752" s="256"/>
      <c r="AB2752" s="257"/>
      <c r="AC2752" s="258"/>
      <c r="AD2752" s="7"/>
      <c r="AE2752" s="253"/>
      <c r="AF2752" s="253"/>
      <c r="AG2752" s="259"/>
      <c r="AH2752" s="253"/>
      <c r="AI2752" s="253"/>
      <c r="AJ2752" s="7"/>
      <c r="AK2752" s="253"/>
      <c r="AL2752" s="253"/>
      <c r="AM2752" s="7"/>
      <c r="AN2752" s="253"/>
      <c r="AO2752" s="253"/>
      <c r="AP2752" s="253"/>
      <c r="AQ2752" s="253"/>
      <c r="AR2752" s="253"/>
      <c r="AS2752" s="253"/>
      <c r="AT2752" s="253"/>
      <c r="AU2752" s="253"/>
      <c r="AV2752" s="253"/>
      <c r="AW2752" s="253"/>
      <c r="AX2752" s="253"/>
      <c r="AY2752" s="253"/>
      <c r="AZ2752" s="253"/>
    </row>
    <row r="2753" spans="1:52" ht="15.5" customHeight="1">
      <c r="A2753" s="363"/>
      <c r="B2753" s="343"/>
      <c r="C2753" s="7"/>
      <c r="D2753" s="254"/>
      <c r="E2753" s="254"/>
      <c r="F2753" s="254"/>
      <c r="G2753" s="253"/>
      <c r="H2753" s="253"/>
      <c r="I2753" s="253"/>
      <c r="J2753" s="253"/>
      <c r="K2753" s="253"/>
      <c r="L2753" s="7"/>
      <c r="M2753" s="7"/>
      <c r="N2753" s="253"/>
      <c r="O2753" s="255"/>
      <c r="P2753" s="253"/>
      <c r="Q2753" s="7"/>
      <c r="R2753" s="7"/>
      <c r="S2753" s="7"/>
      <c r="T2753" s="7"/>
      <c r="U2753" s="7"/>
      <c r="V2753" s="253"/>
      <c r="W2753" s="7"/>
      <c r="X2753" s="256"/>
      <c r="Y2753" s="256"/>
      <c r="Z2753" s="256"/>
      <c r="AA2753" s="256"/>
      <c r="AB2753" s="257"/>
      <c r="AC2753" s="258"/>
      <c r="AD2753" s="7"/>
      <c r="AE2753" s="253"/>
      <c r="AF2753" s="253"/>
      <c r="AG2753" s="259"/>
      <c r="AH2753" s="253"/>
      <c r="AI2753" s="253"/>
      <c r="AJ2753" s="7"/>
      <c r="AK2753" s="253"/>
      <c r="AL2753" s="253"/>
      <c r="AM2753" s="7"/>
      <c r="AN2753" s="253"/>
      <c r="AO2753" s="253"/>
      <c r="AP2753" s="253"/>
      <c r="AQ2753" s="253"/>
      <c r="AR2753" s="253"/>
      <c r="AS2753" s="253"/>
      <c r="AT2753" s="253"/>
      <c r="AU2753" s="253"/>
      <c r="AV2753" s="253"/>
      <c r="AW2753" s="253"/>
      <c r="AX2753" s="253"/>
      <c r="AY2753" s="253"/>
      <c r="AZ2753" s="253"/>
    </row>
    <row r="2754" spans="1:52" ht="15.5" customHeight="1">
      <c r="A2754" s="363"/>
      <c r="B2754" s="343"/>
      <c r="C2754" s="7"/>
      <c r="D2754" s="254"/>
      <c r="E2754" s="254"/>
      <c r="F2754" s="254"/>
      <c r="G2754" s="253"/>
      <c r="H2754" s="253"/>
      <c r="I2754" s="253"/>
      <c r="J2754" s="253"/>
      <c r="K2754" s="253"/>
      <c r="L2754" s="7"/>
      <c r="M2754" s="7"/>
      <c r="N2754" s="253"/>
      <c r="O2754" s="255"/>
      <c r="P2754" s="253"/>
      <c r="Q2754" s="7"/>
      <c r="R2754" s="7"/>
      <c r="S2754" s="7"/>
      <c r="T2754" s="7"/>
      <c r="U2754" s="7"/>
      <c r="V2754" s="253"/>
      <c r="W2754" s="7"/>
      <c r="X2754" s="256"/>
      <c r="Y2754" s="256"/>
      <c r="Z2754" s="256"/>
      <c r="AA2754" s="256"/>
      <c r="AB2754" s="257"/>
      <c r="AC2754" s="258"/>
      <c r="AD2754" s="7"/>
      <c r="AE2754" s="253"/>
      <c r="AF2754" s="253"/>
      <c r="AG2754" s="259"/>
      <c r="AH2754" s="253"/>
      <c r="AI2754" s="253"/>
      <c r="AJ2754" s="7"/>
      <c r="AK2754" s="253"/>
      <c r="AL2754" s="253"/>
      <c r="AM2754" s="7"/>
      <c r="AN2754" s="253"/>
      <c r="AO2754" s="253"/>
      <c r="AP2754" s="253"/>
      <c r="AQ2754" s="253"/>
      <c r="AR2754" s="253"/>
      <c r="AS2754" s="253"/>
      <c r="AT2754" s="253"/>
      <c r="AU2754" s="253"/>
      <c r="AV2754" s="253"/>
      <c r="AW2754" s="253"/>
      <c r="AX2754" s="253"/>
      <c r="AY2754" s="253"/>
      <c r="AZ2754" s="253"/>
    </row>
    <row r="2755" spans="1:52" ht="15.5" customHeight="1">
      <c r="A2755" s="363"/>
      <c r="B2755" s="343"/>
      <c r="C2755" s="7"/>
      <c r="D2755" s="254"/>
      <c r="E2755" s="254"/>
      <c r="F2755" s="254"/>
      <c r="G2755" s="253"/>
      <c r="H2755" s="253"/>
      <c r="I2755" s="253"/>
      <c r="J2755" s="253"/>
      <c r="K2755" s="253"/>
      <c r="L2755" s="7"/>
      <c r="M2755" s="7"/>
      <c r="N2755" s="253"/>
      <c r="O2755" s="255"/>
      <c r="P2755" s="253"/>
      <c r="Q2755" s="7"/>
      <c r="R2755" s="7"/>
      <c r="S2755" s="7"/>
      <c r="T2755" s="7"/>
      <c r="U2755" s="7"/>
      <c r="V2755" s="253"/>
      <c r="W2755" s="7"/>
      <c r="X2755" s="256"/>
      <c r="Y2755" s="256"/>
      <c r="Z2755" s="256"/>
      <c r="AA2755" s="256"/>
      <c r="AB2755" s="257"/>
      <c r="AC2755" s="258"/>
      <c r="AD2755" s="7"/>
      <c r="AE2755" s="253"/>
      <c r="AF2755" s="253"/>
      <c r="AG2755" s="259"/>
      <c r="AH2755" s="253"/>
      <c r="AI2755" s="253"/>
      <c r="AJ2755" s="7"/>
      <c r="AK2755" s="253"/>
      <c r="AL2755" s="253"/>
      <c r="AM2755" s="7"/>
      <c r="AN2755" s="253"/>
      <c r="AO2755" s="253"/>
      <c r="AP2755" s="253"/>
      <c r="AQ2755" s="253"/>
      <c r="AR2755" s="253"/>
      <c r="AS2755" s="253"/>
      <c r="AT2755" s="253"/>
      <c r="AU2755" s="253"/>
      <c r="AV2755" s="253"/>
      <c r="AW2755" s="253"/>
      <c r="AX2755" s="253"/>
      <c r="AY2755" s="253"/>
      <c r="AZ2755" s="253"/>
    </row>
    <row r="2756" spans="1:52" ht="15.5" customHeight="1">
      <c r="A2756" s="363"/>
      <c r="B2756" s="343"/>
      <c r="C2756" s="7"/>
      <c r="D2756" s="254"/>
      <c r="E2756" s="254"/>
      <c r="F2756" s="254"/>
      <c r="G2756" s="253"/>
      <c r="H2756" s="253"/>
      <c r="I2756" s="253"/>
      <c r="J2756" s="253"/>
      <c r="K2756" s="253"/>
      <c r="L2756" s="7"/>
      <c r="M2756" s="7"/>
      <c r="N2756" s="253"/>
      <c r="O2756" s="255"/>
      <c r="P2756" s="253"/>
      <c r="Q2756" s="7"/>
      <c r="R2756" s="7"/>
      <c r="S2756" s="7"/>
      <c r="T2756" s="7"/>
      <c r="U2756" s="7"/>
      <c r="V2756" s="253"/>
      <c r="W2756" s="7"/>
      <c r="X2756" s="256"/>
      <c r="Y2756" s="256"/>
      <c r="Z2756" s="256"/>
      <c r="AA2756" s="256"/>
      <c r="AB2756" s="257"/>
      <c r="AC2756" s="258"/>
      <c r="AD2756" s="7"/>
      <c r="AE2756" s="253"/>
      <c r="AF2756" s="253"/>
      <c r="AG2756" s="259"/>
      <c r="AH2756" s="253"/>
      <c r="AI2756" s="253"/>
      <c r="AJ2756" s="7"/>
      <c r="AK2756" s="253"/>
      <c r="AL2756" s="253"/>
      <c r="AM2756" s="7"/>
      <c r="AN2756" s="253"/>
      <c r="AO2756" s="253"/>
      <c r="AP2756" s="253"/>
      <c r="AQ2756" s="253"/>
      <c r="AR2756" s="253"/>
      <c r="AS2756" s="253"/>
      <c r="AT2756" s="253"/>
      <c r="AU2756" s="253"/>
      <c r="AV2756" s="253"/>
      <c r="AW2756" s="253"/>
      <c r="AX2756" s="253"/>
      <c r="AY2756" s="253"/>
      <c r="AZ2756" s="253"/>
    </row>
    <row r="2757" spans="1:52" ht="15.5" customHeight="1">
      <c r="A2757" s="363"/>
      <c r="B2757" s="343"/>
      <c r="C2757" s="7"/>
      <c r="D2757" s="254"/>
      <c r="E2757" s="254"/>
      <c r="F2757" s="254"/>
      <c r="G2757" s="253"/>
      <c r="H2757" s="253"/>
      <c r="I2757" s="253"/>
      <c r="J2757" s="253"/>
      <c r="K2757" s="253"/>
      <c r="L2757" s="7"/>
      <c r="M2757" s="7"/>
      <c r="N2757" s="253"/>
      <c r="O2757" s="255"/>
      <c r="P2757" s="253"/>
      <c r="Q2757" s="7"/>
      <c r="R2757" s="7"/>
      <c r="S2757" s="7"/>
      <c r="T2757" s="7"/>
      <c r="U2757" s="7"/>
      <c r="V2757" s="253"/>
      <c r="W2757" s="7"/>
      <c r="X2757" s="256"/>
      <c r="Y2757" s="256"/>
      <c r="Z2757" s="256"/>
      <c r="AA2757" s="256"/>
      <c r="AB2757" s="257"/>
      <c r="AC2757" s="258"/>
      <c r="AD2757" s="7"/>
      <c r="AE2757" s="253"/>
      <c r="AF2757" s="253"/>
      <c r="AG2757" s="259"/>
      <c r="AH2757" s="253"/>
      <c r="AI2757" s="253"/>
      <c r="AJ2757" s="7"/>
      <c r="AK2757" s="253"/>
      <c r="AL2757" s="253"/>
      <c r="AM2757" s="7"/>
      <c r="AN2757" s="253"/>
      <c r="AO2757" s="253"/>
      <c r="AP2757" s="253"/>
      <c r="AQ2757" s="253"/>
      <c r="AR2757" s="253"/>
      <c r="AS2757" s="253"/>
      <c r="AT2757" s="253"/>
      <c r="AU2757" s="253"/>
      <c r="AV2757" s="253"/>
      <c r="AW2757" s="253"/>
      <c r="AX2757" s="253"/>
      <c r="AY2757" s="253"/>
      <c r="AZ2757" s="253"/>
    </row>
    <row r="2758" spans="1:52" ht="15.5" customHeight="1">
      <c r="A2758" s="363"/>
      <c r="B2758" s="343"/>
      <c r="C2758" s="7"/>
      <c r="D2758" s="254"/>
      <c r="E2758" s="254"/>
      <c r="F2758" s="254"/>
      <c r="G2758" s="253"/>
      <c r="H2758" s="253"/>
      <c r="I2758" s="253"/>
      <c r="J2758" s="253"/>
      <c r="K2758" s="253"/>
      <c r="L2758" s="7"/>
      <c r="M2758" s="7"/>
      <c r="N2758" s="253"/>
      <c r="O2758" s="255"/>
      <c r="P2758" s="253"/>
      <c r="Q2758" s="7"/>
      <c r="R2758" s="7"/>
      <c r="S2758" s="7"/>
      <c r="T2758" s="7"/>
      <c r="U2758" s="7"/>
      <c r="V2758" s="253"/>
      <c r="W2758" s="7"/>
      <c r="X2758" s="256"/>
      <c r="Y2758" s="256"/>
      <c r="Z2758" s="256"/>
      <c r="AA2758" s="256"/>
      <c r="AB2758" s="257"/>
      <c r="AC2758" s="258"/>
      <c r="AD2758" s="7"/>
      <c r="AE2758" s="253"/>
      <c r="AF2758" s="253"/>
      <c r="AG2758" s="259"/>
      <c r="AH2758" s="253"/>
      <c r="AI2758" s="253"/>
      <c r="AJ2758" s="7"/>
      <c r="AK2758" s="253"/>
      <c r="AL2758" s="253"/>
      <c r="AM2758" s="7"/>
      <c r="AN2758" s="253"/>
      <c r="AO2758" s="253"/>
      <c r="AP2758" s="253"/>
      <c r="AQ2758" s="253"/>
      <c r="AR2758" s="253"/>
      <c r="AS2758" s="253"/>
      <c r="AT2758" s="253"/>
      <c r="AU2758" s="253"/>
      <c r="AV2758" s="253"/>
      <c r="AW2758" s="253"/>
      <c r="AX2758" s="253"/>
      <c r="AY2758" s="253"/>
      <c r="AZ2758" s="253"/>
    </row>
    <row r="2759" spans="1:52" ht="15.5" customHeight="1">
      <c r="A2759" s="363"/>
      <c r="B2759" s="343"/>
      <c r="C2759" s="7"/>
      <c r="D2759" s="254"/>
      <c r="E2759" s="254"/>
      <c r="F2759" s="254"/>
      <c r="G2759" s="253"/>
      <c r="H2759" s="253"/>
      <c r="I2759" s="253"/>
      <c r="J2759" s="253"/>
      <c r="K2759" s="253"/>
      <c r="L2759" s="7"/>
      <c r="M2759" s="7"/>
      <c r="N2759" s="253"/>
      <c r="O2759" s="255"/>
      <c r="P2759" s="253"/>
      <c r="Q2759" s="7"/>
      <c r="R2759" s="7"/>
      <c r="S2759" s="7"/>
      <c r="T2759" s="7"/>
      <c r="U2759" s="7"/>
      <c r="V2759" s="253"/>
      <c r="W2759" s="7"/>
      <c r="X2759" s="256"/>
      <c r="Y2759" s="256"/>
      <c r="Z2759" s="256"/>
      <c r="AA2759" s="256"/>
      <c r="AB2759" s="257"/>
      <c r="AC2759" s="258"/>
      <c r="AD2759" s="7"/>
      <c r="AE2759" s="253"/>
      <c r="AF2759" s="253"/>
      <c r="AG2759" s="259"/>
      <c r="AH2759" s="253"/>
      <c r="AI2759" s="253"/>
      <c r="AJ2759" s="7"/>
      <c r="AK2759" s="253"/>
      <c r="AL2759" s="253"/>
      <c r="AM2759" s="7"/>
      <c r="AN2759" s="253"/>
      <c r="AO2759" s="253"/>
      <c r="AP2759" s="253"/>
      <c r="AQ2759" s="253"/>
      <c r="AR2759" s="253"/>
      <c r="AS2759" s="253"/>
      <c r="AT2759" s="253"/>
      <c r="AU2759" s="253"/>
      <c r="AV2759" s="253"/>
      <c r="AW2759" s="253"/>
      <c r="AX2759" s="253"/>
      <c r="AY2759" s="253"/>
      <c r="AZ2759" s="253"/>
    </row>
    <row r="2760" spans="1:52" ht="15.5" customHeight="1">
      <c r="A2760" s="363"/>
      <c r="B2760" s="343"/>
      <c r="C2760" s="7"/>
      <c r="D2760" s="254"/>
      <c r="E2760" s="254"/>
      <c r="F2760" s="254"/>
      <c r="G2760" s="253"/>
      <c r="H2760" s="253"/>
      <c r="I2760" s="253"/>
      <c r="J2760" s="253"/>
      <c r="K2760" s="253"/>
      <c r="L2760" s="7"/>
      <c r="M2760" s="7"/>
      <c r="N2760" s="253"/>
      <c r="O2760" s="255"/>
      <c r="P2760" s="253"/>
      <c r="Q2760" s="7"/>
      <c r="R2760" s="7"/>
      <c r="S2760" s="7"/>
      <c r="T2760" s="7"/>
      <c r="U2760" s="7"/>
      <c r="V2760" s="253"/>
      <c r="W2760" s="7"/>
      <c r="X2760" s="256"/>
      <c r="Y2760" s="256"/>
      <c r="Z2760" s="256"/>
      <c r="AA2760" s="256"/>
      <c r="AB2760" s="257"/>
      <c r="AC2760" s="258"/>
      <c r="AD2760" s="7"/>
      <c r="AE2760" s="253"/>
      <c r="AF2760" s="253"/>
      <c r="AG2760" s="259"/>
      <c r="AH2760" s="253"/>
      <c r="AI2760" s="253"/>
      <c r="AJ2760" s="7"/>
      <c r="AK2760" s="253"/>
      <c r="AL2760" s="253"/>
      <c r="AM2760" s="7"/>
      <c r="AN2760" s="253"/>
      <c r="AO2760" s="253"/>
      <c r="AP2760" s="253"/>
      <c r="AQ2760" s="253"/>
      <c r="AR2760" s="253"/>
      <c r="AS2760" s="253"/>
      <c r="AT2760" s="253"/>
      <c r="AU2760" s="253"/>
      <c r="AV2760" s="253"/>
      <c r="AW2760" s="253"/>
      <c r="AX2760" s="253"/>
      <c r="AY2760" s="253"/>
      <c r="AZ2760" s="253"/>
    </row>
    <row r="2761" spans="1:52" ht="15.5" customHeight="1">
      <c r="A2761" s="363"/>
      <c r="B2761" s="343"/>
      <c r="C2761" s="7"/>
      <c r="D2761" s="254"/>
      <c r="E2761" s="254"/>
      <c r="F2761" s="254"/>
      <c r="G2761" s="253"/>
      <c r="H2761" s="253"/>
      <c r="I2761" s="253"/>
      <c r="J2761" s="253"/>
      <c r="K2761" s="253"/>
      <c r="L2761" s="7"/>
      <c r="M2761" s="7"/>
      <c r="N2761" s="253"/>
      <c r="O2761" s="255"/>
      <c r="P2761" s="253"/>
      <c r="Q2761" s="7"/>
      <c r="R2761" s="7"/>
      <c r="S2761" s="7"/>
      <c r="T2761" s="7"/>
      <c r="U2761" s="7"/>
      <c r="V2761" s="253"/>
      <c r="W2761" s="7"/>
      <c r="X2761" s="256"/>
      <c r="Y2761" s="256"/>
      <c r="Z2761" s="256"/>
      <c r="AA2761" s="256"/>
      <c r="AB2761" s="257"/>
      <c r="AC2761" s="258"/>
      <c r="AD2761" s="7"/>
      <c r="AE2761" s="253"/>
      <c r="AF2761" s="253"/>
      <c r="AG2761" s="259"/>
      <c r="AH2761" s="253"/>
      <c r="AI2761" s="253"/>
      <c r="AJ2761" s="7"/>
      <c r="AK2761" s="253"/>
      <c r="AL2761" s="253"/>
      <c r="AM2761" s="7"/>
      <c r="AN2761" s="253"/>
      <c r="AO2761" s="253"/>
      <c r="AP2761" s="253"/>
      <c r="AQ2761" s="253"/>
      <c r="AR2761" s="253"/>
      <c r="AS2761" s="253"/>
      <c r="AT2761" s="253"/>
      <c r="AU2761" s="253"/>
      <c r="AV2761" s="253"/>
      <c r="AW2761" s="253"/>
      <c r="AX2761" s="253"/>
      <c r="AY2761" s="253"/>
      <c r="AZ2761" s="253"/>
    </row>
    <row r="2762" spans="1:52" ht="15.5" customHeight="1">
      <c r="A2762" s="363"/>
      <c r="B2762" s="343"/>
      <c r="C2762" s="7"/>
      <c r="D2762" s="254"/>
      <c r="E2762" s="254"/>
      <c r="F2762" s="254"/>
      <c r="G2762" s="253"/>
      <c r="H2762" s="253"/>
      <c r="I2762" s="253"/>
      <c r="J2762" s="253"/>
      <c r="K2762" s="253"/>
      <c r="L2762" s="7"/>
      <c r="M2762" s="7"/>
      <c r="N2762" s="253"/>
      <c r="O2762" s="255"/>
      <c r="P2762" s="253"/>
      <c r="Q2762" s="7"/>
      <c r="R2762" s="7"/>
      <c r="S2762" s="7"/>
      <c r="T2762" s="7"/>
      <c r="U2762" s="7"/>
      <c r="V2762" s="253"/>
      <c r="W2762" s="7"/>
      <c r="X2762" s="256"/>
      <c r="Y2762" s="256"/>
      <c r="Z2762" s="256"/>
      <c r="AA2762" s="256"/>
      <c r="AB2762" s="257"/>
      <c r="AC2762" s="258"/>
      <c r="AD2762" s="7"/>
      <c r="AE2762" s="253"/>
      <c r="AF2762" s="253"/>
      <c r="AG2762" s="259"/>
      <c r="AH2762" s="253"/>
      <c r="AI2762" s="253"/>
      <c r="AJ2762" s="7"/>
      <c r="AK2762" s="253"/>
      <c r="AL2762" s="253"/>
      <c r="AM2762" s="7"/>
      <c r="AN2762" s="253"/>
      <c r="AO2762" s="253"/>
      <c r="AP2762" s="253"/>
      <c r="AQ2762" s="253"/>
      <c r="AR2762" s="253"/>
      <c r="AS2762" s="253"/>
      <c r="AT2762" s="253"/>
      <c r="AU2762" s="253"/>
      <c r="AV2762" s="253"/>
      <c r="AW2762" s="253"/>
      <c r="AX2762" s="253"/>
      <c r="AY2762" s="253"/>
      <c r="AZ2762" s="253"/>
    </row>
    <row r="2763" spans="1:52" ht="15.5" customHeight="1">
      <c r="A2763" s="363"/>
      <c r="B2763" s="343"/>
      <c r="C2763" s="7"/>
      <c r="D2763" s="254"/>
      <c r="E2763" s="254"/>
      <c r="F2763" s="254"/>
      <c r="G2763" s="253"/>
      <c r="H2763" s="253"/>
      <c r="I2763" s="253"/>
      <c r="J2763" s="253"/>
      <c r="K2763" s="253"/>
      <c r="L2763" s="7"/>
      <c r="M2763" s="7"/>
      <c r="N2763" s="253"/>
      <c r="O2763" s="255"/>
      <c r="P2763" s="253"/>
      <c r="Q2763" s="7"/>
      <c r="R2763" s="7"/>
      <c r="S2763" s="7"/>
      <c r="T2763" s="7"/>
      <c r="U2763" s="7"/>
      <c r="V2763" s="253"/>
      <c r="W2763" s="7"/>
      <c r="X2763" s="256"/>
      <c r="Y2763" s="256"/>
      <c r="Z2763" s="256"/>
      <c r="AA2763" s="256"/>
      <c r="AB2763" s="257"/>
      <c r="AC2763" s="258"/>
      <c r="AD2763" s="7"/>
      <c r="AE2763" s="253"/>
      <c r="AF2763" s="253"/>
      <c r="AG2763" s="259"/>
      <c r="AH2763" s="253"/>
      <c r="AI2763" s="253"/>
      <c r="AJ2763" s="7"/>
      <c r="AK2763" s="253"/>
      <c r="AL2763" s="253"/>
      <c r="AM2763" s="7"/>
      <c r="AN2763" s="253"/>
      <c r="AO2763" s="253"/>
      <c r="AP2763" s="253"/>
      <c r="AQ2763" s="253"/>
      <c r="AR2763" s="253"/>
      <c r="AS2763" s="253"/>
      <c r="AT2763" s="253"/>
      <c r="AU2763" s="253"/>
      <c r="AV2763" s="253"/>
      <c r="AW2763" s="253"/>
      <c r="AX2763" s="253"/>
      <c r="AY2763" s="253"/>
      <c r="AZ2763" s="253"/>
    </row>
    <row r="2764" spans="1:52" ht="15.5" customHeight="1">
      <c r="A2764" s="363"/>
      <c r="B2764" s="343"/>
      <c r="C2764" s="7"/>
      <c r="D2764" s="254"/>
      <c r="E2764" s="254"/>
      <c r="F2764" s="254"/>
      <c r="G2764" s="253"/>
      <c r="H2764" s="253"/>
      <c r="I2764" s="253"/>
      <c r="J2764" s="253"/>
      <c r="K2764" s="253"/>
      <c r="L2764" s="7"/>
      <c r="M2764" s="7"/>
      <c r="N2764" s="253"/>
      <c r="O2764" s="255"/>
      <c r="P2764" s="253"/>
      <c r="Q2764" s="7"/>
      <c r="R2764" s="7"/>
      <c r="S2764" s="7"/>
      <c r="T2764" s="7"/>
      <c r="U2764" s="7"/>
      <c r="V2764" s="253"/>
      <c r="W2764" s="7"/>
      <c r="X2764" s="256"/>
      <c r="Y2764" s="256"/>
      <c r="Z2764" s="256"/>
      <c r="AA2764" s="256"/>
      <c r="AB2764" s="257"/>
      <c r="AC2764" s="258"/>
      <c r="AD2764" s="7"/>
      <c r="AE2764" s="253"/>
      <c r="AF2764" s="253"/>
      <c r="AG2764" s="259"/>
      <c r="AH2764" s="253"/>
      <c r="AI2764" s="253"/>
      <c r="AJ2764" s="7"/>
      <c r="AK2764" s="253"/>
      <c r="AL2764" s="253"/>
      <c r="AM2764" s="7"/>
      <c r="AN2764" s="253"/>
      <c r="AO2764" s="253"/>
      <c r="AP2764" s="253"/>
      <c r="AQ2764" s="253"/>
      <c r="AR2764" s="253"/>
      <c r="AS2764" s="253"/>
      <c r="AT2764" s="253"/>
      <c r="AU2764" s="253"/>
      <c r="AV2764" s="253"/>
      <c r="AW2764" s="253"/>
      <c r="AX2764" s="253"/>
      <c r="AY2764" s="253"/>
      <c r="AZ2764" s="253"/>
    </row>
    <row r="2765" spans="1:52" ht="15.5" customHeight="1">
      <c r="A2765" s="363"/>
      <c r="B2765" s="343"/>
      <c r="C2765" s="7"/>
      <c r="D2765" s="254"/>
      <c r="E2765" s="254"/>
      <c r="F2765" s="254"/>
      <c r="G2765" s="253"/>
      <c r="H2765" s="253"/>
      <c r="I2765" s="253"/>
      <c r="J2765" s="253"/>
      <c r="K2765" s="253"/>
      <c r="L2765" s="7"/>
      <c r="M2765" s="7"/>
      <c r="N2765" s="253"/>
      <c r="O2765" s="255"/>
      <c r="P2765" s="253"/>
      <c r="Q2765" s="7"/>
      <c r="R2765" s="7"/>
      <c r="S2765" s="7"/>
      <c r="T2765" s="7"/>
      <c r="U2765" s="7"/>
      <c r="V2765" s="253"/>
      <c r="W2765" s="7"/>
      <c r="X2765" s="256"/>
      <c r="Y2765" s="256"/>
      <c r="Z2765" s="256"/>
      <c r="AA2765" s="256"/>
      <c r="AB2765" s="257"/>
      <c r="AC2765" s="258"/>
      <c r="AD2765" s="7"/>
      <c r="AE2765" s="253"/>
      <c r="AF2765" s="253"/>
      <c r="AG2765" s="259"/>
      <c r="AH2765" s="253"/>
      <c r="AI2765" s="253"/>
      <c r="AJ2765" s="7"/>
      <c r="AK2765" s="253"/>
      <c r="AL2765" s="253"/>
      <c r="AM2765" s="7"/>
      <c r="AN2765" s="253"/>
      <c r="AO2765" s="253"/>
      <c r="AP2765" s="253"/>
      <c r="AQ2765" s="253"/>
      <c r="AR2765" s="253"/>
      <c r="AS2765" s="253"/>
      <c r="AT2765" s="253"/>
      <c r="AU2765" s="253"/>
      <c r="AV2765" s="253"/>
      <c r="AW2765" s="253"/>
      <c r="AX2765" s="253"/>
      <c r="AY2765" s="253"/>
      <c r="AZ2765" s="253"/>
    </row>
    <row r="2766" spans="1:52" ht="15.5" customHeight="1">
      <c r="A2766" s="363"/>
      <c r="B2766" s="343"/>
      <c r="C2766" s="7"/>
      <c r="D2766" s="254"/>
      <c r="E2766" s="254"/>
      <c r="F2766" s="254"/>
      <c r="G2766" s="253"/>
      <c r="H2766" s="253"/>
      <c r="I2766" s="253"/>
      <c r="J2766" s="253"/>
      <c r="K2766" s="253"/>
      <c r="L2766" s="7"/>
      <c r="M2766" s="7"/>
      <c r="N2766" s="253"/>
      <c r="O2766" s="255"/>
      <c r="P2766" s="253"/>
      <c r="Q2766" s="7"/>
      <c r="R2766" s="7"/>
      <c r="S2766" s="7"/>
      <c r="T2766" s="7"/>
      <c r="U2766" s="7"/>
      <c r="V2766" s="253"/>
      <c r="W2766" s="7"/>
      <c r="X2766" s="256"/>
      <c r="Y2766" s="256"/>
      <c r="Z2766" s="256"/>
      <c r="AA2766" s="256"/>
      <c r="AB2766" s="257"/>
      <c r="AC2766" s="258"/>
      <c r="AD2766" s="7"/>
      <c r="AE2766" s="253"/>
      <c r="AF2766" s="253"/>
      <c r="AG2766" s="259"/>
      <c r="AH2766" s="253"/>
      <c r="AI2766" s="253"/>
      <c r="AJ2766" s="7"/>
      <c r="AK2766" s="253"/>
      <c r="AL2766" s="253"/>
      <c r="AM2766" s="7"/>
      <c r="AN2766" s="253"/>
      <c r="AO2766" s="253"/>
      <c r="AP2766" s="253"/>
      <c r="AQ2766" s="253"/>
      <c r="AR2766" s="253"/>
      <c r="AS2766" s="253"/>
      <c r="AT2766" s="253"/>
      <c r="AU2766" s="253"/>
      <c r="AV2766" s="253"/>
      <c r="AW2766" s="253"/>
      <c r="AX2766" s="253"/>
      <c r="AY2766" s="253"/>
      <c r="AZ2766" s="253"/>
    </row>
    <row r="2767" spans="1:52" ht="15.5" customHeight="1">
      <c r="A2767" s="363"/>
      <c r="B2767" s="343"/>
      <c r="C2767" s="7"/>
      <c r="D2767" s="254"/>
      <c r="E2767" s="254"/>
      <c r="F2767" s="254"/>
      <c r="G2767" s="253"/>
      <c r="H2767" s="253"/>
      <c r="I2767" s="253"/>
      <c r="J2767" s="253"/>
      <c r="K2767" s="253"/>
      <c r="L2767" s="7"/>
      <c r="M2767" s="7"/>
      <c r="N2767" s="253"/>
      <c r="O2767" s="255"/>
      <c r="P2767" s="253"/>
      <c r="Q2767" s="7"/>
      <c r="R2767" s="7"/>
      <c r="S2767" s="7"/>
      <c r="T2767" s="7"/>
      <c r="U2767" s="7"/>
      <c r="V2767" s="253"/>
      <c r="W2767" s="7"/>
      <c r="X2767" s="256"/>
      <c r="Y2767" s="256"/>
      <c r="Z2767" s="256"/>
      <c r="AA2767" s="256"/>
      <c r="AB2767" s="257"/>
      <c r="AC2767" s="258"/>
      <c r="AD2767" s="7"/>
      <c r="AE2767" s="253"/>
      <c r="AF2767" s="253"/>
      <c r="AG2767" s="259"/>
      <c r="AH2767" s="253"/>
      <c r="AI2767" s="253"/>
      <c r="AJ2767" s="7"/>
      <c r="AK2767" s="253"/>
      <c r="AL2767" s="253"/>
      <c r="AM2767" s="7"/>
      <c r="AN2767" s="253"/>
      <c r="AO2767" s="253"/>
      <c r="AP2767" s="253"/>
      <c r="AQ2767" s="253"/>
      <c r="AR2767" s="253"/>
      <c r="AS2767" s="253"/>
      <c r="AT2767" s="253"/>
      <c r="AU2767" s="253"/>
      <c r="AV2767" s="253"/>
      <c r="AW2767" s="253"/>
      <c r="AX2767" s="253"/>
      <c r="AY2767" s="253"/>
      <c r="AZ2767" s="253"/>
    </row>
    <row r="2768" spans="1:52" ht="15.5" customHeight="1">
      <c r="A2768" s="363"/>
      <c r="B2768" s="343"/>
      <c r="C2768" s="7"/>
      <c r="D2768" s="254"/>
      <c r="E2768" s="254"/>
      <c r="F2768" s="254"/>
      <c r="G2768" s="253"/>
      <c r="H2768" s="253"/>
      <c r="I2768" s="253"/>
      <c r="J2768" s="253"/>
      <c r="K2768" s="253"/>
      <c r="L2768" s="7"/>
      <c r="M2768" s="7"/>
      <c r="N2768" s="253"/>
      <c r="O2768" s="255"/>
      <c r="P2768" s="253"/>
      <c r="Q2768" s="7"/>
      <c r="R2768" s="7"/>
      <c r="S2768" s="7"/>
      <c r="T2768" s="7"/>
      <c r="U2768" s="7"/>
      <c r="V2768" s="253"/>
      <c r="W2768" s="7"/>
      <c r="X2768" s="256"/>
      <c r="Y2768" s="256"/>
      <c r="Z2768" s="256"/>
      <c r="AA2768" s="256"/>
      <c r="AB2768" s="257"/>
      <c r="AC2768" s="258"/>
      <c r="AD2768" s="7"/>
      <c r="AE2768" s="253"/>
      <c r="AF2768" s="253"/>
      <c r="AG2768" s="259"/>
      <c r="AH2768" s="253"/>
      <c r="AI2768" s="253"/>
      <c r="AJ2768" s="7"/>
      <c r="AK2768" s="253"/>
      <c r="AL2768" s="253"/>
      <c r="AM2768" s="7"/>
      <c r="AN2768" s="253"/>
      <c r="AO2768" s="253"/>
      <c r="AP2768" s="253"/>
      <c r="AQ2768" s="253"/>
      <c r="AR2768" s="253"/>
      <c r="AS2768" s="253"/>
      <c r="AT2768" s="253"/>
      <c r="AU2768" s="253"/>
      <c r="AV2768" s="253"/>
      <c r="AW2768" s="253"/>
      <c r="AX2768" s="253"/>
      <c r="AY2768" s="253"/>
      <c r="AZ2768" s="253"/>
    </row>
    <row r="2769" spans="1:52" ht="15.5" customHeight="1">
      <c r="A2769" s="363"/>
      <c r="B2769" s="343"/>
      <c r="C2769" s="7"/>
      <c r="D2769" s="254"/>
      <c r="E2769" s="254"/>
      <c r="F2769" s="254"/>
      <c r="G2769" s="253"/>
      <c r="H2769" s="253"/>
      <c r="I2769" s="253"/>
      <c r="J2769" s="253"/>
      <c r="K2769" s="253"/>
      <c r="L2769" s="7"/>
      <c r="M2769" s="7"/>
      <c r="N2769" s="253"/>
      <c r="O2769" s="255"/>
      <c r="P2769" s="253"/>
      <c r="Q2769" s="7"/>
      <c r="R2769" s="7"/>
      <c r="S2769" s="7"/>
      <c r="T2769" s="7"/>
      <c r="U2769" s="7"/>
      <c r="V2769" s="253"/>
      <c r="W2769" s="7"/>
      <c r="X2769" s="256"/>
      <c r="Y2769" s="256"/>
      <c r="Z2769" s="256"/>
      <c r="AA2769" s="256"/>
      <c r="AB2769" s="257"/>
      <c r="AC2769" s="258"/>
      <c r="AD2769" s="7"/>
      <c r="AE2769" s="253"/>
      <c r="AF2769" s="253"/>
      <c r="AG2769" s="259"/>
      <c r="AH2769" s="253"/>
      <c r="AI2769" s="253"/>
      <c r="AJ2769" s="7"/>
      <c r="AK2769" s="253"/>
      <c r="AL2769" s="253"/>
      <c r="AM2769" s="7"/>
      <c r="AN2769" s="253"/>
      <c r="AO2769" s="253"/>
      <c r="AP2769" s="253"/>
      <c r="AQ2769" s="253"/>
      <c r="AR2769" s="253"/>
      <c r="AS2769" s="253"/>
      <c r="AT2769" s="253"/>
      <c r="AU2769" s="253"/>
      <c r="AV2769" s="253"/>
      <c r="AW2769" s="253"/>
      <c r="AX2769" s="253"/>
      <c r="AY2769" s="253"/>
      <c r="AZ2769" s="253"/>
    </row>
    <row r="2770" spans="1:52" ht="15.5" customHeight="1">
      <c r="A2770" s="363"/>
      <c r="B2770" s="343"/>
      <c r="C2770" s="7"/>
      <c r="D2770" s="254"/>
      <c r="E2770" s="254"/>
      <c r="F2770" s="254"/>
      <c r="G2770" s="253"/>
      <c r="H2770" s="253"/>
      <c r="I2770" s="253"/>
      <c r="J2770" s="253"/>
      <c r="K2770" s="253"/>
      <c r="L2770" s="7"/>
      <c r="M2770" s="7"/>
      <c r="N2770" s="253"/>
      <c r="O2770" s="255"/>
      <c r="P2770" s="253"/>
      <c r="Q2770" s="7"/>
      <c r="R2770" s="7"/>
      <c r="S2770" s="7"/>
      <c r="T2770" s="7"/>
      <c r="U2770" s="7"/>
      <c r="V2770" s="253"/>
      <c r="W2770" s="7"/>
      <c r="X2770" s="256"/>
      <c r="Y2770" s="256"/>
      <c r="Z2770" s="256"/>
      <c r="AA2770" s="256"/>
      <c r="AB2770" s="257"/>
      <c r="AC2770" s="258"/>
      <c r="AD2770" s="7"/>
      <c r="AE2770" s="253"/>
      <c r="AF2770" s="253"/>
      <c r="AG2770" s="259"/>
      <c r="AH2770" s="253"/>
      <c r="AI2770" s="253"/>
      <c r="AJ2770" s="7"/>
      <c r="AK2770" s="253"/>
      <c r="AL2770" s="253"/>
      <c r="AM2770" s="7"/>
      <c r="AN2770" s="253"/>
      <c r="AO2770" s="253"/>
      <c r="AP2770" s="253"/>
      <c r="AQ2770" s="253"/>
      <c r="AR2770" s="253"/>
      <c r="AS2770" s="253"/>
      <c r="AT2770" s="253"/>
      <c r="AU2770" s="253"/>
      <c r="AV2770" s="253"/>
      <c r="AW2770" s="253"/>
      <c r="AX2770" s="253"/>
      <c r="AY2770" s="253"/>
      <c r="AZ2770" s="253"/>
    </row>
    <row r="2771" spans="1:52" ht="15.5" customHeight="1">
      <c r="A2771" s="363"/>
      <c r="B2771" s="343"/>
      <c r="C2771" s="7"/>
      <c r="D2771" s="254"/>
      <c r="E2771" s="254"/>
      <c r="F2771" s="254"/>
      <c r="G2771" s="253"/>
      <c r="H2771" s="253"/>
      <c r="I2771" s="253"/>
      <c r="J2771" s="253"/>
      <c r="K2771" s="253"/>
      <c r="L2771" s="7"/>
      <c r="M2771" s="7"/>
      <c r="N2771" s="253"/>
      <c r="O2771" s="255"/>
      <c r="P2771" s="253"/>
      <c r="Q2771" s="7"/>
      <c r="R2771" s="7"/>
      <c r="S2771" s="7"/>
      <c r="T2771" s="7"/>
      <c r="U2771" s="7"/>
      <c r="V2771" s="253"/>
      <c r="W2771" s="7"/>
      <c r="X2771" s="256"/>
      <c r="Y2771" s="256"/>
      <c r="Z2771" s="256"/>
      <c r="AA2771" s="256"/>
      <c r="AB2771" s="257"/>
      <c r="AC2771" s="258"/>
      <c r="AD2771" s="7"/>
      <c r="AE2771" s="253"/>
      <c r="AF2771" s="253"/>
      <c r="AG2771" s="259"/>
      <c r="AH2771" s="253"/>
      <c r="AI2771" s="253"/>
      <c r="AJ2771" s="7"/>
      <c r="AK2771" s="253"/>
      <c r="AL2771" s="253"/>
      <c r="AM2771" s="7"/>
      <c r="AN2771" s="253"/>
      <c r="AO2771" s="253"/>
      <c r="AP2771" s="253"/>
      <c r="AQ2771" s="253"/>
      <c r="AR2771" s="253"/>
      <c r="AS2771" s="253"/>
      <c r="AT2771" s="253"/>
      <c r="AU2771" s="253"/>
      <c r="AV2771" s="253"/>
      <c r="AW2771" s="253"/>
      <c r="AX2771" s="253"/>
      <c r="AY2771" s="253"/>
      <c r="AZ2771" s="253"/>
    </row>
    <row r="2772" spans="1:52" ht="15.5" customHeight="1">
      <c r="A2772" s="363"/>
      <c r="B2772" s="343"/>
      <c r="C2772" s="7"/>
      <c r="D2772" s="254"/>
      <c r="E2772" s="254"/>
      <c r="F2772" s="254"/>
      <c r="G2772" s="253"/>
      <c r="H2772" s="253"/>
      <c r="I2772" s="253"/>
      <c r="J2772" s="253"/>
      <c r="K2772" s="253"/>
      <c r="L2772" s="7"/>
      <c r="M2772" s="7"/>
      <c r="N2772" s="253"/>
      <c r="O2772" s="255"/>
      <c r="P2772" s="253"/>
      <c r="Q2772" s="7"/>
      <c r="R2772" s="7"/>
      <c r="S2772" s="7"/>
      <c r="T2772" s="7"/>
      <c r="U2772" s="7"/>
      <c r="V2772" s="253"/>
      <c r="W2772" s="7"/>
      <c r="X2772" s="256"/>
      <c r="Y2772" s="256"/>
      <c r="Z2772" s="256"/>
      <c r="AA2772" s="256"/>
      <c r="AB2772" s="257"/>
      <c r="AC2772" s="258"/>
      <c r="AD2772" s="7"/>
      <c r="AE2772" s="253"/>
      <c r="AF2772" s="253"/>
      <c r="AG2772" s="259"/>
      <c r="AH2772" s="253"/>
      <c r="AI2772" s="253"/>
      <c r="AJ2772" s="7"/>
      <c r="AK2772" s="253"/>
      <c r="AL2772" s="253"/>
      <c r="AM2772" s="7"/>
      <c r="AN2772" s="253"/>
      <c r="AO2772" s="253"/>
      <c r="AP2772" s="253"/>
      <c r="AQ2772" s="253"/>
      <c r="AR2772" s="253"/>
      <c r="AS2772" s="253"/>
      <c r="AT2772" s="253"/>
      <c r="AU2772" s="253"/>
      <c r="AV2772" s="253"/>
      <c r="AW2772" s="253"/>
      <c r="AX2772" s="253"/>
      <c r="AY2772" s="253"/>
      <c r="AZ2772" s="253"/>
    </row>
    <row r="2773" spans="1:52" ht="15.5" customHeight="1">
      <c r="A2773" s="363"/>
      <c r="B2773" s="343"/>
      <c r="C2773" s="7"/>
      <c r="D2773" s="254"/>
      <c r="E2773" s="254"/>
      <c r="F2773" s="254"/>
      <c r="G2773" s="253"/>
      <c r="H2773" s="253"/>
      <c r="I2773" s="253"/>
      <c r="J2773" s="253"/>
      <c r="K2773" s="253"/>
      <c r="L2773" s="7"/>
      <c r="M2773" s="7"/>
      <c r="N2773" s="253"/>
      <c r="O2773" s="255"/>
      <c r="P2773" s="253"/>
      <c r="Q2773" s="7"/>
      <c r="R2773" s="7"/>
      <c r="S2773" s="7"/>
      <c r="T2773" s="7"/>
      <c r="U2773" s="7"/>
      <c r="V2773" s="253"/>
      <c r="W2773" s="7"/>
      <c r="X2773" s="256"/>
      <c r="Y2773" s="256"/>
      <c r="Z2773" s="256"/>
      <c r="AA2773" s="256"/>
      <c r="AB2773" s="257"/>
      <c r="AC2773" s="258"/>
      <c r="AD2773" s="7"/>
      <c r="AE2773" s="253"/>
      <c r="AF2773" s="253"/>
      <c r="AG2773" s="259"/>
      <c r="AH2773" s="253"/>
      <c r="AI2773" s="253"/>
      <c r="AJ2773" s="7"/>
      <c r="AK2773" s="253"/>
      <c r="AL2773" s="253"/>
      <c r="AM2773" s="7"/>
      <c r="AN2773" s="253"/>
      <c r="AO2773" s="253"/>
      <c r="AP2773" s="253"/>
      <c r="AQ2773" s="253"/>
      <c r="AR2773" s="253"/>
      <c r="AS2773" s="253"/>
      <c r="AT2773" s="253"/>
      <c r="AU2773" s="253"/>
      <c r="AV2773" s="253"/>
      <c r="AW2773" s="253"/>
      <c r="AX2773" s="253"/>
      <c r="AY2773" s="253"/>
      <c r="AZ2773" s="253"/>
    </row>
    <row r="2774" spans="1:52" ht="15.5" customHeight="1">
      <c r="A2774" s="363"/>
      <c r="B2774" s="343"/>
      <c r="C2774" s="7"/>
      <c r="D2774" s="254"/>
      <c r="E2774" s="254"/>
      <c r="F2774" s="254"/>
      <c r="G2774" s="253"/>
      <c r="H2774" s="253"/>
      <c r="I2774" s="253"/>
      <c r="J2774" s="253"/>
      <c r="K2774" s="253"/>
      <c r="L2774" s="7"/>
      <c r="M2774" s="7"/>
      <c r="N2774" s="253"/>
      <c r="O2774" s="255"/>
      <c r="P2774" s="253"/>
      <c r="Q2774" s="7"/>
      <c r="R2774" s="7"/>
      <c r="S2774" s="7"/>
      <c r="T2774" s="7"/>
      <c r="U2774" s="7"/>
      <c r="V2774" s="253"/>
      <c r="W2774" s="7"/>
      <c r="X2774" s="256"/>
      <c r="Y2774" s="256"/>
      <c r="Z2774" s="256"/>
      <c r="AA2774" s="256"/>
      <c r="AB2774" s="257"/>
      <c r="AC2774" s="258"/>
      <c r="AD2774" s="7"/>
      <c r="AE2774" s="253"/>
      <c r="AF2774" s="253"/>
      <c r="AG2774" s="259"/>
      <c r="AH2774" s="253"/>
      <c r="AI2774" s="253"/>
      <c r="AJ2774" s="7"/>
      <c r="AK2774" s="253"/>
      <c r="AL2774" s="253"/>
      <c r="AM2774" s="7"/>
      <c r="AN2774" s="253"/>
      <c r="AO2774" s="253"/>
      <c r="AP2774" s="253"/>
      <c r="AQ2774" s="253"/>
      <c r="AR2774" s="253"/>
      <c r="AS2774" s="253"/>
      <c r="AT2774" s="253"/>
      <c r="AU2774" s="253"/>
      <c r="AV2774" s="253"/>
      <c r="AW2774" s="253"/>
      <c r="AX2774" s="253"/>
      <c r="AY2774" s="253"/>
      <c r="AZ2774" s="253"/>
    </row>
    <row r="2775" spans="1:52" ht="15.5" customHeight="1">
      <c r="A2775" s="363"/>
      <c r="B2775" s="343"/>
      <c r="C2775" s="7"/>
      <c r="D2775" s="254"/>
      <c r="E2775" s="254"/>
      <c r="F2775" s="254"/>
      <c r="G2775" s="253"/>
      <c r="H2775" s="253"/>
      <c r="I2775" s="253"/>
      <c r="J2775" s="253"/>
      <c r="K2775" s="253"/>
      <c r="L2775" s="7"/>
      <c r="M2775" s="7"/>
      <c r="N2775" s="253"/>
      <c r="O2775" s="255"/>
      <c r="P2775" s="253"/>
      <c r="Q2775" s="7"/>
      <c r="R2775" s="7"/>
      <c r="S2775" s="7"/>
      <c r="T2775" s="7"/>
      <c r="U2775" s="7"/>
      <c r="V2775" s="253"/>
      <c r="W2775" s="7"/>
      <c r="X2775" s="256"/>
      <c r="Y2775" s="256"/>
      <c r="Z2775" s="256"/>
      <c r="AA2775" s="256"/>
      <c r="AB2775" s="257"/>
      <c r="AC2775" s="258"/>
      <c r="AD2775" s="7"/>
      <c r="AE2775" s="253"/>
      <c r="AF2775" s="253"/>
      <c r="AG2775" s="259"/>
      <c r="AH2775" s="253"/>
      <c r="AI2775" s="253"/>
      <c r="AJ2775" s="7"/>
      <c r="AK2775" s="253"/>
      <c r="AL2775" s="253"/>
      <c r="AM2775" s="7"/>
      <c r="AN2775" s="253"/>
      <c r="AO2775" s="253"/>
      <c r="AP2775" s="253"/>
      <c r="AQ2775" s="253"/>
      <c r="AR2775" s="253"/>
      <c r="AS2775" s="253"/>
      <c r="AT2775" s="253"/>
      <c r="AU2775" s="253"/>
      <c r="AV2775" s="253"/>
      <c r="AW2775" s="253"/>
      <c r="AX2775" s="253"/>
      <c r="AY2775" s="253"/>
      <c r="AZ2775" s="253"/>
    </row>
    <row r="2776" spans="1:52" ht="15.5" customHeight="1">
      <c r="A2776" s="363"/>
      <c r="B2776" s="343"/>
      <c r="C2776" s="7"/>
      <c r="D2776" s="254"/>
      <c r="E2776" s="254"/>
      <c r="F2776" s="254"/>
      <c r="G2776" s="253"/>
      <c r="H2776" s="253"/>
      <c r="I2776" s="253"/>
      <c r="J2776" s="253"/>
      <c r="K2776" s="253"/>
      <c r="L2776" s="7"/>
      <c r="M2776" s="7"/>
      <c r="N2776" s="253"/>
      <c r="O2776" s="255"/>
      <c r="P2776" s="253"/>
      <c r="Q2776" s="7"/>
      <c r="R2776" s="7"/>
      <c r="S2776" s="7"/>
      <c r="T2776" s="7"/>
      <c r="U2776" s="7"/>
      <c r="V2776" s="253"/>
      <c r="W2776" s="7"/>
      <c r="X2776" s="256"/>
      <c r="Y2776" s="256"/>
      <c r="Z2776" s="256"/>
      <c r="AA2776" s="256"/>
      <c r="AB2776" s="257"/>
      <c r="AC2776" s="258"/>
      <c r="AD2776" s="7"/>
      <c r="AE2776" s="253"/>
      <c r="AF2776" s="253"/>
      <c r="AG2776" s="259"/>
      <c r="AH2776" s="253"/>
      <c r="AI2776" s="253"/>
      <c r="AJ2776" s="7"/>
      <c r="AK2776" s="253"/>
      <c r="AL2776" s="253"/>
      <c r="AM2776" s="7"/>
      <c r="AN2776" s="253"/>
      <c r="AO2776" s="253"/>
      <c r="AP2776" s="253"/>
      <c r="AQ2776" s="253"/>
      <c r="AR2776" s="253"/>
      <c r="AS2776" s="253"/>
      <c r="AT2776" s="253"/>
      <c r="AU2776" s="253"/>
      <c r="AV2776" s="253"/>
      <c r="AW2776" s="253"/>
      <c r="AX2776" s="253"/>
      <c r="AY2776" s="253"/>
      <c r="AZ2776" s="253"/>
    </row>
    <row r="2777" spans="1:52" ht="15.5" customHeight="1">
      <c r="A2777" s="363"/>
      <c r="B2777" s="343"/>
      <c r="C2777" s="7"/>
      <c r="D2777" s="254"/>
      <c r="E2777" s="254"/>
      <c r="F2777" s="254"/>
      <c r="G2777" s="253"/>
      <c r="H2777" s="253"/>
      <c r="I2777" s="253"/>
      <c r="J2777" s="253"/>
      <c r="K2777" s="253"/>
      <c r="L2777" s="7"/>
      <c r="M2777" s="7"/>
      <c r="N2777" s="253"/>
      <c r="O2777" s="255"/>
      <c r="P2777" s="253"/>
      <c r="Q2777" s="7"/>
      <c r="R2777" s="7"/>
      <c r="S2777" s="7"/>
      <c r="T2777" s="7"/>
      <c r="U2777" s="7"/>
      <c r="V2777" s="253"/>
      <c r="W2777" s="7"/>
      <c r="X2777" s="256"/>
      <c r="Y2777" s="256"/>
      <c r="Z2777" s="256"/>
      <c r="AA2777" s="256"/>
      <c r="AB2777" s="257"/>
      <c r="AC2777" s="258"/>
      <c r="AD2777" s="7"/>
      <c r="AE2777" s="253"/>
      <c r="AF2777" s="253"/>
      <c r="AG2777" s="259"/>
      <c r="AH2777" s="253"/>
      <c r="AI2777" s="253"/>
      <c r="AJ2777" s="7"/>
      <c r="AK2777" s="253"/>
      <c r="AL2777" s="253"/>
      <c r="AM2777" s="7"/>
      <c r="AN2777" s="253"/>
      <c r="AO2777" s="253"/>
      <c r="AP2777" s="253"/>
      <c r="AQ2777" s="253"/>
      <c r="AR2777" s="253"/>
      <c r="AS2777" s="253"/>
      <c r="AT2777" s="253"/>
      <c r="AU2777" s="253"/>
      <c r="AV2777" s="253"/>
      <c r="AW2777" s="253"/>
      <c r="AX2777" s="253"/>
      <c r="AY2777" s="253"/>
      <c r="AZ2777" s="253"/>
    </row>
    <row r="2778" spans="1:52" ht="15.5" customHeight="1">
      <c r="A2778" s="363"/>
      <c r="B2778" s="343"/>
      <c r="C2778" s="7"/>
      <c r="D2778" s="254"/>
      <c r="E2778" s="254"/>
      <c r="F2778" s="254"/>
      <c r="G2778" s="253"/>
      <c r="H2778" s="253"/>
      <c r="I2778" s="253"/>
      <c r="J2778" s="253"/>
      <c r="K2778" s="253"/>
      <c r="L2778" s="7"/>
      <c r="M2778" s="7"/>
      <c r="N2778" s="253"/>
      <c r="O2778" s="255"/>
      <c r="P2778" s="253"/>
      <c r="Q2778" s="7"/>
      <c r="R2778" s="7"/>
      <c r="S2778" s="7"/>
      <c r="T2778" s="7"/>
      <c r="U2778" s="7"/>
      <c r="V2778" s="253"/>
      <c r="W2778" s="7"/>
      <c r="X2778" s="256"/>
      <c r="Y2778" s="256"/>
      <c r="Z2778" s="256"/>
      <c r="AA2778" s="256"/>
      <c r="AB2778" s="257"/>
      <c r="AC2778" s="258"/>
      <c r="AD2778" s="7"/>
      <c r="AE2778" s="253"/>
      <c r="AF2778" s="253"/>
      <c r="AG2778" s="259"/>
      <c r="AH2778" s="253"/>
      <c r="AI2778" s="253"/>
      <c r="AJ2778" s="7"/>
      <c r="AK2778" s="253"/>
      <c r="AL2778" s="253"/>
      <c r="AM2778" s="7"/>
      <c r="AN2778" s="253"/>
      <c r="AO2778" s="253"/>
      <c r="AP2778" s="253"/>
      <c r="AQ2778" s="253"/>
      <c r="AR2778" s="253"/>
      <c r="AS2778" s="253"/>
      <c r="AT2778" s="253"/>
      <c r="AU2778" s="253"/>
      <c r="AV2778" s="253"/>
      <c r="AW2778" s="253"/>
      <c r="AX2778" s="253"/>
      <c r="AY2778" s="253"/>
      <c r="AZ2778" s="253"/>
    </row>
    <row r="2779" spans="1:52" ht="15.5" customHeight="1">
      <c r="A2779" s="363"/>
      <c r="B2779" s="343"/>
      <c r="C2779" s="7"/>
      <c r="D2779" s="254"/>
      <c r="E2779" s="254"/>
      <c r="F2779" s="254"/>
      <c r="G2779" s="253"/>
      <c r="H2779" s="253"/>
      <c r="I2779" s="253"/>
      <c r="J2779" s="253"/>
      <c r="K2779" s="253"/>
      <c r="L2779" s="7"/>
      <c r="M2779" s="7"/>
      <c r="N2779" s="253"/>
      <c r="O2779" s="255"/>
      <c r="P2779" s="253"/>
      <c r="Q2779" s="7"/>
      <c r="R2779" s="7"/>
      <c r="S2779" s="7"/>
      <c r="T2779" s="7"/>
      <c r="U2779" s="7"/>
      <c r="V2779" s="253"/>
      <c r="W2779" s="7"/>
      <c r="X2779" s="256"/>
      <c r="Y2779" s="256"/>
      <c r="Z2779" s="256"/>
      <c r="AA2779" s="256"/>
      <c r="AB2779" s="257"/>
      <c r="AC2779" s="258"/>
      <c r="AD2779" s="7"/>
      <c r="AE2779" s="253"/>
      <c r="AF2779" s="253"/>
      <c r="AG2779" s="259"/>
      <c r="AH2779" s="253"/>
      <c r="AI2779" s="253"/>
      <c r="AJ2779" s="7"/>
      <c r="AK2779" s="253"/>
      <c r="AL2779" s="253"/>
      <c r="AM2779" s="7"/>
      <c r="AN2779" s="253"/>
      <c r="AO2779" s="253"/>
      <c r="AP2779" s="253"/>
      <c r="AQ2779" s="253"/>
      <c r="AR2779" s="253"/>
      <c r="AS2779" s="253"/>
      <c r="AT2779" s="253"/>
      <c r="AU2779" s="253"/>
      <c r="AV2779" s="253"/>
      <c r="AW2779" s="253"/>
      <c r="AX2779" s="253"/>
      <c r="AY2779" s="253"/>
      <c r="AZ2779" s="253"/>
    </row>
    <row r="2780" spans="1:52" ht="15.5" customHeight="1">
      <c r="A2780" s="363"/>
      <c r="B2780" s="343"/>
      <c r="C2780" s="7"/>
      <c r="D2780" s="254"/>
      <c r="E2780" s="254"/>
      <c r="F2780" s="254"/>
      <c r="G2780" s="253"/>
      <c r="H2780" s="253"/>
      <c r="I2780" s="253"/>
      <c r="J2780" s="253"/>
      <c r="K2780" s="253"/>
      <c r="L2780" s="7"/>
      <c r="M2780" s="7"/>
      <c r="N2780" s="253"/>
      <c r="O2780" s="255"/>
      <c r="P2780" s="253"/>
      <c r="Q2780" s="7"/>
      <c r="R2780" s="7"/>
      <c r="S2780" s="7"/>
      <c r="T2780" s="7"/>
      <c r="U2780" s="7"/>
      <c r="V2780" s="253"/>
      <c r="W2780" s="7"/>
      <c r="X2780" s="256"/>
      <c r="Y2780" s="256"/>
      <c r="Z2780" s="256"/>
      <c r="AA2780" s="256"/>
      <c r="AB2780" s="257"/>
      <c r="AC2780" s="258"/>
      <c r="AD2780" s="7"/>
      <c r="AE2780" s="253"/>
      <c r="AF2780" s="253"/>
      <c r="AG2780" s="259"/>
      <c r="AH2780" s="253"/>
      <c r="AI2780" s="253"/>
      <c r="AJ2780" s="7"/>
      <c r="AK2780" s="253"/>
      <c r="AL2780" s="253"/>
      <c r="AM2780" s="7"/>
      <c r="AN2780" s="253"/>
      <c r="AO2780" s="253"/>
      <c r="AP2780" s="253"/>
      <c r="AQ2780" s="253"/>
      <c r="AR2780" s="253"/>
      <c r="AS2780" s="253"/>
      <c r="AT2780" s="253"/>
      <c r="AU2780" s="253"/>
      <c r="AV2780" s="253"/>
      <c r="AW2780" s="253"/>
      <c r="AX2780" s="253"/>
      <c r="AY2780" s="253"/>
      <c r="AZ2780" s="253"/>
    </row>
    <row r="2781" spans="1:52" ht="15.5" customHeight="1">
      <c r="A2781" s="363"/>
      <c r="B2781" s="343"/>
      <c r="C2781" s="7"/>
      <c r="D2781" s="254"/>
      <c r="E2781" s="254"/>
      <c r="F2781" s="254"/>
      <c r="G2781" s="253"/>
      <c r="H2781" s="253"/>
      <c r="I2781" s="253"/>
      <c r="J2781" s="253"/>
      <c r="K2781" s="253"/>
      <c r="L2781" s="7"/>
      <c r="M2781" s="7"/>
      <c r="N2781" s="253"/>
      <c r="O2781" s="255"/>
      <c r="P2781" s="253"/>
      <c r="Q2781" s="7"/>
      <c r="R2781" s="7"/>
      <c r="S2781" s="7"/>
      <c r="T2781" s="7"/>
      <c r="U2781" s="7"/>
      <c r="V2781" s="253"/>
      <c r="W2781" s="7"/>
      <c r="X2781" s="256"/>
      <c r="Y2781" s="256"/>
      <c r="Z2781" s="256"/>
      <c r="AA2781" s="256"/>
      <c r="AB2781" s="257"/>
      <c r="AC2781" s="258"/>
      <c r="AD2781" s="7"/>
      <c r="AE2781" s="253"/>
      <c r="AF2781" s="253"/>
      <c r="AG2781" s="259"/>
      <c r="AH2781" s="253"/>
      <c r="AI2781" s="253"/>
      <c r="AJ2781" s="7"/>
      <c r="AK2781" s="253"/>
      <c r="AL2781" s="253"/>
      <c r="AM2781" s="7"/>
      <c r="AN2781" s="253"/>
      <c r="AO2781" s="253"/>
      <c r="AP2781" s="253"/>
      <c r="AQ2781" s="253"/>
      <c r="AR2781" s="253"/>
      <c r="AS2781" s="253"/>
      <c r="AT2781" s="253"/>
      <c r="AU2781" s="253"/>
      <c r="AV2781" s="253"/>
      <c r="AW2781" s="253"/>
      <c r="AX2781" s="253"/>
      <c r="AY2781" s="253"/>
      <c r="AZ2781" s="253"/>
    </row>
    <row r="2782" spans="1:52" ht="15.5" customHeight="1">
      <c r="A2782" s="363"/>
      <c r="B2782" s="343"/>
      <c r="C2782" s="7"/>
      <c r="D2782" s="254"/>
      <c r="E2782" s="254"/>
      <c r="F2782" s="254"/>
      <c r="G2782" s="253"/>
      <c r="H2782" s="253"/>
      <c r="I2782" s="253"/>
      <c r="J2782" s="253"/>
      <c r="K2782" s="253"/>
      <c r="L2782" s="7"/>
      <c r="M2782" s="7"/>
      <c r="N2782" s="253"/>
      <c r="O2782" s="255"/>
      <c r="P2782" s="253"/>
      <c r="Q2782" s="7"/>
      <c r="R2782" s="7"/>
      <c r="S2782" s="7"/>
      <c r="T2782" s="7"/>
      <c r="U2782" s="7"/>
      <c r="V2782" s="253"/>
      <c r="W2782" s="7"/>
      <c r="X2782" s="256"/>
      <c r="Y2782" s="256"/>
      <c r="Z2782" s="256"/>
      <c r="AA2782" s="256"/>
      <c r="AB2782" s="257"/>
      <c r="AC2782" s="258"/>
      <c r="AD2782" s="7"/>
      <c r="AE2782" s="253"/>
      <c r="AF2782" s="253"/>
      <c r="AG2782" s="259"/>
      <c r="AH2782" s="253"/>
      <c r="AI2782" s="253"/>
      <c r="AJ2782" s="7"/>
      <c r="AK2782" s="253"/>
      <c r="AL2782" s="253"/>
      <c r="AM2782" s="7"/>
      <c r="AN2782" s="253"/>
      <c r="AO2782" s="253"/>
      <c r="AP2782" s="253"/>
      <c r="AQ2782" s="253"/>
      <c r="AR2782" s="253"/>
      <c r="AS2782" s="253"/>
      <c r="AT2782" s="253"/>
      <c r="AU2782" s="253"/>
      <c r="AV2782" s="253"/>
      <c r="AW2782" s="253"/>
      <c r="AX2782" s="253"/>
      <c r="AY2782" s="253"/>
      <c r="AZ2782" s="253"/>
    </row>
    <row r="2783" spans="1:52" ht="15.5" customHeight="1">
      <c r="A2783" s="363"/>
      <c r="B2783" s="343"/>
      <c r="C2783" s="7"/>
      <c r="D2783" s="254"/>
      <c r="E2783" s="254"/>
      <c r="F2783" s="254"/>
      <c r="G2783" s="253"/>
      <c r="H2783" s="253"/>
      <c r="I2783" s="253"/>
      <c r="J2783" s="253"/>
      <c r="K2783" s="253"/>
      <c r="L2783" s="7"/>
      <c r="M2783" s="7"/>
      <c r="N2783" s="253"/>
      <c r="O2783" s="255"/>
      <c r="P2783" s="253"/>
      <c r="Q2783" s="7"/>
      <c r="R2783" s="7"/>
      <c r="S2783" s="7"/>
      <c r="T2783" s="7"/>
      <c r="U2783" s="7"/>
      <c r="V2783" s="253"/>
      <c r="W2783" s="7"/>
      <c r="X2783" s="256"/>
      <c r="Y2783" s="256"/>
      <c r="Z2783" s="256"/>
      <c r="AA2783" s="256"/>
      <c r="AB2783" s="257"/>
      <c r="AC2783" s="258"/>
      <c r="AD2783" s="7"/>
      <c r="AE2783" s="253"/>
      <c r="AF2783" s="253"/>
      <c r="AG2783" s="259"/>
      <c r="AH2783" s="253"/>
      <c r="AI2783" s="253"/>
      <c r="AJ2783" s="7"/>
      <c r="AK2783" s="253"/>
      <c r="AL2783" s="253"/>
      <c r="AM2783" s="7"/>
      <c r="AN2783" s="253"/>
      <c r="AO2783" s="253"/>
      <c r="AP2783" s="253"/>
      <c r="AQ2783" s="253"/>
      <c r="AR2783" s="253"/>
      <c r="AS2783" s="253"/>
      <c r="AT2783" s="253"/>
      <c r="AU2783" s="253"/>
      <c r="AV2783" s="253"/>
      <c r="AW2783" s="253"/>
      <c r="AX2783" s="253"/>
      <c r="AY2783" s="253"/>
      <c r="AZ2783" s="253"/>
    </row>
    <row r="2784" spans="1:52" ht="15.5" customHeight="1">
      <c r="A2784" s="363"/>
      <c r="B2784" s="343"/>
      <c r="C2784" s="7"/>
      <c r="D2784" s="254"/>
      <c r="E2784" s="254"/>
      <c r="F2784" s="254"/>
      <c r="G2784" s="253"/>
      <c r="H2784" s="253"/>
      <c r="I2784" s="253"/>
      <c r="J2784" s="253"/>
      <c r="K2784" s="253"/>
      <c r="L2784" s="7"/>
      <c r="M2784" s="7"/>
      <c r="N2784" s="253"/>
      <c r="O2784" s="255"/>
      <c r="P2784" s="253"/>
      <c r="Q2784" s="7"/>
      <c r="R2784" s="7"/>
      <c r="S2784" s="7"/>
      <c r="T2784" s="7"/>
      <c r="U2784" s="7"/>
      <c r="V2784" s="253"/>
      <c r="W2784" s="7"/>
      <c r="X2784" s="256"/>
      <c r="Y2784" s="256"/>
      <c r="Z2784" s="256"/>
      <c r="AA2784" s="256"/>
      <c r="AB2784" s="257"/>
      <c r="AC2784" s="258"/>
      <c r="AD2784" s="7"/>
      <c r="AE2784" s="253"/>
      <c r="AF2784" s="253"/>
      <c r="AG2784" s="259"/>
      <c r="AH2784" s="253"/>
      <c r="AI2784" s="253"/>
      <c r="AJ2784" s="7"/>
      <c r="AK2784" s="253"/>
      <c r="AL2784" s="253"/>
      <c r="AM2784" s="7"/>
      <c r="AN2784" s="253"/>
      <c r="AO2784" s="253"/>
      <c r="AP2784" s="253"/>
      <c r="AQ2784" s="253"/>
      <c r="AR2784" s="253"/>
      <c r="AS2784" s="253"/>
      <c r="AT2784" s="253"/>
      <c r="AU2784" s="253"/>
      <c r="AV2784" s="253"/>
      <c r="AW2784" s="253"/>
      <c r="AX2784" s="253"/>
      <c r="AY2784" s="253"/>
      <c r="AZ2784" s="253"/>
    </row>
    <row r="2785" spans="1:52" ht="15.5" customHeight="1">
      <c r="A2785" s="363"/>
      <c r="B2785" s="343"/>
      <c r="C2785" s="7"/>
      <c r="D2785" s="254"/>
      <c r="E2785" s="254"/>
      <c r="F2785" s="254"/>
      <c r="G2785" s="253"/>
      <c r="H2785" s="253"/>
      <c r="I2785" s="253"/>
      <c r="J2785" s="253"/>
      <c r="K2785" s="253"/>
      <c r="L2785" s="7"/>
      <c r="M2785" s="7"/>
      <c r="N2785" s="253"/>
      <c r="O2785" s="255"/>
      <c r="P2785" s="253"/>
      <c r="Q2785" s="7"/>
      <c r="R2785" s="7"/>
      <c r="S2785" s="7"/>
      <c r="T2785" s="7"/>
      <c r="U2785" s="7"/>
      <c r="V2785" s="253"/>
      <c r="W2785" s="7"/>
      <c r="X2785" s="256"/>
      <c r="Y2785" s="256"/>
      <c r="Z2785" s="256"/>
      <c r="AA2785" s="256"/>
      <c r="AB2785" s="257"/>
      <c r="AC2785" s="258"/>
      <c r="AD2785" s="7"/>
      <c r="AE2785" s="253"/>
      <c r="AF2785" s="253"/>
      <c r="AG2785" s="259"/>
      <c r="AH2785" s="253"/>
      <c r="AI2785" s="253"/>
      <c r="AJ2785" s="7"/>
      <c r="AK2785" s="253"/>
      <c r="AL2785" s="253"/>
      <c r="AM2785" s="7"/>
      <c r="AN2785" s="253"/>
      <c r="AO2785" s="253"/>
      <c r="AP2785" s="253"/>
      <c r="AQ2785" s="253"/>
      <c r="AR2785" s="253"/>
      <c r="AS2785" s="253"/>
      <c r="AT2785" s="253"/>
      <c r="AU2785" s="253"/>
      <c r="AV2785" s="253"/>
      <c r="AW2785" s="253"/>
      <c r="AX2785" s="253"/>
      <c r="AY2785" s="253"/>
      <c r="AZ2785" s="253"/>
    </row>
    <row r="2786" spans="1:52" ht="15.5" customHeight="1">
      <c r="A2786" s="363"/>
      <c r="B2786" s="343"/>
      <c r="C2786" s="7"/>
      <c r="D2786" s="254"/>
      <c r="E2786" s="254"/>
      <c r="F2786" s="254"/>
      <c r="G2786" s="253"/>
      <c r="H2786" s="253"/>
      <c r="I2786" s="253"/>
      <c r="J2786" s="253"/>
      <c r="K2786" s="253"/>
      <c r="L2786" s="7"/>
      <c r="M2786" s="7"/>
      <c r="N2786" s="253"/>
      <c r="O2786" s="255"/>
      <c r="P2786" s="253"/>
      <c r="Q2786" s="7"/>
      <c r="R2786" s="7"/>
      <c r="S2786" s="7"/>
      <c r="T2786" s="7"/>
      <c r="U2786" s="7"/>
      <c r="V2786" s="253"/>
      <c r="W2786" s="7"/>
      <c r="X2786" s="256"/>
      <c r="Y2786" s="256"/>
      <c r="Z2786" s="256"/>
      <c r="AA2786" s="256"/>
      <c r="AB2786" s="257"/>
      <c r="AC2786" s="258"/>
      <c r="AD2786" s="7"/>
      <c r="AE2786" s="253"/>
      <c r="AF2786" s="253"/>
      <c r="AG2786" s="259"/>
      <c r="AH2786" s="253"/>
      <c r="AI2786" s="253"/>
      <c r="AJ2786" s="7"/>
      <c r="AK2786" s="253"/>
      <c r="AL2786" s="253"/>
      <c r="AM2786" s="7"/>
      <c r="AN2786" s="253"/>
      <c r="AO2786" s="253"/>
      <c r="AP2786" s="253"/>
      <c r="AQ2786" s="253"/>
      <c r="AR2786" s="253"/>
      <c r="AS2786" s="253"/>
      <c r="AT2786" s="253"/>
      <c r="AU2786" s="253"/>
      <c r="AV2786" s="253"/>
      <c r="AW2786" s="253"/>
      <c r="AX2786" s="253"/>
      <c r="AY2786" s="253"/>
      <c r="AZ2786" s="253"/>
    </row>
    <row r="2787" spans="1:52" ht="15.5" customHeight="1">
      <c r="A2787" s="363"/>
      <c r="B2787" s="343"/>
      <c r="C2787" s="7"/>
      <c r="D2787" s="254"/>
      <c r="E2787" s="254"/>
      <c r="F2787" s="254"/>
      <c r="G2787" s="253"/>
      <c r="H2787" s="253"/>
      <c r="I2787" s="253"/>
      <c r="J2787" s="253"/>
      <c r="K2787" s="253"/>
      <c r="L2787" s="7"/>
      <c r="M2787" s="7"/>
      <c r="N2787" s="253"/>
      <c r="O2787" s="255"/>
      <c r="P2787" s="253"/>
      <c r="Q2787" s="7"/>
      <c r="R2787" s="7"/>
      <c r="S2787" s="7"/>
      <c r="T2787" s="7"/>
      <c r="U2787" s="7"/>
      <c r="V2787" s="253"/>
      <c r="W2787" s="7"/>
      <c r="X2787" s="256"/>
      <c r="Y2787" s="256"/>
      <c r="Z2787" s="256"/>
      <c r="AA2787" s="256"/>
      <c r="AB2787" s="257"/>
      <c r="AC2787" s="258"/>
      <c r="AD2787" s="7"/>
      <c r="AE2787" s="253"/>
      <c r="AF2787" s="253"/>
      <c r="AG2787" s="259"/>
      <c r="AH2787" s="253"/>
      <c r="AI2787" s="253"/>
      <c r="AJ2787" s="7"/>
      <c r="AK2787" s="253"/>
      <c r="AL2787" s="253"/>
      <c r="AM2787" s="7"/>
      <c r="AN2787" s="253"/>
      <c r="AO2787" s="253"/>
      <c r="AP2787" s="253"/>
      <c r="AQ2787" s="253"/>
      <c r="AR2787" s="253"/>
      <c r="AS2787" s="253"/>
      <c r="AT2787" s="253"/>
      <c r="AU2787" s="253"/>
      <c r="AV2787" s="253"/>
      <c r="AW2787" s="253"/>
      <c r="AX2787" s="253"/>
      <c r="AY2787" s="253"/>
      <c r="AZ2787" s="253"/>
    </row>
    <row r="2788" spans="1:52" ht="15.5" customHeight="1">
      <c r="A2788" s="363"/>
      <c r="B2788" s="343"/>
      <c r="C2788" s="7"/>
      <c r="D2788" s="254"/>
      <c r="E2788" s="254"/>
      <c r="F2788" s="254"/>
      <c r="G2788" s="253"/>
      <c r="H2788" s="253"/>
      <c r="I2788" s="253"/>
      <c r="J2788" s="253"/>
      <c r="K2788" s="253"/>
      <c r="L2788" s="7"/>
      <c r="M2788" s="7"/>
      <c r="N2788" s="253"/>
      <c r="O2788" s="255"/>
      <c r="P2788" s="253"/>
      <c r="Q2788" s="7"/>
      <c r="R2788" s="7"/>
      <c r="S2788" s="7"/>
      <c r="T2788" s="7"/>
      <c r="U2788" s="7"/>
      <c r="V2788" s="253"/>
      <c r="W2788" s="7"/>
      <c r="X2788" s="256"/>
      <c r="Y2788" s="256"/>
      <c r="Z2788" s="256"/>
      <c r="AA2788" s="256"/>
      <c r="AB2788" s="257"/>
      <c r="AC2788" s="258"/>
      <c r="AD2788" s="7"/>
      <c r="AE2788" s="253"/>
      <c r="AF2788" s="253"/>
      <c r="AG2788" s="259"/>
      <c r="AH2788" s="253"/>
      <c r="AI2788" s="253"/>
      <c r="AJ2788" s="7"/>
      <c r="AK2788" s="253"/>
      <c r="AL2788" s="253"/>
      <c r="AM2788" s="7"/>
      <c r="AN2788" s="253"/>
      <c r="AO2788" s="253"/>
      <c r="AP2788" s="253"/>
      <c r="AQ2788" s="253"/>
      <c r="AR2788" s="253"/>
      <c r="AS2788" s="253"/>
      <c r="AT2788" s="253"/>
      <c r="AU2788" s="253"/>
      <c r="AV2788" s="253"/>
      <c r="AW2788" s="253"/>
      <c r="AX2788" s="253"/>
      <c r="AY2788" s="253"/>
      <c r="AZ2788" s="253"/>
    </row>
    <row r="2789" spans="1:52" ht="15.5" customHeight="1">
      <c r="A2789" s="363"/>
      <c r="B2789" s="343"/>
      <c r="C2789" s="7"/>
      <c r="D2789" s="254"/>
      <c r="E2789" s="254"/>
      <c r="F2789" s="254"/>
      <c r="G2789" s="253"/>
      <c r="H2789" s="253"/>
      <c r="I2789" s="253"/>
      <c r="J2789" s="253"/>
      <c r="K2789" s="253"/>
      <c r="L2789" s="7"/>
      <c r="M2789" s="7"/>
      <c r="N2789" s="253"/>
      <c r="O2789" s="255"/>
      <c r="P2789" s="253"/>
      <c r="Q2789" s="7"/>
      <c r="R2789" s="7"/>
      <c r="S2789" s="7"/>
      <c r="T2789" s="7"/>
      <c r="U2789" s="7"/>
      <c r="V2789" s="253"/>
      <c r="W2789" s="7"/>
      <c r="X2789" s="256"/>
      <c r="Y2789" s="256"/>
      <c r="Z2789" s="256"/>
      <c r="AA2789" s="256"/>
      <c r="AB2789" s="257"/>
      <c r="AC2789" s="258"/>
      <c r="AD2789" s="7"/>
      <c r="AE2789" s="253"/>
      <c r="AF2789" s="253"/>
      <c r="AG2789" s="259"/>
      <c r="AH2789" s="253"/>
      <c r="AI2789" s="253"/>
      <c r="AJ2789" s="7"/>
      <c r="AK2789" s="253"/>
      <c r="AL2789" s="253"/>
      <c r="AM2789" s="7"/>
      <c r="AN2789" s="253"/>
      <c r="AO2789" s="253"/>
      <c r="AP2789" s="253"/>
      <c r="AQ2789" s="253"/>
      <c r="AR2789" s="253"/>
      <c r="AS2789" s="253"/>
      <c r="AT2789" s="253"/>
      <c r="AU2789" s="253"/>
      <c r="AV2789" s="253"/>
      <c r="AW2789" s="253"/>
      <c r="AX2789" s="253"/>
      <c r="AY2789" s="253"/>
      <c r="AZ2789" s="253"/>
    </row>
    <row r="2790" spans="1:52" ht="15.5" customHeight="1">
      <c r="A2790" s="363"/>
      <c r="B2790" s="343"/>
      <c r="C2790" s="7"/>
      <c r="D2790" s="254"/>
      <c r="E2790" s="254"/>
      <c r="F2790" s="254"/>
      <c r="G2790" s="253"/>
      <c r="H2790" s="253"/>
      <c r="I2790" s="253"/>
      <c r="J2790" s="253"/>
      <c r="K2790" s="253"/>
      <c r="L2790" s="7"/>
      <c r="M2790" s="7"/>
      <c r="N2790" s="253"/>
      <c r="O2790" s="255"/>
      <c r="P2790" s="253"/>
      <c r="Q2790" s="7"/>
      <c r="R2790" s="7"/>
      <c r="S2790" s="7"/>
      <c r="T2790" s="7"/>
      <c r="U2790" s="7"/>
      <c r="V2790" s="253"/>
      <c r="W2790" s="7"/>
      <c r="X2790" s="256"/>
      <c r="Y2790" s="256"/>
      <c r="Z2790" s="256"/>
      <c r="AA2790" s="256"/>
      <c r="AB2790" s="257"/>
      <c r="AC2790" s="258"/>
      <c r="AD2790" s="7"/>
      <c r="AE2790" s="253"/>
      <c r="AF2790" s="253"/>
      <c r="AG2790" s="259"/>
      <c r="AH2790" s="253"/>
      <c r="AI2790" s="253"/>
      <c r="AJ2790" s="7"/>
      <c r="AK2790" s="253"/>
      <c r="AL2790" s="253"/>
      <c r="AM2790" s="7"/>
      <c r="AN2790" s="253"/>
      <c r="AO2790" s="253"/>
      <c r="AP2790" s="253"/>
      <c r="AQ2790" s="253"/>
      <c r="AR2790" s="253"/>
      <c r="AS2790" s="253"/>
      <c r="AT2790" s="253"/>
      <c r="AU2790" s="253"/>
      <c r="AV2790" s="253"/>
      <c r="AW2790" s="253"/>
      <c r="AX2790" s="253"/>
      <c r="AY2790" s="253"/>
      <c r="AZ2790" s="253"/>
    </row>
    <row r="2791" spans="1:52" ht="15.5" customHeight="1">
      <c r="A2791" s="363"/>
      <c r="B2791" s="343"/>
      <c r="C2791" s="7"/>
      <c r="D2791" s="254"/>
      <c r="E2791" s="254"/>
      <c r="F2791" s="254"/>
      <c r="G2791" s="253"/>
      <c r="H2791" s="253"/>
      <c r="I2791" s="253"/>
      <c r="J2791" s="253"/>
      <c r="K2791" s="253"/>
      <c r="L2791" s="7"/>
      <c r="M2791" s="7"/>
      <c r="N2791" s="253"/>
      <c r="O2791" s="255"/>
      <c r="P2791" s="253"/>
      <c r="Q2791" s="7"/>
      <c r="R2791" s="7"/>
      <c r="S2791" s="7"/>
      <c r="T2791" s="7"/>
      <c r="U2791" s="7"/>
      <c r="V2791" s="253"/>
      <c r="W2791" s="7"/>
      <c r="X2791" s="256"/>
      <c r="Y2791" s="256"/>
      <c r="Z2791" s="256"/>
      <c r="AA2791" s="256"/>
      <c r="AB2791" s="257"/>
      <c r="AC2791" s="258"/>
      <c r="AD2791" s="7"/>
      <c r="AE2791" s="253"/>
      <c r="AF2791" s="253"/>
      <c r="AG2791" s="259"/>
      <c r="AH2791" s="253"/>
      <c r="AI2791" s="253"/>
      <c r="AJ2791" s="7"/>
      <c r="AK2791" s="253"/>
      <c r="AL2791" s="253"/>
      <c r="AM2791" s="7"/>
      <c r="AN2791" s="253"/>
      <c r="AO2791" s="253"/>
      <c r="AP2791" s="253"/>
      <c r="AQ2791" s="253"/>
      <c r="AR2791" s="253"/>
      <c r="AS2791" s="253"/>
      <c r="AT2791" s="253"/>
      <c r="AU2791" s="253"/>
      <c r="AV2791" s="253"/>
      <c r="AW2791" s="253"/>
      <c r="AX2791" s="253"/>
      <c r="AY2791" s="253"/>
      <c r="AZ2791" s="253"/>
    </row>
    <row r="2792" spans="1:52" ht="15.5" customHeight="1">
      <c r="A2792" s="363"/>
      <c r="B2792" s="343"/>
      <c r="C2792" s="7"/>
      <c r="D2792" s="254"/>
      <c r="E2792" s="254"/>
      <c r="F2792" s="254"/>
      <c r="G2792" s="253"/>
      <c r="H2792" s="253"/>
      <c r="I2792" s="253"/>
      <c r="J2792" s="253"/>
      <c r="K2792" s="253"/>
      <c r="L2792" s="7"/>
      <c r="M2792" s="7"/>
      <c r="N2792" s="253"/>
      <c r="O2792" s="255"/>
      <c r="P2792" s="253"/>
      <c r="Q2792" s="7"/>
      <c r="R2792" s="7"/>
      <c r="S2792" s="7"/>
      <c r="T2792" s="7"/>
      <c r="U2792" s="7"/>
      <c r="V2792" s="253"/>
      <c r="W2792" s="7"/>
      <c r="X2792" s="256"/>
      <c r="Y2792" s="256"/>
      <c r="Z2792" s="256"/>
      <c r="AA2792" s="256"/>
      <c r="AB2792" s="257"/>
      <c r="AC2792" s="258"/>
      <c r="AD2792" s="7"/>
      <c r="AE2792" s="253"/>
      <c r="AF2792" s="253"/>
      <c r="AG2792" s="259"/>
      <c r="AH2792" s="253"/>
      <c r="AI2792" s="253"/>
      <c r="AJ2792" s="7"/>
      <c r="AK2792" s="253"/>
      <c r="AL2792" s="253"/>
      <c r="AM2792" s="7"/>
      <c r="AN2792" s="253"/>
      <c r="AO2792" s="253"/>
      <c r="AP2792" s="253"/>
      <c r="AQ2792" s="253"/>
      <c r="AR2792" s="253"/>
      <c r="AS2792" s="253"/>
      <c r="AT2792" s="253"/>
      <c r="AU2792" s="253"/>
      <c r="AV2792" s="253"/>
      <c r="AW2792" s="253"/>
      <c r="AX2792" s="253"/>
      <c r="AY2792" s="253"/>
      <c r="AZ2792" s="253"/>
    </row>
    <row r="2793" spans="1:52" ht="15.5" customHeight="1">
      <c r="A2793" s="363"/>
      <c r="B2793" s="343"/>
      <c r="C2793" s="7"/>
      <c r="D2793" s="254"/>
      <c r="E2793" s="254"/>
      <c r="F2793" s="254"/>
      <c r="G2793" s="253"/>
      <c r="H2793" s="253"/>
      <c r="I2793" s="253"/>
      <c r="J2793" s="253"/>
      <c r="K2793" s="253"/>
      <c r="L2793" s="7"/>
      <c r="M2793" s="7"/>
      <c r="N2793" s="253"/>
      <c r="O2793" s="255"/>
      <c r="P2793" s="253"/>
      <c r="Q2793" s="7"/>
      <c r="R2793" s="7"/>
      <c r="S2793" s="7"/>
      <c r="T2793" s="7"/>
      <c r="U2793" s="7"/>
      <c r="V2793" s="253"/>
      <c r="W2793" s="7"/>
      <c r="X2793" s="256"/>
      <c r="Y2793" s="256"/>
      <c r="Z2793" s="256"/>
      <c r="AA2793" s="256"/>
      <c r="AB2793" s="257"/>
      <c r="AC2793" s="258"/>
      <c r="AD2793" s="7"/>
      <c r="AE2793" s="253"/>
      <c r="AF2793" s="253"/>
      <c r="AG2793" s="259"/>
      <c r="AH2793" s="253"/>
      <c r="AI2793" s="253"/>
      <c r="AJ2793" s="7"/>
      <c r="AK2793" s="253"/>
      <c r="AL2793" s="253"/>
      <c r="AM2793" s="7"/>
      <c r="AN2793" s="253"/>
      <c r="AO2793" s="253"/>
      <c r="AP2793" s="253"/>
      <c r="AQ2793" s="253"/>
      <c r="AR2793" s="253"/>
      <c r="AS2793" s="253"/>
      <c r="AT2793" s="253"/>
      <c r="AU2793" s="253"/>
      <c r="AV2793" s="253"/>
      <c r="AW2793" s="253"/>
      <c r="AX2793" s="253"/>
      <c r="AY2793" s="253"/>
      <c r="AZ2793" s="253"/>
    </row>
    <row r="2794" spans="1:52" ht="15.5" customHeight="1">
      <c r="A2794" s="363"/>
      <c r="B2794" s="343"/>
      <c r="C2794" s="7"/>
      <c r="D2794" s="254"/>
      <c r="E2794" s="254"/>
      <c r="F2794" s="254"/>
      <c r="G2794" s="253"/>
      <c r="H2794" s="253"/>
      <c r="I2794" s="253"/>
      <c r="J2794" s="253"/>
      <c r="K2794" s="253"/>
      <c r="L2794" s="7"/>
      <c r="M2794" s="7"/>
      <c r="N2794" s="253"/>
      <c r="O2794" s="255"/>
      <c r="P2794" s="253"/>
      <c r="Q2794" s="7"/>
      <c r="R2794" s="7"/>
      <c r="S2794" s="7"/>
      <c r="T2794" s="7"/>
      <c r="U2794" s="7"/>
      <c r="V2794" s="253"/>
      <c r="W2794" s="7"/>
      <c r="X2794" s="256"/>
      <c r="Y2794" s="256"/>
      <c r="Z2794" s="256"/>
      <c r="AA2794" s="256"/>
      <c r="AB2794" s="257"/>
      <c r="AC2794" s="258"/>
      <c r="AD2794" s="7"/>
      <c r="AE2794" s="253"/>
      <c r="AF2794" s="253"/>
      <c r="AG2794" s="259"/>
      <c r="AH2794" s="253"/>
      <c r="AI2794" s="253"/>
      <c r="AJ2794" s="7"/>
      <c r="AK2794" s="253"/>
      <c r="AL2794" s="253"/>
      <c r="AM2794" s="7"/>
      <c r="AN2794" s="253"/>
      <c r="AO2794" s="253"/>
      <c r="AP2794" s="253"/>
      <c r="AQ2794" s="253"/>
      <c r="AR2794" s="253"/>
      <c r="AS2794" s="253"/>
      <c r="AT2794" s="253"/>
      <c r="AU2794" s="253"/>
      <c r="AV2794" s="253"/>
      <c r="AW2794" s="253"/>
      <c r="AX2794" s="253"/>
      <c r="AY2794" s="253"/>
      <c r="AZ2794" s="253"/>
    </row>
    <row r="2795" spans="1:52" ht="15.5" customHeight="1">
      <c r="A2795" s="363"/>
      <c r="B2795" s="343"/>
      <c r="C2795" s="7"/>
      <c r="D2795" s="254"/>
      <c r="E2795" s="254"/>
      <c r="F2795" s="254"/>
      <c r="G2795" s="253"/>
      <c r="H2795" s="253"/>
      <c r="I2795" s="253"/>
      <c r="J2795" s="253"/>
      <c r="K2795" s="253"/>
      <c r="L2795" s="7"/>
      <c r="M2795" s="7"/>
      <c r="N2795" s="253"/>
      <c r="O2795" s="255"/>
      <c r="P2795" s="253"/>
      <c r="Q2795" s="7"/>
      <c r="R2795" s="7"/>
      <c r="S2795" s="7"/>
      <c r="T2795" s="7"/>
      <c r="U2795" s="7"/>
      <c r="V2795" s="253"/>
      <c r="W2795" s="7"/>
      <c r="X2795" s="256"/>
      <c r="Y2795" s="256"/>
      <c r="Z2795" s="256"/>
      <c r="AA2795" s="256"/>
      <c r="AB2795" s="257"/>
      <c r="AC2795" s="258"/>
      <c r="AD2795" s="7"/>
      <c r="AE2795" s="253"/>
      <c r="AF2795" s="253"/>
      <c r="AG2795" s="259"/>
      <c r="AH2795" s="253"/>
      <c r="AI2795" s="253"/>
      <c r="AJ2795" s="7"/>
      <c r="AK2795" s="253"/>
      <c r="AL2795" s="253"/>
      <c r="AM2795" s="7"/>
      <c r="AN2795" s="253"/>
      <c r="AO2795" s="253"/>
      <c r="AP2795" s="253"/>
      <c r="AQ2795" s="253"/>
      <c r="AR2795" s="253"/>
      <c r="AS2795" s="253"/>
      <c r="AT2795" s="253"/>
      <c r="AU2795" s="253"/>
      <c r="AV2795" s="253"/>
      <c r="AW2795" s="253"/>
      <c r="AX2795" s="253"/>
      <c r="AY2795" s="253"/>
      <c r="AZ2795" s="253"/>
    </row>
    <row r="2796" spans="1:52" ht="15.5" customHeight="1">
      <c r="A2796" s="363"/>
      <c r="B2796" s="343"/>
      <c r="C2796" s="7"/>
      <c r="D2796" s="254"/>
      <c r="E2796" s="254"/>
      <c r="F2796" s="254"/>
      <c r="G2796" s="253"/>
      <c r="H2796" s="253"/>
      <c r="I2796" s="253"/>
      <c r="J2796" s="253"/>
      <c r="K2796" s="253"/>
      <c r="L2796" s="7"/>
      <c r="M2796" s="7"/>
      <c r="N2796" s="253"/>
      <c r="O2796" s="255"/>
      <c r="P2796" s="253"/>
      <c r="Q2796" s="7"/>
      <c r="R2796" s="7"/>
      <c r="S2796" s="7"/>
      <c r="T2796" s="7"/>
      <c r="U2796" s="7"/>
      <c r="V2796" s="253"/>
      <c r="W2796" s="7"/>
      <c r="X2796" s="256"/>
      <c r="Y2796" s="256"/>
      <c r="Z2796" s="256"/>
      <c r="AA2796" s="256"/>
      <c r="AB2796" s="257"/>
      <c r="AC2796" s="258"/>
      <c r="AD2796" s="7"/>
      <c r="AE2796" s="253"/>
      <c r="AF2796" s="253"/>
      <c r="AG2796" s="259"/>
      <c r="AH2796" s="253"/>
      <c r="AI2796" s="253"/>
      <c r="AJ2796" s="7"/>
      <c r="AK2796" s="253"/>
      <c r="AL2796" s="253"/>
      <c r="AM2796" s="7"/>
      <c r="AN2796" s="253"/>
      <c r="AO2796" s="253"/>
      <c r="AP2796" s="253"/>
      <c r="AQ2796" s="253"/>
      <c r="AR2796" s="253"/>
      <c r="AS2796" s="253"/>
      <c r="AT2796" s="253"/>
      <c r="AU2796" s="253"/>
      <c r="AV2796" s="253"/>
      <c r="AW2796" s="253"/>
      <c r="AX2796" s="253"/>
      <c r="AY2796" s="253"/>
      <c r="AZ2796" s="253"/>
    </row>
    <row r="2797" spans="1:52" ht="15.5" customHeight="1">
      <c r="A2797" s="363"/>
      <c r="B2797" s="343"/>
      <c r="C2797" s="7"/>
      <c r="D2797" s="254"/>
      <c r="E2797" s="254"/>
      <c r="F2797" s="254"/>
      <c r="G2797" s="253"/>
      <c r="H2797" s="253"/>
      <c r="I2797" s="253"/>
      <c r="J2797" s="253"/>
      <c r="K2797" s="253"/>
      <c r="L2797" s="7"/>
      <c r="M2797" s="7"/>
      <c r="N2797" s="253"/>
      <c r="O2797" s="255"/>
      <c r="P2797" s="253"/>
      <c r="Q2797" s="7"/>
      <c r="R2797" s="7"/>
      <c r="S2797" s="7"/>
      <c r="T2797" s="7"/>
      <c r="U2797" s="7"/>
      <c r="V2797" s="253"/>
      <c r="W2797" s="7"/>
      <c r="X2797" s="256"/>
      <c r="Y2797" s="256"/>
      <c r="Z2797" s="256"/>
      <c r="AA2797" s="256"/>
      <c r="AB2797" s="257"/>
      <c r="AC2797" s="258"/>
      <c r="AD2797" s="7"/>
      <c r="AE2797" s="253"/>
      <c r="AF2797" s="253"/>
      <c r="AG2797" s="259"/>
      <c r="AH2797" s="253"/>
      <c r="AI2797" s="253"/>
      <c r="AJ2797" s="7"/>
      <c r="AK2797" s="253"/>
      <c r="AL2797" s="253"/>
      <c r="AM2797" s="7"/>
      <c r="AN2797" s="253"/>
      <c r="AO2797" s="253"/>
      <c r="AP2797" s="253"/>
      <c r="AQ2797" s="253"/>
      <c r="AR2797" s="253"/>
      <c r="AS2797" s="253"/>
      <c r="AT2797" s="253"/>
      <c r="AU2797" s="253"/>
      <c r="AV2797" s="253"/>
      <c r="AW2797" s="253"/>
      <c r="AX2797" s="253"/>
      <c r="AY2797" s="253"/>
      <c r="AZ2797" s="253"/>
    </row>
    <row r="2798" spans="1:52" ht="15.5" customHeight="1">
      <c r="A2798" s="363"/>
      <c r="B2798" s="343"/>
      <c r="C2798" s="7"/>
      <c r="D2798" s="254"/>
      <c r="E2798" s="254"/>
      <c r="F2798" s="254"/>
      <c r="G2798" s="253"/>
      <c r="H2798" s="253"/>
      <c r="I2798" s="253"/>
      <c r="J2798" s="253"/>
      <c r="K2798" s="253"/>
      <c r="L2798" s="7"/>
      <c r="M2798" s="7"/>
      <c r="N2798" s="253"/>
      <c r="O2798" s="255"/>
      <c r="P2798" s="253"/>
      <c r="Q2798" s="7"/>
      <c r="R2798" s="7"/>
      <c r="S2798" s="7"/>
      <c r="T2798" s="7"/>
      <c r="U2798" s="7"/>
      <c r="V2798" s="253"/>
      <c r="W2798" s="7"/>
      <c r="X2798" s="256"/>
      <c r="Y2798" s="256"/>
      <c r="Z2798" s="256"/>
      <c r="AA2798" s="256"/>
      <c r="AB2798" s="257"/>
      <c r="AC2798" s="258"/>
      <c r="AD2798" s="7"/>
      <c r="AE2798" s="253"/>
      <c r="AF2798" s="253"/>
      <c r="AG2798" s="259"/>
      <c r="AH2798" s="253"/>
      <c r="AI2798" s="253"/>
      <c r="AJ2798" s="7"/>
      <c r="AK2798" s="253"/>
      <c r="AL2798" s="253"/>
      <c r="AM2798" s="7"/>
      <c r="AN2798" s="253"/>
      <c r="AO2798" s="253"/>
      <c r="AP2798" s="253"/>
      <c r="AQ2798" s="253"/>
      <c r="AR2798" s="253"/>
      <c r="AS2798" s="253"/>
      <c r="AT2798" s="253"/>
      <c r="AU2798" s="253"/>
      <c r="AV2798" s="253"/>
      <c r="AW2798" s="253"/>
      <c r="AX2798" s="253"/>
      <c r="AY2798" s="253"/>
      <c r="AZ2798" s="253"/>
    </row>
    <row r="2799" spans="1:52" ht="15.5" customHeight="1">
      <c r="A2799" s="363"/>
      <c r="B2799" s="343"/>
      <c r="C2799" s="7"/>
      <c r="D2799" s="254"/>
      <c r="E2799" s="254"/>
      <c r="F2799" s="254"/>
      <c r="G2799" s="253"/>
      <c r="H2799" s="253"/>
      <c r="I2799" s="253"/>
      <c r="J2799" s="253"/>
      <c r="K2799" s="253"/>
      <c r="L2799" s="7"/>
      <c r="M2799" s="7"/>
      <c r="N2799" s="253"/>
      <c r="O2799" s="255"/>
      <c r="P2799" s="253"/>
      <c r="Q2799" s="7"/>
      <c r="R2799" s="7"/>
      <c r="S2799" s="7"/>
      <c r="T2799" s="7"/>
      <c r="U2799" s="7"/>
      <c r="V2799" s="253"/>
      <c r="W2799" s="7"/>
      <c r="X2799" s="256"/>
      <c r="Y2799" s="256"/>
      <c r="Z2799" s="256"/>
      <c r="AA2799" s="256"/>
      <c r="AB2799" s="257"/>
      <c r="AC2799" s="258"/>
      <c r="AD2799" s="7"/>
      <c r="AE2799" s="253"/>
      <c r="AF2799" s="253"/>
      <c r="AG2799" s="259"/>
      <c r="AH2799" s="253"/>
      <c r="AI2799" s="253"/>
      <c r="AJ2799" s="7"/>
      <c r="AK2799" s="253"/>
      <c r="AL2799" s="253"/>
      <c r="AM2799" s="7"/>
      <c r="AN2799" s="253"/>
      <c r="AO2799" s="253"/>
      <c r="AP2799" s="253"/>
      <c r="AQ2799" s="253"/>
      <c r="AR2799" s="253"/>
      <c r="AS2799" s="253"/>
      <c r="AT2799" s="253"/>
      <c r="AU2799" s="253"/>
      <c r="AV2799" s="253"/>
      <c r="AW2799" s="253"/>
      <c r="AX2799" s="253"/>
      <c r="AY2799" s="253"/>
      <c r="AZ2799" s="253"/>
    </row>
    <row r="2800" spans="1:52" ht="15.5" customHeight="1">
      <c r="A2800" s="363"/>
      <c r="B2800" s="343"/>
      <c r="C2800" s="7"/>
      <c r="D2800" s="254"/>
      <c r="E2800" s="254"/>
      <c r="F2800" s="254"/>
      <c r="G2800" s="253"/>
      <c r="H2800" s="253"/>
      <c r="I2800" s="253"/>
      <c r="J2800" s="253"/>
      <c r="K2800" s="253"/>
      <c r="L2800" s="7"/>
      <c r="M2800" s="7"/>
      <c r="N2800" s="253"/>
      <c r="O2800" s="255"/>
      <c r="P2800" s="253"/>
      <c r="Q2800" s="7"/>
      <c r="R2800" s="7"/>
      <c r="S2800" s="7"/>
      <c r="T2800" s="7"/>
      <c r="U2800" s="7"/>
      <c r="V2800" s="253"/>
      <c r="W2800" s="7"/>
      <c r="X2800" s="256"/>
      <c r="Y2800" s="256"/>
      <c r="Z2800" s="256"/>
      <c r="AA2800" s="256"/>
      <c r="AB2800" s="257"/>
      <c r="AC2800" s="258"/>
      <c r="AD2800" s="7"/>
      <c r="AE2800" s="253"/>
      <c r="AF2800" s="253"/>
      <c r="AG2800" s="259"/>
      <c r="AH2800" s="253"/>
      <c r="AI2800" s="253"/>
      <c r="AJ2800" s="7"/>
      <c r="AK2800" s="253"/>
      <c r="AL2800" s="253"/>
      <c r="AM2800" s="7"/>
      <c r="AN2800" s="253"/>
      <c r="AO2800" s="253"/>
      <c r="AP2800" s="253"/>
      <c r="AQ2800" s="253"/>
      <c r="AR2800" s="253"/>
      <c r="AS2800" s="253"/>
      <c r="AT2800" s="253"/>
      <c r="AU2800" s="253"/>
      <c r="AV2800" s="253"/>
      <c r="AW2800" s="253"/>
      <c r="AX2800" s="253"/>
      <c r="AY2800" s="253"/>
      <c r="AZ2800" s="253"/>
    </row>
    <row r="2801" spans="1:52" ht="15.5" customHeight="1">
      <c r="A2801" s="363"/>
      <c r="B2801" s="343"/>
      <c r="C2801" s="7"/>
      <c r="D2801" s="254"/>
      <c r="E2801" s="254"/>
      <c r="F2801" s="254"/>
      <c r="G2801" s="253"/>
      <c r="H2801" s="253"/>
      <c r="I2801" s="253"/>
      <c r="J2801" s="253"/>
      <c r="K2801" s="253"/>
      <c r="L2801" s="7"/>
      <c r="M2801" s="7"/>
      <c r="N2801" s="253"/>
      <c r="O2801" s="255"/>
      <c r="P2801" s="253"/>
      <c r="Q2801" s="7"/>
      <c r="R2801" s="7"/>
      <c r="S2801" s="7"/>
      <c r="T2801" s="7"/>
      <c r="U2801" s="7"/>
      <c r="V2801" s="253"/>
      <c r="W2801" s="7"/>
      <c r="X2801" s="256"/>
      <c r="Y2801" s="256"/>
      <c r="Z2801" s="256"/>
      <c r="AA2801" s="256"/>
      <c r="AB2801" s="257"/>
      <c r="AC2801" s="258"/>
      <c r="AD2801" s="7"/>
      <c r="AE2801" s="253"/>
      <c r="AF2801" s="253"/>
      <c r="AG2801" s="259"/>
      <c r="AH2801" s="253"/>
      <c r="AI2801" s="253"/>
      <c r="AJ2801" s="7"/>
      <c r="AK2801" s="253"/>
      <c r="AL2801" s="253"/>
      <c r="AM2801" s="7"/>
      <c r="AN2801" s="253"/>
      <c r="AO2801" s="253"/>
      <c r="AP2801" s="253"/>
      <c r="AQ2801" s="253"/>
      <c r="AR2801" s="253"/>
      <c r="AS2801" s="253"/>
      <c r="AT2801" s="253"/>
      <c r="AU2801" s="253"/>
      <c r="AV2801" s="253"/>
      <c r="AW2801" s="253"/>
      <c r="AX2801" s="253"/>
      <c r="AY2801" s="253"/>
      <c r="AZ2801" s="253"/>
    </row>
    <row r="2802" spans="1:52" ht="15.5" customHeight="1">
      <c r="A2802" s="363"/>
      <c r="B2802" s="343"/>
      <c r="C2802" s="7"/>
      <c r="D2802" s="254"/>
      <c r="E2802" s="254"/>
      <c r="F2802" s="254"/>
      <c r="G2802" s="253"/>
      <c r="H2802" s="253"/>
      <c r="I2802" s="253"/>
      <c r="J2802" s="253"/>
      <c r="K2802" s="253"/>
      <c r="L2802" s="7"/>
      <c r="M2802" s="7"/>
      <c r="N2802" s="253"/>
      <c r="O2802" s="255"/>
      <c r="P2802" s="253"/>
      <c r="Q2802" s="7"/>
      <c r="R2802" s="7"/>
      <c r="S2802" s="7"/>
      <c r="T2802" s="7"/>
      <c r="U2802" s="7"/>
      <c r="V2802" s="253"/>
      <c r="W2802" s="7"/>
      <c r="X2802" s="256"/>
      <c r="Y2802" s="256"/>
      <c r="Z2802" s="256"/>
      <c r="AA2802" s="256"/>
      <c r="AB2802" s="257"/>
      <c r="AC2802" s="258"/>
      <c r="AD2802" s="7"/>
      <c r="AE2802" s="253"/>
      <c r="AF2802" s="253"/>
      <c r="AG2802" s="259"/>
      <c r="AH2802" s="253"/>
      <c r="AI2802" s="253"/>
      <c r="AJ2802" s="7"/>
      <c r="AK2802" s="253"/>
      <c r="AL2802" s="253"/>
      <c r="AM2802" s="7"/>
      <c r="AN2802" s="253"/>
      <c r="AO2802" s="253"/>
      <c r="AP2802" s="253"/>
      <c r="AQ2802" s="253"/>
      <c r="AR2802" s="253"/>
      <c r="AS2802" s="253"/>
      <c r="AT2802" s="253"/>
      <c r="AU2802" s="253"/>
      <c r="AV2802" s="253"/>
      <c r="AW2802" s="253"/>
      <c r="AX2802" s="253"/>
      <c r="AY2802" s="253"/>
      <c r="AZ2802" s="253"/>
    </row>
    <row r="2803" spans="1:52" ht="15.5" customHeight="1">
      <c r="A2803" s="363"/>
      <c r="B2803" s="343"/>
      <c r="C2803" s="7"/>
      <c r="D2803" s="254"/>
      <c r="E2803" s="254"/>
      <c r="F2803" s="254"/>
      <c r="G2803" s="253"/>
      <c r="H2803" s="253"/>
      <c r="I2803" s="253"/>
      <c r="J2803" s="253"/>
      <c r="K2803" s="253"/>
      <c r="L2803" s="7"/>
      <c r="M2803" s="7"/>
      <c r="N2803" s="253"/>
      <c r="O2803" s="255"/>
      <c r="P2803" s="253"/>
      <c r="Q2803" s="7"/>
      <c r="R2803" s="7"/>
      <c r="S2803" s="7"/>
      <c r="T2803" s="7"/>
      <c r="U2803" s="7"/>
      <c r="V2803" s="253"/>
      <c r="W2803" s="7"/>
      <c r="X2803" s="256"/>
      <c r="Y2803" s="256"/>
      <c r="Z2803" s="256"/>
      <c r="AA2803" s="256"/>
      <c r="AB2803" s="257"/>
      <c r="AC2803" s="258"/>
      <c r="AD2803" s="7"/>
      <c r="AE2803" s="253"/>
      <c r="AF2803" s="253"/>
      <c r="AG2803" s="259"/>
      <c r="AH2803" s="253"/>
      <c r="AI2803" s="253"/>
      <c r="AJ2803" s="7"/>
      <c r="AK2803" s="253"/>
      <c r="AL2803" s="253"/>
      <c r="AM2803" s="7"/>
      <c r="AN2803" s="253"/>
      <c r="AO2803" s="253"/>
      <c r="AP2803" s="253"/>
      <c r="AQ2803" s="253"/>
      <c r="AR2803" s="253"/>
      <c r="AS2803" s="253"/>
      <c r="AT2803" s="253"/>
      <c r="AU2803" s="253"/>
      <c r="AV2803" s="253"/>
      <c r="AW2803" s="253"/>
      <c r="AX2803" s="253"/>
      <c r="AY2803" s="253"/>
      <c r="AZ2803" s="253"/>
    </row>
    <row r="2804" spans="1:52" ht="15.5" customHeight="1">
      <c r="A2804" s="363"/>
      <c r="B2804" s="343"/>
      <c r="C2804" s="7"/>
      <c r="D2804" s="254"/>
      <c r="E2804" s="254"/>
      <c r="F2804" s="254"/>
      <c r="G2804" s="253"/>
      <c r="H2804" s="253"/>
      <c r="I2804" s="253"/>
      <c r="J2804" s="253"/>
      <c r="K2804" s="253"/>
      <c r="L2804" s="7"/>
      <c r="M2804" s="7"/>
      <c r="N2804" s="253"/>
      <c r="O2804" s="255"/>
      <c r="P2804" s="253"/>
      <c r="Q2804" s="7"/>
      <c r="R2804" s="7"/>
      <c r="S2804" s="7"/>
      <c r="T2804" s="7"/>
      <c r="U2804" s="7"/>
      <c r="V2804" s="253"/>
      <c r="W2804" s="7"/>
      <c r="X2804" s="256"/>
      <c r="Y2804" s="256"/>
      <c r="Z2804" s="256"/>
      <c r="AA2804" s="256"/>
      <c r="AB2804" s="257"/>
      <c r="AC2804" s="258"/>
      <c r="AD2804" s="7"/>
      <c r="AE2804" s="253"/>
      <c r="AF2804" s="253"/>
      <c r="AG2804" s="259"/>
      <c r="AH2804" s="253"/>
      <c r="AI2804" s="253"/>
      <c r="AJ2804" s="7"/>
      <c r="AK2804" s="253"/>
      <c r="AL2804" s="253"/>
      <c r="AM2804" s="7"/>
      <c r="AN2804" s="253"/>
      <c r="AO2804" s="253"/>
      <c r="AP2804" s="253"/>
      <c r="AQ2804" s="253"/>
      <c r="AR2804" s="253"/>
      <c r="AS2804" s="253"/>
      <c r="AT2804" s="253"/>
      <c r="AU2804" s="253"/>
      <c r="AV2804" s="253"/>
      <c r="AW2804" s="253"/>
      <c r="AX2804" s="253"/>
      <c r="AY2804" s="253"/>
      <c r="AZ2804" s="253"/>
    </row>
    <row r="2805" spans="1:52" ht="15.5" customHeight="1">
      <c r="A2805" s="363"/>
      <c r="B2805" s="343"/>
      <c r="C2805" s="7"/>
      <c r="D2805" s="254"/>
      <c r="E2805" s="254"/>
      <c r="F2805" s="254"/>
      <c r="G2805" s="253"/>
      <c r="H2805" s="253"/>
      <c r="I2805" s="253"/>
      <c r="J2805" s="253"/>
      <c r="K2805" s="253"/>
      <c r="L2805" s="7"/>
      <c r="M2805" s="7"/>
      <c r="N2805" s="253"/>
      <c r="O2805" s="255"/>
      <c r="P2805" s="253"/>
      <c r="Q2805" s="7"/>
      <c r="R2805" s="7"/>
      <c r="S2805" s="7"/>
      <c r="T2805" s="7"/>
      <c r="U2805" s="7"/>
      <c r="V2805" s="253"/>
      <c r="W2805" s="7"/>
      <c r="X2805" s="256"/>
      <c r="Y2805" s="256"/>
      <c r="Z2805" s="256"/>
      <c r="AA2805" s="256"/>
      <c r="AB2805" s="257"/>
      <c r="AC2805" s="258"/>
      <c r="AD2805" s="7"/>
      <c r="AE2805" s="253"/>
      <c r="AF2805" s="253"/>
      <c r="AG2805" s="259"/>
      <c r="AH2805" s="253"/>
      <c r="AI2805" s="253"/>
      <c r="AJ2805" s="7"/>
      <c r="AK2805" s="253"/>
      <c r="AL2805" s="253"/>
      <c r="AM2805" s="7"/>
      <c r="AN2805" s="253"/>
      <c r="AO2805" s="253"/>
      <c r="AP2805" s="253"/>
      <c r="AQ2805" s="253"/>
      <c r="AR2805" s="253"/>
      <c r="AS2805" s="253"/>
      <c r="AT2805" s="253"/>
      <c r="AU2805" s="253"/>
      <c r="AV2805" s="253"/>
      <c r="AW2805" s="253"/>
      <c r="AX2805" s="253"/>
      <c r="AY2805" s="253"/>
      <c r="AZ2805" s="253"/>
    </row>
    <row r="2806" spans="1:52" ht="15.5" customHeight="1">
      <c r="A2806" s="363"/>
      <c r="B2806" s="343"/>
      <c r="C2806" s="7"/>
      <c r="D2806" s="254"/>
      <c r="E2806" s="254"/>
      <c r="F2806" s="254"/>
      <c r="G2806" s="253"/>
      <c r="H2806" s="253"/>
      <c r="I2806" s="253"/>
      <c r="J2806" s="253"/>
      <c r="K2806" s="253"/>
      <c r="L2806" s="7"/>
      <c r="M2806" s="7"/>
      <c r="N2806" s="253"/>
      <c r="O2806" s="255"/>
      <c r="P2806" s="253"/>
      <c r="Q2806" s="7"/>
      <c r="R2806" s="7"/>
      <c r="S2806" s="7"/>
      <c r="T2806" s="7"/>
      <c r="U2806" s="7"/>
      <c r="V2806" s="253"/>
      <c r="W2806" s="7"/>
      <c r="X2806" s="256"/>
      <c r="Y2806" s="256"/>
      <c r="Z2806" s="256"/>
      <c r="AA2806" s="256"/>
      <c r="AB2806" s="257"/>
      <c r="AC2806" s="258"/>
      <c r="AD2806" s="7"/>
      <c r="AE2806" s="253"/>
      <c r="AF2806" s="253"/>
      <c r="AG2806" s="259"/>
      <c r="AH2806" s="253"/>
      <c r="AI2806" s="253"/>
      <c r="AJ2806" s="7"/>
      <c r="AK2806" s="253"/>
      <c r="AL2806" s="253"/>
      <c r="AM2806" s="7"/>
      <c r="AN2806" s="253"/>
      <c r="AO2806" s="253"/>
      <c r="AP2806" s="253"/>
      <c r="AQ2806" s="253"/>
      <c r="AR2806" s="253"/>
      <c r="AS2806" s="253"/>
      <c r="AT2806" s="253"/>
      <c r="AU2806" s="253"/>
      <c r="AV2806" s="253"/>
      <c r="AW2806" s="253"/>
      <c r="AX2806" s="253"/>
      <c r="AY2806" s="253"/>
      <c r="AZ2806" s="253"/>
    </row>
    <row r="2807" spans="1:52" ht="15.5" customHeight="1">
      <c r="A2807" s="363"/>
      <c r="B2807" s="343"/>
      <c r="C2807" s="7"/>
      <c r="D2807" s="254"/>
      <c r="E2807" s="254"/>
      <c r="F2807" s="254"/>
      <c r="G2807" s="253"/>
      <c r="H2807" s="253"/>
      <c r="I2807" s="253"/>
      <c r="J2807" s="253"/>
      <c r="K2807" s="253"/>
      <c r="L2807" s="7"/>
      <c r="M2807" s="7"/>
      <c r="N2807" s="253"/>
      <c r="O2807" s="255"/>
      <c r="P2807" s="253"/>
      <c r="Q2807" s="7"/>
      <c r="R2807" s="7"/>
      <c r="S2807" s="7"/>
      <c r="T2807" s="7"/>
      <c r="U2807" s="7"/>
      <c r="V2807" s="253"/>
      <c r="W2807" s="7"/>
      <c r="X2807" s="256"/>
      <c r="Y2807" s="256"/>
      <c r="Z2807" s="256"/>
      <c r="AA2807" s="256"/>
      <c r="AB2807" s="257"/>
      <c r="AC2807" s="258"/>
      <c r="AD2807" s="7"/>
      <c r="AE2807" s="253"/>
      <c r="AF2807" s="253"/>
      <c r="AG2807" s="259"/>
      <c r="AH2807" s="253"/>
      <c r="AI2807" s="253"/>
      <c r="AJ2807" s="7"/>
      <c r="AK2807" s="253"/>
      <c r="AL2807" s="253"/>
      <c r="AM2807" s="7"/>
      <c r="AN2807" s="253"/>
      <c r="AO2807" s="253"/>
      <c r="AP2807" s="253"/>
      <c r="AQ2807" s="253"/>
      <c r="AR2807" s="253"/>
      <c r="AS2807" s="253"/>
      <c r="AT2807" s="253"/>
      <c r="AU2807" s="253"/>
      <c r="AV2807" s="253"/>
      <c r="AW2807" s="253"/>
      <c r="AX2807" s="253"/>
      <c r="AY2807" s="253"/>
      <c r="AZ2807" s="253"/>
    </row>
    <row r="2808" spans="1:52" ht="15.5" customHeight="1">
      <c r="A2808" s="363"/>
      <c r="B2808" s="343"/>
      <c r="C2808" s="7"/>
      <c r="D2808" s="254"/>
      <c r="E2808" s="254"/>
      <c r="F2808" s="254"/>
      <c r="G2808" s="253"/>
      <c r="H2808" s="253"/>
      <c r="I2808" s="253"/>
      <c r="J2808" s="253"/>
      <c r="K2808" s="253"/>
      <c r="L2808" s="7"/>
      <c r="M2808" s="7"/>
      <c r="N2808" s="253"/>
      <c r="O2808" s="255"/>
      <c r="P2808" s="253"/>
      <c r="Q2808" s="7"/>
      <c r="R2808" s="7"/>
      <c r="S2808" s="7"/>
      <c r="T2808" s="7"/>
      <c r="U2808" s="7"/>
      <c r="V2808" s="253"/>
      <c r="W2808" s="7"/>
      <c r="X2808" s="256"/>
      <c r="Y2808" s="256"/>
      <c r="Z2808" s="256"/>
      <c r="AA2808" s="256"/>
      <c r="AB2808" s="257"/>
      <c r="AC2808" s="258"/>
      <c r="AD2808" s="7"/>
      <c r="AE2808" s="253"/>
      <c r="AF2808" s="253"/>
      <c r="AG2808" s="259"/>
      <c r="AH2808" s="253"/>
      <c r="AI2808" s="253"/>
      <c r="AJ2808" s="7"/>
      <c r="AK2808" s="253"/>
      <c r="AL2808" s="253"/>
      <c r="AM2808" s="7"/>
      <c r="AN2808" s="253"/>
      <c r="AO2808" s="253"/>
      <c r="AP2808" s="253"/>
      <c r="AQ2808" s="253"/>
      <c r="AR2808" s="253"/>
      <c r="AS2808" s="253"/>
      <c r="AT2808" s="253"/>
      <c r="AU2808" s="253"/>
      <c r="AV2808" s="253"/>
      <c r="AW2808" s="253"/>
      <c r="AX2808" s="253"/>
      <c r="AY2808" s="253"/>
      <c r="AZ2808" s="253"/>
    </row>
    <row r="2809" spans="1:52" ht="15.5" customHeight="1">
      <c r="A2809" s="363"/>
      <c r="B2809" s="343"/>
      <c r="C2809" s="7"/>
      <c r="D2809" s="254"/>
      <c r="E2809" s="254"/>
      <c r="F2809" s="254"/>
      <c r="G2809" s="253"/>
      <c r="H2809" s="253"/>
      <c r="I2809" s="253"/>
      <c r="J2809" s="253"/>
      <c r="K2809" s="253"/>
      <c r="L2809" s="7"/>
      <c r="M2809" s="7"/>
      <c r="N2809" s="253"/>
      <c r="O2809" s="255"/>
      <c r="P2809" s="253"/>
      <c r="Q2809" s="7"/>
      <c r="R2809" s="7"/>
      <c r="S2809" s="7"/>
      <c r="T2809" s="7"/>
      <c r="U2809" s="7"/>
      <c r="V2809" s="253"/>
      <c r="W2809" s="7"/>
      <c r="X2809" s="256"/>
      <c r="Y2809" s="256"/>
      <c r="Z2809" s="256"/>
      <c r="AA2809" s="256"/>
      <c r="AB2809" s="257"/>
      <c r="AC2809" s="258"/>
      <c r="AD2809" s="7"/>
      <c r="AE2809" s="253"/>
      <c r="AF2809" s="253"/>
      <c r="AG2809" s="259"/>
      <c r="AH2809" s="253"/>
      <c r="AI2809" s="253"/>
      <c r="AJ2809" s="7"/>
      <c r="AK2809" s="253"/>
      <c r="AL2809" s="253"/>
      <c r="AM2809" s="7"/>
      <c r="AN2809" s="253"/>
      <c r="AO2809" s="253"/>
      <c r="AP2809" s="253"/>
      <c r="AQ2809" s="253"/>
      <c r="AR2809" s="253"/>
      <c r="AS2809" s="253"/>
      <c r="AT2809" s="253"/>
      <c r="AU2809" s="253"/>
      <c r="AV2809" s="253"/>
      <c r="AW2809" s="253"/>
      <c r="AX2809" s="253"/>
      <c r="AY2809" s="253"/>
      <c r="AZ2809" s="253"/>
    </row>
    <row r="2810" spans="1:52" ht="15.5" customHeight="1">
      <c r="A2810" s="363"/>
      <c r="B2810" s="343"/>
      <c r="C2810" s="7"/>
      <c r="D2810" s="254"/>
      <c r="E2810" s="254"/>
      <c r="F2810" s="254"/>
      <c r="G2810" s="253"/>
      <c r="H2810" s="253"/>
      <c r="I2810" s="253"/>
      <c r="J2810" s="253"/>
      <c r="K2810" s="253"/>
      <c r="L2810" s="7"/>
      <c r="M2810" s="7"/>
      <c r="N2810" s="253"/>
      <c r="O2810" s="255"/>
      <c r="P2810" s="253"/>
      <c r="Q2810" s="7"/>
      <c r="R2810" s="7"/>
      <c r="S2810" s="7"/>
      <c r="T2810" s="7"/>
      <c r="U2810" s="7"/>
      <c r="V2810" s="253"/>
      <c r="W2810" s="7"/>
      <c r="X2810" s="256"/>
      <c r="Y2810" s="256"/>
      <c r="Z2810" s="256"/>
      <c r="AA2810" s="256"/>
      <c r="AB2810" s="257"/>
      <c r="AC2810" s="258"/>
      <c r="AD2810" s="7"/>
      <c r="AE2810" s="253"/>
      <c r="AF2810" s="253"/>
      <c r="AG2810" s="259"/>
      <c r="AH2810" s="253"/>
      <c r="AI2810" s="253"/>
      <c r="AJ2810" s="7"/>
      <c r="AK2810" s="253"/>
      <c r="AL2810" s="253"/>
      <c r="AM2810" s="7"/>
      <c r="AN2810" s="253"/>
      <c r="AO2810" s="253"/>
      <c r="AP2810" s="253"/>
      <c r="AQ2810" s="253"/>
      <c r="AR2810" s="253"/>
      <c r="AS2810" s="253"/>
      <c r="AT2810" s="253"/>
      <c r="AU2810" s="253"/>
      <c r="AV2810" s="253"/>
      <c r="AW2810" s="253"/>
      <c r="AX2810" s="253"/>
      <c r="AY2810" s="253"/>
      <c r="AZ2810" s="253"/>
    </row>
    <row r="2811" spans="1:52" ht="15.5" customHeight="1">
      <c r="A2811" s="363"/>
      <c r="B2811" s="343"/>
      <c r="C2811" s="7"/>
      <c r="D2811" s="254"/>
      <c r="E2811" s="254"/>
      <c r="F2811" s="254"/>
      <c r="G2811" s="253"/>
      <c r="H2811" s="253"/>
      <c r="I2811" s="253"/>
      <c r="J2811" s="253"/>
      <c r="K2811" s="253"/>
      <c r="L2811" s="7"/>
      <c r="M2811" s="7"/>
      <c r="N2811" s="253"/>
      <c r="O2811" s="255"/>
      <c r="P2811" s="253"/>
      <c r="Q2811" s="7"/>
      <c r="R2811" s="7"/>
      <c r="S2811" s="7"/>
      <c r="T2811" s="7"/>
      <c r="U2811" s="7"/>
      <c r="V2811" s="253"/>
      <c r="W2811" s="7"/>
      <c r="X2811" s="256"/>
      <c r="Y2811" s="256"/>
      <c r="Z2811" s="256"/>
      <c r="AA2811" s="256"/>
      <c r="AB2811" s="257"/>
      <c r="AC2811" s="258"/>
      <c r="AD2811" s="7"/>
      <c r="AE2811" s="253"/>
      <c r="AF2811" s="253"/>
      <c r="AG2811" s="259"/>
      <c r="AH2811" s="253"/>
      <c r="AI2811" s="253"/>
      <c r="AJ2811" s="7"/>
      <c r="AK2811" s="253"/>
      <c r="AL2811" s="253"/>
      <c r="AM2811" s="7"/>
      <c r="AN2811" s="253"/>
      <c r="AO2811" s="253"/>
      <c r="AP2811" s="253"/>
      <c r="AQ2811" s="253"/>
      <c r="AR2811" s="253"/>
      <c r="AS2811" s="253"/>
      <c r="AT2811" s="253"/>
      <c r="AU2811" s="253"/>
      <c r="AV2811" s="253"/>
      <c r="AW2811" s="253"/>
      <c r="AX2811" s="253"/>
      <c r="AY2811" s="253"/>
      <c r="AZ2811" s="253"/>
    </row>
    <row r="2812" spans="1:52" ht="15.5" customHeight="1">
      <c r="A2812" s="363"/>
      <c r="B2812" s="343"/>
      <c r="C2812" s="7"/>
      <c r="D2812" s="254"/>
      <c r="E2812" s="254"/>
      <c r="F2812" s="254"/>
      <c r="G2812" s="253"/>
      <c r="H2812" s="253"/>
      <c r="I2812" s="253"/>
      <c r="J2812" s="253"/>
      <c r="K2812" s="253"/>
      <c r="L2812" s="7"/>
      <c r="M2812" s="7"/>
      <c r="N2812" s="253"/>
      <c r="O2812" s="255"/>
      <c r="P2812" s="253"/>
      <c r="Q2812" s="7"/>
      <c r="R2812" s="7"/>
      <c r="S2812" s="7"/>
      <c r="T2812" s="7"/>
      <c r="U2812" s="7"/>
      <c r="V2812" s="253"/>
      <c r="W2812" s="7"/>
      <c r="X2812" s="256"/>
      <c r="Y2812" s="256"/>
      <c r="Z2812" s="256"/>
      <c r="AA2812" s="256"/>
      <c r="AB2812" s="257"/>
      <c r="AC2812" s="258"/>
      <c r="AD2812" s="7"/>
      <c r="AE2812" s="253"/>
      <c r="AF2812" s="253"/>
      <c r="AG2812" s="259"/>
      <c r="AH2812" s="253"/>
      <c r="AI2812" s="253"/>
      <c r="AJ2812" s="7"/>
      <c r="AK2812" s="253"/>
      <c r="AL2812" s="253"/>
      <c r="AM2812" s="7"/>
      <c r="AN2812" s="253"/>
      <c r="AO2812" s="253"/>
      <c r="AP2812" s="253"/>
      <c r="AQ2812" s="253"/>
      <c r="AR2812" s="253"/>
      <c r="AS2812" s="253"/>
      <c r="AT2812" s="253"/>
      <c r="AU2812" s="253"/>
      <c r="AV2812" s="253"/>
      <c r="AW2812" s="253"/>
      <c r="AX2812" s="253"/>
      <c r="AY2812" s="253"/>
      <c r="AZ2812" s="253"/>
    </row>
    <row r="2813" spans="1:52" ht="15.5" customHeight="1">
      <c r="A2813" s="363"/>
      <c r="B2813" s="343"/>
      <c r="C2813" s="7"/>
      <c r="D2813" s="254"/>
      <c r="E2813" s="254"/>
      <c r="F2813" s="254"/>
      <c r="G2813" s="253"/>
      <c r="H2813" s="253"/>
      <c r="I2813" s="253"/>
      <c r="J2813" s="253"/>
      <c r="K2813" s="253"/>
      <c r="L2813" s="7"/>
      <c r="M2813" s="7"/>
      <c r="N2813" s="253"/>
      <c r="O2813" s="255"/>
      <c r="P2813" s="253"/>
      <c r="Q2813" s="7"/>
      <c r="R2813" s="7"/>
      <c r="S2813" s="7"/>
      <c r="T2813" s="7"/>
      <c r="U2813" s="7"/>
      <c r="V2813" s="253"/>
      <c r="W2813" s="7"/>
      <c r="X2813" s="256"/>
      <c r="Y2813" s="256"/>
      <c r="Z2813" s="256"/>
      <c r="AA2813" s="256"/>
      <c r="AB2813" s="257"/>
      <c r="AC2813" s="258"/>
      <c r="AD2813" s="7"/>
      <c r="AE2813" s="253"/>
      <c r="AF2813" s="253"/>
      <c r="AG2813" s="259"/>
      <c r="AH2813" s="253"/>
      <c r="AI2813" s="253"/>
      <c r="AJ2813" s="7"/>
      <c r="AK2813" s="253"/>
      <c r="AL2813" s="253"/>
      <c r="AM2813" s="7"/>
      <c r="AN2813" s="253"/>
      <c r="AO2813" s="253"/>
      <c r="AP2813" s="253"/>
      <c r="AQ2813" s="253"/>
      <c r="AR2813" s="253"/>
      <c r="AS2813" s="253"/>
      <c r="AT2813" s="253"/>
      <c r="AU2813" s="253"/>
      <c r="AV2813" s="253"/>
      <c r="AW2813" s="253"/>
      <c r="AX2813" s="253"/>
      <c r="AY2813" s="253"/>
      <c r="AZ2813" s="253"/>
    </row>
    <row r="2814" spans="1:52" ht="15.5" customHeight="1">
      <c r="A2814" s="363"/>
      <c r="B2814" s="343"/>
      <c r="C2814" s="7"/>
      <c r="D2814" s="254"/>
      <c r="E2814" s="254"/>
      <c r="F2814" s="254"/>
      <c r="G2814" s="253"/>
      <c r="H2814" s="253"/>
      <c r="I2814" s="253"/>
      <c r="J2814" s="253"/>
      <c r="K2814" s="253"/>
      <c r="L2814" s="7"/>
      <c r="M2814" s="7"/>
      <c r="N2814" s="253"/>
      <c r="O2814" s="255"/>
      <c r="P2814" s="253"/>
      <c r="Q2814" s="7"/>
      <c r="R2814" s="7"/>
      <c r="S2814" s="7"/>
      <c r="T2814" s="7"/>
      <c r="U2814" s="7"/>
      <c r="V2814" s="253"/>
      <c r="W2814" s="7"/>
      <c r="X2814" s="256"/>
      <c r="Y2814" s="256"/>
      <c r="Z2814" s="256"/>
      <c r="AA2814" s="256"/>
      <c r="AB2814" s="257"/>
      <c r="AC2814" s="258"/>
      <c r="AD2814" s="7"/>
      <c r="AE2814" s="253"/>
      <c r="AF2814" s="253"/>
      <c r="AG2814" s="259"/>
      <c r="AH2814" s="253"/>
      <c r="AI2814" s="253"/>
      <c r="AJ2814" s="7"/>
      <c r="AK2814" s="253"/>
      <c r="AL2814" s="253"/>
      <c r="AM2814" s="7"/>
      <c r="AN2814" s="253"/>
      <c r="AO2814" s="253"/>
      <c r="AP2814" s="253"/>
      <c r="AQ2814" s="253"/>
      <c r="AR2814" s="253"/>
      <c r="AS2814" s="253"/>
      <c r="AT2814" s="253"/>
      <c r="AU2814" s="253"/>
      <c r="AV2814" s="253"/>
      <c r="AW2814" s="253"/>
      <c r="AX2814" s="253"/>
      <c r="AY2814" s="253"/>
      <c r="AZ2814" s="253"/>
    </row>
    <row r="2815" spans="1:52" ht="15.5" customHeight="1">
      <c r="A2815" s="363"/>
      <c r="B2815" s="343"/>
      <c r="C2815" s="7"/>
      <c r="D2815" s="254"/>
      <c r="E2815" s="254"/>
      <c r="F2815" s="254"/>
      <c r="G2815" s="253"/>
      <c r="H2815" s="253"/>
      <c r="I2815" s="253"/>
      <c r="J2815" s="253"/>
      <c r="K2815" s="253"/>
      <c r="L2815" s="7"/>
      <c r="M2815" s="7"/>
      <c r="N2815" s="253"/>
      <c r="O2815" s="255"/>
      <c r="P2815" s="253"/>
      <c r="Q2815" s="7"/>
      <c r="R2815" s="7"/>
      <c r="S2815" s="7"/>
      <c r="T2815" s="7"/>
      <c r="U2815" s="7"/>
      <c r="V2815" s="253"/>
      <c r="W2815" s="7"/>
      <c r="X2815" s="256"/>
      <c r="Y2815" s="256"/>
      <c r="Z2815" s="256"/>
      <c r="AA2815" s="256"/>
      <c r="AB2815" s="257"/>
      <c r="AC2815" s="258"/>
      <c r="AD2815" s="7"/>
      <c r="AE2815" s="253"/>
      <c r="AF2815" s="253"/>
      <c r="AG2815" s="259"/>
      <c r="AH2815" s="253"/>
      <c r="AI2815" s="253"/>
      <c r="AJ2815" s="7"/>
      <c r="AK2815" s="253"/>
      <c r="AL2815" s="253"/>
      <c r="AM2815" s="7"/>
      <c r="AN2815" s="253"/>
      <c r="AO2815" s="253"/>
      <c r="AP2815" s="253"/>
      <c r="AQ2815" s="253"/>
      <c r="AR2815" s="253"/>
      <c r="AS2815" s="253"/>
      <c r="AT2815" s="253"/>
      <c r="AU2815" s="253"/>
      <c r="AV2815" s="253"/>
      <c r="AW2815" s="253"/>
      <c r="AX2815" s="253"/>
      <c r="AY2815" s="253"/>
      <c r="AZ2815" s="253"/>
    </row>
    <row r="2816" spans="1:52" ht="15.5" customHeight="1">
      <c r="A2816" s="363"/>
      <c r="B2816" s="343"/>
      <c r="C2816" s="7"/>
      <c r="D2816" s="254"/>
      <c r="E2816" s="254"/>
      <c r="F2816" s="254"/>
      <c r="G2816" s="253"/>
      <c r="H2816" s="253"/>
      <c r="I2816" s="253"/>
      <c r="J2816" s="253"/>
      <c r="K2816" s="253"/>
      <c r="L2816" s="7"/>
      <c r="M2816" s="7"/>
      <c r="N2816" s="253"/>
      <c r="O2816" s="255"/>
      <c r="P2816" s="253"/>
      <c r="Q2816" s="7"/>
      <c r="R2816" s="7"/>
      <c r="S2816" s="7"/>
      <c r="T2816" s="7"/>
      <c r="U2816" s="7"/>
      <c r="V2816" s="253"/>
      <c r="W2816" s="7"/>
      <c r="X2816" s="256"/>
      <c r="Y2816" s="256"/>
      <c r="Z2816" s="256"/>
      <c r="AA2816" s="256"/>
      <c r="AB2816" s="257"/>
      <c r="AC2816" s="258"/>
      <c r="AD2816" s="7"/>
      <c r="AE2816" s="253"/>
      <c r="AF2816" s="253"/>
      <c r="AG2816" s="259"/>
      <c r="AH2816" s="253"/>
      <c r="AI2816" s="253"/>
      <c r="AJ2816" s="7"/>
      <c r="AK2816" s="253"/>
      <c r="AL2816" s="253"/>
      <c r="AM2816" s="7"/>
      <c r="AN2816" s="253"/>
      <c r="AO2816" s="253"/>
      <c r="AP2816" s="253"/>
      <c r="AQ2816" s="253"/>
      <c r="AR2816" s="253"/>
      <c r="AS2816" s="253"/>
      <c r="AT2816" s="253"/>
      <c r="AU2816" s="253"/>
      <c r="AV2816" s="253"/>
      <c r="AW2816" s="253"/>
      <c r="AX2816" s="253"/>
      <c r="AY2816" s="253"/>
      <c r="AZ2816" s="253"/>
    </row>
    <row r="2817" spans="1:52" ht="15.5" customHeight="1">
      <c r="A2817" s="363"/>
      <c r="B2817" s="343"/>
      <c r="C2817" s="7"/>
      <c r="D2817" s="254"/>
      <c r="E2817" s="254"/>
      <c r="F2817" s="254"/>
      <c r="G2817" s="253"/>
      <c r="H2817" s="253"/>
      <c r="I2817" s="253"/>
      <c r="J2817" s="253"/>
      <c r="K2817" s="253"/>
      <c r="L2817" s="7"/>
      <c r="M2817" s="7"/>
      <c r="N2817" s="253"/>
      <c r="O2817" s="255"/>
      <c r="P2817" s="253"/>
      <c r="Q2817" s="7"/>
      <c r="R2817" s="7"/>
      <c r="S2817" s="7"/>
      <c r="T2817" s="7"/>
      <c r="U2817" s="7"/>
      <c r="V2817" s="253"/>
      <c r="W2817" s="7"/>
      <c r="X2817" s="256"/>
      <c r="Y2817" s="256"/>
      <c r="Z2817" s="256"/>
      <c r="AA2817" s="256"/>
      <c r="AB2817" s="257"/>
      <c r="AC2817" s="258"/>
      <c r="AD2817" s="7"/>
      <c r="AE2817" s="253"/>
      <c r="AF2817" s="253"/>
      <c r="AG2817" s="259"/>
      <c r="AH2817" s="253"/>
      <c r="AI2817" s="253"/>
      <c r="AJ2817" s="7"/>
      <c r="AK2817" s="253"/>
      <c r="AL2817" s="253"/>
      <c r="AM2817" s="7"/>
      <c r="AN2817" s="253"/>
      <c r="AO2817" s="253"/>
      <c r="AP2817" s="253"/>
      <c r="AQ2817" s="253"/>
      <c r="AR2817" s="253"/>
      <c r="AS2817" s="253"/>
      <c r="AT2817" s="253"/>
      <c r="AU2817" s="253"/>
      <c r="AV2817" s="253"/>
      <c r="AW2817" s="253"/>
      <c r="AX2817" s="253"/>
      <c r="AY2817" s="253"/>
      <c r="AZ2817" s="253"/>
    </row>
    <row r="2818" spans="1:52" ht="15.5" customHeight="1">
      <c r="A2818" s="363"/>
      <c r="B2818" s="343"/>
      <c r="C2818" s="7"/>
      <c r="D2818" s="254"/>
      <c r="E2818" s="254"/>
      <c r="F2818" s="254"/>
      <c r="G2818" s="253"/>
      <c r="H2818" s="253"/>
      <c r="I2818" s="253"/>
      <c r="J2818" s="253"/>
      <c r="K2818" s="253"/>
      <c r="L2818" s="7"/>
      <c r="M2818" s="7"/>
      <c r="N2818" s="253"/>
      <c r="O2818" s="255"/>
      <c r="P2818" s="253"/>
      <c r="Q2818" s="7"/>
      <c r="R2818" s="7"/>
      <c r="S2818" s="7"/>
      <c r="T2818" s="7"/>
      <c r="U2818" s="7"/>
      <c r="V2818" s="253"/>
      <c r="W2818" s="7"/>
      <c r="X2818" s="256"/>
      <c r="Y2818" s="256"/>
      <c r="Z2818" s="256"/>
      <c r="AA2818" s="256"/>
      <c r="AB2818" s="257"/>
      <c r="AC2818" s="258"/>
      <c r="AD2818" s="7"/>
      <c r="AE2818" s="253"/>
      <c r="AF2818" s="253"/>
      <c r="AG2818" s="259"/>
      <c r="AH2818" s="253"/>
      <c r="AI2818" s="253"/>
      <c r="AJ2818" s="7"/>
      <c r="AK2818" s="253"/>
      <c r="AL2818" s="253"/>
      <c r="AM2818" s="7"/>
      <c r="AN2818" s="253"/>
      <c r="AO2818" s="253"/>
      <c r="AP2818" s="253"/>
      <c r="AQ2818" s="253"/>
      <c r="AR2818" s="253"/>
      <c r="AS2818" s="253"/>
      <c r="AT2818" s="253"/>
      <c r="AU2818" s="253"/>
      <c r="AV2818" s="253"/>
      <c r="AW2818" s="253"/>
      <c r="AX2818" s="253"/>
      <c r="AY2818" s="253"/>
      <c r="AZ2818" s="253"/>
    </row>
    <row r="2819" spans="1:52" ht="15.5" customHeight="1">
      <c r="A2819" s="363"/>
      <c r="B2819" s="343"/>
      <c r="C2819" s="7"/>
      <c r="D2819" s="254"/>
      <c r="E2819" s="254"/>
      <c r="F2819" s="254"/>
      <c r="G2819" s="253"/>
      <c r="H2819" s="253"/>
      <c r="I2819" s="253"/>
      <c r="J2819" s="253"/>
      <c r="K2819" s="253"/>
      <c r="L2819" s="7"/>
      <c r="M2819" s="7"/>
      <c r="N2819" s="253"/>
      <c r="O2819" s="255"/>
      <c r="P2819" s="253"/>
      <c r="Q2819" s="7"/>
      <c r="R2819" s="7"/>
      <c r="S2819" s="7"/>
      <c r="T2819" s="7"/>
      <c r="U2819" s="7"/>
      <c r="V2819" s="253"/>
      <c r="W2819" s="7"/>
      <c r="X2819" s="256"/>
      <c r="Y2819" s="256"/>
      <c r="Z2819" s="256"/>
      <c r="AA2819" s="256"/>
      <c r="AB2819" s="257"/>
      <c r="AC2819" s="258"/>
      <c r="AD2819" s="7"/>
      <c r="AE2819" s="253"/>
      <c r="AF2819" s="253"/>
      <c r="AG2819" s="259"/>
      <c r="AH2819" s="253"/>
      <c r="AI2819" s="253"/>
      <c r="AJ2819" s="7"/>
      <c r="AK2819" s="253"/>
      <c r="AL2819" s="253"/>
      <c r="AM2819" s="7"/>
      <c r="AN2819" s="253"/>
      <c r="AO2819" s="253"/>
      <c r="AP2819" s="253"/>
      <c r="AQ2819" s="253"/>
      <c r="AR2819" s="253"/>
      <c r="AS2819" s="253"/>
      <c r="AT2819" s="253"/>
      <c r="AU2819" s="253"/>
      <c r="AV2819" s="253"/>
      <c r="AW2819" s="253"/>
      <c r="AX2819" s="253"/>
      <c r="AY2819" s="253"/>
      <c r="AZ2819" s="253"/>
    </row>
    <row r="2820" spans="1:52" ht="15.5" customHeight="1">
      <c r="A2820" s="363"/>
      <c r="B2820" s="343"/>
      <c r="C2820" s="7"/>
      <c r="D2820" s="254"/>
      <c r="E2820" s="254"/>
      <c r="F2820" s="254"/>
      <c r="G2820" s="253"/>
      <c r="H2820" s="253"/>
      <c r="I2820" s="253"/>
      <c r="J2820" s="253"/>
      <c r="K2820" s="253"/>
      <c r="L2820" s="7"/>
      <c r="M2820" s="7"/>
      <c r="N2820" s="253"/>
      <c r="O2820" s="255"/>
      <c r="P2820" s="253"/>
      <c r="Q2820" s="7"/>
      <c r="R2820" s="7"/>
      <c r="S2820" s="7"/>
      <c r="T2820" s="7"/>
      <c r="U2820" s="7"/>
      <c r="V2820" s="253"/>
      <c r="W2820" s="7"/>
      <c r="X2820" s="256"/>
      <c r="Y2820" s="256"/>
      <c r="Z2820" s="256"/>
      <c r="AA2820" s="256"/>
      <c r="AB2820" s="257"/>
      <c r="AC2820" s="258"/>
      <c r="AD2820" s="7"/>
      <c r="AE2820" s="253"/>
      <c r="AF2820" s="253"/>
      <c r="AG2820" s="259"/>
      <c r="AH2820" s="253"/>
      <c r="AI2820" s="253"/>
      <c r="AJ2820" s="7"/>
      <c r="AK2820" s="253"/>
      <c r="AL2820" s="253"/>
      <c r="AM2820" s="7"/>
      <c r="AN2820" s="253"/>
      <c r="AO2820" s="253"/>
      <c r="AP2820" s="253"/>
      <c r="AQ2820" s="253"/>
      <c r="AR2820" s="253"/>
      <c r="AS2820" s="253"/>
      <c r="AT2820" s="253"/>
      <c r="AU2820" s="253"/>
      <c r="AV2820" s="253"/>
      <c r="AW2820" s="253"/>
      <c r="AX2820" s="253"/>
      <c r="AY2820" s="253"/>
      <c r="AZ2820" s="253"/>
    </row>
    <row r="2821" spans="1:52" ht="15.5" customHeight="1">
      <c r="A2821" s="363"/>
      <c r="B2821" s="343"/>
      <c r="C2821" s="7"/>
      <c r="D2821" s="254"/>
      <c r="E2821" s="254"/>
      <c r="F2821" s="254"/>
      <c r="G2821" s="253"/>
      <c r="H2821" s="253"/>
      <c r="I2821" s="253"/>
      <c r="J2821" s="253"/>
      <c r="K2821" s="253"/>
      <c r="L2821" s="7"/>
      <c r="M2821" s="7"/>
      <c r="N2821" s="253"/>
      <c r="O2821" s="255"/>
      <c r="P2821" s="253"/>
      <c r="Q2821" s="7"/>
      <c r="R2821" s="7"/>
      <c r="S2821" s="7"/>
      <c r="T2821" s="7"/>
      <c r="U2821" s="7"/>
      <c r="V2821" s="253"/>
      <c r="W2821" s="7"/>
      <c r="X2821" s="256"/>
      <c r="Y2821" s="256"/>
      <c r="Z2821" s="256"/>
      <c r="AA2821" s="256"/>
      <c r="AB2821" s="257"/>
      <c r="AC2821" s="258"/>
      <c r="AD2821" s="7"/>
      <c r="AE2821" s="253"/>
      <c r="AF2821" s="253"/>
      <c r="AG2821" s="259"/>
      <c r="AH2821" s="253"/>
      <c r="AI2821" s="253"/>
      <c r="AJ2821" s="7"/>
      <c r="AK2821" s="253"/>
      <c r="AL2821" s="253"/>
      <c r="AM2821" s="7"/>
      <c r="AN2821" s="253"/>
      <c r="AO2821" s="253"/>
      <c r="AP2821" s="253"/>
      <c r="AQ2821" s="253"/>
      <c r="AR2821" s="253"/>
      <c r="AS2821" s="253"/>
      <c r="AT2821" s="253"/>
      <c r="AU2821" s="253"/>
      <c r="AV2821" s="253"/>
      <c r="AW2821" s="253"/>
      <c r="AX2821" s="253"/>
      <c r="AY2821" s="253"/>
      <c r="AZ2821" s="253"/>
    </row>
    <row r="2822" spans="1:52" ht="15.5" customHeight="1">
      <c r="A2822" s="363"/>
      <c r="B2822" s="343"/>
      <c r="C2822" s="7"/>
      <c r="D2822" s="254"/>
      <c r="E2822" s="254"/>
      <c r="F2822" s="254"/>
      <c r="G2822" s="253"/>
      <c r="H2822" s="253"/>
      <c r="I2822" s="253"/>
      <c r="J2822" s="253"/>
      <c r="K2822" s="253"/>
      <c r="L2822" s="7"/>
      <c r="M2822" s="7"/>
      <c r="N2822" s="253"/>
      <c r="O2822" s="255"/>
      <c r="P2822" s="253"/>
      <c r="Q2822" s="7"/>
      <c r="R2822" s="7"/>
      <c r="S2822" s="7"/>
      <c r="T2822" s="7"/>
      <c r="U2822" s="7"/>
      <c r="V2822" s="253"/>
      <c r="W2822" s="7"/>
      <c r="X2822" s="256"/>
      <c r="Y2822" s="256"/>
      <c r="Z2822" s="256"/>
      <c r="AA2822" s="256"/>
      <c r="AB2822" s="257"/>
      <c r="AC2822" s="258"/>
      <c r="AD2822" s="7"/>
      <c r="AE2822" s="253"/>
      <c r="AF2822" s="253"/>
      <c r="AG2822" s="259"/>
      <c r="AH2822" s="253"/>
      <c r="AI2822" s="253"/>
      <c r="AJ2822" s="7"/>
      <c r="AK2822" s="253"/>
      <c r="AL2822" s="253"/>
      <c r="AM2822" s="7"/>
      <c r="AN2822" s="253"/>
      <c r="AO2822" s="253"/>
      <c r="AP2822" s="253"/>
      <c r="AQ2822" s="253"/>
      <c r="AR2822" s="253"/>
      <c r="AS2822" s="253"/>
      <c r="AT2822" s="253"/>
      <c r="AU2822" s="253"/>
      <c r="AV2822" s="253"/>
      <c r="AW2822" s="253"/>
      <c r="AX2822" s="253"/>
      <c r="AY2822" s="253"/>
      <c r="AZ2822" s="253"/>
    </row>
    <row r="2823" spans="1:52" ht="15.5" customHeight="1">
      <c r="A2823" s="363"/>
      <c r="B2823" s="343"/>
      <c r="C2823" s="7"/>
      <c r="D2823" s="254"/>
      <c r="E2823" s="254"/>
      <c r="F2823" s="254"/>
      <c r="G2823" s="253"/>
      <c r="H2823" s="253"/>
      <c r="I2823" s="253"/>
      <c r="J2823" s="253"/>
      <c r="K2823" s="253"/>
      <c r="L2823" s="7"/>
      <c r="M2823" s="7"/>
      <c r="N2823" s="253"/>
      <c r="O2823" s="255"/>
      <c r="P2823" s="253"/>
      <c r="Q2823" s="7"/>
      <c r="R2823" s="7"/>
      <c r="S2823" s="7"/>
      <c r="T2823" s="7"/>
      <c r="U2823" s="7"/>
      <c r="V2823" s="253"/>
      <c r="W2823" s="7"/>
      <c r="X2823" s="256"/>
      <c r="Y2823" s="256"/>
      <c r="Z2823" s="256"/>
      <c r="AA2823" s="256"/>
      <c r="AB2823" s="257"/>
      <c r="AC2823" s="258"/>
      <c r="AD2823" s="7"/>
      <c r="AE2823" s="253"/>
      <c r="AF2823" s="253"/>
      <c r="AG2823" s="259"/>
      <c r="AH2823" s="253"/>
      <c r="AI2823" s="253"/>
      <c r="AJ2823" s="7"/>
      <c r="AK2823" s="253"/>
      <c r="AL2823" s="253"/>
      <c r="AM2823" s="7"/>
      <c r="AN2823" s="253"/>
      <c r="AO2823" s="253"/>
      <c r="AP2823" s="253"/>
      <c r="AQ2823" s="253"/>
      <c r="AR2823" s="253"/>
      <c r="AS2823" s="253"/>
      <c r="AT2823" s="253"/>
      <c r="AU2823" s="253"/>
      <c r="AV2823" s="253"/>
      <c r="AW2823" s="253"/>
      <c r="AX2823" s="253"/>
      <c r="AY2823" s="253"/>
      <c r="AZ2823" s="253"/>
    </row>
    <row r="2824" spans="1:52" ht="15.5" customHeight="1">
      <c r="A2824" s="363"/>
      <c r="B2824" s="343"/>
      <c r="C2824" s="7"/>
      <c r="D2824" s="254"/>
      <c r="E2824" s="254"/>
      <c r="F2824" s="254"/>
      <c r="G2824" s="253"/>
      <c r="H2824" s="253"/>
      <c r="I2824" s="253"/>
      <c r="J2824" s="253"/>
      <c r="K2824" s="253"/>
      <c r="L2824" s="7"/>
      <c r="M2824" s="7"/>
      <c r="N2824" s="253"/>
      <c r="O2824" s="255"/>
      <c r="P2824" s="253"/>
      <c r="Q2824" s="7"/>
      <c r="R2824" s="7"/>
      <c r="S2824" s="7"/>
      <c r="T2824" s="7"/>
      <c r="U2824" s="7"/>
      <c r="V2824" s="253"/>
      <c r="W2824" s="7"/>
      <c r="X2824" s="256"/>
      <c r="Y2824" s="256"/>
      <c r="Z2824" s="256"/>
      <c r="AA2824" s="256"/>
      <c r="AB2824" s="257"/>
      <c r="AC2824" s="258"/>
      <c r="AD2824" s="7"/>
      <c r="AE2824" s="253"/>
      <c r="AF2824" s="253"/>
      <c r="AG2824" s="259"/>
      <c r="AH2824" s="253"/>
      <c r="AI2824" s="253"/>
      <c r="AJ2824" s="7"/>
      <c r="AK2824" s="253"/>
      <c r="AL2824" s="253"/>
      <c r="AM2824" s="7"/>
      <c r="AN2824" s="253"/>
      <c r="AO2824" s="253"/>
      <c r="AP2824" s="253"/>
      <c r="AQ2824" s="253"/>
      <c r="AR2824" s="253"/>
      <c r="AS2824" s="253"/>
      <c r="AT2824" s="253"/>
      <c r="AU2824" s="253"/>
      <c r="AV2824" s="253"/>
      <c r="AW2824" s="253"/>
      <c r="AX2824" s="253"/>
      <c r="AY2824" s="253"/>
      <c r="AZ2824" s="253"/>
    </row>
    <row r="2825" spans="1:52" ht="15.5" customHeight="1">
      <c r="A2825" s="363"/>
      <c r="B2825" s="343"/>
      <c r="C2825" s="7"/>
      <c r="D2825" s="254"/>
      <c r="E2825" s="254"/>
      <c r="F2825" s="254"/>
      <c r="G2825" s="253"/>
      <c r="H2825" s="253"/>
      <c r="I2825" s="253"/>
      <c r="J2825" s="253"/>
      <c r="K2825" s="253"/>
      <c r="L2825" s="7"/>
      <c r="M2825" s="7"/>
      <c r="N2825" s="253"/>
      <c r="O2825" s="255"/>
      <c r="P2825" s="253"/>
      <c r="Q2825" s="7"/>
      <c r="R2825" s="7"/>
      <c r="S2825" s="7"/>
      <c r="T2825" s="7"/>
      <c r="U2825" s="7"/>
      <c r="V2825" s="253"/>
      <c r="W2825" s="7"/>
      <c r="X2825" s="256"/>
      <c r="Y2825" s="256"/>
      <c r="Z2825" s="256"/>
      <c r="AA2825" s="256"/>
      <c r="AB2825" s="257"/>
      <c r="AC2825" s="258"/>
      <c r="AD2825" s="7"/>
      <c r="AE2825" s="253"/>
      <c r="AF2825" s="253"/>
      <c r="AG2825" s="259"/>
      <c r="AH2825" s="253"/>
      <c r="AI2825" s="253"/>
      <c r="AJ2825" s="7"/>
      <c r="AK2825" s="253"/>
      <c r="AL2825" s="253"/>
      <c r="AM2825" s="7"/>
      <c r="AN2825" s="253"/>
      <c r="AO2825" s="253"/>
      <c r="AP2825" s="253"/>
      <c r="AQ2825" s="253"/>
      <c r="AR2825" s="253"/>
      <c r="AS2825" s="253"/>
      <c r="AT2825" s="253"/>
      <c r="AU2825" s="253"/>
      <c r="AV2825" s="253"/>
      <c r="AW2825" s="253"/>
      <c r="AX2825" s="253"/>
      <c r="AY2825" s="253"/>
      <c r="AZ2825" s="253"/>
    </row>
    <row r="2826" spans="1:52" ht="15.5" customHeight="1">
      <c r="A2826" s="363"/>
      <c r="B2826" s="343"/>
      <c r="C2826" s="7"/>
      <c r="D2826" s="254"/>
      <c r="E2826" s="254"/>
      <c r="F2826" s="254"/>
      <c r="G2826" s="253"/>
      <c r="H2826" s="253"/>
      <c r="I2826" s="253"/>
      <c r="J2826" s="253"/>
      <c r="K2826" s="253"/>
      <c r="L2826" s="7"/>
      <c r="M2826" s="7"/>
      <c r="N2826" s="253"/>
      <c r="O2826" s="255"/>
      <c r="P2826" s="253"/>
      <c r="Q2826" s="7"/>
      <c r="R2826" s="7"/>
      <c r="S2826" s="7"/>
      <c r="T2826" s="7"/>
      <c r="U2826" s="7"/>
      <c r="V2826" s="253"/>
      <c r="W2826" s="7"/>
      <c r="X2826" s="256"/>
      <c r="Y2826" s="256"/>
      <c r="Z2826" s="256"/>
      <c r="AA2826" s="256"/>
      <c r="AB2826" s="257"/>
      <c r="AC2826" s="258"/>
      <c r="AD2826" s="7"/>
      <c r="AE2826" s="253"/>
      <c r="AF2826" s="253"/>
      <c r="AG2826" s="259"/>
      <c r="AH2826" s="253"/>
      <c r="AI2826" s="253"/>
      <c r="AJ2826" s="7"/>
      <c r="AK2826" s="253"/>
      <c r="AL2826" s="253"/>
      <c r="AM2826" s="7"/>
      <c r="AN2826" s="253"/>
      <c r="AO2826" s="253"/>
      <c r="AP2826" s="253"/>
      <c r="AQ2826" s="253"/>
      <c r="AR2826" s="253"/>
      <c r="AS2826" s="253"/>
      <c r="AT2826" s="253"/>
      <c r="AU2826" s="253"/>
      <c r="AV2826" s="253"/>
      <c r="AW2826" s="253"/>
      <c r="AX2826" s="253"/>
      <c r="AY2826" s="253"/>
      <c r="AZ2826" s="253"/>
    </row>
    <row r="2827" spans="1:52" ht="15.5" customHeight="1">
      <c r="A2827" s="363"/>
      <c r="B2827" s="343"/>
      <c r="C2827" s="7"/>
      <c r="D2827" s="254"/>
      <c r="E2827" s="254"/>
      <c r="F2827" s="254"/>
      <c r="G2827" s="253"/>
      <c r="H2827" s="253"/>
      <c r="I2827" s="253"/>
      <c r="J2827" s="253"/>
      <c r="K2827" s="253"/>
      <c r="L2827" s="7"/>
      <c r="M2827" s="7"/>
      <c r="N2827" s="253"/>
      <c r="O2827" s="255"/>
      <c r="P2827" s="253"/>
      <c r="Q2827" s="7"/>
      <c r="R2827" s="7"/>
      <c r="S2827" s="7"/>
      <c r="T2827" s="7"/>
      <c r="U2827" s="7"/>
      <c r="V2827" s="253"/>
      <c r="W2827" s="7"/>
      <c r="X2827" s="256"/>
      <c r="Y2827" s="256"/>
      <c r="Z2827" s="256"/>
      <c r="AA2827" s="256"/>
      <c r="AB2827" s="257"/>
      <c r="AC2827" s="258"/>
      <c r="AD2827" s="7"/>
      <c r="AE2827" s="253"/>
      <c r="AF2827" s="253"/>
      <c r="AG2827" s="259"/>
      <c r="AH2827" s="253"/>
      <c r="AI2827" s="253"/>
      <c r="AJ2827" s="7"/>
      <c r="AK2827" s="253"/>
      <c r="AL2827" s="253"/>
      <c r="AM2827" s="7"/>
      <c r="AN2827" s="253"/>
      <c r="AO2827" s="253"/>
      <c r="AP2827" s="253"/>
      <c r="AQ2827" s="253"/>
      <c r="AR2827" s="253"/>
      <c r="AS2827" s="253"/>
      <c r="AT2827" s="253"/>
      <c r="AU2827" s="253"/>
      <c r="AV2827" s="253"/>
      <c r="AW2827" s="253"/>
      <c r="AX2827" s="253"/>
      <c r="AY2827" s="253"/>
      <c r="AZ2827" s="253"/>
    </row>
    <row r="2828" spans="1:52" ht="15.5" customHeight="1">
      <c r="A2828" s="363"/>
      <c r="B2828" s="343"/>
      <c r="C2828" s="7"/>
      <c r="D2828" s="254"/>
      <c r="E2828" s="254"/>
      <c r="F2828" s="254"/>
      <c r="G2828" s="253"/>
      <c r="H2828" s="253"/>
      <c r="I2828" s="253"/>
      <c r="J2828" s="253"/>
      <c r="K2828" s="253"/>
      <c r="L2828" s="7"/>
      <c r="M2828" s="7"/>
      <c r="N2828" s="253"/>
      <c r="O2828" s="255"/>
      <c r="P2828" s="253"/>
      <c r="Q2828" s="7"/>
      <c r="R2828" s="7"/>
      <c r="S2828" s="7"/>
      <c r="T2828" s="7"/>
      <c r="U2828" s="7"/>
      <c r="V2828" s="253"/>
      <c r="W2828" s="7"/>
      <c r="X2828" s="256"/>
      <c r="Y2828" s="256"/>
      <c r="Z2828" s="256"/>
      <c r="AA2828" s="256"/>
      <c r="AB2828" s="257"/>
      <c r="AC2828" s="258"/>
      <c r="AD2828" s="7"/>
      <c r="AE2828" s="253"/>
      <c r="AF2828" s="253"/>
      <c r="AG2828" s="259"/>
      <c r="AH2828" s="253"/>
      <c r="AI2828" s="253"/>
      <c r="AJ2828" s="7"/>
      <c r="AK2828" s="253"/>
      <c r="AL2828" s="253"/>
      <c r="AM2828" s="7"/>
      <c r="AN2828" s="253"/>
      <c r="AO2828" s="253"/>
      <c r="AP2828" s="253"/>
      <c r="AQ2828" s="253"/>
      <c r="AR2828" s="253"/>
      <c r="AS2828" s="253"/>
      <c r="AT2828" s="253"/>
      <c r="AU2828" s="253"/>
      <c r="AV2828" s="253"/>
      <c r="AW2828" s="253"/>
      <c r="AX2828" s="253"/>
      <c r="AY2828" s="253"/>
      <c r="AZ2828" s="253"/>
    </row>
    <row r="2829" spans="1:52" ht="15.5" customHeight="1">
      <c r="A2829" s="363"/>
      <c r="B2829" s="343"/>
      <c r="C2829" s="7"/>
      <c r="D2829" s="254"/>
      <c r="E2829" s="254"/>
      <c r="F2829" s="254"/>
      <c r="G2829" s="253"/>
      <c r="H2829" s="253"/>
      <c r="I2829" s="253"/>
      <c r="J2829" s="253"/>
      <c r="K2829" s="253"/>
      <c r="L2829" s="7"/>
      <c r="M2829" s="7"/>
      <c r="N2829" s="253"/>
      <c r="O2829" s="255"/>
      <c r="P2829" s="253"/>
      <c r="Q2829" s="7"/>
      <c r="R2829" s="7"/>
      <c r="S2829" s="7"/>
      <c r="T2829" s="7"/>
      <c r="U2829" s="7"/>
      <c r="V2829" s="253"/>
      <c r="W2829" s="7"/>
      <c r="X2829" s="256"/>
      <c r="Y2829" s="256"/>
      <c r="Z2829" s="256"/>
      <c r="AA2829" s="256"/>
      <c r="AB2829" s="257"/>
      <c r="AC2829" s="258"/>
      <c r="AD2829" s="7"/>
      <c r="AE2829" s="253"/>
      <c r="AF2829" s="253"/>
      <c r="AG2829" s="259"/>
      <c r="AH2829" s="253"/>
      <c r="AI2829" s="253"/>
      <c r="AJ2829" s="7"/>
      <c r="AK2829" s="253"/>
      <c r="AL2829" s="253"/>
      <c r="AM2829" s="7"/>
      <c r="AN2829" s="253"/>
      <c r="AO2829" s="253"/>
      <c r="AP2829" s="253"/>
      <c r="AQ2829" s="253"/>
      <c r="AR2829" s="253"/>
      <c r="AS2829" s="253"/>
      <c r="AT2829" s="253"/>
      <c r="AU2829" s="253"/>
      <c r="AV2829" s="253"/>
      <c r="AW2829" s="253"/>
      <c r="AX2829" s="253"/>
      <c r="AY2829" s="253"/>
      <c r="AZ2829" s="253"/>
    </row>
    <row r="2830" spans="1:52" ht="15.5" customHeight="1">
      <c r="A2830" s="363"/>
      <c r="B2830" s="343"/>
      <c r="C2830" s="7"/>
      <c r="D2830" s="254"/>
      <c r="E2830" s="254"/>
      <c r="F2830" s="254"/>
      <c r="G2830" s="253"/>
      <c r="H2830" s="253"/>
      <c r="I2830" s="253"/>
      <c r="J2830" s="253"/>
      <c r="K2830" s="253"/>
      <c r="L2830" s="7"/>
      <c r="M2830" s="7"/>
      <c r="N2830" s="253"/>
      <c r="O2830" s="255"/>
      <c r="P2830" s="253"/>
      <c r="Q2830" s="7"/>
      <c r="R2830" s="7"/>
      <c r="S2830" s="7"/>
      <c r="T2830" s="7"/>
      <c r="U2830" s="7"/>
      <c r="V2830" s="253"/>
      <c r="W2830" s="7"/>
      <c r="X2830" s="256"/>
      <c r="Y2830" s="256"/>
      <c r="Z2830" s="256"/>
      <c r="AA2830" s="256"/>
      <c r="AB2830" s="257"/>
      <c r="AC2830" s="258"/>
      <c r="AD2830" s="7"/>
      <c r="AE2830" s="253"/>
      <c r="AF2830" s="253"/>
      <c r="AG2830" s="259"/>
      <c r="AH2830" s="253"/>
      <c r="AI2830" s="253"/>
      <c r="AJ2830" s="7"/>
      <c r="AK2830" s="253"/>
      <c r="AL2830" s="253"/>
      <c r="AM2830" s="7"/>
      <c r="AN2830" s="253"/>
      <c r="AO2830" s="253"/>
      <c r="AP2830" s="253"/>
      <c r="AQ2830" s="253"/>
      <c r="AR2830" s="253"/>
      <c r="AS2830" s="253"/>
      <c r="AT2830" s="253"/>
      <c r="AU2830" s="253"/>
      <c r="AV2830" s="253"/>
      <c r="AW2830" s="253"/>
      <c r="AX2830" s="253"/>
      <c r="AY2830" s="253"/>
      <c r="AZ2830" s="253"/>
    </row>
    <row r="2831" spans="1:52" ht="15.5" customHeight="1">
      <c r="A2831" s="363"/>
      <c r="B2831" s="343"/>
      <c r="C2831" s="7"/>
      <c r="D2831" s="254"/>
      <c r="E2831" s="254"/>
      <c r="F2831" s="254"/>
      <c r="G2831" s="253"/>
      <c r="H2831" s="253"/>
      <c r="I2831" s="253"/>
      <c r="J2831" s="253"/>
      <c r="K2831" s="253"/>
      <c r="L2831" s="7"/>
      <c r="M2831" s="7"/>
      <c r="N2831" s="253"/>
      <c r="O2831" s="255"/>
      <c r="P2831" s="253"/>
      <c r="Q2831" s="7"/>
      <c r="R2831" s="7"/>
      <c r="S2831" s="7"/>
      <c r="T2831" s="7"/>
      <c r="U2831" s="7"/>
      <c r="V2831" s="253"/>
      <c r="W2831" s="7"/>
      <c r="X2831" s="256"/>
      <c r="Y2831" s="256"/>
      <c r="Z2831" s="256"/>
      <c r="AA2831" s="256"/>
      <c r="AB2831" s="257"/>
      <c r="AC2831" s="258"/>
      <c r="AD2831" s="7"/>
      <c r="AE2831" s="253"/>
      <c r="AF2831" s="253"/>
      <c r="AG2831" s="259"/>
      <c r="AH2831" s="253"/>
      <c r="AI2831" s="253"/>
      <c r="AJ2831" s="7"/>
      <c r="AK2831" s="253"/>
      <c r="AL2831" s="253"/>
      <c r="AM2831" s="7"/>
      <c r="AN2831" s="253"/>
      <c r="AO2831" s="253"/>
      <c r="AP2831" s="253"/>
      <c r="AQ2831" s="253"/>
      <c r="AR2831" s="253"/>
      <c r="AS2831" s="253"/>
      <c r="AT2831" s="253"/>
      <c r="AU2831" s="253"/>
      <c r="AV2831" s="253"/>
      <c r="AW2831" s="253"/>
      <c r="AX2831" s="253"/>
      <c r="AY2831" s="253"/>
      <c r="AZ2831" s="253"/>
    </row>
    <row r="2832" spans="1:52" ht="15.5" customHeight="1">
      <c r="A2832" s="363"/>
      <c r="B2832" s="343"/>
      <c r="C2832" s="7"/>
      <c r="D2832" s="254"/>
      <c r="E2832" s="254"/>
      <c r="F2832" s="254"/>
      <c r="G2832" s="253"/>
      <c r="H2832" s="253"/>
      <c r="I2832" s="253"/>
      <c r="J2832" s="253"/>
      <c r="K2832" s="253"/>
      <c r="L2832" s="7"/>
      <c r="M2832" s="7"/>
      <c r="N2832" s="253"/>
      <c r="O2832" s="255"/>
      <c r="P2832" s="253"/>
      <c r="Q2832" s="7"/>
      <c r="R2832" s="7"/>
      <c r="S2832" s="7"/>
      <c r="T2832" s="7"/>
      <c r="U2832" s="7"/>
      <c r="V2832" s="253"/>
      <c r="W2832" s="7"/>
      <c r="X2832" s="256"/>
      <c r="Y2832" s="256"/>
      <c r="Z2832" s="256"/>
      <c r="AA2832" s="256"/>
      <c r="AB2832" s="257"/>
      <c r="AC2832" s="258"/>
      <c r="AD2832" s="7"/>
      <c r="AE2832" s="253"/>
      <c r="AF2832" s="253"/>
      <c r="AG2832" s="259"/>
      <c r="AH2832" s="253"/>
      <c r="AI2832" s="253"/>
      <c r="AJ2832" s="7"/>
      <c r="AK2832" s="253"/>
      <c r="AL2832" s="253"/>
      <c r="AM2832" s="7"/>
      <c r="AN2832" s="253"/>
      <c r="AO2832" s="253"/>
      <c r="AP2832" s="253"/>
      <c r="AQ2832" s="253"/>
      <c r="AR2832" s="253"/>
      <c r="AS2832" s="253"/>
      <c r="AT2832" s="253"/>
      <c r="AU2832" s="253"/>
      <c r="AV2832" s="253"/>
      <c r="AW2832" s="253"/>
      <c r="AX2832" s="253"/>
      <c r="AY2832" s="253"/>
      <c r="AZ2832" s="253"/>
    </row>
    <row r="2833" spans="1:52" ht="15.5" customHeight="1">
      <c r="A2833" s="363"/>
      <c r="B2833" s="343"/>
      <c r="C2833" s="7"/>
      <c r="D2833" s="254"/>
      <c r="E2833" s="254"/>
      <c r="F2833" s="254"/>
      <c r="G2833" s="253"/>
      <c r="H2833" s="253"/>
      <c r="I2833" s="253"/>
      <c r="J2833" s="253"/>
      <c r="K2833" s="253"/>
      <c r="L2833" s="7"/>
      <c r="M2833" s="7"/>
      <c r="N2833" s="253"/>
      <c r="O2833" s="255"/>
      <c r="P2833" s="253"/>
      <c r="Q2833" s="7"/>
      <c r="R2833" s="7"/>
      <c r="S2833" s="7"/>
      <c r="T2833" s="7"/>
      <c r="U2833" s="7"/>
      <c r="V2833" s="253"/>
      <c r="W2833" s="7"/>
      <c r="X2833" s="256"/>
      <c r="Y2833" s="256"/>
      <c r="Z2833" s="256"/>
      <c r="AA2833" s="256"/>
      <c r="AB2833" s="257"/>
      <c r="AC2833" s="258"/>
      <c r="AD2833" s="7"/>
      <c r="AE2833" s="253"/>
      <c r="AF2833" s="253"/>
      <c r="AG2833" s="259"/>
      <c r="AH2833" s="253"/>
      <c r="AI2833" s="253"/>
      <c r="AJ2833" s="7"/>
      <c r="AK2833" s="253"/>
      <c r="AL2833" s="253"/>
      <c r="AM2833" s="7"/>
      <c r="AN2833" s="253"/>
      <c r="AO2833" s="253"/>
      <c r="AP2833" s="253"/>
      <c r="AQ2833" s="253"/>
      <c r="AR2833" s="253"/>
      <c r="AS2833" s="253"/>
      <c r="AT2833" s="253"/>
      <c r="AU2833" s="253"/>
      <c r="AV2833" s="253"/>
      <c r="AW2833" s="253"/>
      <c r="AX2833" s="253"/>
      <c r="AY2833" s="253"/>
      <c r="AZ2833" s="253"/>
    </row>
    <row r="2834" spans="1:52" ht="15.5" customHeight="1">
      <c r="A2834" s="363"/>
      <c r="B2834" s="343"/>
      <c r="C2834" s="7"/>
      <c r="D2834" s="254"/>
      <c r="E2834" s="254"/>
      <c r="F2834" s="254"/>
      <c r="G2834" s="253"/>
      <c r="H2834" s="253"/>
      <c r="I2834" s="253"/>
      <c r="J2834" s="253"/>
      <c r="K2834" s="253"/>
      <c r="L2834" s="7"/>
      <c r="M2834" s="7"/>
      <c r="N2834" s="253"/>
      <c r="O2834" s="255"/>
      <c r="P2834" s="253"/>
      <c r="Q2834" s="7"/>
      <c r="R2834" s="7"/>
      <c r="S2834" s="7"/>
      <c r="T2834" s="7"/>
      <c r="U2834" s="7"/>
      <c r="V2834" s="253"/>
      <c r="W2834" s="7"/>
      <c r="X2834" s="256"/>
      <c r="Y2834" s="256"/>
      <c r="Z2834" s="256"/>
      <c r="AA2834" s="256"/>
      <c r="AB2834" s="257"/>
      <c r="AC2834" s="258"/>
      <c r="AD2834" s="7"/>
      <c r="AE2834" s="253"/>
      <c r="AF2834" s="253"/>
      <c r="AG2834" s="259"/>
      <c r="AH2834" s="253"/>
      <c r="AI2834" s="253"/>
      <c r="AJ2834" s="7"/>
      <c r="AK2834" s="253"/>
      <c r="AL2834" s="253"/>
      <c r="AM2834" s="7"/>
      <c r="AN2834" s="253"/>
      <c r="AO2834" s="253"/>
      <c r="AP2834" s="253"/>
      <c r="AQ2834" s="253"/>
      <c r="AR2834" s="253"/>
      <c r="AS2834" s="253"/>
      <c r="AT2834" s="253"/>
      <c r="AU2834" s="253"/>
      <c r="AV2834" s="253"/>
      <c r="AW2834" s="253"/>
      <c r="AX2834" s="253"/>
      <c r="AY2834" s="253"/>
      <c r="AZ2834" s="253"/>
    </row>
    <row r="2835" spans="1:52" ht="15.5" customHeight="1">
      <c r="A2835" s="363"/>
      <c r="B2835" s="343"/>
      <c r="C2835" s="7"/>
      <c r="D2835" s="254"/>
      <c r="E2835" s="254"/>
      <c r="F2835" s="254"/>
      <c r="G2835" s="253"/>
      <c r="H2835" s="253"/>
      <c r="I2835" s="253"/>
      <c r="J2835" s="253"/>
      <c r="K2835" s="253"/>
      <c r="L2835" s="7"/>
      <c r="M2835" s="7"/>
      <c r="N2835" s="253"/>
      <c r="O2835" s="255"/>
      <c r="P2835" s="253"/>
      <c r="Q2835" s="7"/>
      <c r="R2835" s="7"/>
      <c r="S2835" s="7"/>
      <c r="T2835" s="7"/>
      <c r="U2835" s="7"/>
      <c r="V2835" s="253"/>
      <c r="W2835" s="7"/>
      <c r="X2835" s="256"/>
      <c r="Y2835" s="256"/>
      <c r="Z2835" s="256"/>
      <c r="AA2835" s="256"/>
      <c r="AB2835" s="257"/>
      <c r="AC2835" s="258"/>
      <c r="AD2835" s="7"/>
      <c r="AE2835" s="253"/>
      <c r="AF2835" s="253"/>
      <c r="AG2835" s="259"/>
      <c r="AH2835" s="253"/>
      <c r="AI2835" s="253"/>
      <c r="AJ2835" s="7"/>
      <c r="AK2835" s="253"/>
      <c r="AL2835" s="253"/>
      <c r="AM2835" s="7"/>
      <c r="AN2835" s="253"/>
      <c r="AO2835" s="253"/>
      <c r="AP2835" s="253"/>
      <c r="AQ2835" s="253"/>
      <c r="AR2835" s="253"/>
      <c r="AS2835" s="253"/>
      <c r="AT2835" s="253"/>
      <c r="AU2835" s="253"/>
      <c r="AV2835" s="253"/>
      <c r="AW2835" s="253"/>
      <c r="AX2835" s="253"/>
      <c r="AY2835" s="253"/>
      <c r="AZ2835" s="253"/>
    </row>
    <row r="2836" spans="1:52" ht="15.5" customHeight="1">
      <c r="A2836" s="363"/>
      <c r="B2836" s="343"/>
      <c r="C2836" s="7"/>
      <c r="D2836" s="254"/>
      <c r="E2836" s="254"/>
      <c r="F2836" s="254"/>
      <c r="G2836" s="253"/>
      <c r="H2836" s="253"/>
      <c r="I2836" s="253"/>
      <c r="J2836" s="253"/>
      <c r="K2836" s="253"/>
      <c r="L2836" s="7"/>
      <c r="M2836" s="7"/>
      <c r="N2836" s="253"/>
      <c r="O2836" s="255"/>
      <c r="P2836" s="253"/>
      <c r="Q2836" s="7"/>
      <c r="R2836" s="7"/>
      <c r="S2836" s="7"/>
      <c r="T2836" s="7"/>
      <c r="U2836" s="7"/>
      <c r="V2836" s="253"/>
      <c r="W2836" s="7"/>
      <c r="X2836" s="256"/>
      <c r="Y2836" s="256"/>
      <c r="Z2836" s="256"/>
      <c r="AA2836" s="256"/>
      <c r="AB2836" s="257"/>
      <c r="AC2836" s="258"/>
      <c r="AD2836" s="7"/>
      <c r="AE2836" s="253"/>
      <c r="AF2836" s="253"/>
      <c r="AG2836" s="259"/>
      <c r="AH2836" s="253"/>
      <c r="AI2836" s="253"/>
      <c r="AJ2836" s="7"/>
      <c r="AK2836" s="253"/>
      <c r="AL2836" s="253"/>
      <c r="AM2836" s="7"/>
      <c r="AN2836" s="253"/>
      <c r="AO2836" s="253"/>
      <c r="AP2836" s="253"/>
      <c r="AQ2836" s="253"/>
      <c r="AR2836" s="253"/>
      <c r="AS2836" s="253"/>
      <c r="AT2836" s="253"/>
      <c r="AU2836" s="253"/>
      <c r="AV2836" s="253"/>
      <c r="AW2836" s="253"/>
      <c r="AX2836" s="253"/>
      <c r="AY2836" s="253"/>
      <c r="AZ2836" s="253"/>
    </row>
    <row r="2837" spans="1:52" ht="15.5" customHeight="1">
      <c r="A2837" s="363"/>
      <c r="B2837" s="343"/>
      <c r="C2837" s="7"/>
      <c r="D2837" s="254"/>
      <c r="E2837" s="254"/>
      <c r="F2837" s="254"/>
      <c r="G2837" s="253"/>
      <c r="H2837" s="253"/>
      <c r="I2837" s="253"/>
      <c r="J2837" s="253"/>
      <c r="K2837" s="253"/>
      <c r="L2837" s="7"/>
      <c r="M2837" s="7"/>
      <c r="N2837" s="253"/>
      <c r="O2837" s="255"/>
      <c r="P2837" s="253"/>
      <c r="Q2837" s="7"/>
      <c r="R2837" s="7"/>
      <c r="S2837" s="7"/>
      <c r="T2837" s="7"/>
      <c r="U2837" s="7"/>
      <c r="V2837" s="253"/>
      <c r="W2837" s="7"/>
      <c r="X2837" s="256"/>
      <c r="Y2837" s="256"/>
      <c r="Z2837" s="256"/>
      <c r="AA2837" s="256"/>
      <c r="AB2837" s="257"/>
      <c r="AC2837" s="258"/>
      <c r="AD2837" s="7"/>
      <c r="AE2837" s="253"/>
      <c r="AF2837" s="253"/>
      <c r="AG2837" s="259"/>
      <c r="AH2837" s="253"/>
      <c r="AI2837" s="253"/>
      <c r="AJ2837" s="7"/>
      <c r="AK2837" s="253"/>
      <c r="AL2837" s="253"/>
      <c r="AM2837" s="7"/>
      <c r="AN2837" s="253"/>
      <c r="AO2837" s="253"/>
      <c r="AP2837" s="253"/>
      <c r="AQ2837" s="253"/>
      <c r="AR2837" s="253"/>
      <c r="AS2837" s="253"/>
      <c r="AT2837" s="253"/>
      <c r="AU2837" s="253"/>
      <c r="AV2837" s="253"/>
      <c r="AW2837" s="253"/>
      <c r="AX2837" s="253"/>
      <c r="AY2837" s="253"/>
      <c r="AZ2837" s="253"/>
    </row>
    <row r="2838" spans="1:52" ht="15.5" customHeight="1">
      <c r="A2838" s="363"/>
      <c r="B2838" s="343"/>
      <c r="C2838" s="7"/>
      <c r="D2838" s="254"/>
      <c r="E2838" s="254"/>
      <c r="F2838" s="254"/>
      <c r="G2838" s="253"/>
      <c r="H2838" s="253"/>
      <c r="I2838" s="253"/>
      <c r="J2838" s="253"/>
      <c r="K2838" s="253"/>
      <c r="L2838" s="7"/>
      <c r="M2838" s="7"/>
      <c r="N2838" s="253"/>
      <c r="O2838" s="255"/>
      <c r="P2838" s="253"/>
      <c r="Q2838" s="7"/>
      <c r="R2838" s="7"/>
      <c r="S2838" s="7"/>
      <c r="T2838" s="7"/>
      <c r="U2838" s="7"/>
      <c r="V2838" s="253"/>
      <c r="W2838" s="7"/>
      <c r="X2838" s="256"/>
      <c r="Y2838" s="256"/>
      <c r="Z2838" s="256"/>
      <c r="AA2838" s="256"/>
      <c r="AB2838" s="257"/>
      <c r="AC2838" s="258"/>
      <c r="AD2838" s="7"/>
      <c r="AE2838" s="253"/>
      <c r="AF2838" s="253"/>
      <c r="AG2838" s="259"/>
      <c r="AH2838" s="253"/>
      <c r="AI2838" s="253"/>
      <c r="AJ2838" s="7"/>
      <c r="AK2838" s="253"/>
      <c r="AL2838" s="253"/>
      <c r="AM2838" s="7"/>
      <c r="AN2838" s="253"/>
      <c r="AO2838" s="253"/>
      <c r="AP2838" s="253"/>
      <c r="AQ2838" s="253"/>
      <c r="AR2838" s="253"/>
      <c r="AS2838" s="253"/>
      <c r="AT2838" s="253"/>
      <c r="AU2838" s="253"/>
      <c r="AV2838" s="253"/>
      <c r="AW2838" s="253"/>
      <c r="AX2838" s="253"/>
      <c r="AY2838" s="253"/>
      <c r="AZ2838" s="253"/>
    </row>
    <row r="2839" spans="1:52" ht="15.5" customHeight="1">
      <c r="A2839" s="363"/>
      <c r="B2839" s="343"/>
      <c r="C2839" s="7"/>
      <c r="D2839" s="254"/>
      <c r="E2839" s="254"/>
      <c r="F2839" s="254"/>
      <c r="G2839" s="253"/>
      <c r="H2839" s="253"/>
      <c r="I2839" s="253"/>
      <c r="J2839" s="253"/>
      <c r="K2839" s="253"/>
      <c r="L2839" s="7"/>
      <c r="M2839" s="7"/>
      <c r="N2839" s="253"/>
      <c r="O2839" s="255"/>
      <c r="P2839" s="253"/>
      <c r="Q2839" s="7"/>
      <c r="R2839" s="7"/>
      <c r="S2839" s="7"/>
      <c r="T2839" s="7"/>
      <c r="U2839" s="7"/>
      <c r="V2839" s="253"/>
      <c r="W2839" s="7"/>
      <c r="X2839" s="256"/>
      <c r="Y2839" s="256"/>
      <c r="Z2839" s="256"/>
      <c r="AA2839" s="256"/>
      <c r="AB2839" s="257"/>
      <c r="AC2839" s="258"/>
      <c r="AD2839" s="7"/>
      <c r="AE2839" s="253"/>
      <c r="AF2839" s="253"/>
      <c r="AG2839" s="259"/>
      <c r="AH2839" s="253"/>
      <c r="AI2839" s="253"/>
      <c r="AJ2839" s="7"/>
      <c r="AK2839" s="253"/>
      <c r="AL2839" s="253"/>
      <c r="AM2839" s="7"/>
      <c r="AN2839" s="253"/>
      <c r="AO2839" s="253"/>
      <c r="AP2839" s="253"/>
      <c r="AQ2839" s="253"/>
      <c r="AR2839" s="253"/>
      <c r="AS2839" s="253"/>
      <c r="AT2839" s="253"/>
      <c r="AU2839" s="253"/>
      <c r="AV2839" s="253"/>
      <c r="AW2839" s="253"/>
      <c r="AX2839" s="253"/>
      <c r="AY2839" s="253"/>
      <c r="AZ2839" s="253"/>
    </row>
    <row r="2840" spans="1:52" ht="15.5" customHeight="1">
      <c r="A2840" s="363"/>
      <c r="B2840" s="343"/>
      <c r="C2840" s="7"/>
      <c r="D2840" s="254"/>
      <c r="E2840" s="254"/>
      <c r="F2840" s="254"/>
      <c r="G2840" s="253"/>
      <c r="H2840" s="253"/>
      <c r="I2840" s="253"/>
      <c r="J2840" s="253"/>
      <c r="K2840" s="253"/>
      <c r="L2840" s="7"/>
      <c r="M2840" s="7"/>
      <c r="N2840" s="253"/>
      <c r="O2840" s="255"/>
      <c r="P2840" s="253"/>
      <c r="Q2840" s="7"/>
      <c r="R2840" s="7"/>
      <c r="S2840" s="7"/>
      <c r="T2840" s="7"/>
      <c r="U2840" s="7"/>
      <c r="V2840" s="253"/>
      <c r="W2840" s="7"/>
      <c r="X2840" s="256"/>
      <c r="Y2840" s="256"/>
      <c r="Z2840" s="256"/>
      <c r="AA2840" s="256"/>
      <c r="AB2840" s="257"/>
      <c r="AC2840" s="258"/>
      <c r="AD2840" s="7"/>
      <c r="AE2840" s="253"/>
      <c r="AF2840" s="253"/>
      <c r="AG2840" s="259"/>
      <c r="AH2840" s="253"/>
      <c r="AI2840" s="253"/>
      <c r="AJ2840" s="7"/>
      <c r="AK2840" s="253"/>
      <c r="AL2840" s="253"/>
      <c r="AM2840" s="7"/>
      <c r="AN2840" s="253"/>
      <c r="AO2840" s="253"/>
      <c r="AP2840" s="253"/>
      <c r="AQ2840" s="253"/>
      <c r="AR2840" s="253"/>
      <c r="AS2840" s="253"/>
      <c r="AT2840" s="253"/>
      <c r="AU2840" s="253"/>
      <c r="AV2840" s="253"/>
      <c r="AW2840" s="253"/>
      <c r="AX2840" s="253"/>
      <c r="AY2840" s="253"/>
      <c r="AZ2840" s="253"/>
    </row>
    <row r="2841" spans="1:52" ht="15.5" customHeight="1">
      <c r="A2841" s="363"/>
      <c r="B2841" s="343"/>
      <c r="C2841" s="7"/>
      <c r="D2841" s="254"/>
      <c r="E2841" s="254"/>
      <c r="F2841" s="254"/>
      <c r="G2841" s="253"/>
      <c r="H2841" s="253"/>
      <c r="I2841" s="253"/>
      <c r="J2841" s="253"/>
      <c r="K2841" s="253"/>
      <c r="L2841" s="7"/>
      <c r="M2841" s="7"/>
      <c r="N2841" s="253"/>
      <c r="O2841" s="255"/>
      <c r="P2841" s="253"/>
      <c r="Q2841" s="7"/>
      <c r="R2841" s="7"/>
      <c r="S2841" s="7"/>
      <c r="T2841" s="7"/>
      <c r="U2841" s="7"/>
      <c r="V2841" s="253"/>
      <c r="W2841" s="7"/>
      <c r="X2841" s="256"/>
      <c r="Y2841" s="256"/>
      <c r="Z2841" s="256"/>
      <c r="AA2841" s="256"/>
      <c r="AB2841" s="257"/>
      <c r="AC2841" s="258"/>
      <c r="AD2841" s="7"/>
      <c r="AE2841" s="253"/>
      <c r="AF2841" s="253"/>
      <c r="AG2841" s="259"/>
      <c r="AH2841" s="253"/>
      <c r="AI2841" s="253"/>
      <c r="AJ2841" s="7"/>
      <c r="AK2841" s="253"/>
      <c r="AL2841" s="253"/>
      <c r="AM2841" s="7"/>
      <c r="AN2841" s="253"/>
      <c r="AO2841" s="253"/>
      <c r="AP2841" s="253"/>
      <c r="AQ2841" s="253"/>
      <c r="AR2841" s="253"/>
      <c r="AS2841" s="253"/>
      <c r="AT2841" s="253"/>
      <c r="AU2841" s="253"/>
      <c r="AV2841" s="253"/>
      <c r="AW2841" s="253"/>
      <c r="AX2841" s="253"/>
      <c r="AY2841" s="253"/>
      <c r="AZ2841" s="253"/>
    </row>
    <row r="2842" spans="1:52" ht="15.5" customHeight="1">
      <c r="A2842" s="363"/>
      <c r="B2842" s="343"/>
      <c r="C2842" s="7"/>
      <c r="D2842" s="254"/>
      <c r="E2842" s="254"/>
      <c r="F2842" s="254"/>
      <c r="G2842" s="253"/>
      <c r="H2842" s="253"/>
      <c r="I2842" s="253"/>
      <c r="J2842" s="253"/>
      <c r="K2842" s="253"/>
      <c r="L2842" s="7"/>
      <c r="M2842" s="7"/>
      <c r="N2842" s="253"/>
      <c r="O2842" s="255"/>
      <c r="P2842" s="253"/>
      <c r="Q2842" s="7"/>
      <c r="R2842" s="7"/>
      <c r="S2842" s="7"/>
      <c r="T2842" s="7"/>
      <c r="U2842" s="7"/>
      <c r="V2842" s="253"/>
      <c r="W2842" s="7"/>
      <c r="X2842" s="256"/>
      <c r="Y2842" s="256"/>
      <c r="Z2842" s="256"/>
      <c r="AA2842" s="256"/>
      <c r="AB2842" s="257"/>
      <c r="AC2842" s="258"/>
      <c r="AD2842" s="7"/>
      <c r="AE2842" s="253"/>
      <c r="AF2842" s="253"/>
      <c r="AG2842" s="259"/>
      <c r="AH2842" s="253"/>
      <c r="AI2842" s="253"/>
      <c r="AJ2842" s="7"/>
      <c r="AK2842" s="253"/>
      <c r="AL2842" s="253"/>
      <c r="AM2842" s="7"/>
      <c r="AN2842" s="253"/>
      <c r="AO2842" s="253"/>
      <c r="AP2842" s="253"/>
      <c r="AQ2842" s="253"/>
      <c r="AR2842" s="253"/>
      <c r="AS2842" s="253"/>
      <c r="AT2842" s="253"/>
      <c r="AU2842" s="253"/>
      <c r="AV2842" s="253"/>
      <c r="AW2842" s="253"/>
      <c r="AX2842" s="253"/>
      <c r="AY2842" s="253"/>
      <c r="AZ2842" s="253"/>
    </row>
    <row r="2843" spans="1:52" ht="15.5" customHeight="1">
      <c r="A2843" s="363"/>
      <c r="B2843" s="343"/>
      <c r="C2843" s="7"/>
      <c r="D2843" s="254"/>
      <c r="E2843" s="254"/>
      <c r="F2843" s="254"/>
      <c r="G2843" s="253"/>
      <c r="H2843" s="253"/>
      <c r="I2843" s="253"/>
      <c r="J2843" s="253"/>
      <c r="K2843" s="253"/>
      <c r="L2843" s="7"/>
      <c r="M2843" s="7"/>
      <c r="N2843" s="253"/>
      <c r="O2843" s="255"/>
      <c r="P2843" s="253"/>
      <c r="Q2843" s="7"/>
      <c r="R2843" s="7"/>
      <c r="S2843" s="7"/>
      <c r="T2843" s="7"/>
      <c r="U2843" s="7"/>
      <c r="V2843" s="253"/>
      <c r="W2843" s="7"/>
      <c r="X2843" s="256"/>
      <c r="Y2843" s="256"/>
      <c r="Z2843" s="256"/>
      <c r="AA2843" s="256"/>
      <c r="AB2843" s="257"/>
      <c r="AC2843" s="258"/>
      <c r="AD2843" s="7"/>
      <c r="AE2843" s="253"/>
      <c r="AF2843" s="253"/>
      <c r="AG2843" s="259"/>
      <c r="AH2843" s="253"/>
      <c r="AI2843" s="253"/>
      <c r="AJ2843" s="7"/>
      <c r="AK2843" s="253"/>
      <c r="AL2843" s="253"/>
      <c r="AM2843" s="7"/>
      <c r="AN2843" s="253"/>
      <c r="AO2843" s="253"/>
      <c r="AP2843" s="253"/>
      <c r="AQ2843" s="253"/>
      <c r="AR2843" s="253"/>
      <c r="AS2843" s="253"/>
      <c r="AT2843" s="253"/>
      <c r="AU2843" s="253"/>
      <c r="AV2843" s="253"/>
      <c r="AW2843" s="253"/>
      <c r="AX2843" s="253"/>
      <c r="AY2843" s="253"/>
      <c r="AZ2843" s="253"/>
    </row>
    <row r="2844" spans="1:52" ht="15.5" customHeight="1">
      <c r="A2844" s="363"/>
      <c r="B2844" s="343"/>
      <c r="C2844" s="7"/>
      <c r="D2844" s="254"/>
      <c r="E2844" s="254"/>
      <c r="F2844" s="254"/>
      <c r="G2844" s="253"/>
      <c r="H2844" s="253"/>
      <c r="I2844" s="253"/>
      <c r="J2844" s="253"/>
      <c r="K2844" s="253"/>
      <c r="L2844" s="7"/>
      <c r="M2844" s="7"/>
      <c r="N2844" s="253"/>
      <c r="O2844" s="255"/>
      <c r="P2844" s="253"/>
      <c r="Q2844" s="7"/>
      <c r="R2844" s="7"/>
      <c r="S2844" s="7"/>
      <c r="T2844" s="7"/>
      <c r="U2844" s="7"/>
      <c r="V2844" s="253"/>
      <c r="W2844" s="7"/>
      <c r="X2844" s="256"/>
      <c r="Y2844" s="256"/>
      <c r="Z2844" s="256"/>
      <c r="AA2844" s="256"/>
      <c r="AB2844" s="257"/>
      <c r="AC2844" s="258"/>
      <c r="AD2844" s="7"/>
      <c r="AE2844" s="253"/>
      <c r="AF2844" s="253"/>
      <c r="AG2844" s="259"/>
      <c r="AH2844" s="253"/>
      <c r="AI2844" s="253"/>
      <c r="AJ2844" s="7"/>
      <c r="AK2844" s="253"/>
      <c r="AL2844" s="253"/>
      <c r="AM2844" s="7"/>
      <c r="AN2844" s="253"/>
      <c r="AO2844" s="253"/>
      <c r="AP2844" s="253"/>
      <c r="AQ2844" s="253"/>
      <c r="AR2844" s="253"/>
      <c r="AS2844" s="253"/>
      <c r="AT2844" s="253"/>
      <c r="AU2844" s="253"/>
      <c r="AV2844" s="253"/>
      <c r="AW2844" s="253"/>
      <c r="AX2844" s="253"/>
      <c r="AY2844" s="253"/>
      <c r="AZ2844" s="253"/>
    </row>
    <row r="2845" spans="1:52" ht="15.5" customHeight="1">
      <c r="A2845" s="363"/>
      <c r="B2845" s="343"/>
      <c r="C2845" s="7"/>
      <c r="D2845" s="254"/>
      <c r="E2845" s="254"/>
      <c r="F2845" s="254"/>
      <c r="G2845" s="253"/>
      <c r="H2845" s="253"/>
      <c r="I2845" s="253"/>
      <c r="J2845" s="253"/>
      <c r="K2845" s="253"/>
      <c r="L2845" s="7"/>
      <c r="M2845" s="7"/>
      <c r="N2845" s="253"/>
      <c r="O2845" s="255"/>
      <c r="P2845" s="253"/>
      <c r="Q2845" s="7"/>
      <c r="R2845" s="7"/>
      <c r="S2845" s="7"/>
      <c r="T2845" s="7"/>
      <c r="U2845" s="7"/>
      <c r="V2845" s="253"/>
      <c r="W2845" s="7"/>
      <c r="X2845" s="256"/>
      <c r="Y2845" s="256"/>
      <c r="Z2845" s="256"/>
      <c r="AA2845" s="256"/>
      <c r="AB2845" s="257"/>
      <c r="AC2845" s="258"/>
      <c r="AD2845" s="7"/>
      <c r="AE2845" s="253"/>
      <c r="AF2845" s="253"/>
      <c r="AG2845" s="259"/>
      <c r="AH2845" s="253"/>
      <c r="AI2845" s="253"/>
      <c r="AJ2845" s="7"/>
      <c r="AK2845" s="253"/>
      <c r="AL2845" s="253"/>
      <c r="AM2845" s="7"/>
      <c r="AN2845" s="253"/>
      <c r="AO2845" s="253"/>
      <c r="AP2845" s="253"/>
      <c r="AQ2845" s="253"/>
      <c r="AR2845" s="253"/>
      <c r="AS2845" s="253"/>
      <c r="AT2845" s="253"/>
      <c r="AU2845" s="253"/>
      <c r="AV2845" s="253"/>
      <c r="AW2845" s="253"/>
      <c r="AX2845" s="253"/>
      <c r="AY2845" s="253"/>
      <c r="AZ2845" s="253"/>
    </row>
    <row r="2846" spans="1:52" ht="15.5" customHeight="1">
      <c r="A2846" s="363"/>
      <c r="B2846" s="343"/>
      <c r="C2846" s="7"/>
      <c r="D2846" s="254"/>
      <c r="E2846" s="254"/>
      <c r="F2846" s="254"/>
      <c r="G2846" s="253"/>
      <c r="H2846" s="253"/>
      <c r="I2846" s="253"/>
      <c r="J2846" s="253"/>
      <c r="K2846" s="253"/>
      <c r="L2846" s="7"/>
      <c r="M2846" s="7"/>
      <c r="N2846" s="253"/>
      <c r="O2846" s="255"/>
      <c r="P2846" s="253"/>
      <c r="Q2846" s="7"/>
      <c r="R2846" s="7"/>
      <c r="S2846" s="7"/>
      <c r="T2846" s="7"/>
      <c r="U2846" s="7"/>
      <c r="V2846" s="253"/>
      <c r="W2846" s="7"/>
      <c r="X2846" s="256"/>
      <c r="Y2846" s="256"/>
      <c r="Z2846" s="256"/>
      <c r="AA2846" s="256"/>
      <c r="AB2846" s="257"/>
      <c r="AC2846" s="258"/>
      <c r="AD2846" s="7"/>
      <c r="AE2846" s="253"/>
      <c r="AF2846" s="253"/>
      <c r="AG2846" s="259"/>
      <c r="AH2846" s="253"/>
      <c r="AI2846" s="253"/>
      <c r="AJ2846" s="7"/>
      <c r="AK2846" s="253"/>
      <c r="AL2846" s="253"/>
      <c r="AM2846" s="7"/>
      <c r="AN2846" s="253"/>
      <c r="AO2846" s="253"/>
      <c r="AP2846" s="253"/>
      <c r="AQ2846" s="253"/>
      <c r="AR2846" s="253"/>
      <c r="AS2846" s="253"/>
      <c r="AT2846" s="253"/>
      <c r="AU2846" s="253"/>
      <c r="AV2846" s="253"/>
      <c r="AW2846" s="253"/>
      <c r="AX2846" s="253"/>
      <c r="AY2846" s="253"/>
      <c r="AZ2846" s="253"/>
    </row>
    <row r="2847" spans="1:52" ht="15.5" customHeight="1">
      <c r="A2847" s="363"/>
      <c r="B2847" s="343"/>
      <c r="C2847" s="7"/>
      <c r="D2847" s="254"/>
      <c r="E2847" s="254"/>
      <c r="F2847" s="254"/>
      <c r="G2847" s="253"/>
      <c r="H2847" s="253"/>
      <c r="I2847" s="253"/>
      <c r="J2847" s="253"/>
      <c r="K2847" s="253"/>
      <c r="L2847" s="7"/>
      <c r="M2847" s="7"/>
      <c r="N2847" s="253"/>
      <c r="O2847" s="255"/>
      <c r="P2847" s="253"/>
      <c r="Q2847" s="7"/>
      <c r="R2847" s="7"/>
      <c r="S2847" s="7"/>
      <c r="T2847" s="7"/>
      <c r="U2847" s="7"/>
      <c r="V2847" s="253"/>
      <c r="W2847" s="7"/>
      <c r="X2847" s="256"/>
      <c r="Y2847" s="256"/>
      <c r="Z2847" s="256"/>
      <c r="AA2847" s="256"/>
      <c r="AB2847" s="257"/>
      <c r="AC2847" s="258"/>
      <c r="AD2847" s="7"/>
      <c r="AE2847" s="253"/>
      <c r="AF2847" s="253"/>
      <c r="AG2847" s="259"/>
      <c r="AH2847" s="253"/>
      <c r="AI2847" s="253"/>
      <c r="AJ2847" s="7"/>
      <c r="AK2847" s="253"/>
      <c r="AL2847" s="253"/>
      <c r="AM2847" s="7"/>
      <c r="AN2847" s="253"/>
      <c r="AO2847" s="253"/>
      <c r="AP2847" s="253"/>
      <c r="AQ2847" s="253"/>
      <c r="AR2847" s="253"/>
      <c r="AS2847" s="253"/>
      <c r="AT2847" s="253"/>
      <c r="AU2847" s="253"/>
      <c r="AV2847" s="253"/>
      <c r="AW2847" s="253"/>
      <c r="AX2847" s="253"/>
      <c r="AY2847" s="253"/>
      <c r="AZ2847" s="253"/>
    </row>
    <row r="2848" spans="1:52" ht="15.5" customHeight="1">
      <c r="A2848" s="363"/>
      <c r="B2848" s="343"/>
      <c r="C2848" s="7"/>
      <c r="D2848" s="254"/>
      <c r="E2848" s="254"/>
      <c r="F2848" s="254"/>
      <c r="G2848" s="253"/>
      <c r="H2848" s="253"/>
      <c r="I2848" s="253"/>
      <c r="J2848" s="253"/>
      <c r="K2848" s="253"/>
      <c r="L2848" s="7"/>
      <c r="M2848" s="7"/>
      <c r="N2848" s="253"/>
      <c r="O2848" s="255"/>
      <c r="P2848" s="253"/>
      <c r="Q2848" s="7"/>
      <c r="R2848" s="7"/>
      <c r="S2848" s="7"/>
      <c r="T2848" s="7"/>
      <c r="U2848" s="7"/>
      <c r="V2848" s="253"/>
      <c r="W2848" s="7"/>
      <c r="X2848" s="256"/>
      <c r="Y2848" s="256"/>
      <c r="Z2848" s="256"/>
      <c r="AA2848" s="256"/>
      <c r="AB2848" s="257"/>
      <c r="AC2848" s="258"/>
      <c r="AD2848" s="7"/>
      <c r="AE2848" s="253"/>
      <c r="AF2848" s="253"/>
      <c r="AG2848" s="259"/>
      <c r="AH2848" s="253"/>
      <c r="AI2848" s="253"/>
      <c r="AJ2848" s="7"/>
      <c r="AK2848" s="253"/>
      <c r="AL2848" s="253"/>
      <c r="AM2848" s="7"/>
      <c r="AN2848" s="253"/>
      <c r="AO2848" s="253"/>
      <c r="AP2848" s="253"/>
      <c r="AQ2848" s="253"/>
      <c r="AR2848" s="253"/>
      <c r="AS2848" s="253"/>
      <c r="AT2848" s="253"/>
      <c r="AU2848" s="253"/>
      <c r="AV2848" s="253"/>
      <c r="AW2848" s="253"/>
      <c r="AX2848" s="253"/>
      <c r="AY2848" s="253"/>
      <c r="AZ2848" s="253"/>
    </row>
    <row r="2849" spans="1:52" ht="15.5" customHeight="1">
      <c r="A2849" s="363"/>
      <c r="B2849" s="343"/>
      <c r="C2849" s="7"/>
      <c r="D2849" s="254"/>
      <c r="E2849" s="254"/>
      <c r="F2849" s="254"/>
      <c r="G2849" s="253"/>
      <c r="H2849" s="253"/>
      <c r="I2849" s="253"/>
      <c r="J2849" s="253"/>
      <c r="K2849" s="253"/>
      <c r="L2849" s="7"/>
      <c r="M2849" s="7"/>
      <c r="N2849" s="253"/>
      <c r="O2849" s="255"/>
      <c r="P2849" s="253"/>
      <c r="Q2849" s="7"/>
      <c r="R2849" s="7"/>
      <c r="S2849" s="7"/>
      <c r="T2849" s="7"/>
      <c r="U2849" s="7"/>
      <c r="V2849" s="253"/>
      <c r="W2849" s="7"/>
      <c r="X2849" s="256"/>
      <c r="Y2849" s="256"/>
      <c r="Z2849" s="256"/>
      <c r="AA2849" s="256"/>
      <c r="AB2849" s="257"/>
      <c r="AC2849" s="258"/>
      <c r="AD2849" s="7"/>
      <c r="AE2849" s="253"/>
      <c r="AF2849" s="253"/>
      <c r="AG2849" s="259"/>
      <c r="AH2849" s="253"/>
      <c r="AI2849" s="253"/>
      <c r="AJ2849" s="7"/>
      <c r="AK2849" s="253"/>
      <c r="AL2849" s="253"/>
      <c r="AM2849" s="7"/>
      <c r="AN2849" s="253"/>
      <c r="AO2849" s="253"/>
      <c r="AP2849" s="253"/>
      <c r="AQ2849" s="253"/>
      <c r="AR2849" s="253"/>
      <c r="AS2849" s="253"/>
      <c r="AT2849" s="253"/>
      <c r="AU2849" s="253"/>
      <c r="AV2849" s="253"/>
      <c r="AW2849" s="253"/>
      <c r="AX2849" s="253"/>
      <c r="AY2849" s="253"/>
      <c r="AZ2849" s="253"/>
    </row>
    <row r="2850" spans="1:52" ht="15.5" customHeight="1">
      <c r="A2850" s="363"/>
      <c r="B2850" s="343"/>
      <c r="C2850" s="7"/>
      <c r="D2850" s="254"/>
      <c r="E2850" s="254"/>
      <c r="F2850" s="254"/>
      <c r="G2850" s="253"/>
      <c r="H2850" s="253"/>
      <c r="I2850" s="253"/>
      <c r="J2850" s="253"/>
      <c r="K2850" s="253"/>
      <c r="L2850" s="7"/>
      <c r="M2850" s="7"/>
      <c r="N2850" s="253"/>
      <c r="O2850" s="255"/>
      <c r="P2850" s="253"/>
      <c r="Q2850" s="7"/>
      <c r="R2850" s="7"/>
      <c r="S2850" s="7"/>
      <c r="T2850" s="7"/>
      <c r="U2850" s="7"/>
      <c r="V2850" s="253"/>
      <c r="W2850" s="7"/>
      <c r="X2850" s="256"/>
      <c r="Y2850" s="256"/>
      <c r="Z2850" s="256"/>
      <c r="AA2850" s="256"/>
      <c r="AB2850" s="257"/>
      <c r="AC2850" s="258"/>
      <c r="AD2850" s="7"/>
      <c r="AE2850" s="253"/>
      <c r="AF2850" s="253"/>
      <c r="AG2850" s="259"/>
      <c r="AH2850" s="253"/>
      <c r="AI2850" s="253"/>
      <c r="AJ2850" s="7"/>
      <c r="AK2850" s="253"/>
      <c r="AL2850" s="253"/>
      <c r="AM2850" s="7"/>
      <c r="AN2850" s="253"/>
      <c r="AO2850" s="253"/>
      <c r="AP2850" s="253"/>
      <c r="AQ2850" s="253"/>
      <c r="AR2850" s="253"/>
      <c r="AS2850" s="253"/>
      <c r="AT2850" s="253"/>
      <c r="AU2850" s="253"/>
      <c r="AV2850" s="253"/>
      <c r="AW2850" s="253"/>
      <c r="AX2850" s="253"/>
      <c r="AY2850" s="253"/>
      <c r="AZ2850" s="253"/>
    </row>
    <row r="2851" spans="1:52" ht="15.5" customHeight="1">
      <c r="A2851" s="363"/>
      <c r="B2851" s="343"/>
      <c r="C2851" s="7"/>
      <c r="D2851" s="254"/>
      <c r="E2851" s="254"/>
      <c r="F2851" s="254"/>
      <c r="G2851" s="253"/>
      <c r="H2851" s="253"/>
      <c r="I2851" s="253"/>
      <c r="J2851" s="253"/>
      <c r="K2851" s="253"/>
      <c r="L2851" s="7"/>
      <c r="M2851" s="7"/>
      <c r="N2851" s="253"/>
      <c r="O2851" s="255"/>
      <c r="P2851" s="253"/>
      <c r="Q2851" s="7"/>
      <c r="R2851" s="7"/>
      <c r="S2851" s="7"/>
      <c r="T2851" s="7"/>
      <c r="U2851" s="7"/>
      <c r="V2851" s="253"/>
      <c r="W2851" s="7"/>
      <c r="X2851" s="256"/>
      <c r="Y2851" s="256"/>
      <c r="Z2851" s="256"/>
      <c r="AA2851" s="256"/>
      <c r="AB2851" s="257"/>
      <c r="AC2851" s="258"/>
      <c r="AD2851" s="7"/>
      <c r="AE2851" s="253"/>
      <c r="AF2851" s="253"/>
      <c r="AG2851" s="259"/>
      <c r="AH2851" s="253"/>
      <c r="AI2851" s="253"/>
      <c r="AJ2851" s="7"/>
      <c r="AK2851" s="253"/>
      <c r="AL2851" s="253"/>
      <c r="AM2851" s="7"/>
      <c r="AN2851" s="253"/>
      <c r="AO2851" s="253"/>
      <c r="AP2851" s="253"/>
      <c r="AQ2851" s="253"/>
      <c r="AR2851" s="253"/>
      <c r="AS2851" s="253"/>
      <c r="AT2851" s="253"/>
      <c r="AU2851" s="253"/>
      <c r="AV2851" s="253"/>
      <c r="AW2851" s="253"/>
      <c r="AX2851" s="253"/>
      <c r="AY2851" s="253"/>
      <c r="AZ2851" s="253"/>
    </row>
    <row r="2852" spans="1:52" ht="15.5" customHeight="1">
      <c r="A2852" s="363"/>
      <c r="B2852" s="343"/>
      <c r="C2852" s="7"/>
      <c r="D2852" s="254"/>
      <c r="E2852" s="254"/>
      <c r="F2852" s="254"/>
      <c r="G2852" s="253"/>
      <c r="H2852" s="253"/>
      <c r="I2852" s="253"/>
      <c r="J2852" s="253"/>
      <c r="K2852" s="253"/>
      <c r="L2852" s="7"/>
      <c r="M2852" s="7"/>
      <c r="N2852" s="253"/>
      <c r="O2852" s="255"/>
      <c r="P2852" s="253"/>
      <c r="Q2852" s="7"/>
      <c r="R2852" s="7"/>
      <c r="S2852" s="7"/>
      <c r="T2852" s="7"/>
      <c r="U2852" s="7"/>
      <c r="V2852" s="253"/>
      <c r="W2852" s="7"/>
      <c r="X2852" s="256"/>
      <c r="Y2852" s="256"/>
      <c r="Z2852" s="256"/>
      <c r="AA2852" s="256"/>
      <c r="AB2852" s="257"/>
      <c r="AC2852" s="258"/>
      <c r="AD2852" s="7"/>
      <c r="AE2852" s="253"/>
      <c r="AF2852" s="253"/>
      <c r="AG2852" s="259"/>
      <c r="AH2852" s="253"/>
      <c r="AI2852" s="253"/>
      <c r="AJ2852" s="7"/>
      <c r="AK2852" s="253"/>
      <c r="AL2852" s="253"/>
      <c r="AM2852" s="7"/>
      <c r="AN2852" s="253"/>
      <c r="AO2852" s="253"/>
      <c r="AP2852" s="253"/>
      <c r="AQ2852" s="253"/>
      <c r="AR2852" s="253"/>
      <c r="AS2852" s="253"/>
      <c r="AT2852" s="253"/>
      <c r="AU2852" s="253"/>
      <c r="AV2852" s="253"/>
      <c r="AW2852" s="253"/>
      <c r="AX2852" s="253"/>
      <c r="AY2852" s="253"/>
      <c r="AZ2852" s="253"/>
    </row>
    <row r="2853" spans="1:52" ht="15.5" customHeight="1">
      <c r="A2853" s="363"/>
      <c r="B2853" s="343"/>
      <c r="C2853" s="7"/>
      <c r="D2853" s="254"/>
      <c r="E2853" s="254"/>
      <c r="F2853" s="254"/>
      <c r="G2853" s="253"/>
      <c r="H2853" s="253"/>
      <c r="I2853" s="253"/>
      <c r="J2853" s="253"/>
      <c r="K2853" s="253"/>
      <c r="L2853" s="7"/>
      <c r="M2853" s="7"/>
      <c r="N2853" s="253"/>
      <c r="O2853" s="255"/>
      <c r="P2853" s="253"/>
      <c r="Q2853" s="7"/>
      <c r="R2853" s="7"/>
      <c r="S2853" s="7"/>
      <c r="T2853" s="7"/>
      <c r="U2853" s="7"/>
      <c r="V2853" s="253"/>
      <c r="W2853" s="7"/>
      <c r="X2853" s="256"/>
      <c r="Y2853" s="256"/>
      <c r="Z2853" s="256"/>
      <c r="AA2853" s="256"/>
      <c r="AB2853" s="257"/>
      <c r="AC2853" s="258"/>
      <c r="AD2853" s="7"/>
      <c r="AE2853" s="253"/>
      <c r="AF2853" s="253"/>
      <c r="AG2853" s="259"/>
      <c r="AH2853" s="253"/>
      <c r="AI2853" s="253"/>
      <c r="AJ2853" s="7"/>
      <c r="AK2853" s="253"/>
      <c r="AL2853" s="253"/>
      <c r="AM2853" s="7"/>
      <c r="AN2853" s="253"/>
      <c r="AO2853" s="253"/>
      <c r="AP2853" s="253"/>
      <c r="AQ2853" s="253"/>
      <c r="AR2853" s="253"/>
      <c r="AS2853" s="253"/>
      <c r="AT2853" s="253"/>
      <c r="AU2853" s="253"/>
      <c r="AV2853" s="253"/>
      <c r="AW2853" s="253"/>
      <c r="AX2853" s="253"/>
      <c r="AY2853" s="253"/>
      <c r="AZ2853" s="253"/>
    </row>
    <row r="2854" spans="1:52" ht="15.5" customHeight="1">
      <c r="A2854" s="363"/>
      <c r="B2854" s="343"/>
      <c r="C2854" s="7"/>
      <c r="D2854" s="254"/>
      <c r="E2854" s="254"/>
      <c r="F2854" s="254"/>
      <c r="G2854" s="253"/>
      <c r="H2854" s="253"/>
      <c r="I2854" s="253"/>
      <c r="J2854" s="253"/>
      <c r="K2854" s="253"/>
      <c r="L2854" s="7"/>
      <c r="M2854" s="7"/>
      <c r="N2854" s="253"/>
      <c r="O2854" s="255"/>
      <c r="P2854" s="253"/>
      <c r="Q2854" s="7"/>
      <c r="R2854" s="7"/>
      <c r="S2854" s="7"/>
      <c r="T2854" s="7"/>
      <c r="U2854" s="7"/>
      <c r="V2854" s="253"/>
      <c r="W2854" s="7"/>
      <c r="X2854" s="256"/>
      <c r="Y2854" s="256"/>
      <c r="Z2854" s="256"/>
      <c r="AA2854" s="256"/>
      <c r="AB2854" s="257"/>
      <c r="AC2854" s="258"/>
      <c r="AD2854" s="7"/>
      <c r="AE2854" s="253"/>
      <c r="AF2854" s="253"/>
      <c r="AG2854" s="259"/>
      <c r="AH2854" s="253"/>
      <c r="AI2854" s="253"/>
      <c r="AJ2854" s="7"/>
      <c r="AK2854" s="253"/>
      <c r="AL2854" s="253"/>
      <c r="AM2854" s="7"/>
      <c r="AN2854" s="253"/>
      <c r="AO2854" s="253"/>
      <c r="AP2854" s="253"/>
      <c r="AQ2854" s="253"/>
      <c r="AR2854" s="253"/>
      <c r="AS2854" s="253"/>
      <c r="AT2854" s="253"/>
      <c r="AU2854" s="253"/>
      <c r="AV2854" s="253"/>
      <c r="AW2854" s="253"/>
      <c r="AX2854" s="253"/>
      <c r="AY2854" s="253"/>
      <c r="AZ2854" s="253"/>
    </row>
    <row r="2855" spans="1:52" ht="15.5" customHeight="1">
      <c r="A2855" s="363"/>
      <c r="B2855" s="343"/>
      <c r="C2855" s="7"/>
      <c r="D2855" s="254"/>
      <c r="E2855" s="254"/>
      <c r="F2855" s="254"/>
      <c r="G2855" s="253"/>
      <c r="H2855" s="253"/>
      <c r="I2855" s="253"/>
      <c r="J2855" s="253"/>
      <c r="K2855" s="253"/>
      <c r="L2855" s="7"/>
      <c r="M2855" s="7"/>
      <c r="N2855" s="253"/>
      <c r="O2855" s="255"/>
      <c r="P2855" s="253"/>
      <c r="Q2855" s="7"/>
      <c r="R2855" s="7"/>
      <c r="S2855" s="7"/>
      <c r="T2855" s="7"/>
      <c r="U2855" s="7"/>
      <c r="V2855" s="253"/>
      <c r="W2855" s="7"/>
      <c r="X2855" s="256"/>
      <c r="Y2855" s="256"/>
      <c r="Z2855" s="256"/>
      <c r="AA2855" s="256"/>
      <c r="AB2855" s="257"/>
      <c r="AC2855" s="258"/>
      <c r="AD2855" s="7"/>
      <c r="AE2855" s="253"/>
      <c r="AF2855" s="253"/>
      <c r="AG2855" s="259"/>
      <c r="AH2855" s="253"/>
      <c r="AI2855" s="253"/>
      <c r="AJ2855" s="7"/>
      <c r="AK2855" s="253"/>
      <c r="AL2855" s="253"/>
      <c r="AM2855" s="7"/>
      <c r="AN2855" s="253"/>
      <c r="AO2855" s="253"/>
      <c r="AP2855" s="253"/>
      <c r="AQ2855" s="253"/>
      <c r="AR2855" s="253"/>
      <c r="AS2855" s="253"/>
      <c r="AT2855" s="253"/>
      <c r="AU2855" s="253"/>
      <c r="AV2855" s="253"/>
      <c r="AW2855" s="253"/>
      <c r="AX2855" s="253"/>
      <c r="AY2855" s="253"/>
      <c r="AZ2855" s="253"/>
    </row>
    <row r="2856" spans="1:52" ht="15.5" customHeight="1">
      <c r="A2856" s="363"/>
      <c r="B2856" s="343"/>
      <c r="C2856" s="7"/>
      <c r="D2856" s="254"/>
      <c r="E2856" s="254"/>
      <c r="F2856" s="254"/>
      <c r="G2856" s="253"/>
      <c r="H2856" s="253"/>
      <c r="I2856" s="253"/>
      <c r="J2856" s="253"/>
      <c r="K2856" s="253"/>
      <c r="L2856" s="7"/>
      <c r="M2856" s="7"/>
      <c r="N2856" s="253"/>
      <c r="O2856" s="255"/>
      <c r="P2856" s="253"/>
      <c r="Q2856" s="7"/>
      <c r="R2856" s="7"/>
      <c r="S2856" s="7"/>
      <c r="T2856" s="7"/>
      <c r="U2856" s="7"/>
      <c r="V2856" s="253"/>
      <c r="W2856" s="7"/>
      <c r="X2856" s="256"/>
      <c r="Y2856" s="256"/>
      <c r="Z2856" s="256"/>
      <c r="AA2856" s="256"/>
      <c r="AB2856" s="257"/>
      <c r="AC2856" s="258"/>
      <c r="AD2856" s="7"/>
      <c r="AE2856" s="253"/>
      <c r="AF2856" s="253"/>
      <c r="AG2856" s="259"/>
      <c r="AH2856" s="253"/>
      <c r="AI2856" s="253"/>
      <c r="AJ2856" s="7"/>
      <c r="AK2856" s="253"/>
      <c r="AL2856" s="253"/>
      <c r="AM2856" s="7"/>
      <c r="AN2856" s="253"/>
      <c r="AO2856" s="253"/>
      <c r="AP2856" s="253"/>
      <c r="AQ2856" s="253"/>
      <c r="AR2856" s="253"/>
      <c r="AS2856" s="253"/>
      <c r="AT2856" s="253"/>
      <c r="AU2856" s="253"/>
      <c r="AV2856" s="253"/>
      <c r="AW2856" s="253"/>
      <c r="AX2856" s="253"/>
      <c r="AY2856" s="253"/>
      <c r="AZ2856" s="253"/>
    </row>
    <row r="2857" spans="1:52" ht="15.5" customHeight="1">
      <c r="A2857" s="363"/>
      <c r="B2857" s="343"/>
      <c r="C2857" s="7"/>
      <c r="D2857" s="254"/>
      <c r="E2857" s="254"/>
      <c r="F2857" s="254"/>
      <c r="G2857" s="253"/>
      <c r="H2857" s="253"/>
      <c r="I2857" s="253"/>
      <c r="J2857" s="253"/>
      <c r="K2857" s="253"/>
      <c r="L2857" s="7"/>
      <c r="M2857" s="7"/>
      <c r="N2857" s="253"/>
      <c r="O2857" s="255"/>
      <c r="P2857" s="253"/>
      <c r="Q2857" s="7"/>
      <c r="R2857" s="7"/>
      <c r="S2857" s="7"/>
      <c r="T2857" s="7"/>
      <c r="U2857" s="7"/>
      <c r="V2857" s="253"/>
      <c r="W2857" s="7"/>
      <c r="X2857" s="256"/>
      <c r="Y2857" s="256"/>
      <c r="Z2857" s="256"/>
      <c r="AA2857" s="256"/>
      <c r="AB2857" s="257"/>
      <c r="AC2857" s="258"/>
      <c r="AD2857" s="7"/>
      <c r="AE2857" s="253"/>
      <c r="AF2857" s="253"/>
      <c r="AG2857" s="259"/>
      <c r="AH2857" s="253"/>
      <c r="AI2857" s="253"/>
      <c r="AJ2857" s="7"/>
      <c r="AK2857" s="253"/>
      <c r="AL2857" s="253"/>
      <c r="AM2857" s="7"/>
      <c r="AN2857" s="253"/>
      <c r="AO2857" s="253"/>
      <c r="AP2857" s="253"/>
      <c r="AQ2857" s="253"/>
      <c r="AR2857" s="253"/>
      <c r="AS2857" s="253"/>
      <c r="AT2857" s="253"/>
      <c r="AU2857" s="253"/>
      <c r="AV2857" s="253"/>
      <c r="AW2857" s="253"/>
      <c r="AX2857" s="253"/>
      <c r="AY2857" s="253"/>
      <c r="AZ2857" s="253"/>
    </row>
    <row r="2858" spans="1:52" ht="15.5" customHeight="1">
      <c r="A2858" s="363"/>
      <c r="B2858" s="343"/>
      <c r="C2858" s="7"/>
      <c r="D2858" s="254"/>
      <c r="E2858" s="254"/>
      <c r="F2858" s="254"/>
      <c r="G2858" s="253"/>
      <c r="H2858" s="253"/>
      <c r="I2858" s="253"/>
      <c r="J2858" s="253"/>
      <c r="K2858" s="253"/>
      <c r="L2858" s="7"/>
      <c r="M2858" s="7"/>
      <c r="N2858" s="253"/>
      <c r="O2858" s="255"/>
      <c r="P2858" s="253"/>
      <c r="Q2858" s="7"/>
      <c r="R2858" s="7"/>
      <c r="S2858" s="7"/>
      <c r="T2858" s="7"/>
      <c r="U2858" s="7"/>
      <c r="V2858" s="253"/>
      <c r="W2858" s="7"/>
      <c r="X2858" s="256"/>
      <c r="Y2858" s="256"/>
      <c r="Z2858" s="256"/>
      <c r="AA2858" s="256"/>
      <c r="AB2858" s="257"/>
      <c r="AC2858" s="258"/>
      <c r="AD2858" s="7"/>
      <c r="AE2858" s="253"/>
      <c r="AF2858" s="253"/>
      <c r="AG2858" s="259"/>
      <c r="AH2858" s="253"/>
      <c r="AI2858" s="253"/>
      <c r="AJ2858" s="7"/>
      <c r="AK2858" s="253"/>
      <c r="AL2858" s="253"/>
      <c r="AM2858" s="7"/>
      <c r="AN2858" s="253"/>
      <c r="AO2858" s="253"/>
      <c r="AP2858" s="253"/>
      <c r="AQ2858" s="253"/>
      <c r="AR2858" s="253"/>
      <c r="AS2858" s="253"/>
      <c r="AT2858" s="253"/>
      <c r="AU2858" s="253"/>
      <c r="AV2858" s="253"/>
      <c r="AW2858" s="253"/>
      <c r="AX2858" s="253"/>
      <c r="AY2858" s="253"/>
      <c r="AZ2858" s="253"/>
    </row>
    <row r="2859" spans="1:52" ht="15.5" customHeight="1">
      <c r="A2859" s="363"/>
      <c r="B2859" s="343"/>
      <c r="C2859" s="7"/>
      <c r="D2859" s="254"/>
      <c r="E2859" s="254"/>
      <c r="F2859" s="254"/>
      <c r="G2859" s="253"/>
      <c r="H2859" s="253"/>
      <c r="I2859" s="253"/>
      <c r="J2859" s="253"/>
      <c r="K2859" s="253"/>
      <c r="L2859" s="7"/>
      <c r="M2859" s="7"/>
      <c r="N2859" s="253"/>
      <c r="O2859" s="255"/>
      <c r="P2859" s="253"/>
      <c r="Q2859" s="7"/>
      <c r="R2859" s="7"/>
      <c r="S2859" s="7"/>
      <c r="T2859" s="7"/>
      <c r="U2859" s="7"/>
      <c r="V2859" s="253"/>
      <c r="W2859" s="7"/>
      <c r="X2859" s="256"/>
      <c r="Y2859" s="256"/>
      <c r="Z2859" s="256"/>
      <c r="AA2859" s="256"/>
      <c r="AB2859" s="257"/>
      <c r="AC2859" s="258"/>
      <c r="AD2859" s="7"/>
      <c r="AE2859" s="253"/>
      <c r="AF2859" s="253"/>
      <c r="AG2859" s="259"/>
      <c r="AH2859" s="253"/>
      <c r="AI2859" s="253"/>
      <c r="AJ2859" s="7"/>
      <c r="AK2859" s="253"/>
      <c r="AL2859" s="253"/>
      <c r="AM2859" s="7"/>
      <c r="AN2859" s="253"/>
      <c r="AO2859" s="253"/>
      <c r="AP2859" s="253"/>
      <c r="AQ2859" s="253"/>
      <c r="AR2859" s="253"/>
      <c r="AS2859" s="253"/>
      <c r="AT2859" s="253"/>
      <c r="AU2859" s="253"/>
      <c r="AV2859" s="253"/>
      <c r="AW2859" s="253"/>
      <c r="AX2859" s="253"/>
      <c r="AY2859" s="253"/>
      <c r="AZ2859" s="253"/>
    </row>
    <row r="2860" spans="1:52" ht="15.5" customHeight="1">
      <c r="A2860" s="363"/>
      <c r="B2860" s="343"/>
      <c r="C2860" s="7"/>
      <c r="D2860" s="254"/>
      <c r="E2860" s="254"/>
      <c r="F2860" s="254"/>
      <c r="G2860" s="253"/>
      <c r="H2860" s="253"/>
      <c r="I2860" s="253"/>
      <c r="J2860" s="253"/>
      <c r="K2860" s="253"/>
      <c r="L2860" s="7"/>
      <c r="M2860" s="7"/>
      <c r="N2860" s="253"/>
      <c r="O2860" s="255"/>
      <c r="P2860" s="253"/>
      <c r="Q2860" s="7"/>
      <c r="R2860" s="7"/>
      <c r="S2860" s="7"/>
      <c r="T2860" s="7"/>
      <c r="U2860" s="7"/>
      <c r="V2860" s="253"/>
      <c r="W2860" s="7"/>
      <c r="X2860" s="256"/>
      <c r="Y2860" s="256"/>
      <c r="Z2860" s="256"/>
      <c r="AA2860" s="256"/>
      <c r="AB2860" s="257"/>
      <c r="AC2860" s="258"/>
      <c r="AD2860" s="7"/>
      <c r="AE2860" s="253"/>
      <c r="AF2860" s="253"/>
      <c r="AG2860" s="259"/>
      <c r="AH2860" s="253"/>
      <c r="AI2860" s="253"/>
      <c r="AJ2860" s="7"/>
      <c r="AK2860" s="253"/>
      <c r="AL2860" s="253"/>
      <c r="AM2860" s="7"/>
      <c r="AN2860" s="253"/>
      <c r="AO2860" s="253"/>
      <c r="AP2860" s="253"/>
      <c r="AQ2860" s="253"/>
      <c r="AR2860" s="253"/>
      <c r="AS2860" s="253"/>
      <c r="AT2860" s="253"/>
      <c r="AU2860" s="253"/>
      <c r="AV2860" s="253"/>
      <c r="AW2860" s="253"/>
      <c r="AX2860" s="253"/>
      <c r="AY2860" s="253"/>
      <c r="AZ2860" s="253"/>
    </row>
    <row r="2861" spans="1:52" ht="15.5" customHeight="1">
      <c r="A2861" s="363"/>
      <c r="B2861" s="343"/>
      <c r="C2861" s="7"/>
      <c r="D2861" s="254"/>
      <c r="E2861" s="254"/>
      <c r="F2861" s="254"/>
      <c r="G2861" s="253"/>
      <c r="H2861" s="253"/>
      <c r="I2861" s="253"/>
      <c r="J2861" s="253"/>
      <c r="K2861" s="253"/>
      <c r="L2861" s="7"/>
      <c r="M2861" s="7"/>
      <c r="N2861" s="253"/>
      <c r="O2861" s="255"/>
      <c r="P2861" s="253"/>
      <c r="Q2861" s="7"/>
      <c r="R2861" s="7"/>
      <c r="S2861" s="7"/>
      <c r="T2861" s="7"/>
      <c r="U2861" s="7"/>
      <c r="V2861" s="253"/>
      <c r="W2861" s="7"/>
      <c r="X2861" s="256"/>
      <c r="Y2861" s="256"/>
      <c r="Z2861" s="256"/>
      <c r="AA2861" s="256"/>
      <c r="AB2861" s="257"/>
      <c r="AC2861" s="258"/>
      <c r="AD2861" s="7"/>
      <c r="AE2861" s="253"/>
      <c r="AF2861" s="253"/>
      <c r="AG2861" s="259"/>
      <c r="AH2861" s="253"/>
      <c r="AI2861" s="253"/>
      <c r="AJ2861" s="7"/>
      <c r="AK2861" s="253"/>
      <c r="AL2861" s="253"/>
      <c r="AM2861" s="7"/>
      <c r="AN2861" s="253"/>
      <c r="AO2861" s="253"/>
      <c r="AP2861" s="253"/>
      <c r="AQ2861" s="253"/>
      <c r="AR2861" s="253"/>
      <c r="AS2861" s="253"/>
      <c r="AT2861" s="253"/>
      <c r="AU2861" s="253"/>
      <c r="AV2861" s="253"/>
      <c r="AW2861" s="253"/>
      <c r="AX2861" s="253"/>
      <c r="AY2861" s="253"/>
      <c r="AZ2861" s="253"/>
    </row>
    <row r="2862" spans="1:52" ht="15.5" customHeight="1">
      <c r="A2862" s="363"/>
      <c r="B2862" s="343"/>
      <c r="C2862" s="7"/>
      <c r="D2862" s="254"/>
      <c r="E2862" s="254"/>
      <c r="F2862" s="254"/>
      <c r="G2862" s="253"/>
      <c r="H2862" s="253"/>
      <c r="I2862" s="253"/>
      <c r="J2862" s="253"/>
      <c r="K2862" s="253"/>
      <c r="L2862" s="7"/>
      <c r="M2862" s="7"/>
      <c r="N2862" s="253"/>
      <c r="O2862" s="255"/>
      <c r="P2862" s="253"/>
      <c r="Q2862" s="7"/>
      <c r="R2862" s="7"/>
      <c r="S2862" s="7"/>
      <c r="T2862" s="7"/>
      <c r="U2862" s="7"/>
      <c r="V2862" s="253"/>
      <c r="W2862" s="7"/>
      <c r="X2862" s="256"/>
      <c r="Y2862" s="256"/>
      <c r="Z2862" s="256"/>
      <c r="AA2862" s="256"/>
      <c r="AB2862" s="257"/>
      <c r="AC2862" s="258"/>
      <c r="AD2862" s="7"/>
      <c r="AE2862" s="253"/>
      <c r="AF2862" s="253"/>
      <c r="AG2862" s="259"/>
      <c r="AH2862" s="253"/>
      <c r="AI2862" s="253"/>
      <c r="AJ2862" s="7"/>
      <c r="AK2862" s="253"/>
      <c r="AL2862" s="253"/>
      <c r="AM2862" s="7"/>
      <c r="AN2862" s="253"/>
      <c r="AO2862" s="253"/>
      <c r="AP2862" s="253"/>
      <c r="AQ2862" s="253"/>
      <c r="AR2862" s="253"/>
      <c r="AS2862" s="253"/>
      <c r="AT2862" s="253"/>
      <c r="AU2862" s="253"/>
      <c r="AV2862" s="253"/>
      <c r="AW2862" s="253"/>
      <c r="AX2862" s="253"/>
      <c r="AY2862" s="253"/>
      <c r="AZ2862" s="253"/>
    </row>
    <row r="2863" spans="1:52" ht="15.5" customHeight="1">
      <c r="A2863" s="363"/>
      <c r="B2863" s="343"/>
      <c r="C2863" s="7"/>
      <c r="D2863" s="254"/>
      <c r="E2863" s="254"/>
      <c r="F2863" s="254"/>
      <c r="G2863" s="253"/>
      <c r="H2863" s="253"/>
      <c r="I2863" s="253"/>
      <c r="J2863" s="253"/>
      <c r="K2863" s="253"/>
      <c r="L2863" s="7"/>
      <c r="M2863" s="7"/>
      <c r="N2863" s="253"/>
      <c r="O2863" s="255"/>
      <c r="P2863" s="253"/>
      <c r="Q2863" s="7"/>
      <c r="R2863" s="7"/>
      <c r="S2863" s="7"/>
      <c r="T2863" s="7"/>
      <c r="U2863" s="7"/>
      <c r="V2863" s="253"/>
      <c r="W2863" s="7"/>
      <c r="X2863" s="256"/>
      <c r="Y2863" s="256"/>
      <c r="Z2863" s="256"/>
      <c r="AA2863" s="256"/>
      <c r="AB2863" s="257"/>
      <c r="AC2863" s="258"/>
      <c r="AD2863" s="7"/>
      <c r="AE2863" s="253"/>
      <c r="AF2863" s="253"/>
      <c r="AG2863" s="259"/>
      <c r="AH2863" s="253"/>
      <c r="AI2863" s="253"/>
      <c r="AJ2863" s="7"/>
      <c r="AK2863" s="253"/>
      <c r="AL2863" s="253"/>
      <c r="AM2863" s="7"/>
      <c r="AN2863" s="253"/>
      <c r="AO2863" s="253"/>
      <c r="AP2863" s="253"/>
      <c r="AQ2863" s="253"/>
      <c r="AR2863" s="253"/>
      <c r="AS2863" s="253"/>
      <c r="AT2863" s="253"/>
      <c r="AU2863" s="253"/>
      <c r="AV2863" s="253"/>
      <c r="AW2863" s="253"/>
      <c r="AX2863" s="253"/>
      <c r="AY2863" s="253"/>
      <c r="AZ2863" s="253"/>
    </row>
    <row r="2864" spans="1:52" ht="15.5" customHeight="1">
      <c r="A2864" s="363"/>
      <c r="B2864" s="343"/>
      <c r="C2864" s="7"/>
      <c r="D2864" s="254"/>
      <c r="E2864" s="254"/>
      <c r="F2864" s="254"/>
      <c r="G2864" s="253"/>
      <c r="H2864" s="253"/>
      <c r="I2864" s="253"/>
      <c r="J2864" s="253"/>
      <c r="K2864" s="253"/>
      <c r="L2864" s="7"/>
      <c r="M2864" s="7"/>
      <c r="N2864" s="253"/>
      <c r="O2864" s="255"/>
      <c r="P2864" s="253"/>
      <c r="Q2864" s="7"/>
      <c r="R2864" s="7"/>
      <c r="S2864" s="7"/>
      <c r="T2864" s="7"/>
      <c r="U2864" s="7"/>
      <c r="V2864" s="253"/>
      <c r="W2864" s="7"/>
      <c r="X2864" s="256"/>
      <c r="Y2864" s="256"/>
      <c r="Z2864" s="256"/>
      <c r="AA2864" s="256"/>
      <c r="AB2864" s="257"/>
      <c r="AC2864" s="258"/>
      <c r="AD2864" s="7"/>
      <c r="AE2864" s="253"/>
      <c r="AF2864" s="253"/>
      <c r="AG2864" s="259"/>
      <c r="AH2864" s="253"/>
      <c r="AI2864" s="253"/>
      <c r="AJ2864" s="7"/>
      <c r="AK2864" s="253"/>
      <c r="AL2864" s="253"/>
      <c r="AM2864" s="7"/>
      <c r="AN2864" s="253"/>
      <c r="AO2864" s="253"/>
      <c r="AP2864" s="253"/>
      <c r="AQ2864" s="253"/>
      <c r="AR2864" s="253"/>
      <c r="AS2864" s="253"/>
      <c r="AT2864" s="253"/>
      <c r="AU2864" s="253"/>
      <c r="AV2864" s="253"/>
      <c r="AW2864" s="253"/>
      <c r="AX2864" s="253"/>
      <c r="AY2864" s="253"/>
      <c r="AZ2864" s="253"/>
    </row>
    <row r="2865" spans="1:52" ht="15.5" customHeight="1">
      <c r="A2865" s="363"/>
      <c r="B2865" s="343"/>
      <c r="C2865" s="7"/>
      <c r="D2865" s="254"/>
      <c r="E2865" s="254"/>
      <c r="F2865" s="254"/>
      <c r="G2865" s="253"/>
      <c r="H2865" s="253"/>
      <c r="I2865" s="253"/>
      <c r="J2865" s="253"/>
      <c r="K2865" s="253"/>
      <c r="L2865" s="7"/>
      <c r="M2865" s="7"/>
      <c r="N2865" s="253"/>
      <c r="O2865" s="255"/>
      <c r="P2865" s="253"/>
      <c r="Q2865" s="7"/>
      <c r="R2865" s="7"/>
      <c r="S2865" s="7"/>
      <c r="T2865" s="7"/>
      <c r="U2865" s="7"/>
      <c r="V2865" s="253"/>
      <c r="W2865" s="7"/>
      <c r="X2865" s="256"/>
      <c r="Y2865" s="256"/>
      <c r="Z2865" s="256"/>
      <c r="AA2865" s="256"/>
      <c r="AB2865" s="257"/>
      <c r="AC2865" s="258"/>
      <c r="AD2865" s="7"/>
      <c r="AE2865" s="253"/>
      <c r="AF2865" s="253"/>
      <c r="AG2865" s="259"/>
      <c r="AH2865" s="253"/>
      <c r="AI2865" s="253"/>
      <c r="AJ2865" s="7"/>
      <c r="AK2865" s="253"/>
      <c r="AL2865" s="253"/>
      <c r="AM2865" s="7"/>
      <c r="AN2865" s="253"/>
      <c r="AO2865" s="253"/>
      <c r="AP2865" s="253"/>
      <c r="AQ2865" s="253"/>
      <c r="AR2865" s="253"/>
      <c r="AS2865" s="253"/>
      <c r="AT2865" s="253"/>
      <c r="AU2865" s="253"/>
      <c r="AV2865" s="253"/>
      <c r="AW2865" s="253"/>
      <c r="AX2865" s="253"/>
      <c r="AY2865" s="253"/>
      <c r="AZ2865" s="253"/>
    </row>
    <row r="2866" spans="1:52" ht="15.5" customHeight="1">
      <c r="A2866" s="363"/>
      <c r="B2866" s="343"/>
      <c r="C2866" s="7"/>
      <c r="D2866" s="254"/>
      <c r="E2866" s="254"/>
      <c r="F2866" s="254"/>
      <c r="G2866" s="253"/>
      <c r="H2866" s="253"/>
      <c r="I2866" s="253"/>
      <c r="J2866" s="253"/>
      <c r="K2866" s="253"/>
      <c r="L2866" s="7"/>
      <c r="M2866" s="7"/>
      <c r="N2866" s="253"/>
      <c r="O2866" s="255"/>
      <c r="P2866" s="253"/>
      <c r="Q2866" s="7"/>
      <c r="R2866" s="7"/>
      <c r="S2866" s="7"/>
      <c r="T2866" s="7"/>
      <c r="U2866" s="7"/>
      <c r="V2866" s="253"/>
      <c r="W2866" s="7"/>
      <c r="X2866" s="256"/>
      <c r="Y2866" s="256"/>
      <c r="Z2866" s="256"/>
      <c r="AA2866" s="256"/>
      <c r="AB2866" s="257"/>
      <c r="AC2866" s="258"/>
      <c r="AD2866" s="7"/>
      <c r="AE2866" s="253"/>
      <c r="AF2866" s="253"/>
      <c r="AG2866" s="259"/>
      <c r="AH2866" s="253"/>
      <c r="AI2866" s="253"/>
      <c r="AJ2866" s="7"/>
      <c r="AK2866" s="253"/>
      <c r="AL2866" s="253"/>
      <c r="AM2866" s="7"/>
      <c r="AN2866" s="253"/>
      <c r="AO2866" s="253"/>
      <c r="AP2866" s="253"/>
      <c r="AQ2866" s="253"/>
      <c r="AR2866" s="253"/>
      <c r="AS2866" s="253"/>
      <c r="AT2866" s="253"/>
      <c r="AU2866" s="253"/>
      <c r="AV2866" s="253"/>
      <c r="AW2866" s="253"/>
      <c r="AX2866" s="253"/>
      <c r="AY2866" s="253"/>
      <c r="AZ2866" s="253"/>
    </row>
    <row r="2867" spans="1:52" ht="15.5" customHeight="1">
      <c r="A2867" s="363"/>
      <c r="B2867" s="343"/>
      <c r="C2867" s="7"/>
      <c r="D2867" s="254"/>
      <c r="E2867" s="254"/>
      <c r="F2867" s="254"/>
      <c r="G2867" s="253"/>
      <c r="H2867" s="253"/>
      <c r="I2867" s="253"/>
      <c r="J2867" s="253"/>
      <c r="K2867" s="253"/>
      <c r="L2867" s="7"/>
      <c r="M2867" s="7"/>
      <c r="N2867" s="253"/>
      <c r="O2867" s="255"/>
      <c r="P2867" s="253"/>
      <c r="Q2867" s="7"/>
      <c r="R2867" s="7"/>
      <c r="S2867" s="7"/>
      <c r="T2867" s="7"/>
      <c r="U2867" s="7"/>
      <c r="V2867" s="253"/>
      <c r="W2867" s="7"/>
      <c r="X2867" s="256"/>
      <c r="Y2867" s="256"/>
      <c r="Z2867" s="256"/>
      <c r="AA2867" s="256"/>
      <c r="AB2867" s="257"/>
      <c r="AC2867" s="258"/>
      <c r="AD2867" s="7"/>
      <c r="AE2867" s="253"/>
      <c r="AF2867" s="253"/>
      <c r="AG2867" s="259"/>
      <c r="AH2867" s="253"/>
      <c r="AI2867" s="253"/>
      <c r="AJ2867" s="7"/>
      <c r="AK2867" s="253"/>
      <c r="AL2867" s="253"/>
      <c r="AM2867" s="7"/>
      <c r="AN2867" s="253"/>
      <c r="AO2867" s="253"/>
      <c r="AP2867" s="253"/>
      <c r="AQ2867" s="253"/>
      <c r="AR2867" s="253"/>
      <c r="AS2867" s="253"/>
      <c r="AT2867" s="253"/>
      <c r="AU2867" s="253"/>
      <c r="AV2867" s="253"/>
      <c r="AW2867" s="253"/>
      <c r="AX2867" s="253"/>
      <c r="AY2867" s="253"/>
      <c r="AZ2867" s="253"/>
    </row>
    <row r="2868" spans="1:52" ht="15.5" customHeight="1">
      <c r="A2868" s="363"/>
      <c r="B2868" s="343"/>
      <c r="C2868" s="7"/>
      <c r="D2868" s="254"/>
      <c r="E2868" s="254"/>
      <c r="F2868" s="254"/>
      <c r="G2868" s="253"/>
      <c r="H2868" s="253"/>
      <c r="I2868" s="253"/>
      <c r="J2868" s="253"/>
      <c r="K2868" s="253"/>
      <c r="L2868" s="7"/>
      <c r="M2868" s="7"/>
      <c r="N2868" s="253"/>
      <c r="O2868" s="255"/>
      <c r="P2868" s="253"/>
      <c r="Q2868" s="7"/>
      <c r="R2868" s="7"/>
      <c r="S2868" s="7"/>
      <c r="T2868" s="7"/>
      <c r="U2868" s="7"/>
      <c r="V2868" s="253"/>
      <c r="W2868" s="7"/>
      <c r="X2868" s="256"/>
      <c r="Y2868" s="256"/>
      <c r="Z2868" s="256"/>
      <c r="AA2868" s="256"/>
      <c r="AB2868" s="257"/>
      <c r="AC2868" s="258"/>
      <c r="AD2868" s="7"/>
      <c r="AE2868" s="253"/>
      <c r="AF2868" s="253"/>
      <c r="AG2868" s="259"/>
      <c r="AH2868" s="253"/>
      <c r="AI2868" s="253"/>
      <c r="AJ2868" s="7"/>
      <c r="AK2868" s="253"/>
      <c r="AL2868" s="253"/>
      <c r="AM2868" s="7"/>
      <c r="AN2868" s="253"/>
      <c r="AO2868" s="253"/>
      <c r="AP2868" s="253"/>
      <c r="AQ2868" s="253"/>
      <c r="AR2868" s="253"/>
      <c r="AS2868" s="253"/>
      <c r="AT2868" s="253"/>
      <c r="AU2868" s="253"/>
      <c r="AV2868" s="253"/>
      <c r="AW2868" s="253"/>
      <c r="AX2868" s="253"/>
      <c r="AY2868" s="253"/>
      <c r="AZ2868" s="253"/>
    </row>
    <row r="2869" spans="1:52" ht="15.5" customHeight="1">
      <c r="A2869" s="363"/>
      <c r="B2869" s="343"/>
      <c r="C2869" s="7"/>
      <c r="D2869" s="254"/>
      <c r="E2869" s="254"/>
      <c r="F2869" s="254"/>
      <c r="G2869" s="253"/>
      <c r="H2869" s="253"/>
      <c r="I2869" s="253"/>
      <c r="J2869" s="253"/>
      <c r="K2869" s="253"/>
      <c r="L2869" s="7"/>
      <c r="M2869" s="7"/>
      <c r="N2869" s="253"/>
      <c r="O2869" s="255"/>
      <c r="P2869" s="253"/>
      <c r="Q2869" s="7"/>
      <c r="R2869" s="7"/>
      <c r="S2869" s="7"/>
      <c r="T2869" s="7"/>
      <c r="U2869" s="7"/>
      <c r="V2869" s="253"/>
      <c r="W2869" s="7"/>
      <c r="X2869" s="256"/>
      <c r="Y2869" s="256"/>
      <c r="Z2869" s="256"/>
      <c r="AA2869" s="256"/>
      <c r="AB2869" s="257"/>
      <c r="AC2869" s="258"/>
      <c r="AD2869" s="7"/>
      <c r="AE2869" s="253"/>
      <c r="AF2869" s="253"/>
      <c r="AG2869" s="259"/>
      <c r="AH2869" s="253"/>
      <c r="AI2869" s="253"/>
      <c r="AJ2869" s="7"/>
      <c r="AK2869" s="253"/>
      <c r="AL2869" s="253"/>
      <c r="AM2869" s="7"/>
      <c r="AN2869" s="253"/>
      <c r="AO2869" s="253"/>
      <c r="AP2869" s="253"/>
      <c r="AQ2869" s="253"/>
      <c r="AR2869" s="253"/>
      <c r="AS2869" s="253"/>
      <c r="AT2869" s="253"/>
      <c r="AU2869" s="253"/>
      <c r="AV2869" s="253"/>
      <c r="AW2869" s="253"/>
      <c r="AX2869" s="253"/>
      <c r="AY2869" s="253"/>
      <c r="AZ2869" s="253"/>
    </row>
    <row r="2870" spans="1:52" ht="15.5" customHeight="1">
      <c r="A2870" s="363"/>
      <c r="B2870" s="343"/>
      <c r="C2870" s="7"/>
      <c r="D2870" s="254"/>
      <c r="E2870" s="254"/>
      <c r="F2870" s="254"/>
      <c r="G2870" s="253"/>
      <c r="H2870" s="253"/>
      <c r="I2870" s="253"/>
      <c r="J2870" s="253"/>
      <c r="K2870" s="253"/>
      <c r="L2870" s="7"/>
      <c r="M2870" s="7"/>
      <c r="N2870" s="253"/>
      <c r="O2870" s="255"/>
      <c r="P2870" s="253"/>
      <c r="Q2870" s="7"/>
      <c r="R2870" s="7"/>
      <c r="S2870" s="7"/>
      <c r="T2870" s="7"/>
      <c r="U2870" s="7"/>
      <c r="V2870" s="253"/>
      <c r="W2870" s="7"/>
      <c r="X2870" s="256"/>
      <c r="Y2870" s="256"/>
      <c r="Z2870" s="256"/>
      <c r="AA2870" s="256"/>
      <c r="AB2870" s="257"/>
      <c r="AC2870" s="258"/>
      <c r="AD2870" s="7"/>
      <c r="AE2870" s="253"/>
      <c r="AF2870" s="253"/>
      <c r="AG2870" s="259"/>
      <c r="AH2870" s="253"/>
      <c r="AI2870" s="253"/>
      <c r="AJ2870" s="7"/>
      <c r="AK2870" s="253"/>
      <c r="AL2870" s="253"/>
      <c r="AM2870" s="7"/>
      <c r="AN2870" s="253"/>
      <c r="AO2870" s="253"/>
      <c r="AP2870" s="253"/>
      <c r="AQ2870" s="253"/>
      <c r="AR2870" s="253"/>
      <c r="AS2870" s="253"/>
      <c r="AT2870" s="253"/>
      <c r="AU2870" s="253"/>
      <c r="AV2870" s="253"/>
      <c r="AW2870" s="253"/>
      <c r="AX2870" s="253"/>
      <c r="AY2870" s="253"/>
      <c r="AZ2870" s="253"/>
    </row>
    <row r="2871" spans="1:52" ht="15.5" customHeight="1">
      <c r="A2871" s="363"/>
      <c r="B2871" s="343"/>
      <c r="C2871" s="7"/>
      <c r="D2871" s="254"/>
      <c r="E2871" s="254"/>
      <c r="F2871" s="254"/>
      <c r="G2871" s="253"/>
      <c r="H2871" s="253"/>
      <c r="I2871" s="253"/>
      <c r="J2871" s="253"/>
      <c r="K2871" s="253"/>
      <c r="L2871" s="7"/>
      <c r="M2871" s="7"/>
      <c r="N2871" s="253"/>
      <c r="O2871" s="255"/>
      <c r="P2871" s="253"/>
      <c r="Q2871" s="7"/>
      <c r="R2871" s="7"/>
      <c r="S2871" s="7"/>
      <c r="T2871" s="7"/>
      <c r="U2871" s="7"/>
      <c r="V2871" s="253"/>
      <c r="W2871" s="7"/>
      <c r="X2871" s="256"/>
      <c r="Y2871" s="256"/>
      <c r="Z2871" s="256"/>
      <c r="AA2871" s="256"/>
      <c r="AB2871" s="257"/>
      <c r="AC2871" s="258"/>
      <c r="AD2871" s="7"/>
      <c r="AE2871" s="253"/>
      <c r="AF2871" s="253"/>
      <c r="AG2871" s="259"/>
      <c r="AH2871" s="253"/>
      <c r="AI2871" s="253"/>
      <c r="AJ2871" s="7"/>
      <c r="AK2871" s="253"/>
      <c r="AL2871" s="253"/>
      <c r="AM2871" s="7"/>
      <c r="AN2871" s="253"/>
      <c r="AO2871" s="253"/>
      <c r="AP2871" s="253"/>
      <c r="AQ2871" s="253"/>
      <c r="AR2871" s="253"/>
      <c r="AS2871" s="253"/>
      <c r="AT2871" s="253"/>
      <c r="AU2871" s="253"/>
      <c r="AV2871" s="253"/>
      <c r="AW2871" s="253"/>
      <c r="AX2871" s="253"/>
      <c r="AY2871" s="253"/>
      <c r="AZ2871" s="253"/>
    </row>
    <row r="2872" spans="1:52" ht="15.5" customHeight="1">
      <c r="A2872" s="363"/>
      <c r="B2872" s="343"/>
      <c r="C2872" s="7"/>
      <c r="D2872" s="254"/>
      <c r="E2872" s="254"/>
      <c r="F2872" s="254"/>
      <c r="G2872" s="253"/>
      <c r="H2872" s="253"/>
      <c r="I2872" s="253"/>
      <c r="J2872" s="253"/>
      <c r="K2872" s="253"/>
      <c r="L2872" s="7"/>
      <c r="M2872" s="7"/>
      <c r="N2872" s="253"/>
      <c r="O2872" s="255"/>
      <c r="P2872" s="253"/>
      <c r="Q2872" s="7"/>
      <c r="R2872" s="7"/>
      <c r="S2872" s="7"/>
      <c r="T2872" s="7"/>
      <c r="U2872" s="7"/>
      <c r="V2872" s="253"/>
      <c r="W2872" s="7"/>
      <c r="X2872" s="256"/>
      <c r="Y2872" s="256"/>
      <c r="Z2872" s="256"/>
      <c r="AA2872" s="256"/>
      <c r="AB2872" s="257"/>
      <c r="AC2872" s="258"/>
      <c r="AD2872" s="7"/>
      <c r="AE2872" s="253"/>
      <c r="AF2872" s="253"/>
      <c r="AG2872" s="259"/>
      <c r="AH2872" s="253"/>
      <c r="AI2872" s="253"/>
      <c r="AJ2872" s="7"/>
      <c r="AK2872" s="253"/>
      <c r="AL2872" s="253"/>
      <c r="AM2872" s="7"/>
      <c r="AN2872" s="253"/>
      <c r="AO2872" s="253"/>
      <c r="AP2872" s="253"/>
      <c r="AQ2872" s="253"/>
      <c r="AR2872" s="253"/>
      <c r="AS2872" s="253"/>
      <c r="AT2872" s="253"/>
      <c r="AU2872" s="253"/>
      <c r="AV2872" s="253"/>
      <c r="AW2872" s="253"/>
      <c r="AX2872" s="253"/>
      <c r="AY2872" s="253"/>
      <c r="AZ2872" s="253"/>
    </row>
    <row r="2873" spans="1:52" ht="15.5" customHeight="1">
      <c r="A2873" s="363"/>
      <c r="B2873" s="343"/>
      <c r="C2873" s="7"/>
      <c r="D2873" s="254"/>
      <c r="E2873" s="254"/>
      <c r="F2873" s="254"/>
      <c r="G2873" s="253"/>
      <c r="H2873" s="253"/>
      <c r="I2873" s="253"/>
      <c r="J2873" s="253"/>
      <c r="K2873" s="253"/>
      <c r="L2873" s="7"/>
      <c r="M2873" s="7"/>
      <c r="N2873" s="253"/>
      <c r="O2873" s="255"/>
      <c r="P2873" s="253"/>
      <c r="Q2873" s="7"/>
      <c r="R2873" s="7"/>
      <c r="S2873" s="7"/>
      <c r="T2873" s="7"/>
      <c r="U2873" s="7"/>
      <c r="V2873" s="253"/>
      <c r="W2873" s="7"/>
      <c r="X2873" s="256"/>
      <c r="Y2873" s="256"/>
      <c r="Z2873" s="256"/>
      <c r="AA2873" s="256"/>
      <c r="AB2873" s="257"/>
      <c r="AC2873" s="258"/>
      <c r="AD2873" s="7"/>
      <c r="AE2873" s="253"/>
      <c r="AF2873" s="253"/>
      <c r="AG2873" s="259"/>
      <c r="AH2873" s="253"/>
      <c r="AI2873" s="253"/>
      <c r="AJ2873" s="7"/>
      <c r="AK2873" s="253"/>
      <c r="AL2873" s="253"/>
      <c r="AM2873" s="7"/>
      <c r="AN2873" s="253"/>
      <c r="AO2873" s="253"/>
      <c r="AP2873" s="253"/>
      <c r="AQ2873" s="253"/>
      <c r="AR2873" s="253"/>
      <c r="AS2873" s="253"/>
      <c r="AT2873" s="253"/>
      <c r="AU2873" s="253"/>
      <c r="AV2873" s="253"/>
      <c r="AW2873" s="253"/>
      <c r="AX2873" s="253"/>
      <c r="AY2873" s="253"/>
      <c r="AZ2873" s="253"/>
    </row>
    <row r="2874" spans="1:52" ht="15.5" customHeight="1">
      <c r="A2874" s="363"/>
      <c r="B2874" s="343"/>
      <c r="C2874" s="7"/>
      <c r="D2874" s="254"/>
      <c r="E2874" s="254"/>
      <c r="F2874" s="254"/>
      <c r="G2874" s="253"/>
      <c r="H2874" s="253"/>
      <c r="I2874" s="253"/>
      <c r="J2874" s="253"/>
      <c r="K2874" s="253"/>
      <c r="L2874" s="7"/>
      <c r="M2874" s="7"/>
      <c r="N2874" s="253"/>
      <c r="O2874" s="255"/>
      <c r="P2874" s="253"/>
      <c r="Q2874" s="7"/>
      <c r="R2874" s="7"/>
      <c r="S2874" s="7"/>
      <c r="T2874" s="7"/>
      <c r="U2874" s="7"/>
      <c r="V2874" s="253"/>
      <c r="W2874" s="7"/>
      <c r="X2874" s="256"/>
      <c r="Y2874" s="256"/>
      <c r="Z2874" s="256"/>
      <c r="AA2874" s="256"/>
      <c r="AB2874" s="257"/>
      <c r="AC2874" s="258"/>
      <c r="AD2874" s="7"/>
      <c r="AE2874" s="253"/>
      <c r="AF2874" s="253"/>
      <c r="AG2874" s="259"/>
      <c r="AH2874" s="253"/>
      <c r="AI2874" s="253"/>
      <c r="AJ2874" s="7"/>
      <c r="AK2874" s="253"/>
      <c r="AL2874" s="253"/>
      <c r="AM2874" s="7"/>
      <c r="AN2874" s="253"/>
      <c r="AO2874" s="253"/>
      <c r="AP2874" s="253"/>
      <c r="AQ2874" s="253"/>
      <c r="AR2874" s="253"/>
      <c r="AS2874" s="253"/>
      <c r="AT2874" s="253"/>
      <c r="AU2874" s="253"/>
      <c r="AV2874" s="253"/>
      <c r="AW2874" s="253"/>
      <c r="AX2874" s="253"/>
      <c r="AY2874" s="253"/>
      <c r="AZ2874" s="253"/>
    </row>
    <row r="2875" spans="1:52" ht="15.5" customHeight="1">
      <c r="A2875" s="363"/>
      <c r="B2875" s="343"/>
      <c r="C2875" s="7"/>
      <c r="D2875" s="254"/>
      <c r="E2875" s="254"/>
      <c r="F2875" s="254"/>
      <c r="G2875" s="253"/>
      <c r="H2875" s="253"/>
      <c r="I2875" s="253"/>
      <c r="J2875" s="253"/>
      <c r="K2875" s="253"/>
      <c r="L2875" s="7"/>
      <c r="M2875" s="7"/>
      <c r="N2875" s="253"/>
      <c r="O2875" s="255"/>
      <c r="P2875" s="253"/>
      <c r="Q2875" s="7"/>
      <c r="R2875" s="7"/>
      <c r="S2875" s="7"/>
      <c r="T2875" s="7"/>
      <c r="U2875" s="7"/>
      <c r="V2875" s="253"/>
      <c r="W2875" s="7"/>
      <c r="X2875" s="256"/>
      <c r="Y2875" s="256"/>
      <c r="Z2875" s="256"/>
      <c r="AA2875" s="256"/>
      <c r="AB2875" s="257"/>
      <c r="AC2875" s="258"/>
      <c r="AD2875" s="7"/>
      <c r="AE2875" s="253"/>
      <c r="AF2875" s="253"/>
      <c r="AG2875" s="259"/>
      <c r="AH2875" s="253"/>
      <c r="AI2875" s="253"/>
      <c r="AJ2875" s="7"/>
      <c r="AK2875" s="253"/>
      <c r="AL2875" s="253"/>
      <c r="AM2875" s="7"/>
      <c r="AN2875" s="253"/>
      <c r="AO2875" s="253"/>
      <c r="AP2875" s="253"/>
      <c r="AQ2875" s="253"/>
      <c r="AR2875" s="253"/>
      <c r="AS2875" s="253"/>
      <c r="AT2875" s="253"/>
      <c r="AU2875" s="253"/>
      <c r="AV2875" s="253"/>
      <c r="AW2875" s="253"/>
      <c r="AX2875" s="253"/>
      <c r="AY2875" s="253"/>
      <c r="AZ2875" s="253"/>
    </row>
    <row r="2876" spans="1:52" ht="15.5" customHeight="1">
      <c r="A2876" s="363"/>
      <c r="B2876" s="343"/>
      <c r="C2876" s="7"/>
      <c r="D2876" s="254"/>
      <c r="E2876" s="254"/>
      <c r="F2876" s="254"/>
      <c r="G2876" s="253"/>
      <c r="H2876" s="253"/>
      <c r="I2876" s="253"/>
      <c r="J2876" s="253"/>
      <c r="K2876" s="253"/>
      <c r="L2876" s="7"/>
      <c r="M2876" s="7"/>
      <c r="N2876" s="253"/>
      <c r="O2876" s="255"/>
      <c r="P2876" s="253"/>
      <c r="Q2876" s="7"/>
      <c r="R2876" s="7"/>
      <c r="S2876" s="7"/>
      <c r="T2876" s="7"/>
      <c r="U2876" s="7"/>
      <c r="V2876" s="253"/>
      <c r="W2876" s="7"/>
      <c r="X2876" s="256"/>
      <c r="Y2876" s="256"/>
      <c r="Z2876" s="256"/>
      <c r="AA2876" s="256"/>
      <c r="AB2876" s="257"/>
      <c r="AC2876" s="258"/>
      <c r="AD2876" s="7"/>
      <c r="AE2876" s="253"/>
      <c r="AF2876" s="253"/>
      <c r="AG2876" s="259"/>
      <c r="AH2876" s="253"/>
      <c r="AI2876" s="253"/>
      <c r="AJ2876" s="7"/>
      <c r="AK2876" s="253"/>
      <c r="AL2876" s="253"/>
      <c r="AM2876" s="7"/>
      <c r="AN2876" s="253"/>
      <c r="AO2876" s="253"/>
      <c r="AP2876" s="253"/>
      <c r="AQ2876" s="253"/>
      <c r="AR2876" s="253"/>
      <c r="AS2876" s="253"/>
      <c r="AT2876" s="253"/>
      <c r="AU2876" s="253"/>
      <c r="AV2876" s="253"/>
      <c r="AW2876" s="253"/>
      <c r="AX2876" s="253"/>
      <c r="AY2876" s="253"/>
      <c r="AZ2876" s="253"/>
    </row>
    <row r="2877" spans="1:52" ht="15.5" customHeight="1">
      <c r="A2877" s="363"/>
      <c r="B2877" s="343"/>
      <c r="C2877" s="7"/>
      <c r="D2877" s="254"/>
      <c r="E2877" s="254"/>
      <c r="F2877" s="254"/>
      <c r="G2877" s="253"/>
      <c r="H2877" s="253"/>
      <c r="I2877" s="253"/>
      <c r="J2877" s="253"/>
      <c r="K2877" s="253"/>
      <c r="L2877" s="7"/>
      <c r="M2877" s="7"/>
      <c r="N2877" s="253"/>
      <c r="O2877" s="255"/>
      <c r="P2877" s="253"/>
      <c r="Q2877" s="7"/>
      <c r="R2877" s="7"/>
      <c r="S2877" s="7"/>
      <c r="T2877" s="7"/>
      <c r="U2877" s="7"/>
      <c r="V2877" s="253"/>
      <c r="W2877" s="7"/>
      <c r="X2877" s="256"/>
      <c r="Y2877" s="256"/>
      <c r="Z2877" s="256"/>
      <c r="AA2877" s="256"/>
      <c r="AB2877" s="257"/>
      <c r="AC2877" s="258"/>
      <c r="AD2877" s="7"/>
      <c r="AE2877" s="253"/>
      <c r="AF2877" s="253"/>
      <c r="AG2877" s="259"/>
      <c r="AH2877" s="253"/>
      <c r="AI2877" s="253"/>
      <c r="AJ2877" s="7"/>
      <c r="AK2877" s="253"/>
      <c r="AL2877" s="253"/>
      <c r="AM2877" s="7"/>
      <c r="AN2877" s="253"/>
      <c r="AO2877" s="253"/>
      <c r="AP2877" s="253"/>
      <c r="AQ2877" s="253"/>
      <c r="AR2877" s="253"/>
      <c r="AS2877" s="253"/>
      <c r="AT2877" s="253"/>
      <c r="AU2877" s="253"/>
      <c r="AV2877" s="253"/>
      <c r="AW2877" s="253"/>
      <c r="AX2877" s="253"/>
      <c r="AY2877" s="253"/>
      <c r="AZ2877" s="253"/>
    </row>
    <row r="2878" spans="1:52" ht="15.5" customHeight="1">
      <c r="A2878" s="363"/>
      <c r="B2878" s="343"/>
      <c r="C2878" s="7"/>
      <c r="D2878" s="254"/>
      <c r="E2878" s="254"/>
      <c r="F2878" s="254"/>
      <c r="G2878" s="253"/>
      <c r="H2878" s="253"/>
      <c r="I2878" s="253"/>
      <c r="J2878" s="253"/>
      <c r="K2878" s="253"/>
      <c r="L2878" s="7"/>
      <c r="M2878" s="7"/>
      <c r="N2878" s="253"/>
      <c r="O2878" s="255"/>
      <c r="P2878" s="253"/>
      <c r="Q2878" s="7"/>
      <c r="R2878" s="7"/>
      <c r="S2878" s="7"/>
      <c r="T2878" s="7"/>
      <c r="U2878" s="7"/>
      <c r="V2878" s="253"/>
      <c r="W2878" s="7"/>
      <c r="X2878" s="256"/>
      <c r="Y2878" s="256"/>
      <c r="Z2878" s="256"/>
      <c r="AA2878" s="256"/>
      <c r="AB2878" s="257"/>
      <c r="AC2878" s="258"/>
      <c r="AD2878" s="7"/>
      <c r="AE2878" s="253"/>
      <c r="AF2878" s="253"/>
      <c r="AG2878" s="259"/>
      <c r="AH2878" s="253"/>
      <c r="AI2878" s="253"/>
      <c r="AJ2878" s="7"/>
      <c r="AK2878" s="253"/>
      <c r="AL2878" s="253"/>
      <c r="AM2878" s="7"/>
      <c r="AN2878" s="253"/>
      <c r="AO2878" s="253"/>
      <c r="AP2878" s="253"/>
      <c r="AQ2878" s="253"/>
      <c r="AR2878" s="253"/>
      <c r="AS2878" s="253"/>
      <c r="AT2878" s="253"/>
      <c r="AU2878" s="253"/>
      <c r="AV2878" s="253"/>
      <c r="AW2878" s="253"/>
      <c r="AX2878" s="253"/>
      <c r="AY2878" s="253"/>
      <c r="AZ2878" s="253"/>
    </row>
    <row r="2879" spans="1:52" ht="15.5" customHeight="1">
      <c r="A2879" s="363"/>
      <c r="B2879" s="343"/>
      <c r="C2879" s="7"/>
      <c r="D2879" s="254"/>
      <c r="E2879" s="254"/>
      <c r="F2879" s="254"/>
      <c r="G2879" s="253"/>
      <c r="H2879" s="253"/>
      <c r="I2879" s="253"/>
      <c r="J2879" s="253"/>
      <c r="K2879" s="253"/>
      <c r="L2879" s="7"/>
      <c r="M2879" s="7"/>
      <c r="N2879" s="253"/>
      <c r="O2879" s="255"/>
      <c r="P2879" s="253"/>
      <c r="Q2879" s="7"/>
      <c r="R2879" s="7"/>
      <c r="S2879" s="7"/>
      <c r="T2879" s="7"/>
      <c r="U2879" s="7"/>
      <c r="V2879" s="253"/>
      <c r="W2879" s="7"/>
      <c r="X2879" s="256"/>
      <c r="Y2879" s="256"/>
      <c r="Z2879" s="256"/>
      <c r="AA2879" s="256"/>
      <c r="AB2879" s="257"/>
      <c r="AC2879" s="258"/>
      <c r="AD2879" s="7"/>
      <c r="AE2879" s="253"/>
      <c r="AF2879" s="253"/>
      <c r="AG2879" s="259"/>
      <c r="AH2879" s="253"/>
      <c r="AI2879" s="253"/>
      <c r="AJ2879" s="7"/>
      <c r="AK2879" s="253"/>
      <c r="AL2879" s="253"/>
      <c r="AM2879" s="7"/>
      <c r="AN2879" s="253"/>
      <c r="AO2879" s="253"/>
      <c r="AP2879" s="253"/>
      <c r="AQ2879" s="253"/>
      <c r="AR2879" s="253"/>
      <c r="AS2879" s="253"/>
      <c r="AT2879" s="253"/>
      <c r="AU2879" s="253"/>
      <c r="AV2879" s="253"/>
      <c r="AW2879" s="253"/>
      <c r="AX2879" s="253"/>
      <c r="AY2879" s="253"/>
      <c r="AZ2879" s="253"/>
    </row>
    <row r="2880" spans="1:52" ht="15.5" customHeight="1">
      <c r="A2880" s="363"/>
      <c r="B2880" s="343"/>
      <c r="C2880" s="7"/>
      <c r="D2880" s="254"/>
      <c r="E2880" s="254"/>
      <c r="F2880" s="254"/>
      <c r="G2880" s="253"/>
      <c r="H2880" s="253"/>
      <c r="I2880" s="253"/>
      <c r="J2880" s="253"/>
      <c r="K2880" s="253"/>
      <c r="L2880" s="7"/>
      <c r="M2880" s="7"/>
      <c r="N2880" s="253"/>
      <c r="O2880" s="255"/>
      <c r="P2880" s="253"/>
      <c r="Q2880" s="7"/>
      <c r="R2880" s="7"/>
      <c r="S2880" s="7"/>
      <c r="T2880" s="7"/>
      <c r="U2880" s="7"/>
      <c r="V2880" s="253"/>
      <c r="W2880" s="7"/>
      <c r="X2880" s="256"/>
      <c r="Y2880" s="256"/>
      <c r="Z2880" s="256"/>
      <c r="AA2880" s="256"/>
      <c r="AB2880" s="257"/>
      <c r="AC2880" s="258"/>
      <c r="AD2880" s="7"/>
      <c r="AE2880" s="253"/>
      <c r="AF2880" s="253"/>
      <c r="AG2880" s="259"/>
      <c r="AH2880" s="253"/>
      <c r="AI2880" s="253"/>
      <c r="AJ2880" s="7"/>
      <c r="AK2880" s="253"/>
      <c r="AL2880" s="253"/>
      <c r="AM2880" s="7"/>
      <c r="AN2880" s="253"/>
      <c r="AO2880" s="253"/>
      <c r="AP2880" s="253"/>
      <c r="AQ2880" s="253"/>
      <c r="AR2880" s="253"/>
      <c r="AS2880" s="253"/>
      <c r="AT2880" s="253"/>
      <c r="AU2880" s="253"/>
      <c r="AV2880" s="253"/>
      <c r="AW2880" s="253"/>
      <c r="AX2880" s="253"/>
      <c r="AY2880" s="253"/>
      <c r="AZ2880" s="253"/>
    </row>
    <row r="2881" spans="1:52" ht="15.5" customHeight="1">
      <c r="A2881" s="363"/>
      <c r="B2881" s="343"/>
      <c r="C2881" s="7"/>
      <c r="D2881" s="254"/>
      <c r="E2881" s="254"/>
      <c r="F2881" s="254"/>
      <c r="G2881" s="253"/>
      <c r="H2881" s="253"/>
      <c r="I2881" s="253"/>
      <c r="J2881" s="253"/>
      <c r="K2881" s="253"/>
      <c r="L2881" s="7"/>
      <c r="M2881" s="7"/>
      <c r="N2881" s="253"/>
      <c r="O2881" s="255"/>
      <c r="P2881" s="253"/>
      <c r="Q2881" s="7"/>
      <c r="R2881" s="7"/>
      <c r="S2881" s="7"/>
      <c r="T2881" s="7"/>
      <c r="U2881" s="7"/>
      <c r="V2881" s="253"/>
      <c r="W2881" s="7"/>
      <c r="X2881" s="256"/>
      <c r="Y2881" s="256"/>
      <c r="Z2881" s="256"/>
      <c r="AA2881" s="256"/>
      <c r="AB2881" s="257"/>
      <c r="AC2881" s="258"/>
      <c r="AD2881" s="7"/>
      <c r="AE2881" s="253"/>
      <c r="AF2881" s="253"/>
      <c r="AG2881" s="259"/>
      <c r="AH2881" s="253"/>
      <c r="AI2881" s="253"/>
      <c r="AJ2881" s="7"/>
      <c r="AK2881" s="253"/>
      <c r="AL2881" s="253"/>
      <c r="AM2881" s="7"/>
      <c r="AN2881" s="253"/>
      <c r="AO2881" s="253"/>
      <c r="AP2881" s="253"/>
      <c r="AQ2881" s="253"/>
      <c r="AR2881" s="253"/>
      <c r="AS2881" s="253"/>
      <c r="AT2881" s="253"/>
      <c r="AU2881" s="253"/>
      <c r="AV2881" s="253"/>
      <c r="AW2881" s="253"/>
      <c r="AX2881" s="253"/>
      <c r="AY2881" s="253"/>
      <c r="AZ2881" s="253"/>
    </row>
    <row r="2882" spans="1:52" ht="15.5" customHeight="1">
      <c r="A2882" s="363"/>
      <c r="B2882" s="343"/>
      <c r="C2882" s="7"/>
      <c r="D2882" s="254"/>
      <c r="E2882" s="254"/>
      <c r="F2882" s="254"/>
      <c r="G2882" s="253"/>
      <c r="H2882" s="253"/>
      <c r="I2882" s="253"/>
      <c r="J2882" s="253"/>
      <c r="K2882" s="253"/>
      <c r="L2882" s="7"/>
      <c r="M2882" s="7"/>
      <c r="N2882" s="253"/>
      <c r="O2882" s="255"/>
      <c r="P2882" s="253"/>
      <c r="Q2882" s="7"/>
      <c r="R2882" s="7"/>
      <c r="S2882" s="7"/>
      <c r="T2882" s="7"/>
      <c r="U2882" s="7"/>
      <c r="V2882" s="253"/>
      <c r="W2882" s="7"/>
      <c r="X2882" s="256"/>
      <c r="Y2882" s="256"/>
      <c r="Z2882" s="256"/>
      <c r="AA2882" s="256"/>
      <c r="AB2882" s="257"/>
      <c r="AC2882" s="258"/>
      <c r="AD2882" s="7"/>
      <c r="AE2882" s="253"/>
      <c r="AF2882" s="253"/>
      <c r="AG2882" s="259"/>
      <c r="AH2882" s="253"/>
      <c r="AI2882" s="253"/>
      <c r="AJ2882" s="7"/>
      <c r="AK2882" s="253"/>
      <c r="AL2882" s="253"/>
      <c r="AM2882" s="7"/>
      <c r="AN2882" s="253"/>
      <c r="AO2882" s="253"/>
      <c r="AP2882" s="253"/>
      <c r="AQ2882" s="253"/>
      <c r="AR2882" s="253"/>
      <c r="AS2882" s="253"/>
      <c r="AT2882" s="253"/>
      <c r="AU2882" s="253"/>
      <c r="AV2882" s="253"/>
      <c r="AW2882" s="253"/>
      <c r="AX2882" s="253"/>
      <c r="AY2882" s="253"/>
      <c r="AZ2882" s="253"/>
    </row>
    <row r="2883" spans="1:52" ht="15.5" customHeight="1">
      <c r="A2883" s="363"/>
      <c r="B2883" s="343"/>
      <c r="C2883" s="7"/>
      <c r="D2883" s="254"/>
      <c r="E2883" s="254"/>
      <c r="F2883" s="254"/>
      <c r="G2883" s="253"/>
      <c r="H2883" s="253"/>
      <c r="I2883" s="253"/>
      <c r="J2883" s="253"/>
      <c r="K2883" s="253"/>
      <c r="L2883" s="7"/>
      <c r="M2883" s="7"/>
      <c r="N2883" s="253"/>
      <c r="O2883" s="255"/>
      <c r="P2883" s="253"/>
      <c r="Q2883" s="7"/>
      <c r="R2883" s="7"/>
      <c r="S2883" s="7"/>
      <c r="T2883" s="7"/>
      <c r="U2883" s="7"/>
      <c r="V2883" s="253"/>
      <c r="W2883" s="7"/>
      <c r="X2883" s="256"/>
      <c r="Y2883" s="256"/>
      <c r="Z2883" s="256"/>
      <c r="AA2883" s="256"/>
      <c r="AB2883" s="257"/>
      <c r="AC2883" s="258"/>
      <c r="AD2883" s="7"/>
      <c r="AE2883" s="253"/>
      <c r="AF2883" s="253"/>
      <c r="AG2883" s="259"/>
      <c r="AH2883" s="253"/>
      <c r="AI2883" s="253"/>
      <c r="AJ2883" s="7"/>
      <c r="AK2883" s="253"/>
      <c r="AL2883" s="253"/>
      <c r="AM2883" s="7"/>
      <c r="AN2883" s="253"/>
      <c r="AO2883" s="253"/>
      <c r="AP2883" s="253"/>
      <c r="AQ2883" s="253"/>
      <c r="AR2883" s="253"/>
      <c r="AS2883" s="253"/>
      <c r="AT2883" s="253"/>
      <c r="AU2883" s="253"/>
      <c r="AV2883" s="253"/>
      <c r="AW2883" s="253"/>
      <c r="AX2883" s="253"/>
      <c r="AY2883" s="253"/>
      <c r="AZ2883" s="253"/>
    </row>
    <row r="2884" spans="1:52" ht="15.5" customHeight="1">
      <c r="A2884" s="363"/>
      <c r="B2884" s="343"/>
      <c r="C2884" s="7"/>
      <c r="D2884" s="254"/>
      <c r="E2884" s="254"/>
      <c r="F2884" s="254"/>
      <c r="G2884" s="253"/>
      <c r="H2884" s="253"/>
      <c r="I2884" s="253"/>
      <c r="J2884" s="253"/>
      <c r="K2884" s="253"/>
      <c r="L2884" s="7"/>
      <c r="M2884" s="7"/>
      <c r="N2884" s="253"/>
      <c r="O2884" s="255"/>
      <c r="P2884" s="253"/>
      <c r="Q2884" s="7"/>
      <c r="R2884" s="7"/>
      <c r="S2884" s="7"/>
      <c r="T2884" s="7"/>
      <c r="U2884" s="7"/>
      <c r="V2884" s="253"/>
      <c r="W2884" s="7"/>
      <c r="X2884" s="256"/>
      <c r="Y2884" s="256"/>
      <c r="Z2884" s="256"/>
      <c r="AA2884" s="256"/>
      <c r="AB2884" s="257"/>
      <c r="AC2884" s="258"/>
      <c r="AD2884" s="7"/>
      <c r="AE2884" s="253"/>
      <c r="AF2884" s="253"/>
      <c r="AG2884" s="259"/>
      <c r="AH2884" s="253"/>
      <c r="AI2884" s="253"/>
      <c r="AJ2884" s="7"/>
      <c r="AK2884" s="253"/>
      <c r="AL2884" s="253"/>
      <c r="AM2884" s="7"/>
      <c r="AN2884" s="253"/>
      <c r="AO2884" s="253"/>
      <c r="AP2884" s="253"/>
      <c r="AQ2884" s="253"/>
      <c r="AR2884" s="253"/>
      <c r="AS2884" s="253"/>
      <c r="AT2884" s="253"/>
      <c r="AU2884" s="253"/>
      <c r="AV2884" s="253"/>
      <c r="AW2884" s="253"/>
      <c r="AX2884" s="253"/>
      <c r="AY2884" s="253"/>
      <c r="AZ2884" s="253"/>
    </row>
    <row r="2885" spans="1:52" ht="15.5" customHeight="1">
      <c r="A2885" s="363"/>
      <c r="B2885" s="343"/>
      <c r="C2885" s="7"/>
      <c r="D2885" s="254"/>
      <c r="E2885" s="254"/>
      <c r="F2885" s="254"/>
      <c r="G2885" s="253"/>
      <c r="H2885" s="253"/>
      <c r="I2885" s="253"/>
      <c r="J2885" s="253"/>
      <c r="K2885" s="253"/>
      <c r="L2885" s="7"/>
      <c r="M2885" s="7"/>
      <c r="N2885" s="253"/>
      <c r="O2885" s="255"/>
      <c r="P2885" s="253"/>
      <c r="Q2885" s="7"/>
      <c r="R2885" s="7"/>
      <c r="S2885" s="7"/>
      <c r="T2885" s="7"/>
      <c r="U2885" s="7"/>
      <c r="V2885" s="253"/>
      <c r="W2885" s="7"/>
      <c r="X2885" s="256"/>
      <c r="Y2885" s="256"/>
      <c r="Z2885" s="256"/>
      <c r="AA2885" s="256"/>
      <c r="AB2885" s="257"/>
      <c r="AC2885" s="258"/>
      <c r="AD2885" s="7"/>
      <c r="AE2885" s="253"/>
      <c r="AF2885" s="253"/>
      <c r="AG2885" s="259"/>
      <c r="AH2885" s="253"/>
      <c r="AI2885" s="253"/>
      <c r="AJ2885" s="7"/>
      <c r="AK2885" s="253"/>
      <c r="AL2885" s="253"/>
      <c r="AM2885" s="7"/>
      <c r="AN2885" s="253"/>
      <c r="AO2885" s="253"/>
      <c r="AP2885" s="253"/>
      <c r="AQ2885" s="253"/>
      <c r="AR2885" s="253"/>
      <c r="AS2885" s="253"/>
      <c r="AT2885" s="253"/>
      <c r="AU2885" s="253"/>
      <c r="AV2885" s="253"/>
      <c r="AW2885" s="253"/>
      <c r="AX2885" s="253"/>
      <c r="AY2885" s="253"/>
      <c r="AZ2885" s="253"/>
    </row>
    <row r="2886" spans="1:52" ht="15.5" customHeight="1">
      <c r="A2886" s="363"/>
      <c r="B2886" s="343"/>
      <c r="C2886" s="7"/>
      <c r="D2886" s="254"/>
      <c r="E2886" s="254"/>
      <c r="F2886" s="254"/>
      <c r="G2886" s="253"/>
      <c r="H2886" s="253"/>
      <c r="I2886" s="253"/>
      <c r="J2886" s="253"/>
      <c r="K2886" s="253"/>
      <c r="L2886" s="7"/>
      <c r="M2886" s="7"/>
      <c r="N2886" s="253"/>
      <c r="O2886" s="255"/>
      <c r="P2886" s="253"/>
      <c r="Q2886" s="7"/>
      <c r="R2886" s="7"/>
      <c r="S2886" s="7"/>
      <c r="T2886" s="7"/>
      <c r="U2886" s="7"/>
      <c r="V2886" s="253"/>
      <c r="W2886" s="7"/>
      <c r="X2886" s="256"/>
      <c r="Y2886" s="256"/>
      <c r="Z2886" s="256"/>
      <c r="AA2886" s="256"/>
      <c r="AB2886" s="257"/>
      <c r="AC2886" s="258"/>
      <c r="AD2886" s="7"/>
      <c r="AE2886" s="253"/>
      <c r="AF2886" s="253"/>
      <c r="AG2886" s="259"/>
      <c r="AH2886" s="253"/>
      <c r="AI2886" s="253"/>
      <c r="AJ2886" s="7"/>
      <c r="AK2886" s="253"/>
      <c r="AL2886" s="253"/>
      <c r="AM2886" s="7"/>
      <c r="AN2886" s="253"/>
      <c r="AO2886" s="253"/>
      <c r="AP2886" s="253"/>
      <c r="AQ2886" s="253"/>
      <c r="AR2886" s="253"/>
      <c r="AS2886" s="253"/>
      <c r="AT2886" s="253"/>
      <c r="AU2886" s="253"/>
      <c r="AV2886" s="253"/>
      <c r="AW2886" s="253"/>
      <c r="AX2886" s="253"/>
      <c r="AY2886" s="253"/>
      <c r="AZ2886" s="253"/>
    </row>
    <row r="2887" spans="1:52" ht="15.5" customHeight="1">
      <c r="A2887" s="363"/>
      <c r="B2887" s="343"/>
      <c r="C2887" s="7"/>
      <c r="D2887" s="254"/>
      <c r="E2887" s="254"/>
      <c r="F2887" s="254"/>
      <c r="G2887" s="253"/>
      <c r="H2887" s="253"/>
      <c r="I2887" s="253"/>
      <c r="J2887" s="253"/>
      <c r="K2887" s="253"/>
      <c r="L2887" s="7"/>
      <c r="M2887" s="7"/>
      <c r="N2887" s="253"/>
      <c r="O2887" s="255"/>
      <c r="P2887" s="253"/>
      <c r="Q2887" s="7"/>
      <c r="R2887" s="7"/>
      <c r="S2887" s="7"/>
      <c r="T2887" s="7"/>
      <c r="U2887" s="7"/>
      <c r="V2887" s="253"/>
      <c r="W2887" s="7"/>
      <c r="X2887" s="256"/>
      <c r="Y2887" s="256"/>
      <c r="Z2887" s="256"/>
      <c r="AA2887" s="256"/>
      <c r="AB2887" s="257"/>
      <c r="AC2887" s="258"/>
      <c r="AD2887" s="7"/>
      <c r="AE2887" s="253"/>
      <c r="AF2887" s="253"/>
      <c r="AG2887" s="259"/>
      <c r="AH2887" s="253"/>
      <c r="AI2887" s="253"/>
      <c r="AJ2887" s="7"/>
      <c r="AK2887" s="253"/>
      <c r="AL2887" s="253"/>
      <c r="AM2887" s="7"/>
      <c r="AN2887" s="253"/>
      <c r="AO2887" s="253"/>
      <c r="AP2887" s="253"/>
      <c r="AQ2887" s="253"/>
      <c r="AR2887" s="253"/>
      <c r="AS2887" s="253"/>
      <c r="AT2887" s="253"/>
      <c r="AU2887" s="253"/>
      <c r="AV2887" s="253"/>
      <c r="AW2887" s="253"/>
      <c r="AX2887" s="253"/>
      <c r="AY2887" s="253"/>
      <c r="AZ2887" s="253"/>
    </row>
    <row r="2888" spans="1:52" ht="15.5" customHeight="1">
      <c r="A2888" s="363"/>
      <c r="B2888" s="343"/>
      <c r="C2888" s="7"/>
      <c r="D2888" s="254"/>
      <c r="E2888" s="254"/>
      <c r="F2888" s="254"/>
      <c r="G2888" s="253"/>
      <c r="H2888" s="253"/>
      <c r="I2888" s="253"/>
      <c r="J2888" s="253"/>
      <c r="K2888" s="253"/>
      <c r="L2888" s="7"/>
      <c r="M2888" s="7"/>
      <c r="N2888" s="253"/>
      <c r="O2888" s="255"/>
      <c r="P2888" s="253"/>
      <c r="Q2888" s="7"/>
      <c r="R2888" s="7"/>
      <c r="S2888" s="7"/>
      <c r="T2888" s="7"/>
      <c r="U2888" s="7"/>
      <c r="V2888" s="253"/>
      <c r="W2888" s="7"/>
      <c r="X2888" s="256"/>
      <c r="Y2888" s="256"/>
      <c r="Z2888" s="256"/>
      <c r="AA2888" s="256"/>
      <c r="AB2888" s="257"/>
      <c r="AC2888" s="258"/>
      <c r="AD2888" s="7"/>
      <c r="AE2888" s="253"/>
      <c r="AF2888" s="253"/>
      <c r="AG2888" s="259"/>
      <c r="AH2888" s="253"/>
      <c r="AI2888" s="253"/>
      <c r="AJ2888" s="7"/>
      <c r="AK2888" s="253"/>
      <c r="AL2888" s="253"/>
      <c r="AM2888" s="7"/>
      <c r="AN2888" s="253"/>
      <c r="AO2888" s="253"/>
      <c r="AP2888" s="253"/>
      <c r="AQ2888" s="253"/>
      <c r="AR2888" s="253"/>
      <c r="AS2888" s="253"/>
      <c r="AT2888" s="253"/>
      <c r="AU2888" s="253"/>
      <c r="AV2888" s="253"/>
      <c r="AW2888" s="253"/>
      <c r="AX2888" s="253"/>
      <c r="AY2888" s="253"/>
      <c r="AZ2888" s="253"/>
    </row>
    <row r="2889" spans="1:52" ht="15.5" customHeight="1">
      <c r="A2889" s="363"/>
      <c r="B2889" s="343"/>
      <c r="C2889" s="7"/>
      <c r="D2889" s="254"/>
      <c r="E2889" s="254"/>
      <c r="F2889" s="254"/>
      <c r="G2889" s="253"/>
      <c r="H2889" s="253"/>
      <c r="I2889" s="253"/>
      <c r="J2889" s="253"/>
      <c r="K2889" s="253"/>
      <c r="L2889" s="7"/>
      <c r="M2889" s="7"/>
      <c r="N2889" s="253"/>
      <c r="O2889" s="255"/>
      <c r="P2889" s="253"/>
      <c r="Q2889" s="7"/>
      <c r="R2889" s="7"/>
      <c r="S2889" s="7"/>
      <c r="T2889" s="7"/>
      <c r="U2889" s="7"/>
      <c r="V2889" s="253"/>
      <c r="W2889" s="7"/>
      <c r="X2889" s="256"/>
      <c r="Y2889" s="256"/>
      <c r="Z2889" s="256"/>
      <c r="AA2889" s="256"/>
      <c r="AB2889" s="257"/>
      <c r="AC2889" s="258"/>
      <c r="AD2889" s="7"/>
      <c r="AE2889" s="253"/>
      <c r="AF2889" s="253"/>
      <c r="AG2889" s="259"/>
      <c r="AH2889" s="253"/>
      <c r="AI2889" s="253"/>
      <c r="AJ2889" s="7"/>
      <c r="AK2889" s="253"/>
      <c r="AL2889" s="253"/>
      <c r="AM2889" s="7"/>
      <c r="AN2889" s="253"/>
      <c r="AO2889" s="253"/>
      <c r="AP2889" s="253"/>
      <c r="AQ2889" s="253"/>
      <c r="AR2889" s="253"/>
      <c r="AS2889" s="253"/>
      <c r="AT2889" s="253"/>
      <c r="AU2889" s="253"/>
      <c r="AV2889" s="253"/>
      <c r="AW2889" s="253"/>
      <c r="AX2889" s="253"/>
      <c r="AY2889" s="253"/>
      <c r="AZ2889" s="253"/>
    </row>
    <row r="2890" spans="1:52" ht="15.5" customHeight="1">
      <c r="A2890" s="363"/>
      <c r="B2890" s="343"/>
      <c r="C2890" s="7"/>
      <c r="D2890" s="254"/>
      <c r="E2890" s="254"/>
      <c r="F2890" s="254"/>
      <c r="G2890" s="253"/>
      <c r="H2890" s="253"/>
      <c r="I2890" s="253"/>
      <c r="J2890" s="253"/>
      <c r="K2890" s="253"/>
      <c r="L2890" s="7"/>
      <c r="M2890" s="7"/>
      <c r="N2890" s="253"/>
      <c r="O2890" s="255"/>
      <c r="P2890" s="253"/>
      <c r="Q2890" s="7"/>
      <c r="R2890" s="7"/>
      <c r="S2890" s="7"/>
      <c r="T2890" s="7"/>
      <c r="U2890" s="7"/>
      <c r="V2890" s="253"/>
      <c r="W2890" s="7"/>
      <c r="X2890" s="256"/>
      <c r="Y2890" s="256"/>
      <c r="Z2890" s="256"/>
      <c r="AA2890" s="256"/>
      <c r="AB2890" s="257"/>
      <c r="AC2890" s="258"/>
      <c r="AD2890" s="7"/>
      <c r="AE2890" s="253"/>
      <c r="AF2890" s="253"/>
      <c r="AG2890" s="259"/>
      <c r="AH2890" s="253"/>
      <c r="AI2890" s="253"/>
      <c r="AJ2890" s="7"/>
      <c r="AK2890" s="253"/>
      <c r="AL2890" s="253"/>
      <c r="AM2890" s="7"/>
      <c r="AN2890" s="253"/>
      <c r="AO2890" s="253"/>
      <c r="AP2890" s="253"/>
      <c r="AQ2890" s="253"/>
      <c r="AR2890" s="253"/>
      <c r="AS2890" s="253"/>
      <c r="AT2890" s="253"/>
      <c r="AU2890" s="253"/>
      <c r="AV2890" s="253"/>
      <c r="AW2890" s="253"/>
      <c r="AX2890" s="253"/>
      <c r="AY2890" s="253"/>
      <c r="AZ2890" s="253"/>
    </row>
    <row r="2891" spans="1:52" ht="15.5" customHeight="1">
      <c r="A2891" s="363"/>
      <c r="B2891" s="343"/>
      <c r="C2891" s="7"/>
      <c r="D2891" s="254"/>
      <c r="E2891" s="254"/>
      <c r="F2891" s="254"/>
      <c r="G2891" s="253"/>
      <c r="H2891" s="253"/>
      <c r="I2891" s="253"/>
      <c r="J2891" s="253"/>
      <c r="K2891" s="253"/>
      <c r="L2891" s="7"/>
      <c r="M2891" s="7"/>
      <c r="N2891" s="253"/>
      <c r="O2891" s="255"/>
      <c r="P2891" s="253"/>
      <c r="Q2891" s="7"/>
      <c r="R2891" s="7"/>
      <c r="S2891" s="7"/>
      <c r="T2891" s="7"/>
      <c r="U2891" s="7"/>
      <c r="V2891" s="253"/>
      <c r="W2891" s="7"/>
      <c r="X2891" s="256"/>
      <c r="Y2891" s="256"/>
      <c r="Z2891" s="256"/>
      <c r="AA2891" s="256"/>
      <c r="AB2891" s="257"/>
      <c r="AC2891" s="258"/>
      <c r="AD2891" s="7"/>
      <c r="AE2891" s="253"/>
      <c r="AF2891" s="253"/>
      <c r="AG2891" s="259"/>
      <c r="AH2891" s="253"/>
      <c r="AI2891" s="253"/>
      <c r="AJ2891" s="7"/>
      <c r="AK2891" s="253"/>
      <c r="AL2891" s="253"/>
      <c r="AM2891" s="7"/>
      <c r="AN2891" s="253"/>
      <c r="AO2891" s="253"/>
      <c r="AP2891" s="253"/>
      <c r="AQ2891" s="253"/>
      <c r="AR2891" s="253"/>
      <c r="AS2891" s="253"/>
      <c r="AT2891" s="253"/>
      <c r="AU2891" s="253"/>
      <c r="AV2891" s="253"/>
      <c r="AW2891" s="253"/>
      <c r="AX2891" s="253"/>
      <c r="AY2891" s="253"/>
      <c r="AZ2891" s="253"/>
    </row>
    <row r="2892" spans="1:52" ht="15.5" customHeight="1">
      <c r="A2892" s="363"/>
      <c r="B2892" s="343"/>
      <c r="C2892" s="7"/>
      <c r="D2892" s="254"/>
      <c r="E2892" s="254"/>
      <c r="F2892" s="254"/>
      <c r="G2892" s="253"/>
      <c r="H2892" s="253"/>
      <c r="I2892" s="253"/>
      <c r="J2892" s="253"/>
      <c r="K2892" s="253"/>
      <c r="L2892" s="7"/>
      <c r="M2892" s="7"/>
      <c r="N2892" s="253"/>
      <c r="O2892" s="255"/>
      <c r="P2892" s="253"/>
      <c r="Q2892" s="7"/>
      <c r="R2892" s="7"/>
      <c r="S2892" s="7"/>
      <c r="T2892" s="7"/>
      <c r="U2892" s="7"/>
      <c r="V2892" s="253"/>
      <c r="W2892" s="7"/>
      <c r="X2892" s="256"/>
      <c r="Y2892" s="256"/>
      <c r="Z2892" s="256"/>
      <c r="AA2892" s="256"/>
      <c r="AB2892" s="257"/>
      <c r="AC2892" s="258"/>
      <c r="AD2892" s="7"/>
      <c r="AE2892" s="253"/>
      <c r="AF2892" s="253"/>
      <c r="AG2892" s="259"/>
      <c r="AH2892" s="253"/>
      <c r="AI2892" s="253"/>
      <c r="AJ2892" s="7"/>
      <c r="AK2892" s="253"/>
      <c r="AL2892" s="253"/>
      <c r="AM2892" s="7"/>
      <c r="AN2892" s="253"/>
      <c r="AO2892" s="253"/>
      <c r="AP2892" s="253"/>
      <c r="AQ2892" s="253"/>
      <c r="AR2892" s="253"/>
      <c r="AS2892" s="253"/>
      <c r="AT2892" s="253"/>
      <c r="AU2892" s="253"/>
      <c r="AV2892" s="253"/>
      <c r="AW2892" s="253"/>
      <c r="AX2892" s="253"/>
      <c r="AY2892" s="253"/>
      <c r="AZ2892" s="253"/>
    </row>
    <row r="2893" spans="1:52" ht="15.5" customHeight="1">
      <c r="A2893" s="363"/>
      <c r="B2893" s="343"/>
      <c r="C2893" s="7"/>
      <c r="D2893" s="254"/>
      <c r="E2893" s="254"/>
      <c r="F2893" s="254"/>
      <c r="G2893" s="253"/>
      <c r="H2893" s="253"/>
      <c r="I2893" s="253"/>
      <c r="J2893" s="253"/>
      <c r="K2893" s="253"/>
      <c r="L2893" s="7"/>
      <c r="M2893" s="7"/>
      <c r="N2893" s="253"/>
      <c r="O2893" s="255"/>
      <c r="P2893" s="253"/>
      <c r="Q2893" s="7"/>
      <c r="R2893" s="7"/>
      <c r="S2893" s="7"/>
      <c r="T2893" s="7"/>
      <c r="U2893" s="7"/>
      <c r="V2893" s="253"/>
      <c r="W2893" s="7"/>
      <c r="X2893" s="256"/>
      <c r="Y2893" s="256"/>
      <c r="Z2893" s="256"/>
      <c r="AA2893" s="256"/>
      <c r="AB2893" s="257"/>
      <c r="AC2893" s="258"/>
      <c r="AD2893" s="7"/>
      <c r="AE2893" s="253"/>
      <c r="AF2893" s="253"/>
      <c r="AG2893" s="259"/>
      <c r="AH2893" s="253"/>
      <c r="AI2893" s="253"/>
      <c r="AJ2893" s="7"/>
      <c r="AK2893" s="253"/>
      <c r="AL2893" s="253"/>
      <c r="AM2893" s="7"/>
      <c r="AN2893" s="253"/>
      <c r="AO2893" s="253"/>
      <c r="AP2893" s="253"/>
      <c r="AQ2893" s="253"/>
      <c r="AR2893" s="253"/>
      <c r="AS2893" s="253"/>
      <c r="AT2893" s="253"/>
      <c r="AU2893" s="253"/>
      <c r="AV2893" s="253"/>
      <c r="AW2893" s="253"/>
      <c r="AX2893" s="253"/>
      <c r="AY2893" s="253"/>
      <c r="AZ2893" s="253"/>
    </row>
    <row r="2894" spans="1:52" ht="15.5" customHeight="1">
      <c r="A2894" s="363"/>
      <c r="B2894" s="343"/>
      <c r="C2894" s="7"/>
      <c r="D2894" s="254"/>
      <c r="E2894" s="254"/>
      <c r="F2894" s="254"/>
      <c r="G2894" s="253"/>
      <c r="H2894" s="253"/>
      <c r="I2894" s="253"/>
      <c r="J2894" s="253"/>
      <c r="K2894" s="253"/>
      <c r="L2894" s="7"/>
      <c r="M2894" s="7"/>
      <c r="N2894" s="253"/>
      <c r="O2894" s="255"/>
      <c r="P2894" s="253"/>
      <c r="Q2894" s="7"/>
      <c r="R2894" s="7"/>
      <c r="S2894" s="7"/>
      <c r="T2894" s="7"/>
      <c r="U2894" s="7"/>
      <c r="V2894" s="253"/>
      <c r="W2894" s="7"/>
      <c r="X2894" s="256"/>
      <c r="Y2894" s="256"/>
      <c r="Z2894" s="256"/>
      <c r="AA2894" s="256"/>
      <c r="AB2894" s="257"/>
      <c r="AC2894" s="258"/>
      <c r="AD2894" s="7"/>
      <c r="AE2894" s="253"/>
      <c r="AF2894" s="253"/>
      <c r="AG2894" s="259"/>
      <c r="AH2894" s="253"/>
      <c r="AI2894" s="253"/>
      <c r="AJ2894" s="7"/>
      <c r="AK2894" s="253"/>
      <c r="AL2894" s="253"/>
      <c r="AM2894" s="7"/>
      <c r="AN2894" s="253"/>
      <c r="AO2894" s="253"/>
      <c r="AP2894" s="253"/>
      <c r="AQ2894" s="253"/>
      <c r="AR2894" s="253"/>
      <c r="AS2894" s="253"/>
      <c r="AT2894" s="253"/>
      <c r="AU2894" s="253"/>
      <c r="AV2894" s="253"/>
      <c r="AW2894" s="253"/>
      <c r="AX2894" s="253"/>
      <c r="AY2894" s="253"/>
      <c r="AZ2894" s="253"/>
    </row>
    <row r="2895" spans="1:52" ht="15.5" customHeight="1">
      <c r="A2895" s="363"/>
      <c r="B2895" s="343"/>
      <c r="C2895" s="7"/>
      <c r="D2895" s="254"/>
      <c r="E2895" s="254"/>
      <c r="F2895" s="254"/>
      <c r="G2895" s="253"/>
      <c r="H2895" s="253"/>
      <c r="I2895" s="253"/>
      <c r="J2895" s="253"/>
      <c r="K2895" s="253"/>
      <c r="L2895" s="7"/>
      <c r="M2895" s="7"/>
      <c r="N2895" s="253"/>
      <c r="O2895" s="255"/>
      <c r="P2895" s="253"/>
      <c r="Q2895" s="7"/>
      <c r="R2895" s="7"/>
      <c r="S2895" s="7"/>
      <c r="T2895" s="7"/>
      <c r="U2895" s="7"/>
      <c r="V2895" s="253"/>
      <c r="W2895" s="7"/>
      <c r="X2895" s="256"/>
      <c r="Y2895" s="256"/>
      <c r="Z2895" s="256"/>
      <c r="AA2895" s="256"/>
      <c r="AB2895" s="257"/>
      <c r="AC2895" s="258"/>
      <c r="AD2895" s="7"/>
      <c r="AE2895" s="253"/>
      <c r="AF2895" s="253"/>
      <c r="AG2895" s="259"/>
      <c r="AH2895" s="253"/>
      <c r="AI2895" s="253"/>
      <c r="AJ2895" s="7"/>
      <c r="AK2895" s="253"/>
      <c r="AL2895" s="253"/>
      <c r="AM2895" s="7"/>
      <c r="AN2895" s="253"/>
      <c r="AO2895" s="253"/>
      <c r="AP2895" s="253"/>
      <c r="AQ2895" s="253"/>
      <c r="AR2895" s="253"/>
      <c r="AS2895" s="253"/>
      <c r="AT2895" s="253"/>
      <c r="AU2895" s="253"/>
      <c r="AV2895" s="253"/>
      <c r="AW2895" s="253"/>
      <c r="AX2895" s="253"/>
      <c r="AY2895" s="253"/>
      <c r="AZ2895" s="253"/>
    </row>
    <row r="2896" spans="1:52" ht="15.5" customHeight="1">
      <c r="A2896" s="363"/>
      <c r="B2896" s="343"/>
      <c r="C2896" s="7"/>
      <c r="D2896" s="254"/>
      <c r="E2896" s="254"/>
      <c r="F2896" s="254"/>
      <c r="G2896" s="253"/>
      <c r="H2896" s="253"/>
      <c r="I2896" s="253"/>
      <c r="J2896" s="253"/>
      <c r="K2896" s="253"/>
      <c r="L2896" s="7"/>
      <c r="M2896" s="7"/>
      <c r="N2896" s="253"/>
      <c r="O2896" s="255"/>
      <c r="P2896" s="253"/>
      <c r="Q2896" s="7"/>
      <c r="R2896" s="7"/>
      <c r="S2896" s="7"/>
      <c r="T2896" s="7"/>
      <c r="U2896" s="7"/>
      <c r="V2896" s="253"/>
      <c r="W2896" s="7"/>
      <c r="X2896" s="256"/>
      <c r="Y2896" s="256"/>
      <c r="Z2896" s="256"/>
      <c r="AA2896" s="256"/>
      <c r="AB2896" s="257"/>
      <c r="AC2896" s="258"/>
      <c r="AD2896" s="7"/>
      <c r="AE2896" s="253"/>
      <c r="AF2896" s="253"/>
      <c r="AG2896" s="259"/>
      <c r="AH2896" s="253"/>
      <c r="AI2896" s="253"/>
      <c r="AJ2896" s="7"/>
      <c r="AK2896" s="253"/>
      <c r="AL2896" s="253"/>
      <c r="AM2896" s="7"/>
      <c r="AN2896" s="253"/>
      <c r="AO2896" s="253"/>
      <c r="AP2896" s="253"/>
      <c r="AQ2896" s="253"/>
      <c r="AR2896" s="253"/>
      <c r="AS2896" s="253"/>
      <c r="AT2896" s="253"/>
      <c r="AU2896" s="253"/>
      <c r="AV2896" s="253"/>
      <c r="AW2896" s="253"/>
      <c r="AX2896" s="253"/>
      <c r="AY2896" s="253"/>
      <c r="AZ2896" s="253"/>
    </row>
    <row r="2897" spans="1:52" ht="15.5" customHeight="1">
      <c r="A2897" s="363"/>
      <c r="B2897" s="343"/>
      <c r="C2897" s="7"/>
      <c r="D2897" s="254"/>
      <c r="E2897" s="254"/>
      <c r="F2897" s="254"/>
      <c r="G2897" s="253"/>
      <c r="H2897" s="253"/>
      <c r="I2897" s="253"/>
      <c r="J2897" s="253"/>
      <c r="K2897" s="253"/>
      <c r="L2897" s="7"/>
      <c r="M2897" s="7"/>
      <c r="N2897" s="253"/>
      <c r="O2897" s="255"/>
      <c r="P2897" s="253"/>
      <c r="Q2897" s="7"/>
      <c r="R2897" s="7"/>
      <c r="S2897" s="7"/>
      <c r="T2897" s="7"/>
      <c r="U2897" s="7"/>
      <c r="V2897" s="253"/>
      <c r="W2897" s="7"/>
      <c r="X2897" s="256"/>
      <c r="Y2897" s="256"/>
      <c r="Z2897" s="256"/>
      <c r="AA2897" s="256"/>
      <c r="AB2897" s="257"/>
      <c r="AC2897" s="258"/>
      <c r="AD2897" s="7"/>
      <c r="AE2897" s="253"/>
      <c r="AF2897" s="253"/>
      <c r="AG2897" s="259"/>
      <c r="AH2897" s="253"/>
      <c r="AI2897" s="253"/>
      <c r="AJ2897" s="7"/>
      <c r="AK2897" s="253"/>
      <c r="AL2897" s="253"/>
      <c r="AM2897" s="7"/>
      <c r="AN2897" s="253"/>
      <c r="AO2897" s="253"/>
      <c r="AP2897" s="253"/>
      <c r="AQ2897" s="253"/>
      <c r="AR2897" s="253"/>
      <c r="AS2897" s="253"/>
      <c r="AT2897" s="253"/>
      <c r="AU2897" s="253"/>
      <c r="AV2897" s="253"/>
      <c r="AW2897" s="253"/>
      <c r="AX2897" s="253"/>
      <c r="AY2897" s="253"/>
      <c r="AZ2897" s="253"/>
    </row>
    <row r="2898" spans="1:52" ht="15.5" customHeight="1">
      <c r="A2898" s="363"/>
      <c r="B2898" s="343"/>
      <c r="C2898" s="7"/>
      <c r="D2898" s="254"/>
      <c r="E2898" s="254"/>
      <c r="F2898" s="254"/>
      <c r="G2898" s="253"/>
      <c r="H2898" s="253"/>
      <c r="I2898" s="253"/>
      <c r="J2898" s="253"/>
      <c r="K2898" s="253"/>
      <c r="L2898" s="7"/>
      <c r="M2898" s="7"/>
      <c r="N2898" s="253"/>
      <c r="O2898" s="255"/>
      <c r="P2898" s="253"/>
      <c r="Q2898" s="7"/>
      <c r="R2898" s="7"/>
      <c r="S2898" s="7"/>
      <c r="T2898" s="7"/>
      <c r="U2898" s="7"/>
      <c r="V2898" s="253"/>
      <c r="W2898" s="7"/>
      <c r="X2898" s="256"/>
      <c r="Y2898" s="256"/>
      <c r="Z2898" s="256"/>
      <c r="AA2898" s="256"/>
      <c r="AB2898" s="257"/>
      <c r="AC2898" s="258"/>
      <c r="AD2898" s="7"/>
      <c r="AE2898" s="253"/>
      <c r="AF2898" s="253"/>
      <c r="AG2898" s="259"/>
      <c r="AH2898" s="253"/>
      <c r="AI2898" s="253"/>
      <c r="AJ2898" s="7"/>
      <c r="AK2898" s="253"/>
      <c r="AL2898" s="253"/>
      <c r="AM2898" s="7"/>
      <c r="AN2898" s="253"/>
      <c r="AO2898" s="253"/>
      <c r="AP2898" s="253"/>
      <c r="AQ2898" s="253"/>
      <c r="AR2898" s="253"/>
      <c r="AS2898" s="253"/>
      <c r="AT2898" s="253"/>
      <c r="AU2898" s="253"/>
      <c r="AV2898" s="253"/>
      <c r="AW2898" s="253"/>
      <c r="AX2898" s="253"/>
      <c r="AY2898" s="253"/>
      <c r="AZ2898" s="253"/>
    </row>
    <row r="2899" spans="1:52" ht="15.5" customHeight="1">
      <c r="A2899" s="363"/>
      <c r="B2899" s="343"/>
      <c r="C2899" s="7"/>
      <c r="D2899" s="254"/>
      <c r="E2899" s="254"/>
      <c r="F2899" s="254"/>
      <c r="G2899" s="253"/>
      <c r="H2899" s="253"/>
      <c r="I2899" s="253"/>
      <c r="J2899" s="253"/>
      <c r="K2899" s="253"/>
      <c r="L2899" s="7"/>
      <c r="M2899" s="7"/>
      <c r="N2899" s="253"/>
      <c r="O2899" s="255"/>
      <c r="P2899" s="253"/>
      <c r="Q2899" s="7"/>
      <c r="R2899" s="7"/>
      <c r="S2899" s="7"/>
      <c r="T2899" s="7"/>
      <c r="U2899" s="7"/>
      <c r="V2899" s="253"/>
      <c r="W2899" s="7"/>
      <c r="X2899" s="256"/>
      <c r="Y2899" s="256"/>
      <c r="Z2899" s="256"/>
      <c r="AA2899" s="256"/>
      <c r="AB2899" s="257"/>
      <c r="AC2899" s="258"/>
      <c r="AD2899" s="7"/>
      <c r="AE2899" s="253"/>
      <c r="AF2899" s="253"/>
      <c r="AG2899" s="259"/>
      <c r="AH2899" s="253"/>
      <c r="AI2899" s="253"/>
      <c r="AJ2899" s="7"/>
      <c r="AK2899" s="253"/>
      <c r="AL2899" s="253"/>
      <c r="AM2899" s="7"/>
      <c r="AN2899" s="253"/>
      <c r="AO2899" s="253"/>
      <c r="AP2899" s="253"/>
      <c r="AQ2899" s="253"/>
      <c r="AR2899" s="253"/>
      <c r="AS2899" s="253"/>
      <c r="AT2899" s="253"/>
      <c r="AU2899" s="253"/>
      <c r="AV2899" s="253"/>
      <c r="AW2899" s="253"/>
      <c r="AX2899" s="253"/>
      <c r="AY2899" s="253"/>
      <c r="AZ2899" s="253"/>
    </row>
    <row r="2900" spans="1:52" ht="15.5" customHeight="1">
      <c r="A2900" s="363"/>
      <c r="B2900" s="343"/>
      <c r="C2900" s="7"/>
      <c r="D2900" s="254"/>
      <c r="E2900" s="254"/>
      <c r="F2900" s="254"/>
      <c r="G2900" s="253"/>
      <c r="H2900" s="253"/>
      <c r="I2900" s="253"/>
      <c r="J2900" s="253"/>
      <c r="K2900" s="253"/>
      <c r="L2900" s="7"/>
      <c r="M2900" s="7"/>
      <c r="N2900" s="253"/>
      <c r="O2900" s="255"/>
      <c r="P2900" s="253"/>
      <c r="Q2900" s="7"/>
      <c r="R2900" s="7"/>
      <c r="S2900" s="7"/>
      <c r="T2900" s="7"/>
      <c r="U2900" s="7"/>
      <c r="V2900" s="253"/>
      <c r="W2900" s="7"/>
      <c r="X2900" s="256"/>
      <c r="Y2900" s="256"/>
      <c r="Z2900" s="256"/>
      <c r="AA2900" s="256"/>
      <c r="AB2900" s="257"/>
      <c r="AC2900" s="258"/>
      <c r="AD2900" s="7"/>
      <c r="AE2900" s="253"/>
      <c r="AF2900" s="253"/>
      <c r="AG2900" s="259"/>
      <c r="AH2900" s="253"/>
      <c r="AI2900" s="253"/>
      <c r="AJ2900" s="7"/>
      <c r="AK2900" s="253"/>
      <c r="AL2900" s="253"/>
      <c r="AM2900" s="7"/>
      <c r="AN2900" s="253"/>
      <c r="AO2900" s="253"/>
      <c r="AP2900" s="253"/>
      <c r="AQ2900" s="253"/>
      <c r="AR2900" s="253"/>
      <c r="AS2900" s="253"/>
      <c r="AT2900" s="253"/>
      <c r="AU2900" s="253"/>
      <c r="AV2900" s="253"/>
      <c r="AW2900" s="253"/>
      <c r="AX2900" s="253"/>
      <c r="AY2900" s="253"/>
      <c r="AZ2900" s="253"/>
    </row>
    <row r="2901" spans="1:52" ht="15.5" customHeight="1">
      <c r="A2901" s="363"/>
      <c r="B2901" s="343"/>
      <c r="C2901" s="7"/>
      <c r="D2901" s="254"/>
      <c r="E2901" s="254"/>
      <c r="F2901" s="254"/>
      <c r="G2901" s="253"/>
      <c r="H2901" s="253"/>
      <c r="I2901" s="253"/>
      <c r="J2901" s="253"/>
      <c r="K2901" s="253"/>
      <c r="L2901" s="7"/>
      <c r="M2901" s="7"/>
      <c r="N2901" s="253"/>
      <c r="O2901" s="255"/>
      <c r="P2901" s="253"/>
      <c r="Q2901" s="7"/>
      <c r="R2901" s="7"/>
      <c r="S2901" s="7"/>
      <c r="T2901" s="7"/>
      <c r="U2901" s="7"/>
      <c r="V2901" s="253"/>
      <c r="W2901" s="7"/>
      <c r="X2901" s="256"/>
      <c r="Y2901" s="256"/>
      <c r="Z2901" s="256"/>
      <c r="AA2901" s="256"/>
      <c r="AB2901" s="257"/>
      <c r="AC2901" s="258"/>
      <c r="AD2901" s="7"/>
      <c r="AE2901" s="253"/>
      <c r="AF2901" s="253"/>
      <c r="AG2901" s="259"/>
      <c r="AH2901" s="253"/>
      <c r="AI2901" s="253"/>
      <c r="AJ2901" s="7"/>
      <c r="AK2901" s="253"/>
      <c r="AL2901" s="253"/>
      <c r="AM2901" s="7"/>
      <c r="AN2901" s="253"/>
      <c r="AO2901" s="253"/>
      <c r="AP2901" s="253"/>
      <c r="AQ2901" s="253"/>
      <c r="AR2901" s="253"/>
      <c r="AS2901" s="253"/>
      <c r="AT2901" s="253"/>
      <c r="AU2901" s="253"/>
      <c r="AV2901" s="253"/>
      <c r="AW2901" s="253"/>
      <c r="AX2901" s="253"/>
      <c r="AY2901" s="253"/>
      <c r="AZ2901" s="253"/>
    </row>
    <row r="2902" spans="1:52" ht="15.5" customHeight="1">
      <c r="A2902" s="363"/>
      <c r="B2902" s="343"/>
      <c r="C2902" s="7"/>
      <c r="D2902" s="254"/>
      <c r="E2902" s="254"/>
      <c r="F2902" s="254"/>
      <c r="G2902" s="253"/>
      <c r="H2902" s="253"/>
      <c r="I2902" s="253"/>
      <c r="J2902" s="253"/>
      <c r="K2902" s="253"/>
      <c r="L2902" s="7"/>
      <c r="M2902" s="7"/>
      <c r="N2902" s="253"/>
      <c r="O2902" s="255"/>
      <c r="P2902" s="253"/>
      <c r="Q2902" s="7"/>
      <c r="R2902" s="7"/>
      <c r="S2902" s="7"/>
      <c r="T2902" s="7"/>
      <c r="U2902" s="7"/>
      <c r="V2902" s="253"/>
      <c r="W2902" s="7"/>
      <c r="X2902" s="256"/>
      <c r="Y2902" s="256"/>
      <c r="Z2902" s="256"/>
      <c r="AA2902" s="256"/>
      <c r="AB2902" s="257"/>
      <c r="AC2902" s="258"/>
      <c r="AD2902" s="7"/>
      <c r="AE2902" s="253"/>
      <c r="AF2902" s="253"/>
      <c r="AG2902" s="259"/>
      <c r="AH2902" s="253"/>
      <c r="AI2902" s="253"/>
      <c r="AJ2902" s="7"/>
      <c r="AK2902" s="253"/>
      <c r="AL2902" s="253"/>
      <c r="AM2902" s="7"/>
      <c r="AN2902" s="253"/>
      <c r="AO2902" s="253"/>
      <c r="AP2902" s="253"/>
      <c r="AQ2902" s="253"/>
      <c r="AR2902" s="253"/>
      <c r="AS2902" s="253"/>
      <c r="AT2902" s="253"/>
      <c r="AU2902" s="253"/>
      <c r="AV2902" s="253"/>
      <c r="AW2902" s="253"/>
      <c r="AX2902" s="253"/>
      <c r="AY2902" s="253"/>
      <c r="AZ2902" s="253"/>
    </row>
    <row r="2903" spans="1:52" ht="15.5" customHeight="1">
      <c r="A2903" s="363"/>
      <c r="B2903" s="343"/>
      <c r="C2903" s="7"/>
      <c r="D2903" s="254"/>
      <c r="E2903" s="254"/>
      <c r="F2903" s="254"/>
      <c r="G2903" s="253"/>
      <c r="H2903" s="253"/>
      <c r="I2903" s="253"/>
      <c r="J2903" s="253"/>
      <c r="K2903" s="253"/>
      <c r="L2903" s="7"/>
      <c r="M2903" s="7"/>
      <c r="N2903" s="253"/>
      <c r="O2903" s="255"/>
      <c r="P2903" s="253"/>
      <c r="Q2903" s="7"/>
      <c r="R2903" s="7"/>
      <c r="S2903" s="7"/>
      <c r="T2903" s="7"/>
      <c r="U2903" s="7"/>
      <c r="V2903" s="253"/>
      <c r="W2903" s="7"/>
      <c r="X2903" s="256"/>
      <c r="Y2903" s="256"/>
      <c r="Z2903" s="256"/>
      <c r="AA2903" s="256"/>
      <c r="AB2903" s="257"/>
      <c r="AC2903" s="258"/>
      <c r="AD2903" s="7"/>
      <c r="AE2903" s="253"/>
      <c r="AF2903" s="253"/>
      <c r="AG2903" s="259"/>
      <c r="AH2903" s="253"/>
      <c r="AI2903" s="253"/>
      <c r="AJ2903" s="7"/>
      <c r="AK2903" s="253"/>
      <c r="AL2903" s="253"/>
      <c r="AM2903" s="7"/>
      <c r="AN2903" s="253"/>
      <c r="AO2903" s="253"/>
      <c r="AP2903" s="253"/>
      <c r="AQ2903" s="253"/>
      <c r="AR2903" s="253"/>
      <c r="AS2903" s="253"/>
      <c r="AT2903" s="253"/>
      <c r="AU2903" s="253"/>
      <c r="AV2903" s="253"/>
      <c r="AW2903" s="253"/>
      <c r="AX2903" s="253"/>
      <c r="AY2903" s="253"/>
      <c r="AZ2903" s="253"/>
    </row>
    <row r="2904" spans="1:52" ht="15.5" customHeight="1">
      <c r="A2904" s="363"/>
      <c r="B2904" s="343"/>
      <c r="C2904" s="7"/>
      <c r="D2904" s="254"/>
      <c r="E2904" s="254"/>
      <c r="F2904" s="254"/>
      <c r="G2904" s="253"/>
      <c r="H2904" s="253"/>
      <c r="I2904" s="253"/>
      <c r="J2904" s="253"/>
      <c r="K2904" s="253"/>
      <c r="L2904" s="7"/>
      <c r="M2904" s="7"/>
      <c r="N2904" s="253"/>
      <c r="O2904" s="255"/>
      <c r="P2904" s="253"/>
      <c r="Q2904" s="7"/>
      <c r="R2904" s="7"/>
      <c r="S2904" s="7"/>
      <c r="T2904" s="7"/>
      <c r="U2904" s="7"/>
      <c r="V2904" s="253"/>
      <c r="W2904" s="7"/>
      <c r="X2904" s="256"/>
      <c r="Y2904" s="256"/>
      <c r="Z2904" s="256"/>
      <c r="AA2904" s="256"/>
      <c r="AB2904" s="257"/>
      <c r="AC2904" s="258"/>
      <c r="AD2904" s="7"/>
      <c r="AE2904" s="253"/>
      <c r="AF2904" s="253"/>
      <c r="AG2904" s="259"/>
      <c r="AH2904" s="253"/>
      <c r="AI2904" s="253"/>
      <c r="AJ2904" s="7"/>
      <c r="AK2904" s="253"/>
      <c r="AL2904" s="253"/>
      <c r="AM2904" s="7"/>
      <c r="AN2904" s="253"/>
      <c r="AO2904" s="253"/>
      <c r="AP2904" s="253"/>
      <c r="AQ2904" s="253"/>
      <c r="AR2904" s="253"/>
      <c r="AS2904" s="253"/>
      <c r="AT2904" s="253"/>
      <c r="AU2904" s="253"/>
      <c r="AV2904" s="253"/>
      <c r="AW2904" s="253"/>
      <c r="AX2904" s="253"/>
      <c r="AY2904" s="253"/>
      <c r="AZ2904" s="253"/>
    </row>
    <row r="2905" spans="1:52" ht="15.5" customHeight="1">
      <c r="A2905" s="363"/>
      <c r="B2905" s="343"/>
      <c r="C2905" s="7"/>
      <c r="D2905" s="254"/>
      <c r="E2905" s="254"/>
      <c r="F2905" s="254"/>
      <c r="G2905" s="253"/>
      <c r="H2905" s="253"/>
      <c r="I2905" s="253"/>
      <c r="J2905" s="253"/>
      <c r="K2905" s="253"/>
      <c r="L2905" s="7"/>
      <c r="M2905" s="7"/>
      <c r="N2905" s="253"/>
      <c r="O2905" s="255"/>
      <c r="P2905" s="253"/>
      <c r="Q2905" s="7"/>
      <c r="R2905" s="7"/>
      <c r="S2905" s="7"/>
      <c r="T2905" s="7"/>
      <c r="U2905" s="7"/>
      <c r="V2905" s="253"/>
      <c r="W2905" s="7"/>
      <c r="X2905" s="256"/>
      <c r="Y2905" s="256"/>
      <c r="Z2905" s="256"/>
      <c r="AA2905" s="256"/>
      <c r="AB2905" s="257"/>
      <c r="AC2905" s="258"/>
      <c r="AD2905" s="7"/>
      <c r="AE2905" s="253"/>
      <c r="AF2905" s="253"/>
      <c r="AG2905" s="259"/>
      <c r="AH2905" s="253"/>
      <c r="AI2905" s="253"/>
      <c r="AJ2905" s="7"/>
      <c r="AK2905" s="253"/>
      <c r="AL2905" s="253"/>
      <c r="AM2905" s="7"/>
      <c r="AN2905" s="253"/>
      <c r="AO2905" s="253"/>
      <c r="AP2905" s="253"/>
      <c r="AQ2905" s="253"/>
      <c r="AR2905" s="253"/>
      <c r="AS2905" s="253"/>
      <c r="AT2905" s="253"/>
      <c r="AU2905" s="253"/>
      <c r="AV2905" s="253"/>
      <c r="AW2905" s="253"/>
      <c r="AX2905" s="253"/>
      <c r="AY2905" s="253"/>
      <c r="AZ2905" s="253"/>
    </row>
    <row r="2906" spans="1:52" ht="15.5" customHeight="1">
      <c r="A2906" s="363"/>
      <c r="B2906" s="343"/>
      <c r="C2906" s="7"/>
      <c r="D2906" s="254"/>
      <c r="E2906" s="254"/>
      <c r="F2906" s="254"/>
      <c r="G2906" s="253"/>
      <c r="H2906" s="253"/>
      <c r="I2906" s="253"/>
      <c r="J2906" s="253"/>
      <c r="K2906" s="253"/>
      <c r="L2906" s="7"/>
      <c r="M2906" s="7"/>
      <c r="N2906" s="253"/>
      <c r="O2906" s="255"/>
      <c r="P2906" s="253"/>
      <c r="Q2906" s="7"/>
      <c r="R2906" s="7"/>
      <c r="S2906" s="7"/>
      <c r="T2906" s="7"/>
      <c r="U2906" s="7"/>
      <c r="V2906" s="253"/>
      <c r="W2906" s="7"/>
      <c r="X2906" s="256"/>
      <c r="Y2906" s="256"/>
      <c r="Z2906" s="256"/>
      <c r="AA2906" s="256"/>
      <c r="AB2906" s="257"/>
      <c r="AC2906" s="258"/>
      <c r="AD2906" s="7"/>
      <c r="AE2906" s="253"/>
      <c r="AF2906" s="253"/>
      <c r="AG2906" s="259"/>
      <c r="AH2906" s="253"/>
      <c r="AI2906" s="253"/>
      <c r="AJ2906" s="7"/>
      <c r="AK2906" s="253"/>
      <c r="AL2906" s="253"/>
      <c r="AM2906" s="7"/>
      <c r="AN2906" s="253"/>
      <c r="AO2906" s="253"/>
      <c r="AP2906" s="253"/>
      <c r="AQ2906" s="253"/>
      <c r="AR2906" s="253"/>
      <c r="AS2906" s="253"/>
      <c r="AT2906" s="253"/>
      <c r="AU2906" s="253"/>
      <c r="AV2906" s="253"/>
      <c r="AW2906" s="253"/>
      <c r="AX2906" s="253"/>
      <c r="AY2906" s="253"/>
      <c r="AZ2906" s="253"/>
    </row>
    <row r="2907" spans="1:52" ht="15.5" customHeight="1">
      <c r="A2907" s="363"/>
      <c r="B2907" s="343"/>
      <c r="C2907" s="7"/>
      <c r="D2907" s="254"/>
      <c r="E2907" s="254"/>
      <c r="F2907" s="254"/>
      <c r="G2907" s="253"/>
      <c r="H2907" s="253"/>
      <c r="I2907" s="253"/>
      <c r="J2907" s="253"/>
      <c r="K2907" s="253"/>
      <c r="L2907" s="7"/>
      <c r="M2907" s="7"/>
      <c r="N2907" s="253"/>
      <c r="O2907" s="255"/>
      <c r="P2907" s="253"/>
      <c r="Q2907" s="7"/>
      <c r="R2907" s="7"/>
      <c r="S2907" s="7"/>
      <c r="T2907" s="7"/>
      <c r="U2907" s="7"/>
      <c r="V2907" s="253"/>
      <c r="W2907" s="7"/>
      <c r="X2907" s="256"/>
      <c r="Y2907" s="256"/>
      <c r="Z2907" s="256"/>
      <c r="AA2907" s="256"/>
      <c r="AB2907" s="257"/>
      <c r="AC2907" s="258"/>
      <c r="AD2907" s="7"/>
      <c r="AE2907" s="253"/>
      <c r="AF2907" s="253"/>
      <c r="AG2907" s="259"/>
      <c r="AH2907" s="253"/>
      <c r="AI2907" s="253"/>
      <c r="AJ2907" s="7"/>
      <c r="AK2907" s="253"/>
      <c r="AL2907" s="253"/>
      <c r="AM2907" s="7"/>
      <c r="AN2907" s="253"/>
      <c r="AO2907" s="253"/>
      <c r="AP2907" s="253"/>
      <c r="AQ2907" s="253"/>
      <c r="AR2907" s="253"/>
      <c r="AS2907" s="253"/>
      <c r="AT2907" s="253"/>
      <c r="AU2907" s="253"/>
      <c r="AV2907" s="253"/>
      <c r="AW2907" s="253"/>
      <c r="AX2907" s="253"/>
      <c r="AY2907" s="253"/>
      <c r="AZ2907" s="253"/>
    </row>
    <row r="2908" spans="1:52" ht="15.5" customHeight="1">
      <c r="A2908" s="363"/>
      <c r="B2908" s="343"/>
      <c r="C2908" s="7"/>
      <c r="D2908" s="254"/>
      <c r="E2908" s="254"/>
      <c r="F2908" s="254"/>
      <c r="G2908" s="253"/>
      <c r="H2908" s="253"/>
      <c r="I2908" s="253"/>
      <c r="J2908" s="253"/>
      <c r="K2908" s="253"/>
      <c r="L2908" s="7"/>
      <c r="M2908" s="7"/>
      <c r="N2908" s="253"/>
      <c r="O2908" s="255"/>
      <c r="P2908" s="253"/>
      <c r="Q2908" s="7"/>
      <c r="R2908" s="7"/>
      <c r="S2908" s="7"/>
      <c r="T2908" s="7"/>
      <c r="U2908" s="7"/>
      <c r="V2908" s="253"/>
      <c r="W2908" s="7"/>
      <c r="X2908" s="256"/>
      <c r="Y2908" s="256"/>
      <c r="Z2908" s="256"/>
      <c r="AA2908" s="256"/>
      <c r="AB2908" s="257"/>
      <c r="AC2908" s="258"/>
      <c r="AD2908" s="7"/>
      <c r="AE2908" s="253"/>
      <c r="AF2908" s="253"/>
      <c r="AG2908" s="259"/>
      <c r="AH2908" s="253"/>
      <c r="AI2908" s="253"/>
      <c r="AJ2908" s="7"/>
      <c r="AK2908" s="253"/>
      <c r="AL2908" s="253"/>
      <c r="AM2908" s="7"/>
      <c r="AN2908" s="253"/>
      <c r="AO2908" s="253"/>
      <c r="AP2908" s="253"/>
      <c r="AQ2908" s="253"/>
      <c r="AR2908" s="253"/>
      <c r="AS2908" s="253"/>
      <c r="AT2908" s="253"/>
      <c r="AU2908" s="253"/>
      <c r="AV2908" s="253"/>
      <c r="AW2908" s="253"/>
      <c r="AX2908" s="253"/>
      <c r="AY2908" s="253"/>
      <c r="AZ2908" s="253"/>
    </row>
    <row r="2909" spans="1:52" ht="15.5" customHeight="1">
      <c r="A2909" s="363"/>
      <c r="B2909" s="343"/>
      <c r="C2909" s="7"/>
      <c r="D2909" s="254"/>
      <c r="E2909" s="254"/>
      <c r="F2909" s="254"/>
      <c r="G2909" s="253"/>
      <c r="H2909" s="253"/>
      <c r="I2909" s="253"/>
      <c r="J2909" s="253"/>
      <c r="K2909" s="253"/>
      <c r="L2909" s="7"/>
      <c r="M2909" s="7"/>
      <c r="N2909" s="253"/>
      <c r="O2909" s="255"/>
      <c r="P2909" s="253"/>
      <c r="Q2909" s="7"/>
      <c r="R2909" s="7"/>
      <c r="S2909" s="7"/>
      <c r="T2909" s="7"/>
      <c r="U2909" s="7"/>
      <c r="V2909" s="253"/>
      <c r="W2909" s="7"/>
      <c r="X2909" s="256"/>
      <c r="Y2909" s="256"/>
      <c r="Z2909" s="256"/>
      <c r="AA2909" s="256"/>
      <c r="AB2909" s="257"/>
      <c r="AC2909" s="258"/>
      <c r="AD2909" s="7"/>
      <c r="AE2909" s="253"/>
      <c r="AF2909" s="253"/>
      <c r="AG2909" s="259"/>
      <c r="AH2909" s="253"/>
      <c r="AI2909" s="253"/>
      <c r="AJ2909" s="7"/>
      <c r="AK2909" s="253"/>
      <c r="AL2909" s="253"/>
      <c r="AM2909" s="7"/>
      <c r="AN2909" s="253"/>
      <c r="AO2909" s="253"/>
      <c r="AP2909" s="253"/>
      <c r="AQ2909" s="253"/>
      <c r="AR2909" s="253"/>
      <c r="AS2909" s="253"/>
      <c r="AT2909" s="253"/>
      <c r="AU2909" s="253"/>
      <c r="AV2909" s="253"/>
      <c r="AW2909" s="253"/>
      <c r="AX2909" s="253"/>
      <c r="AY2909" s="253"/>
      <c r="AZ2909" s="253"/>
    </row>
    <row r="2910" spans="1:52" ht="15.5" customHeight="1">
      <c r="A2910" s="363"/>
      <c r="B2910" s="343"/>
      <c r="C2910" s="7"/>
      <c r="D2910" s="254"/>
      <c r="E2910" s="254"/>
      <c r="F2910" s="254"/>
      <c r="G2910" s="253"/>
      <c r="H2910" s="253"/>
      <c r="I2910" s="253"/>
      <c r="J2910" s="253"/>
      <c r="K2910" s="253"/>
      <c r="L2910" s="7"/>
      <c r="M2910" s="7"/>
      <c r="N2910" s="253"/>
      <c r="O2910" s="255"/>
      <c r="P2910" s="253"/>
      <c r="Q2910" s="7"/>
      <c r="R2910" s="7"/>
      <c r="S2910" s="7"/>
      <c r="T2910" s="7"/>
      <c r="U2910" s="7"/>
      <c r="V2910" s="253"/>
      <c r="W2910" s="7"/>
      <c r="X2910" s="256"/>
      <c r="Y2910" s="256"/>
      <c r="Z2910" s="256"/>
      <c r="AA2910" s="256"/>
      <c r="AB2910" s="257"/>
      <c r="AC2910" s="258"/>
      <c r="AD2910" s="7"/>
      <c r="AE2910" s="253"/>
      <c r="AF2910" s="253"/>
      <c r="AG2910" s="259"/>
      <c r="AH2910" s="253"/>
      <c r="AI2910" s="253"/>
      <c r="AJ2910" s="7"/>
      <c r="AK2910" s="253"/>
      <c r="AL2910" s="253"/>
      <c r="AM2910" s="7"/>
      <c r="AN2910" s="253"/>
      <c r="AO2910" s="253"/>
      <c r="AP2910" s="253"/>
      <c r="AQ2910" s="253"/>
      <c r="AR2910" s="253"/>
      <c r="AS2910" s="253"/>
      <c r="AT2910" s="253"/>
      <c r="AU2910" s="253"/>
      <c r="AV2910" s="253"/>
      <c r="AW2910" s="253"/>
      <c r="AX2910" s="253"/>
      <c r="AY2910" s="253"/>
      <c r="AZ2910" s="253"/>
    </row>
    <row r="2911" spans="1:52" ht="15.5" customHeight="1">
      <c r="A2911" s="363"/>
      <c r="B2911" s="343"/>
      <c r="C2911" s="7"/>
      <c r="D2911" s="254"/>
      <c r="E2911" s="254"/>
      <c r="F2911" s="254"/>
      <c r="G2911" s="253"/>
      <c r="H2911" s="253"/>
      <c r="I2911" s="253"/>
      <c r="J2911" s="253"/>
      <c r="K2911" s="253"/>
      <c r="L2911" s="7"/>
      <c r="M2911" s="7"/>
      <c r="N2911" s="253"/>
      <c r="O2911" s="255"/>
      <c r="P2911" s="253"/>
      <c r="Q2911" s="7"/>
      <c r="R2911" s="7"/>
      <c r="S2911" s="7"/>
      <c r="T2911" s="7"/>
      <c r="U2911" s="7"/>
      <c r="V2911" s="253"/>
      <c r="W2911" s="7"/>
      <c r="X2911" s="256"/>
      <c r="Y2911" s="256"/>
      <c r="Z2911" s="256"/>
      <c r="AA2911" s="256"/>
      <c r="AB2911" s="257"/>
      <c r="AC2911" s="258"/>
      <c r="AD2911" s="7"/>
      <c r="AE2911" s="253"/>
      <c r="AF2911" s="253"/>
      <c r="AG2911" s="259"/>
      <c r="AH2911" s="253"/>
      <c r="AI2911" s="253"/>
      <c r="AJ2911" s="7"/>
      <c r="AK2911" s="253"/>
      <c r="AL2911" s="253"/>
      <c r="AM2911" s="7"/>
      <c r="AN2911" s="253"/>
      <c r="AO2911" s="253"/>
      <c r="AP2911" s="253"/>
      <c r="AQ2911" s="253"/>
      <c r="AR2911" s="253"/>
      <c r="AS2911" s="253"/>
      <c r="AT2911" s="253"/>
      <c r="AU2911" s="253"/>
      <c r="AV2911" s="253"/>
      <c r="AW2911" s="253"/>
      <c r="AX2911" s="253"/>
      <c r="AY2911" s="253"/>
      <c r="AZ2911" s="253"/>
    </row>
    <row r="2912" spans="1:52" ht="15.5" customHeight="1">
      <c r="A2912" s="363"/>
      <c r="B2912" s="343"/>
      <c r="C2912" s="7"/>
      <c r="D2912" s="254"/>
      <c r="E2912" s="254"/>
      <c r="F2912" s="254"/>
      <c r="G2912" s="253"/>
      <c r="H2912" s="253"/>
      <c r="I2912" s="253"/>
      <c r="J2912" s="253"/>
      <c r="K2912" s="253"/>
      <c r="L2912" s="7"/>
      <c r="M2912" s="7"/>
      <c r="N2912" s="253"/>
      <c r="O2912" s="255"/>
      <c r="P2912" s="253"/>
      <c r="Q2912" s="7"/>
      <c r="R2912" s="7"/>
      <c r="S2912" s="7"/>
      <c r="T2912" s="7"/>
      <c r="U2912" s="7"/>
      <c r="V2912" s="253"/>
      <c r="W2912" s="7"/>
      <c r="X2912" s="256"/>
      <c r="Y2912" s="256"/>
      <c r="Z2912" s="256"/>
      <c r="AA2912" s="256"/>
      <c r="AB2912" s="257"/>
      <c r="AC2912" s="258"/>
      <c r="AD2912" s="7"/>
      <c r="AE2912" s="253"/>
      <c r="AF2912" s="253"/>
      <c r="AG2912" s="259"/>
      <c r="AH2912" s="253"/>
      <c r="AI2912" s="253"/>
      <c r="AJ2912" s="7"/>
      <c r="AK2912" s="253"/>
      <c r="AL2912" s="253"/>
      <c r="AM2912" s="7"/>
      <c r="AN2912" s="253"/>
      <c r="AO2912" s="253"/>
      <c r="AP2912" s="253"/>
      <c r="AQ2912" s="253"/>
      <c r="AR2912" s="253"/>
      <c r="AS2912" s="253"/>
      <c r="AT2912" s="253"/>
      <c r="AU2912" s="253"/>
      <c r="AV2912" s="253"/>
      <c r="AW2912" s="253"/>
      <c r="AX2912" s="253"/>
      <c r="AY2912" s="253"/>
      <c r="AZ2912" s="253"/>
    </row>
    <row r="2913" spans="1:52" ht="15.5" customHeight="1">
      <c r="A2913" s="363"/>
      <c r="B2913" s="343"/>
      <c r="C2913" s="7"/>
      <c r="D2913" s="254"/>
      <c r="E2913" s="254"/>
      <c r="F2913" s="254"/>
      <c r="G2913" s="253"/>
      <c r="H2913" s="253"/>
      <c r="I2913" s="253"/>
      <c r="J2913" s="253"/>
      <c r="K2913" s="253"/>
      <c r="L2913" s="7"/>
      <c r="M2913" s="7"/>
      <c r="N2913" s="253"/>
      <c r="O2913" s="255"/>
      <c r="P2913" s="253"/>
      <c r="Q2913" s="7"/>
      <c r="R2913" s="7"/>
      <c r="S2913" s="7"/>
      <c r="T2913" s="7"/>
      <c r="U2913" s="7"/>
      <c r="V2913" s="253"/>
      <c r="W2913" s="7"/>
      <c r="X2913" s="256"/>
      <c r="Y2913" s="256"/>
      <c r="Z2913" s="256"/>
      <c r="AA2913" s="256"/>
      <c r="AB2913" s="257"/>
      <c r="AC2913" s="258"/>
      <c r="AD2913" s="7"/>
      <c r="AE2913" s="253"/>
      <c r="AF2913" s="253"/>
      <c r="AG2913" s="259"/>
      <c r="AH2913" s="253"/>
      <c r="AI2913" s="253"/>
      <c r="AJ2913" s="7"/>
      <c r="AK2913" s="253"/>
      <c r="AL2913" s="253"/>
      <c r="AM2913" s="7"/>
      <c r="AN2913" s="253"/>
      <c r="AO2913" s="253"/>
      <c r="AP2913" s="253"/>
      <c r="AQ2913" s="253"/>
      <c r="AR2913" s="253"/>
      <c r="AS2913" s="253"/>
      <c r="AT2913" s="253"/>
      <c r="AU2913" s="253"/>
      <c r="AV2913" s="253"/>
      <c r="AW2913" s="253"/>
      <c r="AX2913" s="253"/>
      <c r="AY2913" s="253"/>
      <c r="AZ2913" s="253"/>
    </row>
    <row r="2914" spans="1:52" ht="15.5" customHeight="1">
      <c r="A2914" s="363"/>
      <c r="B2914" s="343"/>
      <c r="C2914" s="7"/>
      <c r="D2914" s="254"/>
      <c r="E2914" s="254"/>
      <c r="F2914" s="254"/>
      <c r="G2914" s="253"/>
      <c r="H2914" s="253"/>
      <c r="I2914" s="253"/>
      <c r="J2914" s="253"/>
      <c r="K2914" s="253"/>
      <c r="L2914" s="7"/>
      <c r="M2914" s="7"/>
      <c r="N2914" s="253"/>
      <c r="O2914" s="255"/>
      <c r="P2914" s="253"/>
      <c r="Q2914" s="7"/>
      <c r="R2914" s="7"/>
      <c r="S2914" s="7"/>
      <c r="T2914" s="7"/>
      <c r="U2914" s="7"/>
      <c r="V2914" s="253"/>
      <c r="W2914" s="7"/>
      <c r="X2914" s="256"/>
      <c r="Y2914" s="256"/>
      <c r="Z2914" s="256"/>
      <c r="AA2914" s="256"/>
      <c r="AB2914" s="257"/>
      <c r="AC2914" s="258"/>
      <c r="AD2914" s="7"/>
      <c r="AE2914" s="253"/>
      <c r="AF2914" s="253"/>
      <c r="AG2914" s="259"/>
      <c r="AH2914" s="253"/>
      <c r="AI2914" s="253"/>
      <c r="AJ2914" s="7"/>
      <c r="AK2914" s="253"/>
      <c r="AL2914" s="253"/>
      <c r="AM2914" s="7"/>
      <c r="AN2914" s="253"/>
      <c r="AO2914" s="253"/>
      <c r="AP2914" s="253"/>
      <c r="AQ2914" s="253"/>
      <c r="AR2914" s="253"/>
      <c r="AS2914" s="253"/>
      <c r="AT2914" s="253"/>
      <c r="AU2914" s="253"/>
      <c r="AV2914" s="253"/>
      <c r="AW2914" s="253"/>
      <c r="AX2914" s="253"/>
      <c r="AY2914" s="253"/>
      <c r="AZ2914" s="253"/>
    </row>
    <row r="2915" spans="1:52" ht="15.5" customHeight="1">
      <c r="A2915" s="363"/>
      <c r="B2915" s="343"/>
      <c r="C2915" s="7"/>
      <c r="D2915" s="254"/>
      <c r="E2915" s="254"/>
      <c r="F2915" s="254"/>
      <c r="G2915" s="253"/>
      <c r="H2915" s="253"/>
      <c r="I2915" s="253"/>
      <c r="J2915" s="253"/>
      <c r="K2915" s="253"/>
      <c r="L2915" s="7"/>
      <c r="M2915" s="7"/>
      <c r="N2915" s="253"/>
      <c r="O2915" s="255"/>
      <c r="P2915" s="253"/>
      <c r="Q2915" s="7"/>
      <c r="R2915" s="7"/>
      <c r="S2915" s="7"/>
      <c r="T2915" s="7"/>
      <c r="U2915" s="7"/>
      <c r="V2915" s="253"/>
      <c r="W2915" s="7"/>
      <c r="X2915" s="256"/>
      <c r="Y2915" s="256"/>
      <c r="Z2915" s="256"/>
      <c r="AA2915" s="256"/>
      <c r="AB2915" s="257"/>
      <c r="AC2915" s="258"/>
      <c r="AD2915" s="7"/>
      <c r="AE2915" s="253"/>
      <c r="AF2915" s="253"/>
      <c r="AG2915" s="259"/>
      <c r="AH2915" s="253"/>
      <c r="AI2915" s="253"/>
      <c r="AJ2915" s="7"/>
      <c r="AK2915" s="253"/>
      <c r="AL2915" s="253"/>
      <c r="AM2915" s="7"/>
      <c r="AN2915" s="253"/>
      <c r="AO2915" s="253"/>
      <c r="AP2915" s="253"/>
      <c r="AQ2915" s="253"/>
      <c r="AR2915" s="253"/>
      <c r="AS2915" s="253"/>
      <c r="AT2915" s="253"/>
      <c r="AU2915" s="253"/>
      <c r="AV2915" s="253"/>
      <c r="AW2915" s="253"/>
      <c r="AX2915" s="253"/>
      <c r="AY2915" s="253"/>
      <c r="AZ2915" s="253"/>
    </row>
    <row r="2916" spans="1:52" ht="15.5" customHeight="1">
      <c r="A2916" s="363"/>
      <c r="B2916" s="343"/>
      <c r="C2916" s="7"/>
      <c r="D2916" s="254"/>
      <c r="E2916" s="254"/>
      <c r="F2916" s="254"/>
      <c r="G2916" s="253"/>
      <c r="H2916" s="253"/>
      <c r="I2916" s="253"/>
      <c r="J2916" s="253"/>
      <c r="K2916" s="253"/>
      <c r="L2916" s="7"/>
      <c r="M2916" s="7"/>
      <c r="N2916" s="253"/>
      <c r="O2916" s="255"/>
      <c r="P2916" s="253"/>
      <c r="Q2916" s="7"/>
      <c r="R2916" s="7"/>
      <c r="S2916" s="7"/>
      <c r="T2916" s="7"/>
      <c r="U2916" s="7"/>
      <c r="V2916" s="253"/>
      <c r="W2916" s="7"/>
      <c r="X2916" s="256"/>
      <c r="Y2916" s="256"/>
      <c r="Z2916" s="256"/>
      <c r="AA2916" s="256"/>
      <c r="AB2916" s="257"/>
      <c r="AC2916" s="258"/>
      <c r="AD2916" s="7"/>
      <c r="AE2916" s="253"/>
      <c r="AF2916" s="253"/>
      <c r="AG2916" s="259"/>
      <c r="AH2916" s="253"/>
      <c r="AI2916" s="253"/>
      <c r="AJ2916" s="7"/>
      <c r="AK2916" s="253"/>
      <c r="AL2916" s="253"/>
      <c r="AM2916" s="7"/>
      <c r="AN2916" s="253"/>
      <c r="AO2916" s="253"/>
      <c r="AP2916" s="253"/>
      <c r="AQ2916" s="253"/>
      <c r="AR2916" s="253"/>
      <c r="AS2916" s="253"/>
      <c r="AT2916" s="253"/>
      <c r="AU2916" s="253"/>
      <c r="AV2916" s="253"/>
      <c r="AW2916" s="253"/>
      <c r="AX2916" s="253"/>
      <c r="AY2916" s="253"/>
      <c r="AZ2916" s="253"/>
    </row>
    <row r="2917" spans="1:52" ht="15.5" customHeight="1">
      <c r="A2917" s="363"/>
      <c r="B2917" s="343"/>
      <c r="C2917" s="7"/>
      <c r="D2917" s="254"/>
      <c r="E2917" s="254"/>
      <c r="F2917" s="254"/>
      <c r="G2917" s="253"/>
      <c r="H2917" s="253"/>
      <c r="I2917" s="253"/>
      <c r="J2917" s="253"/>
      <c r="K2917" s="253"/>
      <c r="L2917" s="7"/>
      <c r="M2917" s="7"/>
      <c r="N2917" s="253"/>
      <c r="O2917" s="255"/>
      <c r="P2917" s="253"/>
      <c r="Q2917" s="7"/>
      <c r="R2917" s="7"/>
      <c r="S2917" s="7"/>
      <c r="T2917" s="7"/>
      <c r="U2917" s="7"/>
      <c r="V2917" s="253"/>
      <c r="W2917" s="7"/>
      <c r="X2917" s="256"/>
      <c r="Y2917" s="256"/>
      <c r="Z2917" s="256"/>
      <c r="AA2917" s="256"/>
      <c r="AB2917" s="257"/>
      <c r="AC2917" s="258"/>
      <c r="AD2917" s="7"/>
      <c r="AE2917" s="253"/>
      <c r="AF2917" s="253"/>
      <c r="AG2917" s="259"/>
      <c r="AH2917" s="253"/>
      <c r="AI2917" s="253"/>
      <c r="AJ2917" s="7"/>
      <c r="AK2917" s="253"/>
      <c r="AL2917" s="253"/>
      <c r="AM2917" s="7"/>
      <c r="AN2917" s="253"/>
      <c r="AO2917" s="253"/>
      <c r="AP2917" s="253"/>
      <c r="AQ2917" s="253"/>
      <c r="AR2917" s="253"/>
      <c r="AS2917" s="253"/>
      <c r="AT2917" s="253"/>
      <c r="AU2917" s="253"/>
      <c r="AV2917" s="253"/>
      <c r="AW2917" s="253"/>
      <c r="AX2917" s="253"/>
      <c r="AY2917" s="253"/>
      <c r="AZ2917" s="253"/>
    </row>
    <row r="2918" spans="1:52" ht="15.5" customHeight="1">
      <c r="A2918" s="363"/>
      <c r="B2918" s="343"/>
      <c r="C2918" s="7"/>
      <c r="D2918" s="254"/>
      <c r="E2918" s="254"/>
      <c r="F2918" s="254"/>
      <c r="G2918" s="253"/>
      <c r="H2918" s="253"/>
      <c r="I2918" s="253"/>
      <c r="J2918" s="253"/>
      <c r="K2918" s="253"/>
      <c r="L2918" s="7"/>
      <c r="M2918" s="7"/>
      <c r="N2918" s="253"/>
      <c r="O2918" s="255"/>
      <c r="P2918" s="253"/>
      <c r="Q2918" s="7"/>
      <c r="R2918" s="7"/>
      <c r="S2918" s="7"/>
      <c r="T2918" s="7"/>
      <c r="U2918" s="7"/>
      <c r="V2918" s="253"/>
      <c r="W2918" s="7"/>
      <c r="X2918" s="256"/>
      <c r="Y2918" s="256"/>
      <c r="Z2918" s="256"/>
      <c r="AA2918" s="256"/>
      <c r="AB2918" s="257"/>
      <c r="AC2918" s="258"/>
      <c r="AD2918" s="7"/>
      <c r="AE2918" s="253"/>
      <c r="AF2918" s="253"/>
      <c r="AG2918" s="259"/>
      <c r="AH2918" s="253"/>
      <c r="AI2918" s="253"/>
      <c r="AJ2918" s="7"/>
      <c r="AK2918" s="253"/>
      <c r="AL2918" s="253"/>
      <c r="AM2918" s="7"/>
      <c r="AN2918" s="253"/>
      <c r="AO2918" s="253"/>
      <c r="AP2918" s="253"/>
      <c r="AQ2918" s="253"/>
      <c r="AR2918" s="253"/>
      <c r="AS2918" s="253"/>
      <c r="AT2918" s="253"/>
      <c r="AU2918" s="253"/>
      <c r="AV2918" s="253"/>
      <c r="AW2918" s="253"/>
      <c r="AX2918" s="253"/>
      <c r="AY2918" s="253"/>
      <c r="AZ2918" s="253"/>
    </row>
    <row r="2919" spans="1:52" ht="15.5" customHeight="1">
      <c r="A2919" s="363"/>
      <c r="B2919" s="343"/>
      <c r="C2919" s="7"/>
      <c r="D2919" s="254"/>
      <c r="E2919" s="254"/>
      <c r="F2919" s="254"/>
      <c r="G2919" s="253"/>
      <c r="H2919" s="253"/>
      <c r="I2919" s="253"/>
      <c r="J2919" s="253"/>
      <c r="K2919" s="253"/>
      <c r="L2919" s="7"/>
      <c r="M2919" s="7"/>
      <c r="N2919" s="253"/>
      <c r="O2919" s="255"/>
      <c r="P2919" s="253"/>
      <c r="Q2919" s="7"/>
      <c r="R2919" s="7"/>
      <c r="S2919" s="7"/>
      <c r="T2919" s="7"/>
      <c r="U2919" s="7"/>
      <c r="V2919" s="253"/>
      <c r="W2919" s="7"/>
      <c r="X2919" s="256"/>
      <c r="Y2919" s="256"/>
      <c r="Z2919" s="256"/>
      <c r="AA2919" s="256"/>
      <c r="AB2919" s="257"/>
      <c r="AC2919" s="258"/>
      <c r="AD2919" s="7"/>
      <c r="AE2919" s="253"/>
      <c r="AF2919" s="253"/>
      <c r="AG2919" s="259"/>
      <c r="AH2919" s="253"/>
      <c r="AI2919" s="253"/>
      <c r="AJ2919" s="7"/>
      <c r="AK2919" s="253"/>
      <c r="AL2919" s="253"/>
      <c r="AM2919" s="7"/>
      <c r="AN2919" s="253"/>
      <c r="AO2919" s="253"/>
      <c r="AP2919" s="253"/>
      <c r="AQ2919" s="253"/>
      <c r="AR2919" s="253"/>
      <c r="AS2919" s="253"/>
      <c r="AT2919" s="253"/>
      <c r="AU2919" s="253"/>
      <c r="AV2919" s="253"/>
      <c r="AW2919" s="253"/>
      <c r="AX2919" s="253"/>
      <c r="AY2919" s="253"/>
      <c r="AZ2919" s="253"/>
    </row>
    <row r="2920" spans="1:52" ht="15.5" customHeight="1">
      <c r="A2920" s="363"/>
      <c r="B2920" s="343"/>
      <c r="C2920" s="7"/>
      <c r="D2920" s="254"/>
      <c r="E2920" s="254"/>
      <c r="F2920" s="254"/>
      <c r="G2920" s="253"/>
      <c r="H2920" s="253"/>
      <c r="I2920" s="253"/>
      <c r="J2920" s="253"/>
      <c r="K2920" s="253"/>
      <c r="L2920" s="7"/>
      <c r="M2920" s="7"/>
      <c r="N2920" s="253"/>
      <c r="O2920" s="255"/>
      <c r="P2920" s="253"/>
      <c r="Q2920" s="7"/>
      <c r="R2920" s="7"/>
      <c r="S2920" s="7"/>
      <c r="T2920" s="7"/>
      <c r="U2920" s="7"/>
      <c r="V2920" s="253"/>
      <c r="W2920" s="7"/>
      <c r="X2920" s="256"/>
      <c r="Y2920" s="256"/>
      <c r="Z2920" s="256"/>
      <c r="AA2920" s="256"/>
      <c r="AB2920" s="257"/>
      <c r="AC2920" s="258"/>
      <c r="AD2920" s="7"/>
      <c r="AE2920" s="253"/>
      <c r="AF2920" s="253"/>
      <c r="AG2920" s="259"/>
      <c r="AH2920" s="253"/>
      <c r="AI2920" s="253"/>
      <c r="AJ2920" s="7"/>
      <c r="AK2920" s="253"/>
      <c r="AL2920" s="253"/>
      <c r="AM2920" s="7"/>
      <c r="AN2920" s="253"/>
      <c r="AO2920" s="253"/>
      <c r="AP2920" s="253"/>
      <c r="AQ2920" s="253"/>
      <c r="AR2920" s="253"/>
      <c r="AS2920" s="253"/>
      <c r="AT2920" s="253"/>
      <c r="AU2920" s="253"/>
      <c r="AV2920" s="253"/>
      <c r="AW2920" s="253"/>
      <c r="AX2920" s="253"/>
      <c r="AY2920" s="253"/>
      <c r="AZ2920" s="253"/>
    </row>
    <row r="2921" spans="1:52" ht="15.5" customHeight="1">
      <c r="A2921" s="363"/>
      <c r="B2921" s="343"/>
      <c r="C2921" s="7"/>
      <c r="D2921" s="254"/>
      <c r="E2921" s="254"/>
      <c r="F2921" s="254"/>
      <c r="G2921" s="253"/>
      <c r="H2921" s="253"/>
      <c r="I2921" s="253"/>
      <c r="J2921" s="253"/>
      <c r="K2921" s="253"/>
      <c r="L2921" s="7"/>
      <c r="M2921" s="7"/>
      <c r="N2921" s="253"/>
      <c r="O2921" s="255"/>
      <c r="P2921" s="253"/>
      <c r="Q2921" s="7"/>
      <c r="R2921" s="7"/>
      <c r="S2921" s="7"/>
      <c r="T2921" s="7"/>
      <c r="U2921" s="7"/>
      <c r="V2921" s="253"/>
      <c r="W2921" s="7"/>
      <c r="X2921" s="256"/>
      <c r="Y2921" s="256"/>
      <c r="Z2921" s="256"/>
      <c r="AA2921" s="256"/>
      <c r="AB2921" s="257"/>
      <c r="AC2921" s="258"/>
      <c r="AD2921" s="7"/>
      <c r="AE2921" s="253"/>
      <c r="AF2921" s="253"/>
      <c r="AG2921" s="259"/>
      <c r="AH2921" s="253"/>
      <c r="AI2921" s="253"/>
      <c r="AJ2921" s="7"/>
      <c r="AK2921" s="253"/>
      <c r="AL2921" s="253"/>
      <c r="AM2921" s="7"/>
      <c r="AN2921" s="253"/>
      <c r="AO2921" s="253"/>
      <c r="AP2921" s="253"/>
      <c r="AQ2921" s="253"/>
      <c r="AR2921" s="253"/>
      <c r="AS2921" s="253"/>
      <c r="AT2921" s="253"/>
      <c r="AU2921" s="253"/>
      <c r="AV2921" s="253"/>
      <c r="AW2921" s="253"/>
      <c r="AX2921" s="253"/>
      <c r="AY2921" s="253"/>
      <c r="AZ2921" s="253"/>
    </row>
    <row r="2922" spans="1:52" ht="15.5" customHeight="1">
      <c r="A2922" s="363"/>
      <c r="B2922" s="343"/>
      <c r="C2922" s="7"/>
      <c r="D2922" s="254"/>
      <c r="E2922" s="254"/>
      <c r="F2922" s="254"/>
      <c r="G2922" s="253"/>
      <c r="H2922" s="253"/>
      <c r="I2922" s="253"/>
      <c r="J2922" s="253"/>
      <c r="K2922" s="253"/>
      <c r="L2922" s="7"/>
      <c r="M2922" s="7"/>
      <c r="N2922" s="253"/>
      <c r="O2922" s="255"/>
      <c r="P2922" s="253"/>
      <c r="Q2922" s="7"/>
      <c r="R2922" s="7"/>
      <c r="S2922" s="7"/>
      <c r="T2922" s="7"/>
      <c r="U2922" s="7"/>
      <c r="V2922" s="253"/>
      <c r="W2922" s="7"/>
      <c r="X2922" s="256"/>
      <c r="Y2922" s="256"/>
      <c r="Z2922" s="256"/>
      <c r="AA2922" s="256"/>
      <c r="AB2922" s="257"/>
      <c r="AC2922" s="258"/>
      <c r="AD2922" s="7"/>
      <c r="AE2922" s="253"/>
      <c r="AF2922" s="253"/>
      <c r="AG2922" s="259"/>
      <c r="AH2922" s="253"/>
      <c r="AI2922" s="253"/>
      <c r="AJ2922" s="7"/>
      <c r="AK2922" s="253"/>
      <c r="AL2922" s="253"/>
      <c r="AM2922" s="7"/>
      <c r="AN2922" s="253"/>
      <c r="AO2922" s="253"/>
      <c r="AP2922" s="253"/>
      <c r="AQ2922" s="253"/>
      <c r="AR2922" s="253"/>
      <c r="AS2922" s="253"/>
      <c r="AT2922" s="253"/>
      <c r="AU2922" s="253"/>
      <c r="AV2922" s="253"/>
      <c r="AW2922" s="253"/>
      <c r="AX2922" s="253"/>
      <c r="AY2922" s="253"/>
      <c r="AZ2922" s="253"/>
    </row>
    <row r="2923" spans="1:52" ht="15.5" customHeight="1">
      <c r="A2923" s="363"/>
      <c r="B2923" s="343"/>
      <c r="C2923" s="7"/>
      <c r="D2923" s="254"/>
      <c r="E2923" s="254"/>
      <c r="F2923" s="254"/>
      <c r="G2923" s="253"/>
      <c r="H2923" s="253"/>
      <c r="I2923" s="253"/>
      <c r="J2923" s="253"/>
      <c r="K2923" s="253"/>
      <c r="L2923" s="7"/>
      <c r="M2923" s="7"/>
      <c r="N2923" s="253"/>
      <c r="O2923" s="255"/>
      <c r="P2923" s="253"/>
      <c r="Q2923" s="7"/>
      <c r="R2923" s="7"/>
      <c r="S2923" s="7"/>
      <c r="T2923" s="7"/>
      <c r="U2923" s="7"/>
      <c r="V2923" s="253"/>
      <c r="W2923" s="7"/>
      <c r="X2923" s="256"/>
      <c r="Y2923" s="256"/>
      <c r="Z2923" s="256"/>
      <c r="AA2923" s="256"/>
      <c r="AB2923" s="257"/>
      <c r="AC2923" s="258"/>
      <c r="AD2923" s="7"/>
      <c r="AE2923" s="253"/>
      <c r="AF2923" s="253"/>
      <c r="AG2923" s="259"/>
      <c r="AH2923" s="253"/>
      <c r="AI2923" s="253"/>
      <c r="AJ2923" s="7"/>
      <c r="AK2923" s="253"/>
      <c r="AL2923" s="253"/>
      <c r="AM2923" s="7"/>
      <c r="AN2923" s="253"/>
      <c r="AO2923" s="253"/>
      <c r="AP2923" s="253"/>
      <c r="AQ2923" s="253"/>
      <c r="AR2923" s="253"/>
      <c r="AS2923" s="253"/>
      <c r="AT2923" s="253"/>
      <c r="AU2923" s="253"/>
      <c r="AV2923" s="253"/>
      <c r="AW2923" s="253"/>
      <c r="AX2923" s="253"/>
      <c r="AY2923" s="253"/>
      <c r="AZ2923" s="253"/>
    </row>
    <row r="2924" spans="1:52" ht="15.5" customHeight="1">
      <c r="A2924" s="363"/>
      <c r="B2924" s="343"/>
      <c r="C2924" s="7"/>
      <c r="D2924" s="254"/>
      <c r="E2924" s="254"/>
      <c r="F2924" s="254"/>
      <c r="G2924" s="253"/>
      <c r="H2924" s="253"/>
      <c r="I2924" s="253"/>
      <c r="J2924" s="253"/>
      <c r="K2924" s="253"/>
      <c r="L2924" s="7"/>
      <c r="M2924" s="7"/>
      <c r="N2924" s="253"/>
      <c r="O2924" s="255"/>
      <c r="P2924" s="253"/>
      <c r="Q2924" s="7"/>
      <c r="R2924" s="7"/>
      <c r="S2924" s="7"/>
      <c r="T2924" s="7"/>
      <c r="U2924" s="7"/>
      <c r="V2924" s="253"/>
      <c r="W2924" s="7"/>
      <c r="X2924" s="256"/>
      <c r="Y2924" s="256"/>
      <c r="Z2924" s="256"/>
      <c r="AA2924" s="256"/>
      <c r="AB2924" s="257"/>
      <c r="AC2924" s="258"/>
      <c r="AD2924" s="7"/>
      <c r="AE2924" s="253"/>
      <c r="AF2924" s="253"/>
      <c r="AG2924" s="259"/>
      <c r="AH2924" s="253"/>
      <c r="AI2924" s="253"/>
      <c r="AJ2924" s="7"/>
      <c r="AK2924" s="253"/>
      <c r="AL2924" s="253"/>
      <c r="AM2924" s="7"/>
      <c r="AN2924" s="253"/>
      <c r="AO2924" s="253"/>
      <c r="AP2924" s="253"/>
      <c r="AQ2924" s="253"/>
      <c r="AR2924" s="253"/>
      <c r="AS2924" s="253"/>
      <c r="AT2924" s="253"/>
      <c r="AU2924" s="253"/>
      <c r="AV2924" s="253"/>
      <c r="AW2924" s="253"/>
      <c r="AX2924" s="253"/>
      <c r="AY2924" s="253"/>
      <c r="AZ2924" s="253"/>
    </row>
    <row r="2925" spans="1:52" ht="15.5" customHeight="1">
      <c r="A2925" s="363"/>
      <c r="B2925" s="343"/>
      <c r="C2925" s="7"/>
      <c r="D2925" s="254"/>
      <c r="E2925" s="254"/>
      <c r="F2925" s="254"/>
      <c r="G2925" s="253"/>
      <c r="H2925" s="253"/>
      <c r="I2925" s="253"/>
      <c r="J2925" s="253"/>
      <c r="K2925" s="253"/>
      <c r="L2925" s="7"/>
      <c r="M2925" s="7"/>
      <c r="N2925" s="253"/>
      <c r="O2925" s="255"/>
      <c r="P2925" s="253"/>
      <c r="Q2925" s="7"/>
      <c r="R2925" s="7"/>
      <c r="S2925" s="7"/>
      <c r="T2925" s="7"/>
      <c r="U2925" s="7"/>
      <c r="V2925" s="253"/>
      <c r="W2925" s="7"/>
      <c r="X2925" s="256"/>
      <c r="Y2925" s="256"/>
      <c r="Z2925" s="256"/>
      <c r="AA2925" s="256"/>
      <c r="AB2925" s="257"/>
      <c r="AC2925" s="258"/>
      <c r="AD2925" s="7"/>
      <c r="AE2925" s="253"/>
      <c r="AF2925" s="253"/>
      <c r="AG2925" s="259"/>
      <c r="AH2925" s="253"/>
      <c r="AI2925" s="253"/>
      <c r="AJ2925" s="7"/>
      <c r="AK2925" s="253"/>
      <c r="AL2925" s="253"/>
      <c r="AM2925" s="7"/>
      <c r="AN2925" s="253"/>
      <c r="AO2925" s="253"/>
      <c r="AP2925" s="253"/>
      <c r="AQ2925" s="253"/>
      <c r="AR2925" s="253"/>
      <c r="AS2925" s="253"/>
      <c r="AT2925" s="253"/>
      <c r="AU2925" s="253"/>
      <c r="AV2925" s="253"/>
      <c r="AW2925" s="253"/>
      <c r="AX2925" s="253"/>
      <c r="AY2925" s="253"/>
      <c r="AZ2925" s="253"/>
    </row>
    <row r="2926" spans="1:52" ht="15.5" customHeight="1">
      <c r="A2926" s="363"/>
      <c r="B2926" s="343"/>
      <c r="C2926" s="7"/>
      <c r="D2926" s="254"/>
      <c r="E2926" s="254"/>
      <c r="F2926" s="254"/>
      <c r="G2926" s="253"/>
      <c r="H2926" s="253"/>
      <c r="I2926" s="253"/>
      <c r="J2926" s="253"/>
      <c r="K2926" s="253"/>
      <c r="L2926" s="7"/>
      <c r="M2926" s="7"/>
      <c r="N2926" s="253"/>
      <c r="O2926" s="255"/>
      <c r="P2926" s="253"/>
      <c r="Q2926" s="7"/>
      <c r="R2926" s="7"/>
      <c r="S2926" s="7"/>
      <c r="T2926" s="7"/>
      <c r="U2926" s="7"/>
      <c r="V2926" s="253"/>
      <c r="W2926" s="7"/>
      <c r="X2926" s="256"/>
      <c r="Y2926" s="256"/>
      <c r="Z2926" s="256"/>
      <c r="AA2926" s="256"/>
      <c r="AB2926" s="257"/>
      <c r="AC2926" s="258"/>
      <c r="AD2926" s="7"/>
      <c r="AE2926" s="253"/>
      <c r="AF2926" s="253"/>
      <c r="AG2926" s="259"/>
      <c r="AH2926" s="253"/>
      <c r="AI2926" s="253"/>
      <c r="AJ2926" s="7"/>
      <c r="AK2926" s="253"/>
      <c r="AL2926" s="253"/>
      <c r="AM2926" s="7"/>
      <c r="AN2926" s="253"/>
      <c r="AO2926" s="253"/>
      <c r="AP2926" s="253"/>
      <c r="AQ2926" s="253"/>
      <c r="AR2926" s="253"/>
      <c r="AS2926" s="253"/>
      <c r="AT2926" s="253"/>
      <c r="AU2926" s="253"/>
      <c r="AV2926" s="253"/>
      <c r="AW2926" s="253"/>
      <c r="AX2926" s="253"/>
      <c r="AY2926" s="253"/>
      <c r="AZ2926" s="253"/>
    </row>
    <row r="2927" spans="1:52" ht="15.5" customHeight="1">
      <c r="A2927" s="363"/>
      <c r="B2927" s="343"/>
      <c r="C2927" s="7"/>
      <c r="D2927" s="254"/>
      <c r="E2927" s="254"/>
      <c r="F2927" s="254"/>
      <c r="G2927" s="253"/>
      <c r="H2927" s="253"/>
      <c r="I2927" s="253"/>
      <c r="J2927" s="253"/>
      <c r="K2927" s="253"/>
      <c r="L2927" s="7"/>
      <c r="M2927" s="7"/>
      <c r="N2927" s="253"/>
      <c r="O2927" s="255"/>
      <c r="P2927" s="253"/>
      <c r="Q2927" s="7"/>
      <c r="R2927" s="7"/>
      <c r="S2927" s="7"/>
      <c r="T2927" s="7"/>
      <c r="U2927" s="7"/>
      <c r="V2927" s="253"/>
      <c r="W2927" s="7"/>
      <c r="X2927" s="256"/>
      <c r="Y2927" s="256"/>
      <c r="Z2927" s="256"/>
      <c r="AA2927" s="256"/>
      <c r="AB2927" s="257"/>
      <c r="AC2927" s="258"/>
      <c r="AD2927" s="7"/>
      <c r="AE2927" s="253"/>
      <c r="AF2927" s="253"/>
      <c r="AG2927" s="259"/>
      <c r="AH2927" s="253"/>
      <c r="AI2927" s="253"/>
      <c r="AJ2927" s="7"/>
      <c r="AK2927" s="253"/>
      <c r="AL2927" s="253"/>
      <c r="AM2927" s="7"/>
      <c r="AN2927" s="253"/>
      <c r="AO2927" s="253"/>
      <c r="AP2927" s="253"/>
      <c r="AQ2927" s="253"/>
      <c r="AR2927" s="253"/>
      <c r="AS2927" s="253"/>
      <c r="AT2927" s="253"/>
      <c r="AU2927" s="253"/>
      <c r="AV2927" s="253"/>
      <c r="AW2927" s="253"/>
      <c r="AX2927" s="253"/>
      <c r="AY2927" s="253"/>
      <c r="AZ2927" s="253"/>
    </row>
    <row r="2928" spans="1:52" ht="15.5" customHeight="1">
      <c r="A2928" s="363"/>
      <c r="B2928" s="343"/>
      <c r="C2928" s="7"/>
      <c r="D2928" s="254"/>
      <c r="E2928" s="254"/>
      <c r="F2928" s="254"/>
      <c r="G2928" s="253"/>
      <c r="H2928" s="253"/>
      <c r="I2928" s="253"/>
      <c r="J2928" s="253"/>
      <c r="K2928" s="253"/>
      <c r="L2928" s="7"/>
      <c r="M2928" s="7"/>
      <c r="N2928" s="253"/>
      <c r="O2928" s="255"/>
      <c r="P2928" s="253"/>
      <c r="Q2928" s="7"/>
      <c r="R2928" s="7"/>
      <c r="S2928" s="7"/>
      <c r="T2928" s="7"/>
      <c r="U2928" s="7"/>
      <c r="V2928" s="253"/>
      <c r="W2928" s="7"/>
      <c r="X2928" s="256"/>
      <c r="Y2928" s="256"/>
      <c r="Z2928" s="256"/>
      <c r="AA2928" s="256"/>
      <c r="AB2928" s="257"/>
      <c r="AC2928" s="258"/>
      <c r="AD2928" s="7"/>
      <c r="AE2928" s="253"/>
      <c r="AF2928" s="253"/>
      <c r="AG2928" s="259"/>
      <c r="AH2928" s="253"/>
      <c r="AI2928" s="253"/>
      <c r="AJ2928" s="7"/>
      <c r="AK2928" s="253"/>
      <c r="AL2928" s="253"/>
      <c r="AM2928" s="7"/>
      <c r="AN2928" s="253"/>
      <c r="AO2928" s="253"/>
      <c r="AP2928" s="253"/>
      <c r="AQ2928" s="253"/>
      <c r="AR2928" s="253"/>
      <c r="AS2928" s="253"/>
      <c r="AT2928" s="253"/>
      <c r="AU2928" s="253"/>
      <c r="AV2928" s="253"/>
      <c r="AW2928" s="253"/>
      <c r="AX2928" s="253"/>
      <c r="AY2928" s="253"/>
      <c r="AZ2928" s="253"/>
    </row>
    <row r="2929" spans="1:52" ht="15.5" customHeight="1">
      <c r="A2929" s="363"/>
      <c r="B2929" s="343"/>
      <c r="C2929" s="7"/>
      <c r="D2929" s="254"/>
      <c r="E2929" s="254"/>
      <c r="F2929" s="254"/>
      <c r="G2929" s="253"/>
      <c r="H2929" s="253"/>
      <c r="I2929" s="253"/>
      <c r="J2929" s="253"/>
      <c r="K2929" s="253"/>
      <c r="L2929" s="7"/>
      <c r="M2929" s="7"/>
      <c r="N2929" s="253"/>
      <c r="O2929" s="255"/>
      <c r="P2929" s="253"/>
      <c r="Q2929" s="7"/>
      <c r="R2929" s="7"/>
      <c r="S2929" s="7"/>
      <c r="T2929" s="7"/>
      <c r="U2929" s="7"/>
      <c r="V2929" s="253"/>
      <c r="W2929" s="7"/>
      <c r="X2929" s="256"/>
      <c r="Y2929" s="256"/>
      <c r="Z2929" s="256"/>
      <c r="AA2929" s="256"/>
      <c r="AB2929" s="257"/>
      <c r="AC2929" s="258"/>
      <c r="AD2929" s="7"/>
      <c r="AE2929" s="253"/>
      <c r="AF2929" s="253"/>
      <c r="AG2929" s="259"/>
      <c r="AH2929" s="253"/>
      <c r="AI2929" s="253"/>
      <c r="AJ2929" s="7"/>
      <c r="AK2929" s="253"/>
      <c r="AL2929" s="253"/>
      <c r="AM2929" s="7"/>
      <c r="AN2929" s="253"/>
      <c r="AO2929" s="253"/>
      <c r="AP2929" s="253"/>
      <c r="AQ2929" s="253"/>
      <c r="AR2929" s="253"/>
      <c r="AS2929" s="253"/>
      <c r="AT2929" s="253"/>
      <c r="AU2929" s="253"/>
      <c r="AV2929" s="253"/>
      <c r="AW2929" s="253"/>
      <c r="AX2929" s="253"/>
      <c r="AY2929" s="253"/>
      <c r="AZ2929" s="253"/>
    </row>
    <row r="2930" spans="1:52" ht="15.5" customHeight="1">
      <c r="A2930" s="363"/>
      <c r="B2930" s="343"/>
      <c r="C2930" s="7"/>
      <c r="D2930" s="254"/>
      <c r="E2930" s="254"/>
      <c r="F2930" s="254"/>
      <c r="G2930" s="253"/>
      <c r="H2930" s="253"/>
      <c r="I2930" s="253"/>
      <c r="J2930" s="253"/>
      <c r="K2930" s="253"/>
      <c r="L2930" s="7"/>
      <c r="M2930" s="7"/>
      <c r="N2930" s="253"/>
      <c r="O2930" s="255"/>
      <c r="P2930" s="253"/>
      <c r="Q2930" s="7"/>
      <c r="R2930" s="7"/>
      <c r="S2930" s="7"/>
      <c r="T2930" s="7"/>
      <c r="U2930" s="7"/>
      <c r="V2930" s="253"/>
      <c r="W2930" s="7"/>
      <c r="X2930" s="256"/>
      <c r="Y2930" s="256"/>
      <c r="Z2930" s="256"/>
      <c r="AA2930" s="256"/>
      <c r="AB2930" s="257"/>
      <c r="AC2930" s="258"/>
      <c r="AD2930" s="7"/>
      <c r="AE2930" s="253"/>
      <c r="AF2930" s="253"/>
      <c r="AG2930" s="259"/>
      <c r="AH2930" s="253"/>
      <c r="AI2930" s="253"/>
      <c r="AJ2930" s="7"/>
      <c r="AK2930" s="253"/>
      <c r="AL2930" s="253"/>
      <c r="AM2930" s="7"/>
      <c r="AN2930" s="253"/>
      <c r="AO2930" s="253"/>
      <c r="AP2930" s="253"/>
      <c r="AQ2930" s="253"/>
      <c r="AR2930" s="253"/>
      <c r="AS2930" s="253"/>
      <c r="AT2930" s="253"/>
      <c r="AU2930" s="253"/>
      <c r="AV2930" s="253"/>
      <c r="AW2930" s="253"/>
      <c r="AX2930" s="253"/>
      <c r="AY2930" s="253"/>
      <c r="AZ2930" s="253"/>
    </row>
    <row r="2931" spans="1:52" ht="15.5" customHeight="1">
      <c r="A2931" s="363"/>
      <c r="B2931" s="343"/>
      <c r="C2931" s="7"/>
      <c r="D2931" s="254"/>
      <c r="E2931" s="254"/>
      <c r="F2931" s="254"/>
      <c r="G2931" s="253"/>
      <c r="H2931" s="253"/>
      <c r="I2931" s="253"/>
      <c r="J2931" s="253"/>
      <c r="K2931" s="253"/>
      <c r="L2931" s="7"/>
      <c r="M2931" s="7"/>
      <c r="N2931" s="253"/>
      <c r="O2931" s="255"/>
      <c r="P2931" s="253"/>
      <c r="Q2931" s="7"/>
      <c r="R2931" s="7"/>
      <c r="S2931" s="7"/>
      <c r="T2931" s="7"/>
      <c r="U2931" s="7"/>
      <c r="V2931" s="253"/>
      <c r="W2931" s="7"/>
      <c r="X2931" s="256"/>
      <c r="Y2931" s="256"/>
      <c r="Z2931" s="256"/>
      <c r="AA2931" s="256"/>
      <c r="AB2931" s="257"/>
      <c r="AC2931" s="258"/>
      <c r="AD2931" s="7"/>
      <c r="AE2931" s="253"/>
      <c r="AF2931" s="253"/>
      <c r="AG2931" s="259"/>
      <c r="AH2931" s="253"/>
      <c r="AI2931" s="253"/>
      <c r="AJ2931" s="7"/>
      <c r="AK2931" s="253"/>
      <c r="AL2931" s="253"/>
      <c r="AM2931" s="7"/>
      <c r="AN2931" s="253"/>
      <c r="AO2931" s="253"/>
      <c r="AP2931" s="253"/>
      <c r="AQ2931" s="253"/>
      <c r="AR2931" s="253"/>
      <c r="AS2931" s="253"/>
      <c r="AT2931" s="253"/>
      <c r="AU2931" s="253"/>
      <c r="AV2931" s="253"/>
      <c r="AW2931" s="253"/>
      <c r="AX2931" s="253"/>
      <c r="AY2931" s="253"/>
      <c r="AZ2931" s="253"/>
    </row>
    <row r="2932" spans="1:52" ht="15.5" customHeight="1">
      <c r="A2932" s="363"/>
      <c r="B2932" s="343"/>
      <c r="C2932" s="7"/>
      <c r="D2932" s="254"/>
      <c r="E2932" s="254"/>
      <c r="F2932" s="254"/>
      <c r="G2932" s="253"/>
      <c r="H2932" s="253"/>
      <c r="I2932" s="253"/>
      <c r="J2932" s="253"/>
      <c r="K2932" s="253"/>
      <c r="L2932" s="7"/>
      <c r="M2932" s="7"/>
      <c r="N2932" s="253"/>
      <c r="O2932" s="255"/>
      <c r="P2932" s="253"/>
      <c r="Q2932" s="7"/>
      <c r="R2932" s="7"/>
      <c r="S2932" s="7"/>
      <c r="T2932" s="7"/>
      <c r="U2932" s="7"/>
      <c r="V2932" s="253"/>
      <c r="W2932" s="7"/>
      <c r="X2932" s="256"/>
      <c r="Y2932" s="256"/>
      <c r="Z2932" s="256"/>
      <c r="AA2932" s="256"/>
      <c r="AB2932" s="257"/>
      <c r="AC2932" s="258"/>
      <c r="AD2932" s="7"/>
      <c r="AE2932" s="253"/>
      <c r="AF2932" s="253"/>
      <c r="AG2932" s="259"/>
      <c r="AH2932" s="253"/>
      <c r="AI2932" s="253"/>
      <c r="AJ2932" s="7"/>
      <c r="AK2932" s="253"/>
      <c r="AL2932" s="253"/>
      <c r="AM2932" s="7"/>
      <c r="AN2932" s="253"/>
      <c r="AO2932" s="253"/>
      <c r="AP2932" s="253"/>
      <c r="AQ2932" s="253"/>
      <c r="AR2932" s="253"/>
      <c r="AS2932" s="253"/>
      <c r="AT2932" s="253"/>
      <c r="AU2932" s="253"/>
      <c r="AV2932" s="253"/>
      <c r="AW2932" s="253"/>
      <c r="AX2932" s="253"/>
      <c r="AY2932" s="253"/>
      <c r="AZ2932" s="253"/>
    </row>
    <row r="2933" spans="1:52" ht="15.5" customHeight="1">
      <c r="A2933" s="363"/>
      <c r="B2933" s="343"/>
      <c r="C2933" s="7"/>
      <c r="D2933" s="254"/>
      <c r="E2933" s="254"/>
      <c r="F2933" s="254"/>
      <c r="G2933" s="253"/>
      <c r="H2933" s="253"/>
      <c r="I2933" s="253"/>
      <c r="J2933" s="253"/>
      <c r="K2933" s="253"/>
      <c r="L2933" s="7"/>
      <c r="M2933" s="7"/>
      <c r="N2933" s="253"/>
      <c r="O2933" s="255"/>
      <c r="P2933" s="253"/>
      <c r="Q2933" s="7"/>
      <c r="R2933" s="7"/>
      <c r="S2933" s="7"/>
      <c r="T2933" s="7"/>
      <c r="U2933" s="7"/>
      <c r="V2933" s="253"/>
      <c r="W2933" s="7"/>
      <c r="X2933" s="256"/>
      <c r="Y2933" s="256"/>
      <c r="Z2933" s="256"/>
      <c r="AA2933" s="256"/>
      <c r="AB2933" s="257"/>
      <c r="AC2933" s="258"/>
      <c r="AD2933" s="7"/>
      <c r="AE2933" s="253"/>
      <c r="AF2933" s="253"/>
      <c r="AG2933" s="259"/>
      <c r="AH2933" s="253"/>
      <c r="AI2933" s="253"/>
      <c r="AJ2933" s="7"/>
      <c r="AK2933" s="253"/>
      <c r="AL2933" s="253"/>
      <c r="AM2933" s="7"/>
      <c r="AN2933" s="253"/>
      <c r="AO2933" s="253"/>
      <c r="AP2933" s="253"/>
      <c r="AQ2933" s="253"/>
      <c r="AR2933" s="253"/>
      <c r="AS2933" s="253"/>
      <c r="AT2933" s="253"/>
      <c r="AU2933" s="253"/>
      <c r="AV2933" s="253"/>
      <c r="AW2933" s="253"/>
      <c r="AX2933" s="253"/>
      <c r="AY2933" s="253"/>
      <c r="AZ2933" s="253"/>
    </row>
    <row r="2934" spans="1:52" ht="15.5" customHeight="1">
      <c r="A2934" s="363"/>
      <c r="B2934" s="343"/>
      <c r="C2934" s="7"/>
      <c r="D2934" s="254"/>
      <c r="E2934" s="254"/>
      <c r="F2934" s="254"/>
      <c r="G2934" s="253"/>
      <c r="H2934" s="253"/>
      <c r="I2934" s="253"/>
      <c r="J2934" s="253"/>
      <c r="K2934" s="253"/>
      <c r="L2934" s="7"/>
      <c r="M2934" s="7"/>
      <c r="N2934" s="253"/>
      <c r="O2934" s="255"/>
      <c r="P2934" s="253"/>
      <c r="Q2934" s="7"/>
      <c r="R2934" s="7"/>
      <c r="S2934" s="7"/>
      <c r="T2934" s="7"/>
      <c r="U2934" s="7"/>
      <c r="V2934" s="253"/>
      <c r="W2934" s="7"/>
      <c r="X2934" s="256"/>
      <c r="Y2934" s="256"/>
      <c r="Z2934" s="256"/>
      <c r="AA2934" s="256"/>
      <c r="AB2934" s="257"/>
      <c r="AC2934" s="258"/>
      <c r="AD2934" s="7"/>
      <c r="AE2934" s="253"/>
      <c r="AF2934" s="253"/>
      <c r="AG2934" s="259"/>
      <c r="AH2934" s="253"/>
      <c r="AI2934" s="253"/>
      <c r="AJ2934" s="7"/>
      <c r="AK2934" s="253"/>
      <c r="AL2934" s="253"/>
      <c r="AM2934" s="7"/>
      <c r="AN2934" s="253"/>
      <c r="AO2934" s="253"/>
      <c r="AP2934" s="253"/>
      <c r="AQ2934" s="253"/>
      <c r="AR2934" s="253"/>
      <c r="AS2934" s="253"/>
      <c r="AT2934" s="253"/>
      <c r="AU2934" s="253"/>
      <c r="AV2934" s="253"/>
      <c r="AW2934" s="253"/>
      <c r="AX2934" s="253"/>
      <c r="AY2934" s="253"/>
      <c r="AZ2934" s="253"/>
    </row>
    <row r="2935" spans="1:52" ht="15.5" customHeight="1">
      <c r="A2935" s="363"/>
      <c r="B2935" s="343"/>
      <c r="C2935" s="7"/>
      <c r="D2935" s="254"/>
      <c r="E2935" s="254"/>
      <c r="F2935" s="254"/>
      <c r="G2935" s="253"/>
      <c r="H2935" s="253"/>
      <c r="I2935" s="253"/>
      <c r="J2935" s="253"/>
      <c r="K2935" s="253"/>
      <c r="L2935" s="7"/>
      <c r="M2935" s="7"/>
      <c r="N2935" s="253"/>
      <c r="O2935" s="255"/>
      <c r="P2935" s="253"/>
      <c r="Q2935" s="7"/>
      <c r="R2935" s="7"/>
      <c r="S2935" s="7"/>
      <c r="T2935" s="7"/>
      <c r="U2935" s="7"/>
      <c r="V2935" s="253"/>
      <c r="W2935" s="7"/>
      <c r="X2935" s="256"/>
      <c r="Y2935" s="256"/>
      <c r="Z2935" s="256"/>
      <c r="AA2935" s="256"/>
      <c r="AB2935" s="257"/>
      <c r="AC2935" s="258"/>
      <c r="AD2935" s="7"/>
      <c r="AE2935" s="253"/>
      <c r="AF2935" s="253"/>
      <c r="AG2935" s="259"/>
      <c r="AH2935" s="253"/>
      <c r="AI2935" s="253"/>
      <c r="AJ2935" s="7"/>
      <c r="AK2935" s="253"/>
      <c r="AL2935" s="253"/>
      <c r="AM2935" s="7"/>
      <c r="AN2935" s="253"/>
      <c r="AO2935" s="253"/>
      <c r="AP2935" s="253"/>
      <c r="AQ2935" s="253"/>
      <c r="AR2935" s="253"/>
      <c r="AS2935" s="253"/>
      <c r="AT2935" s="253"/>
      <c r="AU2935" s="253"/>
      <c r="AV2935" s="253"/>
      <c r="AW2935" s="253"/>
      <c r="AX2935" s="253"/>
      <c r="AY2935" s="253"/>
      <c r="AZ2935" s="253"/>
    </row>
    <row r="2936" spans="1:52" ht="15.5" customHeight="1">
      <c r="A2936" s="363"/>
      <c r="B2936" s="343"/>
      <c r="C2936" s="7"/>
      <c r="D2936" s="254"/>
      <c r="E2936" s="254"/>
      <c r="F2936" s="254"/>
      <c r="G2936" s="253"/>
      <c r="H2936" s="253"/>
      <c r="I2936" s="253"/>
      <c r="J2936" s="253"/>
      <c r="K2936" s="253"/>
      <c r="L2936" s="7"/>
      <c r="M2936" s="7"/>
      <c r="N2936" s="253"/>
      <c r="O2936" s="255"/>
      <c r="P2936" s="253"/>
      <c r="Q2936" s="7"/>
      <c r="R2936" s="7"/>
      <c r="S2936" s="7"/>
      <c r="T2936" s="7"/>
      <c r="U2936" s="7"/>
      <c r="V2936" s="253"/>
      <c r="W2936" s="7"/>
      <c r="X2936" s="256"/>
      <c r="Y2936" s="256"/>
      <c r="Z2936" s="256"/>
      <c r="AA2936" s="256"/>
      <c r="AB2936" s="257"/>
      <c r="AC2936" s="258"/>
      <c r="AD2936" s="7"/>
      <c r="AE2936" s="253"/>
      <c r="AF2936" s="253"/>
      <c r="AG2936" s="259"/>
      <c r="AH2936" s="253"/>
      <c r="AI2936" s="253"/>
      <c r="AJ2936" s="7"/>
      <c r="AK2936" s="253"/>
      <c r="AL2936" s="253"/>
      <c r="AM2936" s="7"/>
      <c r="AN2936" s="253"/>
      <c r="AO2936" s="253"/>
      <c r="AP2936" s="253"/>
      <c r="AQ2936" s="253"/>
      <c r="AR2936" s="253"/>
      <c r="AS2936" s="253"/>
      <c r="AT2936" s="253"/>
      <c r="AU2936" s="253"/>
      <c r="AV2936" s="253"/>
      <c r="AW2936" s="253"/>
      <c r="AX2936" s="253"/>
      <c r="AY2936" s="253"/>
      <c r="AZ2936" s="253"/>
    </row>
    <row r="2937" spans="1:52" ht="15.5" customHeight="1">
      <c r="A2937" s="363"/>
      <c r="B2937" s="343"/>
      <c r="C2937" s="7"/>
      <c r="D2937" s="254"/>
      <c r="E2937" s="254"/>
      <c r="F2937" s="254"/>
      <c r="G2937" s="253"/>
      <c r="H2937" s="253"/>
      <c r="I2937" s="253"/>
      <c r="J2937" s="253"/>
      <c r="K2937" s="253"/>
      <c r="L2937" s="7"/>
      <c r="M2937" s="7"/>
      <c r="N2937" s="253"/>
      <c r="O2937" s="255"/>
      <c r="P2937" s="253"/>
      <c r="Q2937" s="7"/>
      <c r="R2937" s="7"/>
      <c r="S2937" s="7"/>
      <c r="T2937" s="7"/>
      <c r="U2937" s="7"/>
      <c r="V2937" s="253"/>
      <c r="W2937" s="7"/>
      <c r="X2937" s="256"/>
      <c r="Y2937" s="256"/>
      <c r="Z2937" s="256"/>
      <c r="AA2937" s="256"/>
      <c r="AB2937" s="257"/>
      <c r="AC2937" s="258"/>
      <c r="AD2937" s="7"/>
      <c r="AE2937" s="253"/>
      <c r="AF2937" s="253"/>
      <c r="AG2937" s="259"/>
      <c r="AH2937" s="253"/>
      <c r="AI2937" s="253"/>
      <c r="AJ2937" s="7"/>
      <c r="AK2937" s="253"/>
      <c r="AL2937" s="253"/>
      <c r="AM2937" s="7"/>
      <c r="AN2937" s="253"/>
      <c r="AO2937" s="253"/>
      <c r="AP2937" s="253"/>
      <c r="AQ2937" s="253"/>
      <c r="AR2937" s="253"/>
      <c r="AS2937" s="253"/>
      <c r="AT2937" s="253"/>
      <c r="AU2937" s="253"/>
      <c r="AV2937" s="253"/>
      <c r="AW2937" s="253"/>
      <c r="AX2937" s="253"/>
      <c r="AY2937" s="253"/>
      <c r="AZ2937" s="253"/>
    </row>
    <row r="2938" spans="1:52" ht="15.5" customHeight="1">
      <c r="A2938" s="363"/>
      <c r="B2938" s="343"/>
      <c r="C2938" s="7"/>
      <c r="D2938" s="254"/>
      <c r="E2938" s="254"/>
      <c r="F2938" s="254"/>
      <c r="G2938" s="253"/>
      <c r="H2938" s="253"/>
      <c r="I2938" s="253"/>
      <c r="J2938" s="253"/>
      <c r="K2938" s="253"/>
      <c r="L2938" s="7"/>
      <c r="M2938" s="7"/>
      <c r="N2938" s="253"/>
      <c r="O2938" s="255"/>
      <c r="P2938" s="253"/>
      <c r="Q2938" s="7"/>
      <c r="R2938" s="7"/>
      <c r="S2938" s="7"/>
      <c r="T2938" s="7"/>
      <c r="U2938" s="7"/>
      <c r="V2938" s="253"/>
      <c r="W2938" s="7"/>
      <c r="X2938" s="256"/>
      <c r="Y2938" s="256"/>
      <c r="Z2938" s="256"/>
      <c r="AA2938" s="256"/>
      <c r="AB2938" s="257"/>
      <c r="AC2938" s="258"/>
      <c r="AD2938" s="7"/>
      <c r="AE2938" s="253"/>
      <c r="AF2938" s="253"/>
      <c r="AG2938" s="259"/>
      <c r="AH2938" s="253"/>
      <c r="AI2938" s="253"/>
      <c r="AJ2938" s="7"/>
      <c r="AK2938" s="253"/>
      <c r="AL2938" s="253"/>
      <c r="AM2938" s="7"/>
      <c r="AN2938" s="253"/>
      <c r="AO2938" s="253"/>
      <c r="AP2938" s="253"/>
      <c r="AQ2938" s="253"/>
      <c r="AR2938" s="253"/>
      <c r="AS2938" s="253"/>
      <c r="AT2938" s="253"/>
      <c r="AU2938" s="253"/>
      <c r="AV2938" s="253"/>
      <c r="AW2938" s="253"/>
      <c r="AX2938" s="253"/>
      <c r="AY2938" s="253"/>
      <c r="AZ2938" s="253"/>
    </row>
    <row r="2939" spans="1:52" ht="15.5" customHeight="1">
      <c r="A2939" s="363"/>
      <c r="B2939" s="343"/>
      <c r="C2939" s="7"/>
      <c r="D2939" s="254"/>
      <c r="E2939" s="254"/>
      <c r="F2939" s="254"/>
      <c r="G2939" s="253"/>
      <c r="H2939" s="253"/>
      <c r="I2939" s="253"/>
      <c r="J2939" s="253"/>
      <c r="K2939" s="253"/>
      <c r="L2939" s="7"/>
      <c r="M2939" s="7"/>
      <c r="N2939" s="253"/>
      <c r="O2939" s="255"/>
      <c r="P2939" s="253"/>
      <c r="Q2939" s="7"/>
      <c r="R2939" s="7"/>
      <c r="S2939" s="7"/>
      <c r="T2939" s="7"/>
      <c r="U2939" s="7"/>
      <c r="V2939" s="253"/>
      <c r="W2939" s="7"/>
      <c r="X2939" s="256"/>
      <c r="Y2939" s="256"/>
      <c r="Z2939" s="256"/>
      <c r="AA2939" s="256"/>
      <c r="AB2939" s="257"/>
      <c r="AC2939" s="258"/>
      <c r="AD2939" s="7"/>
      <c r="AE2939" s="253"/>
      <c r="AF2939" s="253"/>
      <c r="AG2939" s="259"/>
      <c r="AH2939" s="253"/>
      <c r="AI2939" s="253"/>
      <c r="AJ2939" s="7"/>
      <c r="AK2939" s="253"/>
      <c r="AL2939" s="253"/>
      <c r="AM2939" s="7"/>
      <c r="AN2939" s="253"/>
      <c r="AO2939" s="253"/>
      <c r="AP2939" s="253"/>
      <c r="AQ2939" s="253"/>
      <c r="AR2939" s="253"/>
      <c r="AS2939" s="253"/>
      <c r="AT2939" s="253"/>
      <c r="AU2939" s="253"/>
      <c r="AV2939" s="253"/>
      <c r="AW2939" s="253"/>
      <c r="AX2939" s="253"/>
      <c r="AY2939" s="253"/>
      <c r="AZ2939" s="253"/>
    </row>
    <row r="2940" spans="1:52" ht="15.5" customHeight="1">
      <c r="A2940" s="363"/>
      <c r="B2940" s="343"/>
      <c r="C2940" s="7"/>
      <c r="D2940" s="254"/>
      <c r="E2940" s="254"/>
      <c r="F2940" s="254"/>
      <c r="G2940" s="253"/>
      <c r="H2940" s="253"/>
      <c r="I2940" s="253"/>
      <c r="J2940" s="253"/>
      <c r="K2940" s="253"/>
      <c r="L2940" s="7"/>
      <c r="M2940" s="7"/>
      <c r="N2940" s="253"/>
      <c r="O2940" s="255"/>
      <c r="P2940" s="253"/>
      <c r="Q2940" s="7"/>
      <c r="R2940" s="7"/>
      <c r="S2940" s="7"/>
      <c r="T2940" s="7"/>
      <c r="U2940" s="7"/>
      <c r="V2940" s="253"/>
      <c r="W2940" s="7"/>
      <c r="X2940" s="256"/>
      <c r="Y2940" s="256"/>
      <c r="Z2940" s="256"/>
      <c r="AA2940" s="256"/>
      <c r="AB2940" s="257"/>
      <c r="AC2940" s="258"/>
      <c r="AD2940" s="7"/>
      <c r="AE2940" s="253"/>
      <c r="AF2940" s="253"/>
      <c r="AG2940" s="259"/>
      <c r="AH2940" s="253"/>
      <c r="AI2940" s="253"/>
      <c r="AJ2940" s="7"/>
      <c r="AK2940" s="253"/>
      <c r="AL2940" s="253"/>
      <c r="AM2940" s="7"/>
      <c r="AN2940" s="253"/>
      <c r="AO2940" s="253"/>
      <c r="AP2940" s="253"/>
      <c r="AQ2940" s="253"/>
      <c r="AR2940" s="253"/>
      <c r="AS2940" s="253"/>
      <c r="AT2940" s="253"/>
      <c r="AU2940" s="253"/>
      <c r="AV2940" s="253"/>
      <c r="AW2940" s="253"/>
      <c r="AX2940" s="253"/>
      <c r="AY2940" s="253"/>
      <c r="AZ2940" s="253"/>
    </row>
    <row r="2941" spans="1:52" ht="15.5" customHeight="1">
      <c r="A2941" s="363"/>
      <c r="B2941" s="343"/>
      <c r="C2941" s="7"/>
      <c r="D2941" s="254"/>
      <c r="E2941" s="254"/>
      <c r="F2941" s="254"/>
      <c r="G2941" s="253"/>
      <c r="H2941" s="253"/>
      <c r="I2941" s="253"/>
      <c r="J2941" s="253"/>
      <c r="K2941" s="253"/>
      <c r="L2941" s="7"/>
      <c r="M2941" s="7"/>
      <c r="N2941" s="253"/>
      <c r="O2941" s="255"/>
      <c r="P2941" s="253"/>
      <c r="Q2941" s="7"/>
      <c r="R2941" s="7"/>
      <c r="S2941" s="7"/>
      <c r="T2941" s="7"/>
      <c r="U2941" s="7"/>
      <c r="V2941" s="253"/>
      <c r="W2941" s="7"/>
      <c r="X2941" s="256"/>
      <c r="Y2941" s="256"/>
      <c r="Z2941" s="256"/>
      <c r="AA2941" s="256"/>
      <c r="AB2941" s="257"/>
      <c r="AC2941" s="258"/>
      <c r="AD2941" s="7"/>
      <c r="AE2941" s="253"/>
      <c r="AF2941" s="253"/>
      <c r="AG2941" s="259"/>
      <c r="AH2941" s="253"/>
      <c r="AI2941" s="253"/>
      <c r="AJ2941" s="7"/>
      <c r="AK2941" s="253"/>
      <c r="AL2941" s="253"/>
      <c r="AM2941" s="7"/>
      <c r="AN2941" s="253"/>
      <c r="AO2941" s="253"/>
      <c r="AP2941" s="253"/>
      <c r="AQ2941" s="253"/>
      <c r="AR2941" s="253"/>
      <c r="AS2941" s="253"/>
      <c r="AT2941" s="253"/>
      <c r="AU2941" s="253"/>
      <c r="AV2941" s="253"/>
      <c r="AW2941" s="253"/>
      <c r="AX2941" s="253"/>
      <c r="AY2941" s="253"/>
      <c r="AZ2941" s="253"/>
    </row>
    <row r="2942" spans="1:52" ht="15.5" customHeight="1">
      <c r="A2942" s="363"/>
      <c r="B2942" s="343"/>
      <c r="C2942" s="7"/>
      <c r="D2942" s="254"/>
      <c r="E2942" s="254"/>
      <c r="F2942" s="254"/>
      <c r="G2942" s="253"/>
      <c r="H2942" s="253"/>
      <c r="I2942" s="253"/>
      <c r="J2942" s="253"/>
      <c r="K2942" s="253"/>
      <c r="L2942" s="7"/>
      <c r="M2942" s="7"/>
      <c r="N2942" s="253"/>
      <c r="O2942" s="255"/>
      <c r="P2942" s="253"/>
      <c r="Q2942" s="7"/>
      <c r="R2942" s="7"/>
      <c r="S2942" s="7"/>
      <c r="T2942" s="7"/>
      <c r="U2942" s="7"/>
      <c r="V2942" s="253"/>
      <c r="W2942" s="7"/>
      <c r="X2942" s="256"/>
      <c r="Y2942" s="256"/>
      <c r="Z2942" s="256"/>
      <c r="AA2942" s="256"/>
      <c r="AB2942" s="257"/>
      <c r="AC2942" s="258"/>
      <c r="AD2942" s="7"/>
      <c r="AE2942" s="253"/>
      <c r="AF2942" s="253"/>
      <c r="AG2942" s="259"/>
      <c r="AH2942" s="253"/>
      <c r="AI2942" s="253"/>
      <c r="AJ2942" s="7"/>
      <c r="AK2942" s="253"/>
      <c r="AL2942" s="253"/>
      <c r="AM2942" s="7"/>
      <c r="AN2942" s="253"/>
      <c r="AO2942" s="253"/>
      <c r="AP2942" s="253"/>
      <c r="AQ2942" s="253"/>
      <c r="AR2942" s="253"/>
      <c r="AS2942" s="253"/>
      <c r="AT2942" s="253"/>
      <c r="AU2942" s="253"/>
      <c r="AV2942" s="253"/>
      <c r="AW2942" s="253"/>
      <c r="AX2942" s="253"/>
      <c r="AY2942" s="253"/>
      <c r="AZ2942" s="253"/>
    </row>
    <row r="2943" spans="1:52" ht="15.5" customHeight="1">
      <c r="A2943" s="363"/>
      <c r="B2943" s="343"/>
      <c r="C2943" s="7"/>
      <c r="D2943" s="254"/>
      <c r="E2943" s="254"/>
      <c r="F2943" s="254"/>
      <c r="G2943" s="253"/>
      <c r="H2943" s="253"/>
      <c r="I2943" s="253"/>
      <c r="J2943" s="253"/>
      <c r="K2943" s="253"/>
      <c r="L2943" s="7"/>
      <c r="M2943" s="7"/>
      <c r="N2943" s="253"/>
      <c r="O2943" s="255"/>
      <c r="P2943" s="253"/>
      <c r="Q2943" s="7"/>
      <c r="R2943" s="7"/>
      <c r="S2943" s="7"/>
      <c r="T2943" s="7"/>
      <c r="U2943" s="7"/>
      <c r="V2943" s="253"/>
      <c r="W2943" s="7"/>
      <c r="X2943" s="256"/>
      <c r="Y2943" s="256"/>
      <c r="Z2943" s="256"/>
      <c r="AA2943" s="256"/>
      <c r="AB2943" s="257"/>
      <c r="AC2943" s="258"/>
      <c r="AD2943" s="7"/>
      <c r="AE2943" s="253"/>
      <c r="AF2943" s="253"/>
      <c r="AG2943" s="259"/>
      <c r="AH2943" s="253"/>
      <c r="AI2943" s="253"/>
      <c r="AJ2943" s="7"/>
      <c r="AK2943" s="253"/>
      <c r="AL2943" s="253"/>
      <c r="AM2943" s="7"/>
      <c r="AN2943" s="253"/>
      <c r="AO2943" s="253"/>
      <c r="AP2943" s="253"/>
      <c r="AQ2943" s="253"/>
      <c r="AR2943" s="253"/>
      <c r="AS2943" s="253"/>
      <c r="AT2943" s="253"/>
      <c r="AU2943" s="253"/>
      <c r="AV2943" s="253"/>
      <c r="AW2943" s="253"/>
      <c r="AX2943" s="253"/>
      <c r="AY2943" s="253"/>
      <c r="AZ2943" s="253"/>
    </row>
    <row r="2944" spans="1:52" ht="15.5" customHeight="1">
      <c r="A2944" s="363"/>
      <c r="B2944" s="343"/>
      <c r="C2944" s="7"/>
      <c r="D2944" s="254"/>
      <c r="E2944" s="254"/>
      <c r="F2944" s="254"/>
      <c r="G2944" s="253"/>
      <c r="H2944" s="253"/>
      <c r="I2944" s="253"/>
      <c r="J2944" s="253"/>
      <c r="K2944" s="253"/>
      <c r="L2944" s="7"/>
      <c r="M2944" s="7"/>
      <c r="N2944" s="253"/>
      <c r="O2944" s="255"/>
      <c r="P2944" s="253"/>
      <c r="Q2944" s="7"/>
      <c r="R2944" s="7"/>
      <c r="S2944" s="7"/>
      <c r="T2944" s="7"/>
      <c r="U2944" s="7"/>
      <c r="V2944" s="253"/>
      <c r="W2944" s="7"/>
      <c r="X2944" s="256"/>
      <c r="Y2944" s="256"/>
      <c r="Z2944" s="256"/>
      <c r="AA2944" s="256"/>
      <c r="AB2944" s="257"/>
      <c r="AC2944" s="258"/>
      <c r="AD2944" s="7"/>
      <c r="AE2944" s="253"/>
      <c r="AF2944" s="253"/>
      <c r="AG2944" s="259"/>
      <c r="AH2944" s="253"/>
      <c r="AI2944" s="253"/>
      <c r="AJ2944" s="7"/>
      <c r="AK2944" s="253"/>
      <c r="AL2944" s="253"/>
      <c r="AM2944" s="7"/>
      <c r="AN2944" s="253"/>
      <c r="AO2944" s="253"/>
      <c r="AP2944" s="253"/>
      <c r="AQ2944" s="253"/>
      <c r="AR2944" s="253"/>
      <c r="AS2944" s="253"/>
      <c r="AT2944" s="253"/>
      <c r="AU2944" s="253"/>
      <c r="AV2944" s="253"/>
      <c r="AW2944" s="253"/>
      <c r="AX2944" s="253"/>
      <c r="AY2944" s="253"/>
      <c r="AZ2944" s="253"/>
    </row>
    <row r="2945" spans="1:52" ht="15.5" customHeight="1">
      <c r="A2945" s="363"/>
      <c r="B2945" s="343"/>
      <c r="C2945" s="7"/>
      <c r="D2945" s="254"/>
      <c r="E2945" s="254"/>
      <c r="F2945" s="254"/>
      <c r="G2945" s="253"/>
      <c r="H2945" s="253"/>
      <c r="I2945" s="253"/>
      <c r="J2945" s="253"/>
      <c r="K2945" s="253"/>
      <c r="L2945" s="7"/>
      <c r="M2945" s="7"/>
      <c r="N2945" s="253"/>
      <c r="O2945" s="255"/>
      <c r="P2945" s="253"/>
      <c r="Q2945" s="7"/>
      <c r="R2945" s="7"/>
      <c r="S2945" s="7"/>
      <c r="T2945" s="7"/>
      <c r="U2945" s="7"/>
      <c r="V2945" s="253"/>
      <c r="W2945" s="7"/>
      <c r="X2945" s="256"/>
      <c r="Y2945" s="256"/>
      <c r="Z2945" s="256"/>
      <c r="AA2945" s="256"/>
      <c r="AB2945" s="257"/>
      <c r="AC2945" s="258"/>
      <c r="AD2945" s="7"/>
      <c r="AE2945" s="253"/>
      <c r="AF2945" s="253"/>
      <c r="AG2945" s="259"/>
      <c r="AH2945" s="253"/>
      <c r="AI2945" s="253"/>
      <c r="AJ2945" s="7"/>
      <c r="AK2945" s="253"/>
      <c r="AL2945" s="253"/>
      <c r="AM2945" s="7"/>
      <c r="AN2945" s="253"/>
      <c r="AO2945" s="253"/>
      <c r="AP2945" s="253"/>
      <c r="AQ2945" s="253"/>
      <c r="AR2945" s="253"/>
      <c r="AS2945" s="253"/>
      <c r="AT2945" s="253"/>
      <c r="AU2945" s="253"/>
      <c r="AV2945" s="253"/>
      <c r="AW2945" s="253"/>
      <c r="AX2945" s="253"/>
      <c r="AY2945" s="253"/>
      <c r="AZ2945" s="253"/>
    </row>
    <row r="2946" spans="1:52" ht="15.5" customHeight="1">
      <c r="A2946" s="363"/>
      <c r="B2946" s="343"/>
      <c r="C2946" s="7"/>
      <c r="D2946" s="254"/>
      <c r="E2946" s="254"/>
      <c r="F2946" s="254"/>
      <c r="G2946" s="253"/>
      <c r="H2946" s="253"/>
      <c r="I2946" s="253"/>
      <c r="J2946" s="253"/>
      <c r="K2946" s="253"/>
      <c r="L2946" s="7"/>
      <c r="M2946" s="7"/>
      <c r="N2946" s="253"/>
      <c r="O2946" s="255"/>
      <c r="P2946" s="253"/>
      <c r="Q2946" s="7"/>
      <c r="R2946" s="7"/>
      <c r="S2946" s="7"/>
      <c r="T2946" s="7"/>
      <c r="U2946" s="7"/>
      <c r="V2946" s="253"/>
      <c r="W2946" s="7"/>
      <c r="X2946" s="256"/>
      <c r="Y2946" s="256"/>
      <c r="Z2946" s="256"/>
      <c r="AA2946" s="256"/>
      <c r="AB2946" s="257"/>
      <c r="AC2946" s="258"/>
      <c r="AD2946" s="7"/>
      <c r="AE2946" s="253"/>
      <c r="AF2946" s="253"/>
      <c r="AG2946" s="259"/>
      <c r="AH2946" s="253"/>
      <c r="AI2946" s="253"/>
      <c r="AJ2946" s="7"/>
      <c r="AK2946" s="253"/>
      <c r="AL2946" s="253"/>
      <c r="AM2946" s="7"/>
      <c r="AN2946" s="253"/>
      <c r="AO2946" s="253"/>
      <c r="AP2946" s="253"/>
      <c r="AQ2946" s="253"/>
      <c r="AR2946" s="253"/>
      <c r="AS2946" s="253"/>
      <c r="AT2946" s="253"/>
      <c r="AU2946" s="253"/>
      <c r="AV2946" s="253"/>
      <c r="AW2946" s="253"/>
      <c r="AX2946" s="253"/>
      <c r="AY2946" s="253"/>
      <c r="AZ2946" s="253"/>
    </row>
    <row r="2947" spans="1:52" ht="15.5" customHeight="1">
      <c r="A2947" s="363"/>
      <c r="B2947" s="343"/>
      <c r="C2947" s="7"/>
      <c r="D2947" s="254"/>
      <c r="E2947" s="254"/>
      <c r="F2947" s="254"/>
      <c r="G2947" s="253"/>
      <c r="H2947" s="253"/>
      <c r="I2947" s="253"/>
      <c r="J2947" s="253"/>
      <c r="K2947" s="253"/>
      <c r="L2947" s="7"/>
      <c r="M2947" s="7"/>
      <c r="N2947" s="253"/>
      <c r="O2947" s="255"/>
      <c r="P2947" s="253"/>
      <c r="Q2947" s="7"/>
      <c r="R2947" s="7"/>
      <c r="S2947" s="7"/>
      <c r="T2947" s="7"/>
      <c r="U2947" s="7"/>
      <c r="V2947" s="253"/>
      <c r="W2947" s="7"/>
      <c r="X2947" s="256"/>
      <c r="Y2947" s="256"/>
      <c r="Z2947" s="256"/>
      <c r="AA2947" s="256"/>
      <c r="AB2947" s="257"/>
      <c r="AC2947" s="258"/>
      <c r="AD2947" s="7"/>
      <c r="AE2947" s="253"/>
      <c r="AF2947" s="253"/>
      <c r="AG2947" s="259"/>
      <c r="AH2947" s="253"/>
      <c r="AI2947" s="253"/>
      <c r="AJ2947" s="7"/>
      <c r="AK2947" s="253"/>
      <c r="AL2947" s="253"/>
      <c r="AM2947" s="7"/>
      <c r="AN2947" s="253"/>
      <c r="AO2947" s="253"/>
      <c r="AP2947" s="253"/>
      <c r="AQ2947" s="253"/>
      <c r="AR2947" s="253"/>
      <c r="AS2947" s="253"/>
      <c r="AT2947" s="253"/>
      <c r="AU2947" s="253"/>
      <c r="AV2947" s="253"/>
      <c r="AW2947" s="253"/>
      <c r="AX2947" s="253"/>
      <c r="AY2947" s="253"/>
      <c r="AZ2947" s="253"/>
    </row>
    <row r="2948" spans="1:52" ht="15.5" customHeight="1">
      <c r="A2948" s="363"/>
      <c r="B2948" s="343"/>
      <c r="C2948" s="7"/>
      <c r="D2948" s="254"/>
      <c r="E2948" s="254"/>
      <c r="F2948" s="254"/>
      <c r="G2948" s="253"/>
      <c r="H2948" s="253"/>
      <c r="I2948" s="253"/>
      <c r="J2948" s="253"/>
      <c r="K2948" s="253"/>
      <c r="L2948" s="7"/>
      <c r="M2948" s="7"/>
      <c r="N2948" s="253"/>
      <c r="O2948" s="255"/>
      <c r="P2948" s="253"/>
      <c r="Q2948" s="7"/>
      <c r="R2948" s="7"/>
      <c r="S2948" s="7"/>
      <c r="T2948" s="7"/>
      <c r="U2948" s="7"/>
      <c r="V2948" s="253"/>
      <c r="W2948" s="7"/>
      <c r="X2948" s="256"/>
      <c r="Y2948" s="256"/>
      <c r="Z2948" s="256"/>
      <c r="AA2948" s="256"/>
      <c r="AB2948" s="257"/>
      <c r="AC2948" s="258"/>
      <c r="AD2948" s="7"/>
      <c r="AE2948" s="253"/>
      <c r="AF2948" s="253"/>
      <c r="AG2948" s="259"/>
      <c r="AH2948" s="253"/>
      <c r="AI2948" s="253"/>
      <c r="AJ2948" s="7"/>
      <c r="AK2948" s="253"/>
      <c r="AL2948" s="253"/>
      <c r="AM2948" s="7"/>
      <c r="AN2948" s="253"/>
      <c r="AO2948" s="253"/>
      <c r="AP2948" s="253"/>
      <c r="AQ2948" s="253"/>
      <c r="AR2948" s="253"/>
      <c r="AS2948" s="253"/>
      <c r="AT2948" s="253"/>
      <c r="AU2948" s="253"/>
      <c r="AV2948" s="253"/>
      <c r="AW2948" s="253"/>
      <c r="AX2948" s="253"/>
      <c r="AY2948" s="253"/>
      <c r="AZ2948" s="253"/>
    </row>
    <row r="2949" spans="1:52" ht="15.5" customHeight="1">
      <c r="A2949" s="363"/>
      <c r="B2949" s="343"/>
      <c r="C2949" s="7"/>
      <c r="D2949" s="254"/>
      <c r="E2949" s="254"/>
      <c r="F2949" s="254"/>
      <c r="G2949" s="253"/>
      <c r="H2949" s="253"/>
      <c r="I2949" s="253"/>
      <c r="J2949" s="253"/>
      <c r="K2949" s="253"/>
      <c r="L2949" s="7"/>
      <c r="M2949" s="7"/>
      <c r="N2949" s="253"/>
      <c r="O2949" s="255"/>
      <c r="P2949" s="253"/>
      <c r="Q2949" s="7"/>
      <c r="R2949" s="7"/>
      <c r="S2949" s="7"/>
      <c r="T2949" s="7"/>
      <c r="U2949" s="7"/>
      <c r="V2949" s="253"/>
      <c r="W2949" s="7"/>
      <c r="X2949" s="256"/>
      <c r="Y2949" s="256"/>
      <c r="Z2949" s="256"/>
      <c r="AA2949" s="256"/>
      <c r="AB2949" s="257"/>
      <c r="AC2949" s="258"/>
      <c r="AD2949" s="7"/>
      <c r="AE2949" s="253"/>
      <c r="AF2949" s="253"/>
      <c r="AG2949" s="259"/>
      <c r="AH2949" s="253"/>
      <c r="AI2949" s="253"/>
      <c r="AJ2949" s="7"/>
      <c r="AK2949" s="253"/>
      <c r="AL2949" s="253"/>
      <c r="AM2949" s="7"/>
      <c r="AN2949" s="253"/>
      <c r="AO2949" s="253"/>
      <c r="AP2949" s="253"/>
      <c r="AQ2949" s="253"/>
      <c r="AR2949" s="253"/>
      <c r="AS2949" s="253"/>
      <c r="AT2949" s="253"/>
      <c r="AU2949" s="253"/>
      <c r="AV2949" s="253"/>
      <c r="AW2949" s="253"/>
      <c r="AX2949" s="253"/>
      <c r="AY2949" s="253"/>
      <c r="AZ2949" s="253"/>
    </row>
    <row r="2950" spans="1:52" ht="15.5" customHeight="1">
      <c r="A2950" s="363"/>
      <c r="B2950" s="343"/>
      <c r="C2950" s="7"/>
      <c r="D2950" s="254"/>
      <c r="E2950" s="254"/>
      <c r="F2950" s="254"/>
      <c r="G2950" s="253"/>
      <c r="H2950" s="253"/>
      <c r="I2950" s="253"/>
      <c r="J2950" s="253"/>
      <c r="K2950" s="253"/>
      <c r="L2950" s="7"/>
      <c r="M2950" s="7"/>
      <c r="N2950" s="253"/>
      <c r="O2950" s="255"/>
      <c r="P2950" s="253"/>
      <c r="Q2950" s="7"/>
      <c r="R2950" s="7"/>
      <c r="S2950" s="7"/>
      <c r="T2950" s="7"/>
      <c r="U2950" s="7"/>
      <c r="V2950" s="253"/>
      <c r="W2950" s="7"/>
      <c r="X2950" s="256"/>
      <c r="Y2950" s="256"/>
      <c r="Z2950" s="256"/>
      <c r="AA2950" s="256"/>
      <c r="AB2950" s="257"/>
      <c r="AC2950" s="258"/>
      <c r="AD2950" s="7"/>
      <c r="AE2950" s="253"/>
      <c r="AF2950" s="253"/>
      <c r="AG2950" s="259"/>
      <c r="AH2950" s="253"/>
      <c r="AI2950" s="253"/>
      <c r="AJ2950" s="7"/>
      <c r="AK2950" s="253"/>
      <c r="AL2950" s="253"/>
      <c r="AM2950" s="7"/>
      <c r="AN2950" s="253"/>
      <c r="AO2950" s="253"/>
      <c r="AP2950" s="253"/>
      <c r="AQ2950" s="253"/>
      <c r="AR2950" s="253"/>
      <c r="AS2950" s="253"/>
      <c r="AT2950" s="253"/>
      <c r="AU2950" s="253"/>
      <c r="AV2950" s="253"/>
      <c r="AW2950" s="253"/>
      <c r="AX2950" s="253"/>
      <c r="AY2950" s="253"/>
      <c r="AZ2950" s="253"/>
    </row>
    <row r="2951" spans="1:52" ht="15.5" customHeight="1">
      <c r="A2951" s="363"/>
      <c r="B2951" s="343"/>
      <c r="C2951" s="7"/>
      <c r="D2951" s="254"/>
      <c r="E2951" s="254"/>
      <c r="F2951" s="254"/>
      <c r="G2951" s="253"/>
      <c r="H2951" s="253"/>
      <c r="I2951" s="253"/>
      <c r="J2951" s="253"/>
      <c r="K2951" s="253"/>
      <c r="L2951" s="7"/>
      <c r="M2951" s="7"/>
      <c r="N2951" s="253"/>
      <c r="O2951" s="255"/>
      <c r="P2951" s="253"/>
      <c r="Q2951" s="7"/>
      <c r="R2951" s="7"/>
      <c r="S2951" s="7"/>
      <c r="T2951" s="7"/>
      <c r="U2951" s="7"/>
      <c r="V2951" s="253"/>
      <c r="W2951" s="7"/>
      <c r="X2951" s="256"/>
      <c r="Y2951" s="256"/>
      <c r="Z2951" s="256"/>
      <c r="AA2951" s="256"/>
      <c r="AB2951" s="257"/>
      <c r="AC2951" s="258"/>
      <c r="AD2951" s="7"/>
      <c r="AE2951" s="253"/>
      <c r="AF2951" s="253"/>
      <c r="AG2951" s="259"/>
      <c r="AH2951" s="253"/>
      <c r="AI2951" s="253"/>
      <c r="AJ2951" s="7"/>
      <c r="AK2951" s="253"/>
      <c r="AL2951" s="253"/>
      <c r="AM2951" s="7"/>
      <c r="AN2951" s="253"/>
      <c r="AO2951" s="253"/>
      <c r="AP2951" s="253"/>
      <c r="AQ2951" s="253"/>
      <c r="AR2951" s="253"/>
      <c r="AS2951" s="253"/>
      <c r="AT2951" s="253"/>
      <c r="AU2951" s="253"/>
      <c r="AV2951" s="253"/>
      <c r="AW2951" s="253"/>
      <c r="AX2951" s="253"/>
      <c r="AY2951" s="253"/>
      <c r="AZ2951" s="253"/>
    </row>
    <row r="2952" spans="1:52" ht="15.5" customHeight="1">
      <c r="A2952" s="363"/>
      <c r="B2952" s="343"/>
      <c r="C2952" s="7"/>
      <c r="D2952" s="254"/>
      <c r="E2952" s="254"/>
      <c r="F2952" s="254"/>
      <c r="G2952" s="253"/>
      <c r="H2952" s="253"/>
      <c r="I2952" s="253"/>
      <c r="J2952" s="253"/>
      <c r="K2952" s="253"/>
      <c r="L2952" s="7"/>
      <c r="M2952" s="7"/>
      <c r="N2952" s="253"/>
      <c r="O2952" s="255"/>
      <c r="P2952" s="253"/>
      <c r="Q2952" s="7"/>
      <c r="R2952" s="7"/>
      <c r="S2952" s="7"/>
      <c r="T2952" s="7"/>
      <c r="U2952" s="7"/>
      <c r="V2952" s="253"/>
      <c r="W2952" s="7"/>
      <c r="X2952" s="256"/>
      <c r="Y2952" s="256"/>
      <c r="Z2952" s="256"/>
      <c r="AA2952" s="256"/>
      <c r="AB2952" s="257"/>
      <c r="AC2952" s="258"/>
      <c r="AD2952" s="7"/>
      <c r="AE2952" s="253"/>
      <c r="AF2952" s="253"/>
      <c r="AG2952" s="259"/>
      <c r="AH2952" s="253"/>
      <c r="AI2952" s="253"/>
      <c r="AJ2952" s="7"/>
      <c r="AK2952" s="253"/>
      <c r="AL2952" s="253"/>
      <c r="AM2952" s="7"/>
      <c r="AN2952" s="253"/>
      <c r="AO2952" s="253"/>
      <c r="AP2952" s="253"/>
      <c r="AQ2952" s="253"/>
      <c r="AR2952" s="253"/>
      <c r="AS2952" s="253"/>
      <c r="AT2952" s="253"/>
      <c r="AU2952" s="253"/>
      <c r="AV2952" s="253"/>
      <c r="AW2952" s="253"/>
      <c r="AX2952" s="253"/>
      <c r="AY2952" s="253"/>
      <c r="AZ2952" s="253"/>
    </row>
    <row r="2953" spans="1:52" ht="15.5" customHeight="1">
      <c r="A2953" s="363"/>
      <c r="B2953" s="343"/>
      <c r="C2953" s="7"/>
      <c r="D2953" s="254"/>
      <c r="E2953" s="254"/>
      <c r="F2953" s="254"/>
      <c r="G2953" s="253"/>
      <c r="H2953" s="253"/>
      <c r="I2953" s="253"/>
      <c r="J2953" s="253"/>
      <c r="K2953" s="253"/>
      <c r="L2953" s="7"/>
      <c r="M2953" s="7"/>
      <c r="N2953" s="253"/>
      <c r="O2953" s="255"/>
      <c r="P2953" s="253"/>
      <c r="Q2953" s="7"/>
      <c r="R2953" s="7"/>
      <c r="S2953" s="7"/>
      <c r="T2953" s="7"/>
      <c r="U2953" s="7"/>
      <c r="V2953" s="253"/>
      <c r="W2953" s="7"/>
      <c r="X2953" s="256"/>
      <c r="Y2953" s="256"/>
      <c r="Z2953" s="256"/>
      <c r="AA2953" s="256"/>
      <c r="AB2953" s="257"/>
      <c r="AC2953" s="258"/>
      <c r="AD2953" s="7"/>
      <c r="AE2953" s="253"/>
      <c r="AF2953" s="253"/>
      <c r="AG2953" s="259"/>
      <c r="AH2953" s="253"/>
      <c r="AI2953" s="253"/>
      <c r="AJ2953" s="7"/>
      <c r="AK2953" s="253"/>
      <c r="AL2953" s="253"/>
      <c r="AM2953" s="7"/>
      <c r="AN2953" s="253"/>
      <c r="AO2953" s="253"/>
      <c r="AP2953" s="253"/>
      <c r="AQ2953" s="253"/>
      <c r="AR2953" s="253"/>
      <c r="AS2953" s="253"/>
      <c r="AT2953" s="253"/>
      <c r="AU2953" s="253"/>
      <c r="AV2953" s="253"/>
      <c r="AW2953" s="253"/>
      <c r="AX2953" s="253"/>
      <c r="AY2953" s="253"/>
      <c r="AZ2953" s="253"/>
    </row>
    <row r="2954" spans="1:52" ht="15.5" customHeight="1">
      <c r="A2954" s="363"/>
      <c r="B2954" s="343"/>
      <c r="C2954" s="7"/>
      <c r="D2954" s="254"/>
      <c r="E2954" s="254"/>
      <c r="F2954" s="254"/>
      <c r="G2954" s="253"/>
      <c r="H2954" s="253"/>
      <c r="I2954" s="253"/>
      <c r="J2954" s="253"/>
      <c r="K2954" s="253"/>
      <c r="L2954" s="7"/>
      <c r="M2954" s="7"/>
      <c r="N2954" s="253"/>
      <c r="O2954" s="255"/>
      <c r="P2954" s="253"/>
      <c r="Q2954" s="7"/>
      <c r="R2954" s="7"/>
      <c r="S2954" s="7"/>
      <c r="T2954" s="7"/>
      <c r="U2954" s="7"/>
      <c r="V2954" s="253"/>
      <c r="W2954" s="7"/>
      <c r="X2954" s="256"/>
      <c r="Y2954" s="256"/>
      <c r="Z2954" s="256"/>
      <c r="AA2954" s="256"/>
      <c r="AB2954" s="257"/>
      <c r="AC2954" s="258"/>
      <c r="AD2954" s="7"/>
      <c r="AE2954" s="253"/>
      <c r="AF2954" s="253"/>
      <c r="AG2954" s="259"/>
      <c r="AH2954" s="253"/>
      <c r="AI2954" s="253"/>
      <c r="AJ2954" s="7"/>
      <c r="AK2954" s="253"/>
      <c r="AL2954" s="253"/>
      <c r="AM2954" s="7"/>
      <c r="AN2954" s="253"/>
      <c r="AO2954" s="253"/>
      <c r="AP2954" s="253"/>
      <c r="AQ2954" s="253"/>
      <c r="AR2954" s="253"/>
      <c r="AS2954" s="253"/>
      <c r="AT2954" s="253"/>
      <c r="AU2954" s="253"/>
      <c r="AV2954" s="253"/>
      <c r="AW2954" s="253"/>
      <c r="AX2954" s="253"/>
      <c r="AY2954" s="253"/>
      <c r="AZ2954" s="253"/>
    </row>
    <row r="2955" spans="1:52" ht="15.5" customHeight="1">
      <c r="A2955" s="363"/>
      <c r="B2955" s="343"/>
      <c r="C2955" s="7"/>
      <c r="D2955" s="254"/>
      <c r="E2955" s="254"/>
      <c r="F2955" s="254"/>
      <c r="G2955" s="253"/>
      <c r="H2955" s="253"/>
      <c r="I2955" s="253"/>
      <c r="J2955" s="253"/>
      <c r="K2955" s="253"/>
      <c r="L2955" s="7"/>
      <c r="M2955" s="7"/>
      <c r="N2955" s="253"/>
      <c r="O2955" s="255"/>
      <c r="P2955" s="253"/>
      <c r="Q2955" s="7"/>
      <c r="R2955" s="7"/>
      <c r="S2955" s="7"/>
      <c r="T2955" s="7"/>
      <c r="U2955" s="7"/>
      <c r="V2955" s="253"/>
      <c r="W2955" s="7"/>
      <c r="X2955" s="256"/>
      <c r="Y2955" s="256"/>
      <c r="Z2955" s="256"/>
      <c r="AA2955" s="256"/>
      <c r="AB2955" s="257"/>
      <c r="AC2955" s="258"/>
      <c r="AD2955" s="7"/>
      <c r="AE2955" s="253"/>
      <c r="AF2955" s="253"/>
      <c r="AG2955" s="259"/>
      <c r="AH2955" s="253"/>
      <c r="AI2955" s="253"/>
      <c r="AJ2955" s="7"/>
      <c r="AK2955" s="253"/>
      <c r="AL2955" s="253"/>
      <c r="AM2955" s="7"/>
      <c r="AN2955" s="253"/>
      <c r="AO2955" s="253"/>
      <c r="AP2955" s="253"/>
      <c r="AQ2955" s="253"/>
      <c r="AR2955" s="253"/>
      <c r="AS2955" s="253"/>
      <c r="AT2955" s="253"/>
      <c r="AU2955" s="253"/>
      <c r="AV2955" s="253"/>
      <c r="AW2955" s="253"/>
      <c r="AX2955" s="253"/>
      <c r="AY2955" s="253"/>
      <c r="AZ2955" s="253"/>
    </row>
    <row r="2956" spans="1:52" ht="15.5" customHeight="1">
      <c r="A2956" s="363"/>
      <c r="B2956" s="343"/>
      <c r="C2956" s="7"/>
      <c r="D2956" s="254"/>
      <c r="E2956" s="254"/>
      <c r="F2956" s="254"/>
      <c r="G2956" s="253"/>
      <c r="H2956" s="253"/>
      <c r="I2956" s="253"/>
      <c r="J2956" s="253"/>
      <c r="K2956" s="253"/>
      <c r="L2956" s="7"/>
      <c r="M2956" s="7"/>
      <c r="N2956" s="253"/>
      <c r="O2956" s="255"/>
      <c r="P2956" s="253"/>
      <c r="Q2956" s="7"/>
      <c r="R2956" s="7"/>
      <c r="S2956" s="7"/>
      <c r="T2956" s="7"/>
      <c r="U2956" s="7"/>
      <c r="V2956" s="253"/>
      <c r="W2956" s="7"/>
      <c r="X2956" s="256"/>
      <c r="Y2956" s="256"/>
      <c r="Z2956" s="256"/>
      <c r="AA2956" s="256"/>
      <c r="AB2956" s="257"/>
      <c r="AC2956" s="258"/>
      <c r="AD2956" s="7"/>
      <c r="AE2956" s="253"/>
      <c r="AF2956" s="253"/>
      <c r="AG2956" s="259"/>
      <c r="AH2956" s="253"/>
      <c r="AI2956" s="253"/>
      <c r="AJ2956" s="7"/>
      <c r="AK2956" s="253"/>
      <c r="AL2956" s="253"/>
      <c r="AM2956" s="7"/>
      <c r="AN2956" s="253"/>
      <c r="AO2956" s="253"/>
      <c r="AP2956" s="253"/>
      <c r="AQ2956" s="253"/>
      <c r="AR2956" s="253"/>
      <c r="AS2956" s="253"/>
      <c r="AT2956" s="253"/>
      <c r="AU2956" s="253"/>
      <c r="AV2956" s="253"/>
      <c r="AW2956" s="253"/>
      <c r="AX2956" s="253"/>
      <c r="AY2956" s="253"/>
      <c r="AZ2956" s="253"/>
    </row>
    <row r="2957" spans="1:52" ht="15.5" customHeight="1">
      <c r="A2957" s="363"/>
      <c r="B2957" s="343"/>
      <c r="C2957" s="7"/>
      <c r="D2957" s="254"/>
      <c r="E2957" s="254"/>
      <c r="F2957" s="254"/>
      <c r="G2957" s="253"/>
      <c r="H2957" s="253"/>
      <c r="I2957" s="253"/>
      <c r="J2957" s="253"/>
      <c r="K2957" s="253"/>
      <c r="L2957" s="7"/>
      <c r="M2957" s="7"/>
      <c r="N2957" s="253"/>
      <c r="O2957" s="255"/>
      <c r="P2957" s="253"/>
      <c r="Q2957" s="7"/>
      <c r="R2957" s="7"/>
      <c r="S2957" s="7"/>
      <c r="T2957" s="7"/>
      <c r="U2957" s="7"/>
      <c r="V2957" s="253"/>
      <c r="W2957" s="7"/>
      <c r="X2957" s="256"/>
      <c r="Y2957" s="256"/>
      <c r="Z2957" s="256"/>
      <c r="AA2957" s="256"/>
      <c r="AB2957" s="257"/>
      <c r="AC2957" s="258"/>
      <c r="AD2957" s="7"/>
      <c r="AE2957" s="253"/>
      <c r="AF2957" s="253"/>
      <c r="AG2957" s="259"/>
      <c r="AH2957" s="253"/>
      <c r="AI2957" s="253"/>
      <c r="AJ2957" s="7"/>
      <c r="AK2957" s="253"/>
      <c r="AL2957" s="253"/>
      <c r="AM2957" s="7"/>
      <c r="AN2957" s="253"/>
      <c r="AO2957" s="253"/>
      <c r="AP2957" s="253"/>
      <c r="AQ2957" s="253"/>
      <c r="AR2957" s="253"/>
      <c r="AS2957" s="253"/>
      <c r="AT2957" s="253"/>
      <c r="AU2957" s="253"/>
      <c r="AV2957" s="253"/>
      <c r="AW2957" s="253"/>
      <c r="AX2957" s="253"/>
      <c r="AY2957" s="253"/>
      <c r="AZ2957" s="253"/>
    </row>
    <row r="2958" spans="1:52" ht="15.5" customHeight="1">
      <c r="A2958" s="363"/>
      <c r="B2958" s="343"/>
      <c r="C2958" s="7"/>
      <c r="D2958" s="254"/>
      <c r="E2958" s="254"/>
      <c r="F2958" s="254"/>
      <c r="G2958" s="253"/>
      <c r="H2958" s="253"/>
      <c r="I2958" s="253"/>
      <c r="J2958" s="253"/>
      <c r="K2958" s="253"/>
      <c r="L2958" s="7"/>
      <c r="M2958" s="7"/>
      <c r="N2958" s="253"/>
      <c r="O2958" s="255"/>
      <c r="P2958" s="253"/>
      <c r="Q2958" s="7"/>
      <c r="R2958" s="7"/>
      <c r="S2958" s="7"/>
      <c r="T2958" s="7"/>
      <c r="U2958" s="7"/>
      <c r="V2958" s="253"/>
      <c r="W2958" s="7"/>
      <c r="X2958" s="256"/>
      <c r="Y2958" s="256"/>
      <c r="Z2958" s="256"/>
      <c r="AA2958" s="256"/>
      <c r="AB2958" s="257"/>
      <c r="AC2958" s="258"/>
      <c r="AD2958" s="7"/>
      <c r="AE2958" s="253"/>
      <c r="AF2958" s="253"/>
      <c r="AG2958" s="259"/>
      <c r="AH2958" s="253"/>
      <c r="AI2958" s="253"/>
      <c r="AJ2958" s="7"/>
      <c r="AK2958" s="253"/>
      <c r="AL2958" s="253"/>
      <c r="AM2958" s="7"/>
      <c r="AN2958" s="253"/>
      <c r="AO2958" s="253"/>
      <c r="AP2958" s="253"/>
      <c r="AQ2958" s="253"/>
      <c r="AR2958" s="253"/>
      <c r="AS2958" s="253"/>
      <c r="AT2958" s="253"/>
      <c r="AU2958" s="253"/>
      <c r="AV2958" s="253"/>
      <c r="AW2958" s="253"/>
      <c r="AX2958" s="253"/>
      <c r="AY2958" s="253"/>
      <c r="AZ2958" s="253"/>
    </row>
    <row r="2959" spans="1:52" ht="15.5" customHeight="1">
      <c r="A2959" s="363"/>
      <c r="B2959" s="343"/>
      <c r="C2959" s="7"/>
      <c r="D2959" s="254"/>
      <c r="E2959" s="254"/>
      <c r="F2959" s="254"/>
      <c r="G2959" s="253"/>
      <c r="H2959" s="253"/>
      <c r="I2959" s="253"/>
      <c r="J2959" s="253"/>
      <c r="K2959" s="253"/>
      <c r="L2959" s="7"/>
      <c r="M2959" s="7"/>
      <c r="N2959" s="253"/>
      <c r="O2959" s="255"/>
      <c r="P2959" s="253"/>
      <c r="Q2959" s="7"/>
      <c r="R2959" s="7"/>
      <c r="S2959" s="7"/>
      <c r="T2959" s="7"/>
      <c r="U2959" s="7"/>
      <c r="V2959" s="253"/>
      <c r="W2959" s="7"/>
      <c r="X2959" s="256"/>
      <c r="Y2959" s="256"/>
      <c r="Z2959" s="256"/>
      <c r="AA2959" s="256"/>
      <c r="AB2959" s="257"/>
      <c r="AC2959" s="258"/>
      <c r="AD2959" s="7"/>
      <c r="AE2959" s="253"/>
      <c r="AF2959" s="253"/>
      <c r="AG2959" s="259"/>
      <c r="AH2959" s="253"/>
      <c r="AI2959" s="253"/>
      <c r="AJ2959" s="7"/>
      <c r="AK2959" s="253"/>
      <c r="AL2959" s="253"/>
      <c r="AM2959" s="7"/>
      <c r="AN2959" s="253"/>
      <c r="AO2959" s="253"/>
      <c r="AP2959" s="253"/>
      <c r="AQ2959" s="253"/>
      <c r="AR2959" s="253"/>
      <c r="AS2959" s="253"/>
      <c r="AT2959" s="253"/>
      <c r="AU2959" s="253"/>
      <c r="AV2959" s="253"/>
      <c r="AW2959" s="253"/>
      <c r="AX2959" s="253"/>
      <c r="AY2959" s="253"/>
      <c r="AZ2959" s="253"/>
    </row>
    <row r="2960" spans="1:52" ht="15.5" customHeight="1">
      <c r="A2960" s="363"/>
      <c r="B2960" s="343"/>
      <c r="C2960" s="7"/>
      <c r="D2960" s="254"/>
      <c r="E2960" s="254"/>
      <c r="F2960" s="254"/>
      <c r="G2960" s="253"/>
      <c r="H2960" s="253"/>
      <c r="I2960" s="253"/>
      <c r="J2960" s="253"/>
      <c r="K2960" s="253"/>
      <c r="L2960" s="7"/>
      <c r="M2960" s="7"/>
      <c r="N2960" s="253"/>
      <c r="O2960" s="255"/>
      <c r="P2960" s="253"/>
      <c r="Q2960" s="7"/>
      <c r="R2960" s="7"/>
      <c r="S2960" s="7"/>
      <c r="T2960" s="7"/>
      <c r="U2960" s="7"/>
      <c r="V2960" s="253"/>
      <c r="W2960" s="7"/>
      <c r="X2960" s="256"/>
      <c r="Y2960" s="256"/>
      <c r="Z2960" s="256"/>
      <c r="AA2960" s="256"/>
      <c r="AB2960" s="257"/>
      <c r="AC2960" s="258"/>
      <c r="AD2960" s="7"/>
      <c r="AE2960" s="253"/>
      <c r="AF2960" s="253"/>
      <c r="AG2960" s="259"/>
      <c r="AH2960" s="253"/>
      <c r="AI2960" s="253"/>
      <c r="AJ2960" s="7"/>
      <c r="AK2960" s="253"/>
      <c r="AL2960" s="253"/>
      <c r="AM2960" s="7"/>
      <c r="AN2960" s="253"/>
      <c r="AO2960" s="253"/>
      <c r="AP2960" s="253"/>
      <c r="AQ2960" s="253"/>
      <c r="AR2960" s="253"/>
      <c r="AS2960" s="253"/>
      <c r="AT2960" s="253"/>
      <c r="AU2960" s="253"/>
      <c r="AV2960" s="253"/>
      <c r="AW2960" s="253"/>
      <c r="AX2960" s="253"/>
      <c r="AY2960" s="253"/>
      <c r="AZ2960" s="253"/>
    </row>
    <row r="2961" spans="1:52" ht="15.5" customHeight="1">
      <c r="A2961" s="363"/>
      <c r="B2961" s="343"/>
      <c r="C2961" s="7"/>
      <c r="D2961" s="254"/>
      <c r="E2961" s="254"/>
      <c r="F2961" s="254"/>
      <c r="G2961" s="253"/>
      <c r="H2961" s="253"/>
      <c r="I2961" s="253"/>
      <c r="J2961" s="253"/>
      <c r="K2961" s="253"/>
      <c r="L2961" s="7"/>
      <c r="M2961" s="7"/>
      <c r="N2961" s="253"/>
      <c r="O2961" s="255"/>
      <c r="P2961" s="253"/>
      <c r="Q2961" s="7"/>
      <c r="R2961" s="7"/>
      <c r="S2961" s="7"/>
      <c r="T2961" s="7"/>
      <c r="U2961" s="7"/>
      <c r="V2961" s="253"/>
      <c r="W2961" s="7"/>
      <c r="X2961" s="256"/>
      <c r="Y2961" s="256"/>
      <c r="Z2961" s="256"/>
      <c r="AA2961" s="256"/>
      <c r="AB2961" s="257"/>
      <c r="AC2961" s="258"/>
      <c r="AD2961" s="7"/>
      <c r="AE2961" s="253"/>
      <c r="AF2961" s="253"/>
      <c r="AG2961" s="259"/>
      <c r="AH2961" s="253"/>
      <c r="AI2961" s="253"/>
      <c r="AJ2961" s="7"/>
      <c r="AK2961" s="253"/>
      <c r="AL2961" s="253"/>
      <c r="AM2961" s="7"/>
      <c r="AN2961" s="253"/>
      <c r="AO2961" s="253"/>
      <c r="AP2961" s="253"/>
      <c r="AQ2961" s="253"/>
      <c r="AR2961" s="253"/>
      <c r="AS2961" s="253"/>
      <c r="AT2961" s="253"/>
      <c r="AU2961" s="253"/>
      <c r="AV2961" s="253"/>
      <c r="AW2961" s="253"/>
      <c r="AX2961" s="253"/>
      <c r="AY2961" s="253"/>
      <c r="AZ2961" s="253"/>
    </row>
    <row r="2962" spans="1:52" ht="15.5" customHeight="1">
      <c r="A2962" s="363"/>
      <c r="B2962" s="343"/>
      <c r="C2962" s="7"/>
      <c r="D2962" s="254"/>
      <c r="E2962" s="254"/>
      <c r="F2962" s="254"/>
      <c r="G2962" s="253"/>
      <c r="H2962" s="253"/>
      <c r="I2962" s="253"/>
      <c r="J2962" s="253"/>
      <c r="K2962" s="253"/>
      <c r="L2962" s="7"/>
      <c r="M2962" s="7"/>
      <c r="N2962" s="253"/>
      <c r="O2962" s="255"/>
      <c r="P2962" s="253"/>
      <c r="Q2962" s="7"/>
      <c r="R2962" s="7"/>
      <c r="S2962" s="7"/>
      <c r="T2962" s="7"/>
      <c r="U2962" s="7"/>
      <c r="V2962" s="253"/>
      <c r="W2962" s="7"/>
      <c r="X2962" s="256"/>
      <c r="Y2962" s="256"/>
      <c r="Z2962" s="256"/>
      <c r="AA2962" s="256"/>
      <c r="AB2962" s="257"/>
      <c r="AC2962" s="258"/>
      <c r="AD2962" s="7"/>
      <c r="AE2962" s="253"/>
      <c r="AF2962" s="253"/>
      <c r="AG2962" s="259"/>
      <c r="AH2962" s="253"/>
      <c r="AI2962" s="253"/>
      <c r="AJ2962" s="7"/>
      <c r="AK2962" s="253"/>
      <c r="AL2962" s="253"/>
      <c r="AM2962" s="7"/>
      <c r="AN2962" s="253"/>
      <c r="AO2962" s="253"/>
      <c r="AP2962" s="253"/>
      <c r="AQ2962" s="253"/>
      <c r="AR2962" s="253"/>
      <c r="AS2962" s="253"/>
      <c r="AT2962" s="253"/>
      <c r="AU2962" s="253"/>
      <c r="AV2962" s="253"/>
      <c r="AW2962" s="253"/>
      <c r="AX2962" s="253"/>
      <c r="AY2962" s="253"/>
      <c r="AZ2962" s="253"/>
    </row>
    <row r="2963" spans="1:52" ht="15.5" customHeight="1">
      <c r="A2963" s="363"/>
      <c r="B2963" s="343"/>
      <c r="C2963" s="7"/>
      <c r="D2963" s="254"/>
      <c r="E2963" s="254"/>
      <c r="F2963" s="254"/>
      <c r="G2963" s="253"/>
      <c r="H2963" s="253"/>
      <c r="I2963" s="253"/>
      <c r="J2963" s="253"/>
      <c r="K2963" s="253"/>
      <c r="L2963" s="7"/>
      <c r="M2963" s="7"/>
      <c r="N2963" s="253"/>
      <c r="O2963" s="255"/>
      <c r="P2963" s="253"/>
      <c r="Q2963" s="7"/>
      <c r="R2963" s="7"/>
      <c r="S2963" s="7"/>
      <c r="T2963" s="7"/>
      <c r="U2963" s="7"/>
      <c r="V2963" s="253"/>
      <c r="W2963" s="7"/>
      <c r="X2963" s="256"/>
      <c r="Y2963" s="256"/>
      <c r="Z2963" s="256"/>
      <c r="AA2963" s="256"/>
      <c r="AB2963" s="257"/>
      <c r="AC2963" s="258"/>
      <c r="AD2963" s="7"/>
      <c r="AE2963" s="253"/>
      <c r="AF2963" s="253"/>
      <c r="AG2963" s="259"/>
      <c r="AH2963" s="253"/>
      <c r="AI2963" s="253"/>
      <c r="AJ2963" s="7"/>
      <c r="AK2963" s="253"/>
      <c r="AL2963" s="253"/>
      <c r="AM2963" s="7"/>
      <c r="AN2963" s="253"/>
      <c r="AO2963" s="253"/>
      <c r="AP2963" s="253"/>
      <c r="AQ2963" s="253"/>
      <c r="AR2963" s="253"/>
      <c r="AS2963" s="253"/>
      <c r="AT2963" s="253"/>
      <c r="AU2963" s="253"/>
      <c r="AV2963" s="253"/>
      <c r="AW2963" s="253"/>
      <c r="AX2963" s="253"/>
      <c r="AY2963" s="253"/>
      <c r="AZ2963" s="253"/>
    </row>
    <row r="2964" spans="1:52" ht="15.5" customHeight="1">
      <c r="A2964" s="363"/>
      <c r="B2964" s="343"/>
      <c r="C2964" s="7"/>
      <c r="D2964" s="254"/>
      <c r="E2964" s="254"/>
      <c r="F2964" s="254"/>
      <c r="G2964" s="253"/>
      <c r="H2964" s="253"/>
      <c r="I2964" s="253"/>
      <c r="J2964" s="253"/>
      <c r="K2964" s="253"/>
      <c r="L2964" s="7"/>
      <c r="M2964" s="7"/>
      <c r="N2964" s="253"/>
      <c r="O2964" s="255"/>
      <c r="P2964" s="253"/>
      <c r="Q2964" s="7"/>
      <c r="R2964" s="7"/>
      <c r="S2964" s="7"/>
      <c r="T2964" s="7"/>
      <c r="U2964" s="7"/>
      <c r="V2964" s="253"/>
      <c r="W2964" s="7"/>
      <c r="X2964" s="256"/>
      <c r="Y2964" s="256"/>
      <c r="Z2964" s="256"/>
      <c r="AA2964" s="256"/>
      <c r="AB2964" s="257"/>
      <c r="AC2964" s="258"/>
      <c r="AD2964" s="7"/>
      <c r="AE2964" s="253"/>
      <c r="AF2964" s="253"/>
      <c r="AG2964" s="259"/>
      <c r="AH2964" s="253"/>
      <c r="AI2964" s="253"/>
      <c r="AJ2964" s="7"/>
      <c r="AK2964" s="253"/>
      <c r="AL2964" s="253"/>
      <c r="AM2964" s="7"/>
      <c r="AN2964" s="253"/>
      <c r="AO2964" s="253"/>
      <c r="AP2964" s="253"/>
      <c r="AQ2964" s="253"/>
      <c r="AR2964" s="253"/>
      <c r="AS2964" s="253"/>
      <c r="AT2964" s="253"/>
      <c r="AU2964" s="253"/>
      <c r="AV2964" s="253"/>
      <c r="AW2964" s="253"/>
      <c r="AX2964" s="253"/>
      <c r="AY2964" s="253"/>
      <c r="AZ2964" s="253"/>
    </row>
    <row r="2965" spans="1:52" ht="15.5" customHeight="1">
      <c r="A2965" s="363"/>
      <c r="B2965" s="343"/>
      <c r="C2965" s="7"/>
      <c r="D2965" s="254"/>
      <c r="E2965" s="254"/>
      <c r="F2965" s="254"/>
      <c r="G2965" s="253"/>
      <c r="H2965" s="253"/>
      <c r="I2965" s="253"/>
      <c r="J2965" s="253"/>
      <c r="K2965" s="253"/>
      <c r="L2965" s="7"/>
      <c r="M2965" s="7"/>
      <c r="N2965" s="253"/>
      <c r="O2965" s="255"/>
      <c r="P2965" s="253"/>
      <c r="Q2965" s="7"/>
      <c r="R2965" s="7"/>
      <c r="S2965" s="7"/>
      <c r="T2965" s="7"/>
      <c r="U2965" s="7"/>
      <c r="V2965" s="253"/>
      <c r="W2965" s="7"/>
      <c r="X2965" s="256"/>
      <c r="Y2965" s="256"/>
      <c r="Z2965" s="256"/>
      <c r="AA2965" s="256"/>
      <c r="AB2965" s="257"/>
      <c r="AC2965" s="258"/>
      <c r="AD2965" s="7"/>
      <c r="AE2965" s="253"/>
      <c r="AF2965" s="253"/>
      <c r="AG2965" s="259"/>
      <c r="AH2965" s="253"/>
      <c r="AI2965" s="253"/>
      <c r="AJ2965" s="7"/>
      <c r="AK2965" s="253"/>
      <c r="AL2965" s="253"/>
      <c r="AM2965" s="7"/>
      <c r="AN2965" s="253"/>
      <c r="AO2965" s="253"/>
      <c r="AP2965" s="253"/>
      <c r="AQ2965" s="253"/>
      <c r="AR2965" s="253"/>
      <c r="AS2965" s="253"/>
      <c r="AT2965" s="253"/>
      <c r="AU2965" s="253"/>
      <c r="AV2965" s="253"/>
      <c r="AW2965" s="253"/>
      <c r="AX2965" s="253"/>
      <c r="AY2965" s="253"/>
      <c r="AZ2965" s="253"/>
    </row>
    <row r="2966" spans="1:52" ht="15.5" customHeight="1">
      <c r="A2966" s="363"/>
      <c r="B2966" s="343"/>
      <c r="C2966" s="7"/>
      <c r="D2966" s="254"/>
      <c r="E2966" s="254"/>
      <c r="F2966" s="254"/>
      <c r="G2966" s="253"/>
      <c r="H2966" s="253"/>
      <c r="I2966" s="253"/>
      <c r="J2966" s="253"/>
      <c r="K2966" s="253"/>
      <c r="L2966" s="7"/>
      <c r="M2966" s="7"/>
      <c r="N2966" s="253"/>
      <c r="O2966" s="255"/>
      <c r="P2966" s="253"/>
      <c r="Q2966" s="7"/>
      <c r="R2966" s="7"/>
      <c r="S2966" s="7"/>
      <c r="T2966" s="7"/>
      <c r="U2966" s="7"/>
      <c r="V2966" s="253"/>
      <c r="W2966" s="7"/>
      <c r="X2966" s="256"/>
      <c r="Y2966" s="256"/>
      <c r="Z2966" s="256"/>
      <c r="AA2966" s="256"/>
      <c r="AB2966" s="257"/>
      <c r="AC2966" s="258"/>
      <c r="AD2966" s="7"/>
      <c r="AE2966" s="253"/>
      <c r="AF2966" s="253"/>
      <c r="AG2966" s="259"/>
      <c r="AH2966" s="253"/>
      <c r="AI2966" s="253"/>
      <c r="AJ2966" s="7"/>
      <c r="AK2966" s="253"/>
      <c r="AL2966" s="253"/>
      <c r="AM2966" s="7"/>
      <c r="AN2966" s="253"/>
      <c r="AO2966" s="253"/>
      <c r="AP2966" s="253"/>
      <c r="AQ2966" s="253"/>
      <c r="AR2966" s="253"/>
      <c r="AS2966" s="253"/>
      <c r="AT2966" s="253"/>
      <c r="AU2966" s="253"/>
      <c r="AV2966" s="253"/>
      <c r="AW2966" s="253"/>
      <c r="AX2966" s="253"/>
      <c r="AY2966" s="253"/>
      <c r="AZ2966" s="253"/>
    </row>
    <row r="2967" spans="1:52" ht="15.5" customHeight="1">
      <c r="A2967" s="363"/>
      <c r="B2967" s="343"/>
      <c r="C2967" s="7"/>
      <c r="D2967" s="254"/>
      <c r="E2967" s="254"/>
      <c r="F2967" s="254"/>
      <c r="G2967" s="253"/>
      <c r="H2967" s="253"/>
      <c r="I2967" s="253"/>
      <c r="J2967" s="253"/>
      <c r="K2967" s="253"/>
      <c r="L2967" s="7"/>
      <c r="M2967" s="7"/>
      <c r="N2967" s="253"/>
      <c r="O2967" s="255"/>
      <c r="P2967" s="253"/>
      <c r="Q2967" s="7"/>
      <c r="R2967" s="7"/>
      <c r="S2967" s="7"/>
      <c r="T2967" s="7"/>
      <c r="U2967" s="7"/>
      <c r="V2967" s="253"/>
      <c r="W2967" s="7"/>
      <c r="X2967" s="256"/>
      <c r="Y2967" s="256"/>
      <c r="Z2967" s="256"/>
      <c r="AA2967" s="256"/>
      <c r="AB2967" s="257"/>
      <c r="AC2967" s="258"/>
      <c r="AD2967" s="7"/>
      <c r="AE2967" s="253"/>
      <c r="AF2967" s="253"/>
      <c r="AG2967" s="259"/>
      <c r="AH2967" s="253"/>
      <c r="AI2967" s="253"/>
      <c r="AJ2967" s="7"/>
      <c r="AK2967" s="253"/>
      <c r="AL2967" s="253"/>
      <c r="AM2967" s="7"/>
      <c r="AN2967" s="253"/>
      <c r="AO2967" s="253"/>
      <c r="AP2967" s="253"/>
      <c r="AQ2967" s="253"/>
      <c r="AR2967" s="253"/>
      <c r="AS2967" s="253"/>
      <c r="AT2967" s="253"/>
      <c r="AU2967" s="253"/>
      <c r="AV2967" s="253"/>
      <c r="AW2967" s="253"/>
      <c r="AX2967" s="253"/>
      <c r="AY2967" s="253"/>
      <c r="AZ2967" s="253"/>
    </row>
    <row r="2968" spans="1:52" ht="15.5" customHeight="1">
      <c r="A2968" s="363"/>
      <c r="B2968" s="343"/>
      <c r="C2968" s="7"/>
      <c r="D2968" s="254"/>
      <c r="E2968" s="254"/>
      <c r="F2968" s="254"/>
      <c r="G2968" s="253"/>
      <c r="H2968" s="253"/>
      <c r="I2968" s="253"/>
      <c r="J2968" s="253"/>
      <c r="K2968" s="253"/>
      <c r="L2968" s="7"/>
      <c r="M2968" s="7"/>
      <c r="N2968" s="253"/>
      <c r="O2968" s="255"/>
      <c r="P2968" s="253"/>
      <c r="Q2968" s="7"/>
      <c r="R2968" s="7"/>
      <c r="S2968" s="7"/>
      <c r="T2968" s="7"/>
      <c r="U2968" s="7"/>
      <c r="V2968" s="253"/>
      <c r="W2968" s="7"/>
      <c r="X2968" s="256"/>
      <c r="Y2968" s="256"/>
      <c r="Z2968" s="256"/>
      <c r="AA2968" s="256"/>
      <c r="AB2968" s="257"/>
      <c r="AC2968" s="258"/>
      <c r="AD2968" s="7"/>
      <c r="AE2968" s="253"/>
      <c r="AF2968" s="253"/>
      <c r="AG2968" s="259"/>
      <c r="AH2968" s="253"/>
      <c r="AI2968" s="253"/>
      <c r="AJ2968" s="7"/>
      <c r="AK2968" s="253"/>
      <c r="AL2968" s="253"/>
      <c r="AM2968" s="7"/>
      <c r="AN2968" s="253"/>
      <c r="AO2968" s="253"/>
      <c r="AP2968" s="253"/>
      <c r="AQ2968" s="253"/>
      <c r="AR2968" s="253"/>
      <c r="AS2968" s="253"/>
      <c r="AT2968" s="253"/>
      <c r="AU2968" s="253"/>
      <c r="AV2968" s="253"/>
      <c r="AW2968" s="253"/>
      <c r="AX2968" s="253"/>
      <c r="AY2968" s="253"/>
      <c r="AZ2968" s="253"/>
    </row>
    <row r="2969" spans="1:52" ht="15.5" customHeight="1">
      <c r="A2969" s="363"/>
      <c r="B2969" s="343"/>
      <c r="C2969" s="7"/>
      <c r="D2969" s="254"/>
      <c r="E2969" s="254"/>
      <c r="F2969" s="254"/>
      <c r="G2969" s="253"/>
      <c r="H2969" s="253"/>
      <c r="I2969" s="253"/>
      <c r="J2969" s="253"/>
      <c r="K2969" s="253"/>
      <c r="L2969" s="7"/>
      <c r="M2969" s="7"/>
      <c r="N2969" s="253"/>
      <c r="O2969" s="255"/>
      <c r="P2969" s="253"/>
      <c r="Q2969" s="7"/>
      <c r="R2969" s="7"/>
      <c r="S2969" s="7"/>
      <c r="T2969" s="7"/>
      <c r="U2969" s="7"/>
      <c r="V2969" s="253"/>
      <c r="W2969" s="7"/>
      <c r="X2969" s="256"/>
      <c r="Y2969" s="256"/>
      <c r="Z2969" s="256"/>
      <c r="AA2969" s="256"/>
      <c r="AB2969" s="257"/>
      <c r="AC2969" s="258"/>
      <c r="AD2969" s="7"/>
      <c r="AE2969" s="253"/>
      <c r="AF2969" s="253"/>
      <c r="AG2969" s="259"/>
      <c r="AH2969" s="253"/>
      <c r="AI2969" s="253"/>
      <c r="AJ2969" s="7"/>
      <c r="AK2969" s="253"/>
      <c r="AL2969" s="253"/>
      <c r="AM2969" s="7"/>
      <c r="AN2969" s="253"/>
      <c r="AO2969" s="253"/>
      <c r="AP2969" s="253"/>
      <c r="AQ2969" s="253"/>
      <c r="AR2969" s="253"/>
      <c r="AS2969" s="253"/>
      <c r="AT2969" s="253"/>
      <c r="AU2969" s="253"/>
      <c r="AV2969" s="253"/>
      <c r="AW2969" s="253"/>
      <c r="AX2969" s="253"/>
      <c r="AY2969" s="253"/>
      <c r="AZ2969" s="253"/>
    </row>
    <row r="2970" spans="1:52" ht="15.5" customHeight="1">
      <c r="A2970" s="363"/>
      <c r="B2970" s="343"/>
      <c r="C2970" s="7"/>
      <c r="D2970" s="254"/>
      <c r="E2970" s="254"/>
      <c r="F2970" s="254"/>
      <c r="G2970" s="253"/>
      <c r="H2970" s="253"/>
      <c r="I2970" s="253"/>
      <c r="J2970" s="253"/>
      <c r="K2970" s="253"/>
      <c r="L2970" s="7"/>
      <c r="M2970" s="7"/>
      <c r="N2970" s="253"/>
      <c r="O2970" s="255"/>
      <c r="P2970" s="253"/>
      <c r="Q2970" s="7"/>
      <c r="R2970" s="7"/>
      <c r="S2970" s="7"/>
      <c r="T2970" s="7"/>
      <c r="U2970" s="7"/>
      <c r="V2970" s="253"/>
      <c r="W2970" s="7"/>
      <c r="X2970" s="256"/>
      <c r="Y2970" s="256"/>
      <c r="Z2970" s="256"/>
      <c r="AA2970" s="256"/>
      <c r="AB2970" s="257"/>
      <c r="AC2970" s="258"/>
      <c r="AD2970" s="7"/>
      <c r="AE2970" s="253"/>
      <c r="AF2970" s="253"/>
      <c r="AG2970" s="259"/>
      <c r="AH2970" s="253"/>
      <c r="AI2970" s="253"/>
      <c r="AJ2970" s="7"/>
      <c r="AK2970" s="253"/>
      <c r="AL2970" s="253"/>
      <c r="AM2970" s="7"/>
      <c r="AN2970" s="253"/>
      <c r="AO2970" s="253"/>
      <c r="AP2970" s="253"/>
      <c r="AQ2970" s="253"/>
      <c r="AR2970" s="253"/>
      <c r="AS2970" s="253"/>
      <c r="AT2970" s="253"/>
      <c r="AU2970" s="253"/>
      <c r="AV2970" s="253"/>
      <c r="AW2970" s="253"/>
      <c r="AX2970" s="253"/>
      <c r="AY2970" s="253"/>
      <c r="AZ2970" s="253"/>
    </row>
    <row r="2971" spans="1:52" ht="15.5" customHeight="1">
      <c r="A2971" s="363"/>
      <c r="B2971" s="343"/>
      <c r="C2971" s="7"/>
      <c r="D2971" s="254"/>
      <c r="E2971" s="254"/>
      <c r="F2971" s="254"/>
      <c r="G2971" s="253"/>
      <c r="H2971" s="253"/>
      <c r="I2971" s="253"/>
      <c r="J2971" s="253"/>
      <c r="K2971" s="253"/>
      <c r="L2971" s="7"/>
      <c r="M2971" s="7"/>
      <c r="N2971" s="253"/>
      <c r="O2971" s="255"/>
      <c r="P2971" s="253"/>
      <c r="Q2971" s="7"/>
      <c r="R2971" s="7"/>
      <c r="S2971" s="7"/>
      <c r="T2971" s="7"/>
      <c r="U2971" s="7"/>
      <c r="V2971" s="253"/>
      <c r="W2971" s="7"/>
      <c r="X2971" s="256"/>
      <c r="Y2971" s="256"/>
      <c r="Z2971" s="256"/>
      <c r="AA2971" s="256"/>
      <c r="AB2971" s="257"/>
      <c r="AC2971" s="258"/>
      <c r="AD2971" s="7"/>
      <c r="AE2971" s="253"/>
      <c r="AF2971" s="253"/>
      <c r="AG2971" s="259"/>
      <c r="AH2971" s="253"/>
      <c r="AI2971" s="253"/>
      <c r="AJ2971" s="7"/>
      <c r="AK2971" s="253"/>
      <c r="AL2971" s="253"/>
      <c r="AM2971" s="7"/>
      <c r="AN2971" s="253"/>
      <c r="AO2971" s="253"/>
      <c r="AP2971" s="253"/>
      <c r="AQ2971" s="253"/>
      <c r="AR2971" s="253"/>
      <c r="AS2971" s="253"/>
      <c r="AT2971" s="253"/>
      <c r="AU2971" s="253"/>
      <c r="AV2971" s="253"/>
      <c r="AW2971" s="253"/>
      <c r="AX2971" s="253"/>
      <c r="AY2971" s="253"/>
      <c r="AZ2971" s="253"/>
    </row>
    <row r="2972" spans="1:52" ht="15.5" customHeight="1">
      <c r="A2972" s="363"/>
      <c r="B2972" s="343"/>
      <c r="C2972" s="7"/>
      <c r="D2972" s="254"/>
      <c r="E2972" s="254"/>
      <c r="F2972" s="254"/>
      <c r="G2972" s="253"/>
      <c r="H2972" s="253"/>
      <c r="I2972" s="253"/>
      <c r="J2972" s="253"/>
      <c r="K2972" s="253"/>
      <c r="L2972" s="7"/>
      <c r="M2972" s="7"/>
      <c r="N2972" s="253"/>
      <c r="O2972" s="255"/>
      <c r="P2972" s="253"/>
      <c r="Q2972" s="7"/>
      <c r="R2972" s="7"/>
      <c r="S2972" s="7"/>
      <c r="T2972" s="7"/>
      <c r="U2972" s="7"/>
      <c r="V2972" s="253"/>
      <c r="W2972" s="7"/>
      <c r="X2972" s="256"/>
      <c r="Y2972" s="256"/>
      <c r="Z2972" s="256"/>
      <c r="AA2972" s="256"/>
      <c r="AB2972" s="257"/>
      <c r="AC2972" s="258"/>
      <c r="AD2972" s="7"/>
      <c r="AE2972" s="253"/>
      <c r="AF2972" s="253"/>
      <c r="AG2972" s="259"/>
      <c r="AH2972" s="253"/>
      <c r="AI2972" s="253"/>
      <c r="AJ2972" s="7"/>
      <c r="AK2972" s="253"/>
      <c r="AL2972" s="253"/>
      <c r="AM2972" s="7"/>
      <c r="AN2972" s="253"/>
      <c r="AO2972" s="253"/>
      <c r="AP2972" s="253"/>
      <c r="AQ2972" s="253"/>
      <c r="AR2972" s="253"/>
      <c r="AS2972" s="253"/>
      <c r="AT2972" s="253"/>
      <c r="AU2972" s="253"/>
      <c r="AV2972" s="253"/>
      <c r="AW2972" s="253"/>
      <c r="AX2972" s="253"/>
      <c r="AY2972" s="253"/>
      <c r="AZ2972" s="253"/>
    </row>
    <row r="2973" spans="1:52" ht="15.5" customHeight="1">
      <c r="A2973" s="363"/>
      <c r="B2973" s="343"/>
      <c r="C2973" s="7"/>
      <c r="D2973" s="254"/>
      <c r="E2973" s="254"/>
      <c r="F2973" s="254"/>
      <c r="G2973" s="253"/>
      <c r="H2973" s="253"/>
      <c r="I2973" s="253"/>
      <c r="J2973" s="253"/>
      <c r="K2973" s="253"/>
      <c r="L2973" s="7"/>
      <c r="M2973" s="7"/>
      <c r="N2973" s="253"/>
      <c r="O2973" s="255"/>
      <c r="P2973" s="253"/>
      <c r="Q2973" s="7"/>
      <c r="R2973" s="7"/>
      <c r="S2973" s="7"/>
      <c r="T2973" s="7"/>
      <c r="U2973" s="7"/>
      <c r="V2973" s="253"/>
      <c r="W2973" s="7"/>
      <c r="X2973" s="256"/>
      <c r="Y2973" s="256"/>
      <c r="Z2973" s="256"/>
      <c r="AA2973" s="256"/>
      <c r="AB2973" s="257"/>
      <c r="AC2973" s="258"/>
      <c r="AD2973" s="7"/>
      <c r="AE2973" s="253"/>
      <c r="AF2973" s="253"/>
      <c r="AG2973" s="259"/>
      <c r="AH2973" s="253"/>
      <c r="AI2973" s="253"/>
      <c r="AJ2973" s="7"/>
      <c r="AK2973" s="253"/>
      <c r="AL2973" s="253"/>
      <c r="AM2973" s="7"/>
      <c r="AN2973" s="253"/>
      <c r="AO2973" s="253"/>
      <c r="AP2973" s="253"/>
      <c r="AQ2973" s="253"/>
      <c r="AR2973" s="253"/>
      <c r="AS2973" s="253"/>
      <c r="AT2973" s="253"/>
      <c r="AU2973" s="253"/>
      <c r="AV2973" s="253"/>
      <c r="AW2973" s="253"/>
      <c r="AX2973" s="253"/>
      <c r="AY2973" s="253"/>
      <c r="AZ2973" s="253"/>
    </row>
    <row r="2974" spans="1:52" ht="15.5" customHeight="1">
      <c r="A2974" s="363"/>
      <c r="B2974" s="343"/>
      <c r="C2974" s="7"/>
      <c r="D2974" s="254"/>
      <c r="E2974" s="254"/>
      <c r="F2974" s="254"/>
      <c r="G2974" s="253"/>
      <c r="H2974" s="253"/>
      <c r="I2974" s="253"/>
      <c r="J2974" s="253"/>
      <c r="K2974" s="253"/>
      <c r="L2974" s="7"/>
      <c r="M2974" s="7"/>
      <c r="N2974" s="253"/>
      <c r="O2974" s="255"/>
      <c r="P2974" s="253"/>
      <c r="Q2974" s="7"/>
      <c r="R2974" s="7"/>
      <c r="S2974" s="7"/>
      <c r="T2974" s="7"/>
      <c r="U2974" s="7"/>
      <c r="V2974" s="253"/>
      <c r="W2974" s="7"/>
      <c r="X2974" s="256"/>
      <c r="Y2974" s="256"/>
      <c r="Z2974" s="256"/>
      <c r="AA2974" s="256"/>
      <c r="AB2974" s="257"/>
      <c r="AC2974" s="258"/>
      <c r="AD2974" s="7"/>
      <c r="AE2974" s="253"/>
      <c r="AF2974" s="253"/>
      <c r="AG2974" s="259"/>
      <c r="AH2974" s="253"/>
      <c r="AI2974" s="253"/>
      <c r="AJ2974" s="7"/>
      <c r="AK2974" s="253"/>
      <c r="AL2974" s="253"/>
      <c r="AM2974" s="7"/>
      <c r="AN2974" s="253"/>
      <c r="AO2974" s="253"/>
      <c r="AP2974" s="253"/>
      <c r="AQ2974" s="253"/>
      <c r="AR2974" s="253"/>
      <c r="AS2974" s="253"/>
      <c r="AT2974" s="253"/>
      <c r="AU2974" s="253"/>
      <c r="AV2974" s="253"/>
      <c r="AW2974" s="253"/>
      <c r="AX2974" s="253"/>
      <c r="AY2974" s="253"/>
      <c r="AZ2974" s="253"/>
    </row>
    <row r="2975" spans="1:52" ht="15.5" customHeight="1">
      <c r="A2975" s="363"/>
      <c r="B2975" s="343"/>
      <c r="C2975" s="7"/>
      <c r="D2975" s="254"/>
      <c r="E2975" s="254"/>
      <c r="F2975" s="254"/>
      <c r="G2975" s="253"/>
      <c r="H2975" s="253"/>
      <c r="I2975" s="253"/>
      <c r="J2975" s="253"/>
      <c r="K2975" s="253"/>
      <c r="L2975" s="7"/>
      <c r="M2975" s="7"/>
      <c r="N2975" s="253"/>
      <c r="O2975" s="255"/>
      <c r="P2975" s="253"/>
      <c r="Q2975" s="7"/>
      <c r="R2975" s="7"/>
      <c r="S2975" s="7"/>
      <c r="T2975" s="7"/>
      <c r="U2975" s="7"/>
      <c r="V2975" s="253"/>
      <c r="W2975" s="7"/>
      <c r="X2975" s="256"/>
      <c r="Y2975" s="256"/>
      <c r="Z2975" s="256"/>
      <c r="AA2975" s="256"/>
      <c r="AB2975" s="257"/>
      <c r="AC2975" s="258"/>
      <c r="AD2975" s="7"/>
      <c r="AE2975" s="253"/>
      <c r="AF2975" s="253"/>
      <c r="AG2975" s="259"/>
      <c r="AH2975" s="253"/>
      <c r="AI2975" s="253"/>
      <c r="AJ2975" s="7"/>
      <c r="AK2975" s="253"/>
      <c r="AL2975" s="253"/>
      <c r="AM2975" s="7"/>
      <c r="AN2975" s="253"/>
      <c r="AO2975" s="253"/>
      <c r="AP2975" s="253"/>
      <c r="AQ2975" s="253"/>
      <c r="AR2975" s="253"/>
      <c r="AS2975" s="253"/>
      <c r="AT2975" s="253"/>
      <c r="AU2975" s="253"/>
      <c r="AV2975" s="253"/>
      <c r="AW2975" s="253"/>
      <c r="AX2975" s="253"/>
      <c r="AY2975" s="253"/>
      <c r="AZ2975" s="253"/>
    </row>
    <row r="2976" spans="1:52" ht="15.5" customHeight="1">
      <c r="A2976" s="363"/>
      <c r="B2976" s="343"/>
      <c r="C2976" s="7"/>
      <c r="D2976" s="254"/>
      <c r="E2976" s="254"/>
      <c r="F2976" s="254"/>
      <c r="G2976" s="253"/>
      <c r="H2976" s="253"/>
      <c r="I2976" s="253"/>
      <c r="J2976" s="253"/>
      <c r="K2976" s="253"/>
      <c r="L2976" s="7"/>
      <c r="M2976" s="7"/>
      <c r="N2976" s="253"/>
      <c r="O2976" s="255"/>
      <c r="P2976" s="253"/>
      <c r="Q2976" s="7"/>
      <c r="R2976" s="7"/>
      <c r="S2976" s="7"/>
      <c r="T2976" s="7"/>
      <c r="U2976" s="7"/>
      <c r="V2976" s="253"/>
      <c r="W2976" s="7"/>
      <c r="X2976" s="256"/>
      <c r="Y2976" s="256"/>
      <c r="Z2976" s="256"/>
      <c r="AA2976" s="256"/>
      <c r="AB2976" s="257"/>
      <c r="AC2976" s="258"/>
      <c r="AD2976" s="7"/>
      <c r="AE2976" s="253"/>
      <c r="AF2976" s="253"/>
      <c r="AG2976" s="259"/>
      <c r="AH2976" s="253"/>
      <c r="AI2976" s="253"/>
      <c r="AJ2976" s="7"/>
      <c r="AK2976" s="253"/>
      <c r="AL2976" s="253"/>
      <c r="AM2976" s="7"/>
      <c r="AN2976" s="253"/>
      <c r="AO2976" s="253"/>
      <c r="AP2976" s="253"/>
      <c r="AQ2976" s="253"/>
      <c r="AR2976" s="253"/>
      <c r="AS2976" s="253"/>
      <c r="AT2976" s="253"/>
      <c r="AU2976" s="253"/>
      <c r="AV2976" s="253"/>
      <c r="AW2976" s="253"/>
      <c r="AX2976" s="253"/>
      <c r="AY2976" s="253"/>
      <c r="AZ2976" s="253"/>
    </row>
    <row r="2977" spans="1:52" ht="15.5" customHeight="1">
      <c r="A2977" s="363"/>
      <c r="B2977" s="343"/>
      <c r="C2977" s="7"/>
      <c r="D2977" s="254"/>
      <c r="E2977" s="254"/>
      <c r="F2977" s="254"/>
      <c r="G2977" s="253"/>
      <c r="H2977" s="253"/>
      <c r="I2977" s="253"/>
      <c r="J2977" s="253"/>
      <c r="K2977" s="253"/>
      <c r="L2977" s="7"/>
      <c r="M2977" s="7"/>
      <c r="N2977" s="253"/>
      <c r="O2977" s="255"/>
      <c r="P2977" s="253"/>
      <c r="Q2977" s="7"/>
      <c r="R2977" s="7"/>
      <c r="S2977" s="7"/>
      <c r="T2977" s="7"/>
      <c r="U2977" s="7"/>
      <c r="V2977" s="253"/>
      <c r="W2977" s="7"/>
      <c r="X2977" s="256"/>
      <c r="Y2977" s="256"/>
      <c r="Z2977" s="256"/>
      <c r="AA2977" s="256"/>
      <c r="AB2977" s="257"/>
      <c r="AC2977" s="258"/>
      <c r="AD2977" s="7"/>
      <c r="AE2977" s="253"/>
      <c r="AF2977" s="253"/>
      <c r="AG2977" s="259"/>
      <c r="AH2977" s="253"/>
      <c r="AI2977" s="253"/>
      <c r="AJ2977" s="7"/>
      <c r="AK2977" s="253"/>
      <c r="AL2977" s="253"/>
      <c r="AM2977" s="7"/>
      <c r="AN2977" s="253"/>
      <c r="AO2977" s="253"/>
      <c r="AP2977" s="253"/>
      <c r="AQ2977" s="253"/>
      <c r="AR2977" s="253"/>
      <c r="AS2977" s="253"/>
      <c r="AT2977" s="253"/>
      <c r="AU2977" s="253"/>
      <c r="AV2977" s="253"/>
      <c r="AW2977" s="253"/>
      <c r="AX2977" s="253"/>
      <c r="AY2977" s="253"/>
      <c r="AZ2977" s="253"/>
    </row>
    <row r="2978" spans="1:52" ht="15.5" customHeight="1">
      <c r="A2978" s="363"/>
      <c r="B2978" s="343"/>
      <c r="C2978" s="7"/>
      <c r="D2978" s="254"/>
      <c r="E2978" s="254"/>
      <c r="F2978" s="254"/>
      <c r="G2978" s="253"/>
      <c r="H2978" s="253"/>
      <c r="I2978" s="253"/>
      <c r="J2978" s="253"/>
      <c r="K2978" s="253"/>
      <c r="L2978" s="7"/>
      <c r="M2978" s="7"/>
      <c r="N2978" s="253"/>
      <c r="O2978" s="255"/>
      <c r="P2978" s="253"/>
      <c r="Q2978" s="7"/>
      <c r="R2978" s="7"/>
      <c r="S2978" s="7"/>
      <c r="T2978" s="7"/>
      <c r="U2978" s="7"/>
      <c r="V2978" s="253"/>
      <c r="W2978" s="7"/>
      <c r="X2978" s="256"/>
      <c r="Y2978" s="256"/>
      <c r="Z2978" s="256"/>
      <c r="AA2978" s="256"/>
      <c r="AB2978" s="257"/>
      <c r="AC2978" s="258"/>
      <c r="AD2978" s="7"/>
      <c r="AE2978" s="253"/>
      <c r="AF2978" s="253"/>
      <c r="AG2978" s="259"/>
      <c r="AH2978" s="253"/>
      <c r="AI2978" s="253"/>
      <c r="AJ2978" s="7"/>
      <c r="AK2978" s="253"/>
      <c r="AL2978" s="253"/>
      <c r="AM2978" s="7"/>
      <c r="AN2978" s="253"/>
      <c r="AO2978" s="253"/>
      <c r="AP2978" s="253"/>
      <c r="AQ2978" s="253"/>
      <c r="AR2978" s="253"/>
      <c r="AS2978" s="253"/>
      <c r="AT2978" s="253"/>
      <c r="AU2978" s="253"/>
      <c r="AV2978" s="253"/>
      <c r="AW2978" s="253"/>
      <c r="AX2978" s="253"/>
      <c r="AY2978" s="253"/>
      <c r="AZ2978" s="253"/>
    </row>
    <row r="2979" spans="1:52" ht="15.5" customHeight="1">
      <c r="A2979" s="363"/>
      <c r="B2979" s="343"/>
      <c r="C2979" s="7"/>
      <c r="D2979" s="254"/>
      <c r="E2979" s="254"/>
      <c r="F2979" s="254"/>
      <c r="G2979" s="253"/>
      <c r="H2979" s="253"/>
      <c r="I2979" s="253"/>
      <c r="J2979" s="253"/>
      <c r="K2979" s="253"/>
      <c r="L2979" s="7"/>
      <c r="M2979" s="7"/>
      <c r="N2979" s="253"/>
      <c r="O2979" s="255"/>
      <c r="P2979" s="253"/>
      <c r="Q2979" s="7"/>
      <c r="R2979" s="7"/>
      <c r="S2979" s="7"/>
      <c r="T2979" s="7"/>
      <c r="U2979" s="7"/>
      <c r="V2979" s="253"/>
      <c r="W2979" s="7"/>
      <c r="X2979" s="256"/>
      <c r="Y2979" s="256"/>
      <c r="Z2979" s="256"/>
      <c r="AA2979" s="256"/>
      <c r="AB2979" s="257"/>
      <c r="AC2979" s="258"/>
      <c r="AD2979" s="7"/>
      <c r="AE2979" s="253"/>
      <c r="AF2979" s="253"/>
      <c r="AG2979" s="259"/>
      <c r="AH2979" s="253"/>
      <c r="AI2979" s="253"/>
      <c r="AJ2979" s="7"/>
      <c r="AK2979" s="253"/>
      <c r="AL2979" s="253"/>
      <c r="AM2979" s="7"/>
      <c r="AN2979" s="253"/>
      <c r="AO2979" s="253"/>
      <c r="AP2979" s="253"/>
      <c r="AQ2979" s="253"/>
      <c r="AR2979" s="253"/>
      <c r="AS2979" s="253"/>
      <c r="AT2979" s="253"/>
      <c r="AU2979" s="253"/>
      <c r="AV2979" s="253"/>
      <c r="AW2979" s="253"/>
      <c r="AX2979" s="253"/>
      <c r="AY2979" s="253"/>
      <c r="AZ2979" s="253"/>
    </row>
    <row r="2980" spans="1:52" ht="15.5" customHeight="1">
      <c r="A2980" s="363"/>
      <c r="B2980" s="343"/>
      <c r="C2980" s="7"/>
      <c r="D2980" s="254"/>
      <c r="E2980" s="254"/>
      <c r="F2980" s="254"/>
      <c r="G2980" s="253"/>
      <c r="H2980" s="253"/>
      <c r="I2980" s="253"/>
      <c r="J2980" s="253"/>
      <c r="K2980" s="253"/>
      <c r="L2980" s="7"/>
      <c r="M2980" s="7"/>
      <c r="N2980" s="253"/>
      <c r="O2980" s="255"/>
      <c r="P2980" s="253"/>
      <c r="Q2980" s="7"/>
      <c r="R2980" s="7"/>
      <c r="S2980" s="7"/>
      <c r="T2980" s="7"/>
      <c r="U2980" s="7"/>
      <c r="V2980" s="253"/>
      <c r="W2980" s="7"/>
      <c r="X2980" s="256"/>
      <c r="Y2980" s="256"/>
      <c r="Z2980" s="256"/>
      <c r="AA2980" s="256"/>
      <c r="AB2980" s="257"/>
      <c r="AC2980" s="258"/>
      <c r="AD2980" s="7"/>
      <c r="AE2980" s="253"/>
      <c r="AF2980" s="253"/>
      <c r="AG2980" s="259"/>
      <c r="AH2980" s="253"/>
      <c r="AI2980" s="253"/>
      <c r="AJ2980" s="7"/>
      <c r="AK2980" s="253"/>
      <c r="AL2980" s="253"/>
      <c r="AM2980" s="7"/>
      <c r="AN2980" s="253"/>
      <c r="AO2980" s="253"/>
      <c r="AP2980" s="253"/>
      <c r="AQ2980" s="253"/>
      <c r="AR2980" s="253"/>
      <c r="AS2980" s="253"/>
      <c r="AT2980" s="253"/>
      <c r="AU2980" s="253"/>
      <c r="AV2980" s="253"/>
      <c r="AW2980" s="253"/>
      <c r="AX2980" s="253"/>
      <c r="AY2980" s="253"/>
      <c r="AZ2980" s="253"/>
    </row>
    <row r="2981" spans="1:52" ht="15.5" customHeight="1">
      <c r="A2981" s="363"/>
      <c r="B2981" s="343"/>
      <c r="C2981" s="7"/>
      <c r="D2981" s="254"/>
      <c r="E2981" s="254"/>
      <c r="F2981" s="254"/>
      <c r="G2981" s="253"/>
      <c r="H2981" s="253"/>
      <c r="I2981" s="253"/>
      <c r="J2981" s="253"/>
      <c r="K2981" s="253"/>
      <c r="L2981" s="7"/>
      <c r="M2981" s="7"/>
      <c r="N2981" s="253"/>
      <c r="O2981" s="255"/>
      <c r="P2981" s="253"/>
      <c r="Q2981" s="7"/>
      <c r="R2981" s="7"/>
      <c r="S2981" s="7"/>
      <c r="T2981" s="7"/>
      <c r="U2981" s="7"/>
      <c r="V2981" s="253"/>
      <c r="W2981" s="7"/>
      <c r="X2981" s="256"/>
      <c r="Y2981" s="256"/>
      <c r="Z2981" s="256"/>
      <c r="AA2981" s="256"/>
      <c r="AB2981" s="257"/>
      <c r="AC2981" s="258"/>
      <c r="AD2981" s="7"/>
      <c r="AE2981" s="253"/>
      <c r="AF2981" s="253"/>
      <c r="AG2981" s="259"/>
      <c r="AH2981" s="253"/>
      <c r="AI2981" s="253"/>
      <c r="AJ2981" s="7"/>
      <c r="AK2981" s="253"/>
      <c r="AL2981" s="253"/>
      <c r="AM2981" s="7"/>
      <c r="AN2981" s="253"/>
      <c r="AO2981" s="253"/>
      <c r="AP2981" s="253"/>
      <c r="AQ2981" s="253"/>
      <c r="AR2981" s="253"/>
      <c r="AS2981" s="253"/>
      <c r="AT2981" s="253"/>
      <c r="AU2981" s="253"/>
      <c r="AV2981" s="253"/>
      <c r="AW2981" s="253"/>
      <c r="AX2981" s="253"/>
      <c r="AY2981" s="253"/>
      <c r="AZ2981" s="253"/>
    </row>
    <row r="2982" spans="1:52" ht="15.5" customHeight="1">
      <c r="A2982" s="363"/>
      <c r="B2982" s="343"/>
      <c r="C2982" s="7"/>
      <c r="D2982" s="254"/>
      <c r="E2982" s="254"/>
      <c r="F2982" s="254"/>
      <c r="G2982" s="253"/>
      <c r="H2982" s="253"/>
      <c r="I2982" s="253"/>
      <c r="J2982" s="253"/>
      <c r="K2982" s="253"/>
      <c r="L2982" s="7"/>
      <c r="M2982" s="7"/>
      <c r="N2982" s="253"/>
      <c r="O2982" s="255"/>
      <c r="P2982" s="253"/>
      <c r="Q2982" s="7"/>
      <c r="R2982" s="7"/>
      <c r="S2982" s="7"/>
      <c r="T2982" s="7"/>
      <c r="U2982" s="7"/>
      <c r="V2982" s="253"/>
      <c r="W2982" s="7"/>
      <c r="X2982" s="256"/>
      <c r="Y2982" s="256"/>
      <c r="Z2982" s="256"/>
      <c r="AA2982" s="256"/>
      <c r="AB2982" s="257"/>
      <c r="AC2982" s="258"/>
      <c r="AD2982" s="7"/>
      <c r="AE2982" s="253"/>
      <c r="AF2982" s="253"/>
      <c r="AG2982" s="259"/>
      <c r="AH2982" s="253"/>
      <c r="AI2982" s="253"/>
      <c r="AJ2982" s="7"/>
      <c r="AK2982" s="253"/>
      <c r="AL2982" s="253"/>
      <c r="AM2982" s="7"/>
      <c r="AN2982" s="253"/>
      <c r="AO2982" s="253"/>
      <c r="AP2982" s="253"/>
      <c r="AQ2982" s="253"/>
      <c r="AR2982" s="253"/>
      <c r="AS2982" s="253"/>
      <c r="AT2982" s="253"/>
      <c r="AU2982" s="253"/>
      <c r="AV2982" s="253"/>
      <c r="AW2982" s="253"/>
      <c r="AX2982" s="253"/>
      <c r="AY2982" s="253"/>
      <c r="AZ2982" s="253"/>
    </row>
    <row r="2983" spans="1:52" ht="15.5" customHeight="1">
      <c r="A2983" s="363"/>
      <c r="B2983" s="343"/>
      <c r="C2983" s="7"/>
      <c r="D2983" s="254"/>
      <c r="E2983" s="254"/>
      <c r="F2983" s="254"/>
      <c r="G2983" s="253"/>
      <c r="H2983" s="253"/>
      <c r="I2983" s="253"/>
      <c r="J2983" s="253"/>
      <c r="K2983" s="253"/>
      <c r="L2983" s="7"/>
      <c r="M2983" s="7"/>
      <c r="N2983" s="253"/>
      <c r="O2983" s="255"/>
      <c r="P2983" s="253"/>
      <c r="Q2983" s="7"/>
      <c r="R2983" s="7"/>
      <c r="S2983" s="7"/>
      <c r="T2983" s="7"/>
      <c r="U2983" s="7"/>
      <c r="V2983" s="253"/>
      <c r="W2983" s="7"/>
      <c r="X2983" s="256"/>
      <c r="Y2983" s="256"/>
      <c r="Z2983" s="256"/>
      <c r="AA2983" s="256"/>
      <c r="AB2983" s="257"/>
      <c r="AC2983" s="258"/>
      <c r="AD2983" s="7"/>
      <c r="AE2983" s="253"/>
      <c r="AF2983" s="253"/>
      <c r="AG2983" s="259"/>
      <c r="AH2983" s="253"/>
      <c r="AI2983" s="253"/>
      <c r="AJ2983" s="7"/>
      <c r="AK2983" s="253"/>
      <c r="AL2983" s="253"/>
      <c r="AM2983" s="7"/>
      <c r="AN2983" s="253"/>
      <c r="AO2983" s="253"/>
      <c r="AP2983" s="253"/>
      <c r="AQ2983" s="253"/>
      <c r="AR2983" s="253"/>
      <c r="AS2983" s="253"/>
      <c r="AT2983" s="253"/>
      <c r="AU2983" s="253"/>
      <c r="AV2983" s="253"/>
      <c r="AW2983" s="253"/>
      <c r="AX2983" s="253"/>
      <c r="AY2983" s="253"/>
      <c r="AZ2983" s="253"/>
    </row>
    <row r="2984" spans="1:52" ht="15.5" customHeight="1">
      <c r="A2984" s="363"/>
      <c r="B2984" s="343"/>
      <c r="C2984" s="7"/>
      <c r="D2984" s="254"/>
      <c r="E2984" s="254"/>
      <c r="F2984" s="254"/>
      <c r="G2984" s="253"/>
      <c r="H2984" s="253"/>
      <c r="I2984" s="253"/>
      <c r="J2984" s="253"/>
      <c r="K2984" s="253"/>
      <c r="L2984" s="7"/>
      <c r="M2984" s="7"/>
      <c r="N2984" s="253"/>
      <c r="O2984" s="255"/>
      <c r="P2984" s="253"/>
      <c r="Q2984" s="7"/>
      <c r="R2984" s="7"/>
      <c r="S2984" s="7"/>
      <c r="T2984" s="7"/>
      <c r="U2984" s="7"/>
      <c r="V2984" s="253"/>
      <c r="W2984" s="7"/>
      <c r="X2984" s="256"/>
      <c r="Y2984" s="256"/>
      <c r="Z2984" s="256"/>
      <c r="AA2984" s="256"/>
      <c r="AB2984" s="257"/>
      <c r="AC2984" s="258"/>
      <c r="AD2984" s="7"/>
      <c r="AE2984" s="253"/>
      <c r="AF2984" s="253"/>
      <c r="AG2984" s="259"/>
      <c r="AH2984" s="253"/>
      <c r="AI2984" s="253"/>
      <c r="AJ2984" s="7"/>
      <c r="AK2984" s="253"/>
      <c r="AL2984" s="253"/>
      <c r="AM2984" s="7"/>
      <c r="AN2984" s="253"/>
      <c r="AO2984" s="253"/>
      <c r="AP2984" s="253"/>
      <c r="AQ2984" s="253"/>
      <c r="AR2984" s="253"/>
      <c r="AS2984" s="253"/>
      <c r="AT2984" s="253"/>
      <c r="AU2984" s="253"/>
      <c r="AV2984" s="253"/>
      <c r="AW2984" s="253"/>
      <c r="AX2984" s="253"/>
      <c r="AY2984" s="253"/>
      <c r="AZ2984" s="253"/>
    </row>
    <row r="2985" spans="1:52" ht="15.5" customHeight="1">
      <c r="A2985" s="363"/>
      <c r="B2985" s="343"/>
      <c r="C2985" s="7"/>
      <c r="D2985" s="254"/>
      <c r="E2985" s="254"/>
      <c r="F2985" s="254"/>
      <c r="G2985" s="253"/>
      <c r="H2985" s="253"/>
      <c r="I2985" s="253"/>
      <c r="J2985" s="253"/>
      <c r="K2985" s="253"/>
      <c r="L2985" s="7"/>
      <c r="M2985" s="7"/>
      <c r="N2985" s="253"/>
      <c r="O2985" s="255"/>
      <c r="P2985" s="253"/>
      <c r="Q2985" s="7"/>
      <c r="R2985" s="7"/>
      <c r="S2985" s="7"/>
      <c r="T2985" s="7"/>
      <c r="U2985" s="7"/>
      <c r="V2985" s="253"/>
      <c r="W2985" s="7"/>
      <c r="X2985" s="256"/>
      <c r="Y2985" s="256"/>
      <c r="Z2985" s="256"/>
      <c r="AA2985" s="256"/>
      <c r="AB2985" s="257"/>
      <c r="AC2985" s="258"/>
      <c r="AD2985" s="7"/>
      <c r="AE2985" s="253"/>
      <c r="AF2985" s="253"/>
      <c r="AG2985" s="259"/>
      <c r="AH2985" s="253"/>
      <c r="AI2985" s="253"/>
      <c r="AJ2985" s="7"/>
      <c r="AK2985" s="253"/>
      <c r="AL2985" s="253"/>
      <c r="AM2985" s="7"/>
      <c r="AN2985" s="253"/>
      <c r="AO2985" s="253"/>
      <c r="AP2985" s="253"/>
      <c r="AQ2985" s="253"/>
      <c r="AR2985" s="253"/>
      <c r="AS2985" s="253"/>
      <c r="AT2985" s="253"/>
      <c r="AU2985" s="253"/>
      <c r="AV2985" s="253"/>
      <c r="AW2985" s="253"/>
      <c r="AX2985" s="253"/>
      <c r="AY2985" s="253"/>
      <c r="AZ2985" s="253"/>
    </row>
    <row r="2986" spans="1:52" ht="15.5" customHeight="1">
      <c r="A2986" s="363"/>
      <c r="B2986" s="343"/>
      <c r="C2986" s="7"/>
      <c r="D2986" s="254"/>
      <c r="E2986" s="254"/>
      <c r="F2986" s="254"/>
      <c r="G2986" s="253"/>
      <c r="H2986" s="253"/>
      <c r="I2986" s="253"/>
      <c r="J2986" s="253"/>
      <c r="K2986" s="253"/>
      <c r="L2986" s="7"/>
      <c r="M2986" s="7"/>
      <c r="N2986" s="253"/>
      <c r="O2986" s="255"/>
      <c r="P2986" s="253"/>
      <c r="Q2986" s="7"/>
      <c r="R2986" s="7"/>
      <c r="S2986" s="7"/>
      <c r="T2986" s="7"/>
      <c r="U2986" s="7"/>
      <c r="V2986" s="253"/>
      <c r="W2986" s="7"/>
      <c r="X2986" s="256"/>
      <c r="Y2986" s="256"/>
      <c r="Z2986" s="256"/>
      <c r="AA2986" s="256"/>
      <c r="AB2986" s="257"/>
      <c r="AC2986" s="258"/>
      <c r="AD2986" s="7"/>
      <c r="AE2986" s="253"/>
      <c r="AF2986" s="253"/>
      <c r="AG2986" s="259"/>
      <c r="AH2986" s="253"/>
      <c r="AI2986" s="253"/>
      <c r="AJ2986" s="7"/>
      <c r="AK2986" s="253"/>
      <c r="AL2986" s="253"/>
      <c r="AM2986" s="7"/>
      <c r="AN2986" s="253"/>
      <c r="AO2986" s="253"/>
      <c r="AP2986" s="253"/>
      <c r="AQ2986" s="253"/>
      <c r="AR2986" s="253"/>
      <c r="AS2986" s="253"/>
      <c r="AT2986" s="253"/>
      <c r="AU2986" s="253"/>
      <c r="AV2986" s="253"/>
      <c r="AW2986" s="253"/>
      <c r="AX2986" s="253"/>
      <c r="AY2986" s="253"/>
      <c r="AZ2986" s="253"/>
    </row>
    <row r="2987" spans="1:52" ht="15.5" customHeight="1">
      <c r="A2987" s="363"/>
      <c r="B2987" s="343"/>
      <c r="C2987" s="7"/>
      <c r="D2987" s="254"/>
      <c r="E2987" s="254"/>
      <c r="F2987" s="254"/>
      <c r="G2987" s="253"/>
      <c r="H2987" s="253"/>
      <c r="I2987" s="253"/>
      <c r="J2987" s="253"/>
      <c r="K2987" s="253"/>
      <c r="L2987" s="7"/>
      <c r="M2987" s="7"/>
      <c r="N2987" s="253"/>
      <c r="O2987" s="255"/>
      <c r="P2987" s="253"/>
      <c r="Q2987" s="7"/>
      <c r="R2987" s="7"/>
      <c r="S2987" s="7"/>
      <c r="T2987" s="7"/>
      <c r="U2987" s="7"/>
      <c r="V2987" s="253"/>
      <c r="W2987" s="7"/>
      <c r="X2987" s="256"/>
      <c r="Y2987" s="256"/>
      <c r="Z2987" s="256"/>
      <c r="AA2987" s="256"/>
      <c r="AB2987" s="257"/>
      <c r="AC2987" s="258"/>
      <c r="AD2987" s="7"/>
      <c r="AE2987" s="253"/>
      <c r="AF2987" s="253"/>
      <c r="AG2987" s="259"/>
      <c r="AH2987" s="253"/>
      <c r="AI2987" s="253"/>
      <c r="AJ2987" s="7"/>
      <c r="AK2987" s="253"/>
      <c r="AL2987" s="253"/>
      <c r="AM2987" s="7"/>
      <c r="AN2987" s="253"/>
      <c r="AO2987" s="253"/>
      <c r="AP2987" s="253"/>
      <c r="AQ2987" s="253"/>
      <c r="AR2987" s="253"/>
      <c r="AS2987" s="253"/>
      <c r="AT2987" s="253"/>
      <c r="AU2987" s="253"/>
      <c r="AV2987" s="253"/>
      <c r="AW2987" s="253"/>
      <c r="AX2987" s="253"/>
      <c r="AY2987" s="253"/>
      <c r="AZ2987" s="253"/>
    </row>
    <row r="2988" spans="1:52" ht="15.5" customHeight="1">
      <c r="A2988" s="363"/>
      <c r="B2988" s="343"/>
      <c r="C2988" s="7"/>
      <c r="D2988" s="254"/>
      <c r="E2988" s="254"/>
      <c r="F2988" s="254"/>
      <c r="G2988" s="253"/>
      <c r="H2988" s="253"/>
      <c r="I2988" s="253"/>
      <c r="J2988" s="253"/>
      <c r="K2988" s="253"/>
      <c r="L2988" s="7"/>
      <c r="M2988" s="7"/>
      <c r="N2988" s="253"/>
      <c r="O2988" s="255"/>
      <c r="P2988" s="253"/>
      <c r="Q2988" s="7"/>
      <c r="R2988" s="7"/>
      <c r="S2988" s="7"/>
      <c r="T2988" s="7"/>
      <c r="U2988" s="7"/>
      <c r="V2988" s="253"/>
      <c r="W2988" s="7"/>
      <c r="X2988" s="256"/>
      <c r="Y2988" s="256"/>
      <c r="Z2988" s="256"/>
      <c r="AA2988" s="256"/>
      <c r="AB2988" s="257"/>
      <c r="AC2988" s="258"/>
      <c r="AD2988" s="7"/>
      <c r="AE2988" s="253"/>
      <c r="AF2988" s="253"/>
      <c r="AG2988" s="259"/>
      <c r="AH2988" s="253"/>
      <c r="AI2988" s="253"/>
      <c r="AJ2988" s="7"/>
      <c r="AK2988" s="253"/>
      <c r="AL2988" s="253"/>
      <c r="AM2988" s="7"/>
      <c r="AN2988" s="253"/>
      <c r="AO2988" s="253"/>
      <c r="AP2988" s="253"/>
      <c r="AQ2988" s="253"/>
      <c r="AR2988" s="253"/>
      <c r="AS2988" s="253"/>
      <c r="AT2988" s="253"/>
      <c r="AU2988" s="253"/>
      <c r="AV2988" s="253"/>
      <c r="AW2988" s="253"/>
      <c r="AX2988" s="253"/>
      <c r="AY2988" s="253"/>
      <c r="AZ2988" s="253"/>
    </row>
    <row r="2989" spans="1:52" ht="15.5" customHeight="1">
      <c r="A2989" s="363"/>
      <c r="B2989" s="343"/>
      <c r="C2989" s="7"/>
      <c r="D2989" s="254"/>
      <c r="E2989" s="254"/>
      <c r="F2989" s="254"/>
      <c r="G2989" s="253"/>
      <c r="H2989" s="253"/>
      <c r="I2989" s="253"/>
      <c r="J2989" s="253"/>
      <c r="K2989" s="253"/>
      <c r="L2989" s="7"/>
      <c r="M2989" s="7"/>
      <c r="N2989" s="253"/>
      <c r="O2989" s="255"/>
      <c r="P2989" s="253"/>
      <c r="Q2989" s="7"/>
      <c r="R2989" s="7"/>
      <c r="S2989" s="7"/>
      <c r="T2989" s="7"/>
      <c r="U2989" s="7"/>
      <c r="V2989" s="253"/>
      <c r="W2989" s="7"/>
      <c r="X2989" s="256"/>
      <c r="Y2989" s="256"/>
      <c r="Z2989" s="256"/>
      <c r="AA2989" s="256"/>
      <c r="AB2989" s="257"/>
      <c r="AC2989" s="258"/>
      <c r="AD2989" s="7"/>
      <c r="AE2989" s="253"/>
      <c r="AF2989" s="253"/>
      <c r="AG2989" s="259"/>
      <c r="AH2989" s="253"/>
      <c r="AI2989" s="253"/>
      <c r="AJ2989" s="7"/>
      <c r="AK2989" s="253"/>
      <c r="AL2989" s="253"/>
      <c r="AM2989" s="7"/>
      <c r="AN2989" s="253"/>
      <c r="AO2989" s="253"/>
      <c r="AP2989" s="253"/>
      <c r="AQ2989" s="253"/>
      <c r="AR2989" s="253"/>
      <c r="AS2989" s="253"/>
      <c r="AT2989" s="253"/>
      <c r="AU2989" s="253"/>
      <c r="AV2989" s="253"/>
      <c r="AW2989" s="253"/>
      <c r="AX2989" s="253"/>
      <c r="AY2989" s="253"/>
      <c r="AZ2989" s="253"/>
    </row>
    <row r="2990" spans="1:52" ht="15.5" customHeight="1">
      <c r="A2990" s="363"/>
      <c r="B2990" s="343"/>
      <c r="C2990" s="7"/>
      <c r="D2990" s="254"/>
      <c r="E2990" s="254"/>
      <c r="F2990" s="254"/>
      <c r="G2990" s="253"/>
      <c r="H2990" s="253"/>
      <c r="I2990" s="253"/>
      <c r="J2990" s="253"/>
      <c r="K2990" s="253"/>
      <c r="L2990" s="7"/>
      <c r="M2990" s="7"/>
      <c r="N2990" s="253"/>
      <c r="O2990" s="255"/>
      <c r="P2990" s="253"/>
      <c r="Q2990" s="7"/>
      <c r="R2990" s="7"/>
      <c r="S2990" s="7"/>
      <c r="T2990" s="7"/>
      <c r="U2990" s="7"/>
      <c r="V2990" s="253"/>
      <c r="W2990" s="7"/>
      <c r="X2990" s="256"/>
      <c r="Y2990" s="256"/>
      <c r="Z2990" s="256"/>
      <c r="AA2990" s="256"/>
      <c r="AB2990" s="257"/>
      <c r="AC2990" s="258"/>
      <c r="AD2990" s="7"/>
      <c r="AE2990" s="253"/>
      <c r="AF2990" s="253"/>
      <c r="AG2990" s="259"/>
      <c r="AH2990" s="253"/>
      <c r="AI2990" s="253"/>
      <c r="AJ2990" s="7"/>
      <c r="AK2990" s="253"/>
      <c r="AL2990" s="253"/>
      <c r="AM2990" s="7"/>
      <c r="AN2990" s="253"/>
      <c r="AO2990" s="253"/>
      <c r="AP2990" s="253"/>
      <c r="AQ2990" s="253"/>
      <c r="AR2990" s="253"/>
      <c r="AS2990" s="253"/>
      <c r="AT2990" s="253"/>
      <c r="AU2990" s="253"/>
      <c r="AV2990" s="253"/>
      <c r="AW2990" s="253"/>
      <c r="AX2990" s="253"/>
      <c r="AY2990" s="253"/>
      <c r="AZ2990" s="253"/>
    </row>
    <row r="2991" spans="1:52" ht="15.5" customHeight="1">
      <c r="A2991" s="363"/>
      <c r="B2991" s="343"/>
      <c r="C2991" s="7"/>
      <c r="D2991" s="254"/>
      <c r="E2991" s="254"/>
      <c r="F2991" s="254"/>
      <c r="G2991" s="253"/>
      <c r="H2991" s="253"/>
      <c r="I2991" s="253"/>
      <c r="J2991" s="253"/>
      <c r="K2991" s="253"/>
      <c r="L2991" s="7"/>
      <c r="M2991" s="7"/>
      <c r="N2991" s="253"/>
      <c r="O2991" s="255"/>
      <c r="P2991" s="253"/>
      <c r="Q2991" s="7"/>
      <c r="R2991" s="7"/>
      <c r="S2991" s="7"/>
      <c r="T2991" s="7"/>
      <c r="U2991" s="7"/>
      <c r="V2991" s="253"/>
      <c r="W2991" s="7"/>
      <c r="X2991" s="256"/>
      <c r="Y2991" s="256"/>
      <c r="Z2991" s="256"/>
      <c r="AA2991" s="256"/>
      <c r="AB2991" s="257"/>
      <c r="AC2991" s="258"/>
      <c r="AD2991" s="7"/>
      <c r="AE2991" s="253"/>
      <c r="AF2991" s="253"/>
      <c r="AG2991" s="259"/>
      <c r="AH2991" s="253"/>
      <c r="AI2991" s="253"/>
      <c r="AJ2991" s="7"/>
      <c r="AK2991" s="253"/>
      <c r="AL2991" s="253"/>
      <c r="AM2991" s="7"/>
      <c r="AN2991" s="253"/>
      <c r="AO2991" s="253"/>
      <c r="AP2991" s="253"/>
      <c r="AQ2991" s="253"/>
      <c r="AR2991" s="253"/>
      <c r="AS2991" s="253"/>
      <c r="AT2991" s="253"/>
      <c r="AU2991" s="253"/>
      <c r="AV2991" s="253"/>
      <c r="AW2991" s="253"/>
      <c r="AX2991" s="253"/>
      <c r="AY2991" s="253"/>
      <c r="AZ2991" s="253"/>
    </row>
    <row r="2992" spans="1:52" ht="15.5" customHeight="1">
      <c r="A2992" s="363"/>
      <c r="B2992" s="343"/>
      <c r="C2992" s="7"/>
      <c r="D2992" s="254"/>
      <c r="E2992" s="254"/>
      <c r="F2992" s="254"/>
      <c r="G2992" s="253"/>
      <c r="H2992" s="253"/>
      <c r="I2992" s="253"/>
      <c r="J2992" s="253"/>
      <c r="K2992" s="253"/>
      <c r="L2992" s="7"/>
      <c r="M2992" s="7"/>
      <c r="N2992" s="253"/>
      <c r="O2992" s="255"/>
      <c r="P2992" s="253"/>
      <c r="Q2992" s="7"/>
      <c r="R2992" s="7"/>
      <c r="S2992" s="7"/>
      <c r="T2992" s="7"/>
      <c r="U2992" s="7"/>
      <c r="V2992" s="253"/>
      <c r="W2992" s="7"/>
      <c r="X2992" s="256"/>
      <c r="Y2992" s="256"/>
      <c r="Z2992" s="256"/>
      <c r="AA2992" s="256"/>
      <c r="AB2992" s="257"/>
      <c r="AC2992" s="258"/>
      <c r="AD2992" s="7"/>
      <c r="AE2992" s="253"/>
      <c r="AF2992" s="253"/>
      <c r="AG2992" s="259"/>
      <c r="AH2992" s="253"/>
      <c r="AI2992" s="253"/>
      <c r="AJ2992" s="7"/>
      <c r="AK2992" s="253"/>
      <c r="AL2992" s="253"/>
      <c r="AM2992" s="7"/>
      <c r="AN2992" s="253"/>
      <c r="AO2992" s="253"/>
      <c r="AP2992" s="253"/>
      <c r="AQ2992" s="253"/>
      <c r="AR2992" s="253"/>
      <c r="AS2992" s="253"/>
      <c r="AT2992" s="253"/>
      <c r="AU2992" s="253"/>
      <c r="AV2992" s="253"/>
      <c r="AW2992" s="253"/>
      <c r="AX2992" s="253"/>
      <c r="AY2992" s="253"/>
      <c r="AZ2992" s="253"/>
    </row>
    <row r="2993" spans="1:52" ht="15.5" customHeight="1">
      <c r="A2993" s="363"/>
      <c r="B2993" s="343"/>
      <c r="C2993" s="7"/>
      <c r="D2993" s="254"/>
      <c r="E2993" s="254"/>
      <c r="F2993" s="254"/>
      <c r="G2993" s="253"/>
      <c r="H2993" s="253"/>
      <c r="I2993" s="253"/>
      <c r="J2993" s="253"/>
      <c r="K2993" s="253"/>
      <c r="L2993" s="7"/>
      <c r="M2993" s="7"/>
      <c r="N2993" s="253"/>
      <c r="O2993" s="255"/>
      <c r="P2993" s="253"/>
      <c r="Q2993" s="7"/>
      <c r="R2993" s="7"/>
      <c r="S2993" s="7"/>
      <c r="T2993" s="7"/>
      <c r="U2993" s="7"/>
      <c r="V2993" s="253"/>
      <c r="W2993" s="7"/>
      <c r="X2993" s="256"/>
      <c r="Y2993" s="256"/>
      <c r="Z2993" s="256"/>
      <c r="AA2993" s="256"/>
      <c r="AB2993" s="257"/>
      <c r="AC2993" s="258"/>
      <c r="AD2993" s="7"/>
      <c r="AE2993" s="253"/>
      <c r="AF2993" s="253"/>
      <c r="AG2993" s="259"/>
      <c r="AH2993" s="253"/>
      <c r="AI2993" s="253"/>
      <c r="AJ2993" s="7"/>
      <c r="AK2993" s="253"/>
      <c r="AL2993" s="253"/>
      <c r="AM2993" s="7"/>
      <c r="AN2993" s="253"/>
      <c r="AO2993" s="253"/>
      <c r="AP2993" s="253"/>
      <c r="AQ2993" s="253"/>
      <c r="AR2993" s="253"/>
      <c r="AS2993" s="253"/>
      <c r="AT2993" s="253"/>
      <c r="AU2993" s="253"/>
      <c r="AV2993" s="253"/>
      <c r="AW2993" s="253"/>
      <c r="AX2993" s="253"/>
      <c r="AY2993" s="253"/>
      <c r="AZ2993" s="253"/>
    </row>
    <row r="2994" spans="1:52" ht="15.5" customHeight="1">
      <c r="A2994" s="363"/>
      <c r="B2994" s="343"/>
      <c r="C2994" s="7"/>
      <c r="D2994" s="254"/>
      <c r="E2994" s="254"/>
      <c r="F2994" s="254"/>
      <c r="G2994" s="253"/>
      <c r="H2994" s="253"/>
      <c r="I2994" s="253"/>
      <c r="J2994" s="253"/>
      <c r="K2994" s="253"/>
      <c r="L2994" s="7"/>
      <c r="M2994" s="7"/>
      <c r="N2994" s="253"/>
      <c r="O2994" s="255"/>
      <c r="P2994" s="253"/>
      <c r="Q2994" s="7"/>
      <c r="R2994" s="7"/>
      <c r="S2994" s="7"/>
      <c r="T2994" s="7"/>
      <c r="U2994" s="7"/>
      <c r="V2994" s="253"/>
      <c r="W2994" s="7"/>
      <c r="X2994" s="256"/>
      <c r="Y2994" s="256"/>
      <c r="Z2994" s="256"/>
      <c r="AA2994" s="256"/>
      <c r="AB2994" s="257"/>
      <c r="AC2994" s="258"/>
      <c r="AD2994" s="7"/>
      <c r="AE2994" s="253"/>
      <c r="AF2994" s="253"/>
      <c r="AG2994" s="259"/>
      <c r="AH2994" s="253"/>
      <c r="AI2994" s="253"/>
      <c r="AJ2994" s="7"/>
      <c r="AK2994" s="253"/>
      <c r="AL2994" s="253"/>
      <c r="AM2994" s="7"/>
      <c r="AN2994" s="253"/>
      <c r="AO2994" s="253"/>
      <c r="AP2994" s="253"/>
      <c r="AQ2994" s="253"/>
      <c r="AR2994" s="253"/>
      <c r="AS2994" s="253"/>
      <c r="AT2994" s="253"/>
      <c r="AU2994" s="253"/>
      <c r="AV2994" s="253"/>
      <c r="AW2994" s="253"/>
      <c r="AX2994" s="253"/>
      <c r="AY2994" s="253"/>
      <c r="AZ2994" s="253"/>
    </row>
    <row r="2995" spans="1:52" ht="15.5" customHeight="1">
      <c r="A2995" s="363"/>
      <c r="B2995" s="343"/>
      <c r="C2995" s="7"/>
      <c r="D2995" s="254"/>
      <c r="E2995" s="254"/>
      <c r="F2995" s="254"/>
      <c r="G2995" s="253"/>
      <c r="H2995" s="253"/>
      <c r="I2995" s="253"/>
      <c r="J2995" s="253"/>
      <c r="K2995" s="253"/>
      <c r="L2995" s="7"/>
      <c r="M2995" s="7"/>
      <c r="N2995" s="253"/>
      <c r="O2995" s="255"/>
      <c r="P2995" s="253"/>
      <c r="Q2995" s="7"/>
      <c r="R2995" s="7"/>
      <c r="S2995" s="7"/>
      <c r="T2995" s="7"/>
      <c r="U2995" s="7"/>
      <c r="V2995" s="253"/>
      <c r="W2995" s="7"/>
      <c r="X2995" s="256"/>
      <c r="Y2995" s="256"/>
      <c r="Z2995" s="256"/>
      <c r="AA2995" s="256"/>
      <c r="AB2995" s="257"/>
      <c r="AC2995" s="258"/>
      <c r="AD2995" s="7"/>
      <c r="AE2995" s="253"/>
      <c r="AF2995" s="253"/>
      <c r="AG2995" s="259"/>
      <c r="AH2995" s="253"/>
      <c r="AI2995" s="253"/>
      <c r="AJ2995" s="7"/>
      <c r="AK2995" s="253"/>
      <c r="AL2995" s="253"/>
      <c r="AM2995" s="7"/>
      <c r="AN2995" s="253"/>
      <c r="AO2995" s="253"/>
      <c r="AP2995" s="253"/>
      <c r="AQ2995" s="253"/>
      <c r="AR2995" s="253"/>
      <c r="AS2995" s="253"/>
      <c r="AT2995" s="253"/>
      <c r="AU2995" s="253"/>
      <c r="AV2995" s="253"/>
      <c r="AW2995" s="253"/>
      <c r="AX2995" s="253"/>
      <c r="AY2995" s="253"/>
      <c r="AZ2995" s="253"/>
    </row>
    <row r="2996" spans="1:52" ht="15.5" customHeight="1">
      <c r="A2996" s="363"/>
      <c r="B2996" s="343"/>
      <c r="C2996" s="7"/>
      <c r="D2996" s="254"/>
      <c r="E2996" s="254"/>
      <c r="F2996" s="254"/>
      <c r="G2996" s="253"/>
      <c r="H2996" s="253"/>
      <c r="I2996" s="253"/>
      <c r="J2996" s="253"/>
      <c r="K2996" s="253"/>
      <c r="L2996" s="7"/>
      <c r="M2996" s="7"/>
      <c r="N2996" s="253"/>
      <c r="O2996" s="255"/>
      <c r="P2996" s="253"/>
      <c r="Q2996" s="7"/>
      <c r="R2996" s="7"/>
      <c r="S2996" s="7"/>
      <c r="T2996" s="7"/>
      <c r="U2996" s="7"/>
      <c r="V2996" s="253"/>
      <c r="W2996" s="7"/>
      <c r="X2996" s="256"/>
      <c r="Y2996" s="256"/>
      <c r="Z2996" s="256"/>
      <c r="AA2996" s="256"/>
      <c r="AB2996" s="257"/>
      <c r="AC2996" s="258"/>
      <c r="AD2996" s="7"/>
      <c r="AE2996" s="253"/>
      <c r="AF2996" s="253"/>
      <c r="AG2996" s="259"/>
      <c r="AH2996" s="253"/>
      <c r="AI2996" s="253"/>
      <c r="AJ2996" s="7"/>
      <c r="AK2996" s="253"/>
      <c r="AL2996" s="253"/>
      <c r="AM2996" s="7"/>
      <c r="AN2996" s="253"/>
      <c r="AO2996" s="253"/>
      <c r="AP2996" s="253"/>
      <c r="AQ2996" s="253"/>
      <c r="AR2996" s="253"/>
      <c r="AS2996" s="253"/>
      <c r="AT2996" s="253"/>
      <c r="AU2996" s="253"/>
      <c r="AV2996" s="253"/>
      <c r="AW2996" s="253"/>
      <c r="AX2996" s="253"/>
      <c r="AY2996" s="253"/>
      <c r="AZ2996" s="253"/>
    </row>
    <row r="2997" spans="1:52" ht="15.5" customHeight="1">
      <c r="A2997" s="363"/>
      <c r="B2997" s="343"/>
      <c r="C2997" s="7"/>
      <c r="D2997" s="254"/>
      <c r="E2997" s="254"/>
      <c r="F2997" s="254"/>
      <c r="G2997" s="253"/>
      <c r="H2997" s="253"/>
      <c r="I2997" s="253"/>
      <c r="J2997" s="253"/>
      <c r="K2997" s="253"/>
      <c r="L2997" s="7"/>
      <c r="M2997" s="7"/>
      <c r="N2997" s="253"/>
      <c r="O2997" s="255"/>
      <c r="P2997" s="253"/>
      <c r="Q2997" s="7"/>
      <c r="R2997" s="7"/>
      <c r="S2997" s="7"/>
      <c r="T2997" s="7"/>
      <c r="U2997" s="7"/>
      <c r="V2997" s="253"/>
      <c r="W2997" s="7"/>
      <c r="X2997" s="256"/>
      <c r="Y2997" s="256"/>
      <c r="Z2997" s="256"/>
      <c r="AA2997" s="256"/>
      <c r="AB2997" s="257"/>
      <c r="AC2997" s="258"/>
      <c r="AD2997" s="7"/>
      <c r="AE2997" s="253"/>
      <c r="AF2997" s="253"/>
      <c r="AG2997" s="259"/>
      <c r="AH2997" s="253"/>
      <c r="AI2997" s="253"/>
      <c r="AJ2997" s="7"/>
      <c r="AK2997" s="253"/>
      <c r="AL2997" s="253"/>
      <c r="AM2997" s="7"/>
      <c r="AN2997" s="253"/>
      <c r="AO2997" s="253"/>
      <c r="AP2997" s="253"/>
      <c r="AQ2997" s="253"/>
      <c r="AR2997" s="253"/>
      <c r="AS2997" s="253"/>
      <c r="AT2997" s="253"/>
      <c r="AU2997" s="253"/>
      <c r="AV2997" s="253"/>
      <c r="AW2997" s="253"/>
      <c r="AX2997" s="253"/>
      <c r="AY2997" s="253"/>
      <c r="AZ2997" s="253"/>
    </row>
    <row r="2998" spans="1:52" ht="15.5" customHeight="1">
      <c r="A2998" s="363"/>
      <c r="B2998" s="343"/>
      <c r="C2998" s="7"/>
      <c r="D2998" s="254"/>
      <c r="E2998" s="254"/>
      <c r="F2998" s="254"/>
      <c r="G2998" s="253"/>
      <c r="H2998" s="253"/>
      <c r="I2998" s="253"/>
      <c r="J2998" s="253"/>
      <c r="K2998" s="253"/>
      <c r="L2998" s="7"/>
      <c r="M2998" s="7"/>
      <c r="N2998" s="253"/>
      <c r="O2998" s="255"/>
      <c r="P2998" s="253"/>
      <c r="Q2998" s="7"/>
      <c r="R2998" s="7"/>
      <c r="S2998" s="7"/>
      <c r="T2998" s="7"/>
      <c r="U2998" s="7"/>
      <c r="V2998" s="253"/>
      <c r="W2998" s="7"/>
      <c r="X2998" s="256"/>
      <c r="Y2998" s="256"/>
      <c r="Z2998" s="256"/>
      <c r="AA2998" s="256"/>
      <c r="AB2998" s="257"/>
      <c r="AC2998" s="258"/>
      <c r="AD2998" s="7"/>
      <c r="AE2998" s="253"/>
      <c r="AF2998" s="253"/>
      <c r="AG2998" s="259"/>
      <c r="AH2998" s="253"/>
      <c r="AI2998" s="253"/>
      <c r="AJ2998" s="7"/>
      <c r="AK2998" s="253"/>
      <c r="AL2998" s="253"/>
      <c r="AM2998" s="7"/>
      <c r="AN2998" s="253"/>
      <c r="AO2998" s="253"/>
      <c r="AP2998" s="253"/>
      <c r="AQ2998" s="253"/>
      <c r="AR2998" s="253"/>
      <c r="AS2998" s="253"/>
      <c r="AT2998" s="253"/>
      <c r="AU2998" s="253"/>
      <c r="AV2998" s="253"/>
      <c r="AW2998" s="253"/>
      <c r="AX2998" s="253"/>
      <c r="AY2998" s="253"/>
      <c r="AZ2998" s="253"/>
    </row>
    <row r="2999" spans="1:52" ht="15.5" customHeight="1">
      <c r="A2999" s="363"/>
      <c r="B2999" s="343"/>
      <c r="C2999" s="7"/>
      <c r="D2999" s="254"/>
      <c r="E2999" s="254"/>
      <c r="F2999" s="254"/>
      <c r="G2999" s="253"/>
      <c r="H2999" s="253"/>
      <c r="I2999" s="253"/>
      <c r="J2999" s="253"/>
      <c r="K2999" s="253"/>
      <c r="L2999" s="7"/>
      <c r="M2999" s="7"/>
      <c r="N2999" s="253"/>
      <c r="O2999" s="255"/>
      <c r="P2999" s="253"/>
      <c r="Q2999" s="7"/>
      <c r="R2999" s="7"/>
      <c r="S2999" s="7"/>
      <c r="T2999" s="7"/>
      <c r="U2999" s="7"/>
      <c r="V2999" s="253"/>
      <c r="W2999" s="7"/>
      <c r="X2999" s="256"/>
      <c r="Y2999" s="256"/>
      <c r="Z2999" s="256"/>
      <c r="AA2999" s="256"/>
      <c r="AB2999" s="257"/>
      <c r="AC2999" s="258"/>
      <c r="AD2999" s="7"/>
      <c r="AE2999" s="253"/>
      <c r="AF2999" s="253"/>
      <c r="AG2999" s="259"/>
      <c r="AH2999" s="253"/>
      <c r="AI2999" s="253"/>
      <c r="AJ2999" s="7"/>
      <c r="AK2999" s="253"/>
      <c r="AL2999" s="253"/>
      <c r="AM2999" s="7"/>
      <c r="AN2999" s="253"/>
      <c r="AO2999" s="253"/>
      <c r="AP2999" s="253"/>
      <c r="AQ2999" s="253"/>
      <c r="AR2999" s="253"/>
      <c r="AS2999" s="253"/>
      <c r="AT2999" s="253"/>
      <c r="AU2999" s="253"/>
      <c r="AV2999" s="253"/>
      <c r="AW2999" s="253"/>
      <c r="AX2999" s="253"/>
      <c r="AY2999" s="253"/>
      <c r="AZ2999" s="253"/>
    </row>
    <row r="3000" spans="1:52" ht="15.5" customHeight="1">
      <c r="A3000" s="363"/>
      <c r="B3000" s="343"/>
      <c r="C3000" s="7"/>
      <c r="D3000" s="254"/>
      <c r="E3000" s="254"/>
      <c r="F3000" s="254"/>
      <c r="G3000" s="253"/>
      <c r="H3000" s="253"/>
      <c r="I3000" s="253"/>
      <c r="J3000" s="253"/>
      <c r="K3000" s="253"/>
      <c r="L3000" s="7"/>
      <c r="M3000" s="7"/>
      <c r="N3000" s="253"/>
      <c r="O3000" s="255"/>
      <c r="P3000" s="253"/>
      <c r="Q3000" s="7"/>
      <c r="R3000" s="7"/>
      <c r="S3000" s="7"/>
      <c r="T3000" s="7"/>
      <c r="U3000" s="7"/>
      <c r="V3000" s="253"/>
      <c r="W3000" s="7"/>
      <c r="X3000" s="256"/>
      <c r="Y3000" s="256"/>
      <c r="Z3000" s="256"/>
      <c r="AA3000" s="256"/>
      <c r="AB3000" s="257"/>
      <c r="AC3000" s="258"/>
      <c r="AD3000" s="7"/>
      <c r="AE3000" s="253"/>
      <c r="AF3000" s="253"/>
      <c r="AG3000" s="259"/>
      <c r="AH3000" s="253"/>
      <c r="AI3000" s="253"/>
      <c r="AJ3000" s="7"/>
      <c r="AK3000" s="253"/>
      <c r="AL3000" s="253"/>
      <c r="AM3000" s="7"/>
      <c r="AN3000" s="253"/>
      <c r="AO3000" s="253"/>
      <c r="AP3000" s="253"/>
      <c r="AQ3000" s="253"/>
      <c r="AR3000" s="253"/>
      <c r="AS3000" s="253"/>
      <c r="AT3000" s="253"/>
      <c r="AU3000" s="253"/>
      <c r="AV3000" s="253"/>
      <c r="AW3000" s="253"/>
      <c r="AX3000" s="253"/>
      <c r="AY3000" s="253"/>
      <c r="AZ3000" s="253"/>
    </row>
    <row r="3001" spans="1:52" ht="15.5" customHeight="1">
      <c r="A3001" s="363"/>
      <c r="B3001" s="343"/>
      <c r="C3001" s="7"/>
      <c r="D3001" s="254"/>
      <c r="E3001" s="254"/>
      <c r="F3001" s="254"/>
      <c r="G3001" s="253"/>
      <c r="H3001" s="253"/>
      <c r="I3001" s="253"/>
      <c r="J3001" s="253"/>
      <c r="K3001" s="253"/>
      <c r="L3001" s="7"/>
      <c r="M3001" s="7"/>
      <c r="N3001" s="253"/>
      <c r="O3001" s="255"/>
      <c r="P3001" s="253"/>
      <c r="Q3001" s="7"/>
      <c r="R3001" s="7"/>
      <c r="S3001" s="7"/>
      <c r="T3001" s="7"/>
      <c r="U3001" s="7"/>
      <c r="V3001" s="253"/>
      <c r="W3001" s="7"/>
      <c r="X3001" s="256"/>
      <c r="Y3001" s="256"/>
      <c r="Z3001" s="256"/>
      <c r="AA3001" s="256"/>
      <c r="AB3001" s="257"/>
      <c r="AC3001" s="258"/>
      <c r="AD3001" s="7"/>
      <c r="AE3001" s="253"/>
      <c r="AF3001" s="253"/>
      <c r="AG3001" s="259"/>
      <c r="AH3001" s="253"/>
      <c r="AI3001" s="253"/>
      <c r="AJ3001" s="7"/>
      <c r="AK3001" s="253"/>
      <c r="AL3001" s="253"/>
      <c r="AM3001" s="7"/>
      <c r="AN3001" s="253"/>
      <c r="AO3001" s="253"/>
      <c r="AP3001" s="253"/>
      <c r="AQ3001" s="253"/>
      <c r="AR3001" s="253"/>
      <c r="AS3001" s="253"/>
      <c r="AT3001" s="253"/>
      <c r="AU3001" s="253"/>
      <c r="AV3001" s="253"/>
      <c r="AW3001" s="253"/>
      <c r="AX3001" s="253"/>
      <c r="AY3001" s="253"/>
      <c r="AZ3001" s="253"/>
    </row>
  </sheetData>
  <autoFilter ref="A6:AZ1112" xr:uid="{00000000-0009-0000-0000-000006000000}">
    <sortState ref="A7:AZ2001">
      <sortCondition ref="C6:C1112"/>
    </sortState>
  </autoFilter>
  <customSheetViews>
    <customSheetView guid="{13A3E359-7648-43B6-A011-037634A7CC01}" filter="1" showAutoFilter="1">
      <pageMargins left="0.7" right="0.7" top="0.75" bottom="0.75" header="0.3" footer="0.3"/>
      <autoFilter ref="A6:AY2001" xr:uid="{00000000-0000-0000-0000-000000000000}"/>
      <extLst>
        <ext uri="GoogleSheetsCustomDataVersion1">
          <go:sheetsCustomData xmlns:go="http://customooxmlschemas.google.com/" filterViewId="9618258"/>
        </ext>
      </extLst>
    </customSheetView>
    <customSheetView guid="{928EB5A0-B26F-48CE-BA4C-5636F42BB01A}" filter="1" showAutoFilter="1">
      <pageMargins left="0.7" right="0.7" top="0.75" bottom="0.75" header="0.3" footer="0.3"/>
      <autoFilter ref="A6:AY161" xr:uid="{00000000-0000-0000-0000-000000000000}"/>
      <extLst>
        <ext uri="GoogleSheetsCustomDataVersion1">
          <go:sheetsCustomData xmlns:go="http://customooxmlschemas.google.com/" filterViewId="920890466"/>
        </ext>
      </extLst>
    </customSheetView>
    <customSheetView guid="{16F1A944-97BF-407C-BDC2-5B2FAC58EE4A}" filter="1" showAutoFilter="1">
      <pageMargins left="0.7" right="0.7" top="0.75" bottom="0.75" header="0.3" footer="0.3"/>
      <autoFilter ref="A1:AZ968" xr:uid="{00000000-0000-0000-0000-000000000000}"/>
      <extLst>
        <ext uri="GoogleSheetsCustomDataVersion1">
          <go:sheetsCustomData xmlns:go="http://customooxmlschemas.google.com/" filterViewId="34550625"/>
        </ext>
      </extLst>
    </customSheetView>
    <customSheetView guid="{640C55F3-F91D-47D3-929B-EE55D60E1829}" filter="1" showAutoFilter="1">
      <pageMargins left="0.7" right="0.7" top="0.75" bottom="0.75" header="0.3" footer="0.3"/>
      <autoFilter ref="A1:AZ2001" xr:uid="{00000000-0000-0000-0000-000000000000}">
        <filterColumn colId="1">
          <filters>
            <filter val="01-Oct-2026"/>
            <filter val="02-Oct-2026"/>
            <filter val="04-Aug-2026"/>
            <filter val="05-Aug-2026"/>
            <filter val="05-Oct-2026"/>
            <filter val="06-Aug-2026"/>
            <filter val="06-Oct-2026"/>
            <filter val="07-Aug-2026"/>
            <filter val="08-Oct-2026"/>
            <filter val="09-Oct-2026"/>
            <filter val="10-Aug-2026"/>
            <filter val="11-Aug-2026"/>
            <filter val="12-Aug-2026"/>
            <filter val="12-Oct-2026"/>
            <filter val="13-Aug-2026"/>
            <filter val="13-Oct-2026"/>
            <filter val="14-Oct-2026"/>
            <filter val="15-Oct-2026"/>
            <filter val="18-Aug-2026"/>
            <filter val="19-Oct-2026"/>
            <filter val="20-Aug-2026"/>
            <filter val="21-Aug-2026"/>
            <filter val="21-Oct-2026"/>
            <filter val="22-Oct-2026"/>
            <filter val="24-Aug-2026"/>
            <filter val="26-Aug-2026"/>
            <filter val="27-Aug-2026"/>
            <filter val="28-Aug-2026"/>
            <filter val="31-Aug-2026"/>
            <filter val="PO"/>
            <filter val="Tgl Input SO"/>
            <filter val="untuk supply area hanya ke petrosea BPN, tetapi secara dokumen tujuan sesuai site yang order ( SLA 3 hari dari terbir PO ), Stock harus di jaga min-max nya"/>
          </filters>
        </filterColumn>
      </autoFilter>
      <extLst>
        <ext uri="GoogleSheetsCustomDataVersion1">
          <go:sheetsCustomData xmlns:go="http://customooxmlschemas.google.com/" filterViewId="2069164913"/>
        </ext>
      </extLst>
    </customSheetView>
    <customSheetView guid="{5B0B5A4C-29CC-4CED-B053-A3EDCD5CEB8C}" filter="1" showAutoFilter="1">
      <pageMargins left="0.7" right="0.7" top="0.75" bottom="0.75" header="0.3" footer="0.3"/>
      <autoFilter ref="A1:AY928" xr:uid="{00000000-0000-0000-0000-000000000000}">
        <filterColumn colId="34">
          <filters>
            <filter val="PPIC"/>
            <filter val="PR-GMI-3964"/>
            <filter val="PR-GMI-3979"/>
            <filter val="PR-GMI-3984"/>
            <filter val="PR-GMI-4002"/>
            <filter val="PR-GMI-4003"/>
            <filter val="PR-GMI-4025"/>
            <filter val="PR-GMI-4044"/>
            <filter val="PR-GMI-4044, PR-GMI-4242"/>
            <filter val="PR-GMI-4067"/>
            <filter val="PR-GMI-4067 &gt; PR-GMI-4177"/>
            <filter val="PR-GMI-4073"/>
            <filter val="PR-GMI-4073 &gt; PR-GMI-4177"/>
            <filter val="PR-GMI-4088"/>
            <filter val="PR-GMI-4088 &gt; PR-GMI-4177"/>
            <filter val="PR-GMI-4113"/>
            <filter val="PR-GMI-4113, PR-GMI-4242"/>
            <filter val="PR-GMI-4114"/>
            <filter val="PR-GMI-4121"/>
            <filter val="PR-GMI-4122"/>
            <filter val="PR-GMI-4122 &gt; PR-GMI-4177"/>
            <filter val="PR-GMI-4128"/>
            <filter val="PR-GMI-4134"/>
            <filter val="PR-GMI-4145"/>
            <filter val="PR-GMI-4175"/>
            <filter val="PR-GMI-4175, PR-GMI-4181"/>
            <filter val="PR-GMI-4177"/>
            <filter val="PR-GMI-4181"/>
            <filter val="PR-GMI-4183"/>
            <filter val="PR-GMI-4183, PR-GMI-4234"/>
            <filter val="PR-GMI-4207"/>
            <filter val="PR-GMI-4208"/>
            <filter val="PR-GMI-4215"/>
            <filter val="PR-GMI-4220"/>
            <filter val="PR-GMI-4225"/>
            <filter val="PR-GMI-4225 &gt; PR-GMI-4177"/>
            <filter val="PR-GMI-4227"/>
            <filter val="PR-GMI-4229"/>
            <filter val="PR-GMI-4230"/>
            <filter val="PR-GMI-4242"/>
          </filters>
        </filterColumn>
      </autoFilter>
      <extLst>
        <ext uri="GoogleSheetsCustomDataVersion1">
          <go:sheetsCustomData xmlns:go="http://customooxmlschemas.google.com/" filterViewId="1583465490"/>
        </ext>
      </extLst>
    </customSheetView>
    <customSheetView guid="{2162E68B-190F-4C9C-9599-E10A9AE49ABC}" filter="1" showAutoFilter="1">
      <pageMargins left="0.7" right="0.7" top="0.75" bottom="0.75" header="0.3" footer="0.3"/>
      <autoFilter ref="A1:AZ968" xr:uid="{00000000-0000-0000-0000-000000000000}"/>
      <extLst>
        <ext uri="GoogleSheetsCustomDataVersion1">
          <go:sheetsCustomData xmlns:go="http://customooxmlschemas.google.com/" filterViewId="1282396867"/>
        </ext>
      </extLst>
    </customSheetView>
  </customSheetViews>
  <mergeCells count="8">
    <mergeCell ref="AK5:AO5"/>
    <mergeCell ref="AP5:AV5"/>
    <mergeCell ref="AW5:AY5"/>
    <mergeCell ref="B1:B3"/>
    <mergeCell ref="G1:G3"/>
    <mergeCell ref="L1:L3"/>
    <mergeCell ref="Q5:AG5"/>
    <mergeCell ref="AH5:AJ5"/>
  </mergeCells>
  <dataValidations count="8">
    <dataValidation type="list" allowBlank="1" showErrorMessage="1" sqref="A7:A1141" xr:uid="{00000000-0002-0000-0600-000000000000}">
      <formula1>"Ibu Anna,Ridhan,Danang,Dio"</formula1>
    </dataValidation>
    <dataValidation type="list" allowBlank="1" showErrorMessage="1" sqref="H8:H1141 N7:N1141" xr:uid="{00000000-0002-0000-0600-000001000000}">
      <formula1>"(CEP),(KS),(KSM),(IBP),Buhut Cluster,MUTU,DBK,Vale Bahodopi,SDA,PT. PETROSEA TBK,PSF,KJA,BSL,PBP,PRC,BBB,FRP,GBM,BPM,BC Project,SINI"</formula1>
    </dataValidation>
    <dataValidation type="list" allowBlank="1" showErrorMessage="1" sqref="AF7:AF2001" xr:uid="{00000000-0002-0000-0600-000002000000}">
      <formula1>"GMI-HO,GMI-BPP"</formula1>
    </dataValidation>
    <dataValidation type="list" allowBlank="1" showErrorMessage="1" sqref="AI7:AI19 AI21:AI67 AI74:AI77 AI80:AI81 AI84:AI88 AI91:AI92 AI94:AI96 AI100:AI102 AI104:AI110 AI112 AI115" xr:uid="{00000000-0002-0000-0600-000003000000}">
      <formula1>"PR-GMI-3964,PR-GMI-3979,PR-GMI-3984"</formula1>
    </dataValidation>
    <dataValidation type="custom" allowBlank="1" showDropDown="1" showErrorMessage="1" sqref="Y7:Y504 X505:Y505 AO7:AP511 AP512 Y506:Y723 X724:Y724 Y725:Y801 Y802:Z802 B7:B3001 D7:F3001 Y803:Y3001 AB7:AB3001 AH7:AH3001 AL7:AL3001 AO513:AP3001" xr:uid="{00000000-0002-0000-0600-000004000000}">
      <formula1>OR(NOT(ISERROR(DATEVALUE(B7))), AND(ISNUMBER(B7), LEFT(CELL("format", B7))="D"))</formula1>
    </dataValidation>
    <dataValidation type="list" allowBlank="1" showErrorMessage="1" sqref="AE7:AE2001" xr:uid="{00000000-0002-0000-0600-000005000000}">
      <formula1>"Warren,Novita,Jacky,AFANDI"</formula1>
    </dataValidation>
    <dataValidation type="list" allowBlank="1" showErrorMessage="1" sqref="H7" xr:uid="{00000000-0002-0000-0600-000006000000}">
      <formula1>"PT. PETROSEA TBK"</formula1>
    </dataValidation>
    <dataValidation type="list" allowBlank="1" showErrorMessage="1" sqref="M7:M126 M128:M1141" xr:uid="{00000000-0002-0000-0600-000007000000}">
      <formula1>"EA,ROLL,Pak,ea,rol,pak,Set,set,Mtr,Box"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L19"/>
  <sheetViews>
    <sheetView workbookViewId="0">
      <pane xSplit="4" topLeftCell="E1" activePane="topRight" state="frozen"/>
      <selection pane="topRight" activeCell="F2" sqref="F2"/>
    </sheetView>
  </sheetViews>
  <sheetFormatPr defaultColWidth="12.6640625" defaultRowHeight="15" customHeight="1"/>
  <cols>
    <col min="1" max="1" width="8.5" customWidth="1"/>
    <col min="2" max="2" width="16.9140625" customWidth="1"/>
    <col min="3" max="3" width="15.9140625" customWidth="1"/>
    <col min="4" max="4" width="53.9140625" customWidth="1"/>
  </cols>
  <sheetData>
    <row r="1" spans="1:12" ht="15" customHeight="1">
      <c r="A1" s="277" t="s">
        <v>496</v>
      </c>
      <c r="B1" s="262"/>
      <c r="C1" s="262"/>
      <c r="D1" s="59"/>
      <c r="E1" s="60"/>
      <c r="F1" s="60"/>
      <c r="G1" s="60"/>
      <c r="H1" s="60"/>
      <c r="I1" s="60"/>
      <c r="J1" s="60"/>
      <c r="K1" s="60"/>
      <c r="L1" s="60"/>
    </row>
    <row r="2" spans="1:12" ht="15" customHeight="1">
      <c r="A2" s="59"/>
      <c r="B2" s="59"/>
      <c r="C2" s="59"/>
      <c r="D2" s="59"/>
      <c r="E2" s="60"/>
      <c r="F2" s="60"/>
      <c r="G2" s="60"/>
      <c r="H2" s="60"/>
      <c r="I2" s="60"/>
      <c r="J2" s="60"/>
      <c r="K2" s="60"/>
      <c r="L2" s="60"/>
    </row>
    <row r="3" spans="1:12" ht="15" customHeight="1">
      <c r="A3" s="61" t="s">
        <v>497</v>
      </c>
      <c r="B3" s="62" t="s">
        <v>0</v>
      </c>
      <c r="C3" s="63" t="s">
        <v>498</v>
      </c>
      <c r="D3" s="62" t="s">
        <v>0</v>
      </c>
      <c r="E3" s="64" t="s">
        <v>499</v>
      </c>
      <c r="F3" s="65" t="s">
        <v>500</v>
      </c>
      <c r="G3" s="65" t="s">
        <v>501</v>
      </c>
      <c r="H3" s="65" t="s">
        <v>502</v>
      </c>
      <c r="I3" s="65" t="s">
        <v>503</v>
      </c>
      <c r="J3" s="65" t="s">
        <v>504</v>
      </c>
      <c r="K3" s="65" t="s">
        <v>505</v>
      </c>
      <c r="L3" s="66" t="s">
        <v>506</v>
      </c>
    </row>
    <row r="4" spans="1:12" ht="15" customHeight="1">
      <c r="A4" s="278" t="s">
        <v>507</v>
      </c>
      <c r="B4" s="276" t="s">
        <v>508</v>
      </c>
      <c r="C4" s="67" t="s">
        <v>6</v>
      </c>
      <c r="D4" s="68" t="s">
        <v>7</v>
      </c>
      <c r="E4" s="32">
        <v>42</v>
      </c>
      <c r="F4" s="69">
        <v>22</v>
      </c>
      <c r="G4" s="69">
        <v>0</v>
      </c>
      <c r="H4" s="69">
        <v>0</v>
      </c>
      <c r="I4" s="69">
        <v>69</v>
      </c>
      <c r="J4" s="69">
        <v>10</v>
      </c>
      <c r="K4" s="69">
        <v>0</v>
      </c>
      <c r="L4" s="70">
        <f t="shared" ref="L4:L18" si="0">SUM(E4:K4)</f>
        <v>143</v>
      </c>
    </row>
    <row r="5" spans="1:12" ht="15" customHeight="1">
      <c r="A5" s="261"/>
      <c r="B5" s="261"/>
      <c r="C5" s="71" t="s">
        <v>5</v>
      </c>
      <c r="D5" s="71" t="s">
        <v>509</v>
      </c>
      <c r="E5" s="72">
        <v>0</v>
      </c>
      <c r="F5" s="73">
        <v>0</v>
      </c>
      <c r="G5" s="73">
        <v>0</v>
      </c>
      <c r="H5" s="73">
        <v>0</v>
      </c>
      <c r="I5" s="73">
        <v>0</v>
      </c>
      <c r="J5" s="73">
        <v>22</v>
      </c>
      <c r="K5" s="73">
        <v>30</v>
      </c>
      <c r="L5" s="70">
        <f t="shared" si="0"/>
        <v>52</v>
      </c>
    </row>
    <row r="6" spans="1:12" ht="15" customHeight="1">
      <c r="A6" s="74" t="s">
        <v>510</v>
      </c>
      <c r="B6" s="75" t="s">
        <v>511</v>
      </c>
      <c r="C6" s="67" t="s">
        <v>3</v>
      </c>
      <c r="D6" s="67" t="s">
        <v>4</v>
      </c>
      <c r="E6" s="76">
        <v>18</v>
      </c>
      <c r="F6" s="77">
        <v>5</v>
      </c>
      <c r="G6" s="77">
        <v>7</v>
      </c>
      <c r="H6" s="77">
        <v>0</v>
      </c>
      <c r="I6" s="77">
        <v>23</v>
      </c>
      <c r="J6" s="77">
        <v>0</v>
      </c>
      <c r="K6" s="77">
        <v>0</v>
      </c>
      <c r="L6" s="70">
        <f t="shared" si="0"/>
        <v>53</v>
      </c>
    </row>
    <row r="7" spans="1:12" ht="15" customHeight="1">
      <c r="A7" s="78" t="s">
        <v>512</v>
      </c>
      <c r="B7" s="79" t="s">
        <v>513</v>
      </c>
      <c r="C7" s="71" t="s">
        <v>1</v>
      </c>
      <c r="D7" s="71" t="s">
        <v>514</v>
      </c>
      <c r="E7" s="72">
        <v>1</v>
      </c>
      <c r="F7" s="73">
        <v>4</v>
      </c>
      <c r="G7" s="73">
        <v>12</v>
      </c>
      <c r="H7" s="73">
        <v>0</v>
      </c>
      <c r="I7" s="73">
        <v>0</v>
      </c>
      <c r="J7" s="73">
        <v>4</v>
      </c>
      <c r="K7" s="73">
        <v>21</v>
      </c>
      <c r="L7" s="70">
        <f t="shared" si="0"/>
        <v>42</v>
      </c>
    </row>
    <row r="8" spans="1:12" ht="15" customHeight="1">
      <c r="A8" s="279" t="s">
        <v>515</v>
      </c>
      <c r="B8" s="274" t="s">
        <v>516</v>
      </c>
      <c r="C8" s="67" t="s">
        <v>8</v>
      </c>
      <c r="D8" s="81" t="s">
        <v>517</v>
      </c>
      <c r="E8" s="76">
        <v>58</v>
      </c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>
        <v>37</v>
      </c>
      <c r="L8" s="70">
        <f t="shared" si="0"/>
        <v>95</v>
      </c>
    </row>
    <row r="9" spans="1:12" ht="15" customHeight="1">
      <c r="A9" s="261"/>
      <c r="B9" s="261"/>
      <c r="C9" s="71" t="s">
        <v>9</v>
      </c>
      <c r="D9" s="82" t="s">
        <v>518</v>
      </c>
      <c r="E9" s="83">
        <v>0</v>
      </c>
      <c r="F9" s="72">
        <v>0</v>
      </c>
      <c r="G9" s="73">
        <v>0</v>
      </c>
      <c r="H9" s="73">
        <v>0</v>
      </c>
      <c r="I9" s="73">
        <v>0</v>
      </c>
      <c r="J9" s="73">
        <v>0</v>
      </c>
      <c r="K9" s="73">
        <v>0</v>
      </c>
      <c r="L9" s="70">
        <f t="shared" si="0"/>
        <v>0</v>
      </c>
    </row>
    <row r="10" spans="1:12" ht="15" customHeight="1">
      <c r="A10" s="279" t="s">
        <v>519</v>
      </c>
      <c r="B10" s="274" t="s">
        <v>520</v>
      </c>
      <c r="C10" s="67" t="s">
        <v>19</v>
      </c>
      <c r="D10" s="81" t="s">
        <v>20</v>
      </c>
      <c r="E10" s="32">
        <v>4</v>
      </c>
      <c r="F10" s="77">
        <v>7</v>
      </c>
      <c r="G10" s="77">
        <v>0</v>
      </c>
      <c r="H10" s="77">
        <v>0</v>
      </c>
      <c r="I10" s="77">
        <v>20</v>
      </c>
      <c r="J10" s="77">
        <v>0</v>
      </c>
      <c r="K10" s="77">
        <v>2</v>
      </c>
      <c r="L10" s="70">
        <f t="shared" si="0"/>
        <v>33</v>
      </c>
    </row>
    <row r="11" spans="1:12" ht="15" customHeight="1">
      <c r="A11" s="261"/>
      <c r="B11" s="261"/>
      <c r="C11" s="71" t="s">
        <v>21</v>
      </c>
      <c r="D11" s="82" t="s">
        <v>22</v>
      </c>
      <c r="E11" s="72">
        <v>0</v>
      </c>
      <c r="F11" s="73">
        <v>3</v>
      </c>
      <c r="G11" s="73">
        <v>0</v>
      </c>
      <c r="H11" s="73">
        <v>0</v>
      </c>
      <c r="I11" s="73">
        <v>0</v>
      </c>
      <c r="J11" s="73">
        <v>0</v>
      </c>
      <c r="K11" s="73">
        <v>4</v>
      </c>
      <c r="L11" s="70">
        <f t="shared" si="0"/>
        <v>7</v>
      </c>
    </row>
    <row r="12" spans="1:12" ht="15" customHeight="1">
      <c r="A12" s="273" t="s">
        <v>521</v>
      </c>
      <c r="B12" s="274" t="s">
        <v>522</v>
      </c>
      <c r="C12" s="67" t="s">
        <v>17</v>
      </c>
      <c r="D12" s="81" t="s">
        <v>523</v>
      </c>
      <c r="E12" s="76">
        <v>6</v>
      </c>
      <c r="F12" s="77">
        <v>50</v>
      </c>
      <c r="G12" s="77">
        <v>83</v>
      </c>
      <c r="H12" s="77">
        <v>0</v>
      </c>
      <c r="I12" s="77">
        <v>55</v>
      </c>
      <c r="J12" s="77">
        <v>0</v>
      </c>
      <c r="K12" s="77">
        <v>35</v>
      </c>
      <c r="L12" s="70">
        <f t="shared" si="0"/>
        <v>229</v>
      </c>
    </row>
    <row r="13" spans="1:12" ht="15" customHeight="1">
      <c r="A13" s="261"/>
      <c r="B13" s="261"/>
      <c r="C13" s="71" t="s">
        <v>18</v>
      </c>
      <c r="D13" s="82" t="s">
        <v>524</v>
      </c>
      <c r="E13" s="72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0">
        <f t="shared" si="0"/>
        <v>0</v>
      </c>
    </row>
    <row r="14" spans="1:12" ht="15" customHeight="1">
      <c r="A14" s="84" t="s">
        <v>525</v>
      </c>
      <c r="B14" s="80" t="s">
        <v>516</v>
      </c>
      <c r="C14" s="67" t="s">
        <v>380</v>
      </c>
      <c r="D14" s="81" t="s">
        <v>526</v>
      </c>
      <c r="E14" s="76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6</v>
      </c>
      <c r="L14" s="70">
        <f t="shared" si="0"/>
        <v>6</v>
      </c>
    </row>
    <row r="15" spans="1:12" ht="15" customHeight="1">
      <c r="A15" s="85" t="s">
        <v>527</v>
      </c>
      <c r="B15" s="79" t="s">
        <v>513</v>
      </c>
      <c r="C15" s="71" t="s">
        <v>528</v>
      </c>
      <c r="D15" s="82" t="s">
        <v>529</v>
      </c>
      <c r="E15" s="72">
        <v>0</v>
      </c>
      <c r="F15" s="73">
        <v>0</v>
      </c>
      <c r="G15" s="73">
        <v>0</v>
      </c>
      <c r="H15" s="73">
        <v>0</v>
      </c>
      <c r="I15" s="73">
        <v>0</v>
      </c>
      <c r="J15" s="73">
        <v>0</v>
      </c>
      <c r="K15" s="73">
        <v>0</v>
      </c>
      <c r="L15" s="70">
        <f t="shared" si="0"/>
        <v>0</v>
      </c>
    </row>
    <row r="16" spans="1:12" ht="15" customHeight="1">
      <c r="A16" s="275" t="s">
        <v>530</v>
      </c>
      <c r="B16" s="276" t="s">
        <v>531</v>
      </c>
      <c r="C16" s="86" t="s">
        <v>23</v>
      </c>
      <c r="D16" s="81" t="s">
        <v>532</v>
      </c>
      <c r="E16" s="76">
        <v>4</v>
      </c>
      <c r="F16" s="77">
        <v>2</v>
      </c>
      <c r="G16" s="77">
        <v>0</v>
      </c>
      <c r="H16" s="77">
        <v>0</v>
      </c>
      <c r="I16" s="77">
        <v>5</v>
      </c>
      <c r="J16" s="77">
        <v>0</v>
      </c>
      <c r="K16" s="77">
        <v>0</v>
      </c>
      <c r="L16" s="70">
        <f t="shared" si="0"/>
        <v>11</v>
      </c>
    </row>
    <row r="17" spans="1:12" ht="15" customHeight="1">
      <c r="A17" s="261"/>
      <c r="B17" s="261"/>
      <c r="C17" s="87" t="s">
        <v>24</v>
      </c>
      <c r="D17" s="82" t="s">
        <v>533</v>
      </c>
      <c r="E17" s="72">
        <v>0</v>
      </c>
      <c r="F17" s="73">
        <v>3</v>
      </c>
      <c r="G17" s="73">
        <v>0</v>
      </c>
      <c r="H17" s="73">
        <v>0</v>
      </c>
      <c r="I17" s="73">
        <v>0</v>
      </c>
      <c r="J17" s="73">
        <v>0</v>
      </c>
      <c r="K17" s="73">
        <v>0</v>
      </c>
      <c r="L17" s="70">
        <f t="shared" si="0"/>
        <v>3</v>
      </c>
    </row>
    <row r="18" spans="1:12" ht="15" customHeight="1">
      <c r="A18" s="88" t="s">
        <v>534</v>
      </c>
      <c r="B18" s="75" t="s">
        <v>535</v>
      </c>
      <c r="C18" s="67" t="s">
        <v>50</v>
      </c>
      <c r="D18" s="81" t="s">
        <v>536</v>
      </c>
      <c r="E18" s="76">
        <v>11</v>
      </c>
      <c r="F18" s="77">
        <v>0</v>
      </c>
      <c r="G18" s="77">
        <v>0</v>
      </c>
      <c r="H18" s="77">
        <v>0</v>
      </c>
      <c r="I18" s="77">
        <v>5</v>
      </c>
      <c r="J18" s="77">
        <v>0</v>
      </c>
      <c r="K18" s="77">
        <v>3</v>
      </c>
      <c r="L18" s="70">
        <f t="shared" si="0"/>
        <v>19</v>
      </c>
    </row>
    <row r="19" spans="1:12" ht="15" customHeight="1">
      <c r="A19" s="89"/>
      <c r="B19" s="89"/>
      <c r="C19" s="89"/>
      <c r="D19" s="90" t="s">
        <v>506</v>
      </c>
      <c r="E19" s="91">
        <f t="shared" ref="E19:K19" si="1">SUM(E4:E18)</f>
        <v>144</v>
      </c>
      <c r="F19" s="91">
        <f t="shared" si="1"/>
        <v>96</v>
      </c>
      <c r="G19" s="91">
        <f t="shared" si="1"/>
        <v>102</v>
      </c>
      <c r="H19" s="91">
        <f t="shared" si="1"/>
        <v>0</v>
      </c>
      <c r="I19" s="91">
        <f t="shared" si="1"/>
        <v>177</v>
      </c>
      <c r="J19" s="91">
        <f t="shared" si="1"/>
        <v>36</v>
      </c>
      <c r="K19" s="91">
        <f t="shared" si="1"/>
        <v>138</v>
      </c>
      <c r="L19" s="92"/>
    </row>
  </sheetData>
  <mergeCells count="11">
    <mergeCell ref="A12:A13"/>
    <mergeCell ref="B12:B13"/>
    <mergeCell ref="A16:A17"/>
    <mergeCell ref="B16:B17"/>
    <mergeCell ref="A1:C1"/>
    <mergeCell ref="A4:A5"/>
    <mergeCell ref="B4:B5"/>
    <mergeCell ref="A8:A9"/>
    <mergeCell ref="B8:B9"/>
    <mergeCell ref="A10:A11"/>
    <mergeCell ref="B10:B1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B846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sheetData>
    <row r="1" spans="1:28" ht="15" customHeight="1">
      <c r="A1" s="93" t="s">
        <v>338</v>
      </c>
      <c r="B1" s="94"/>
      <c r="C1" s="95" t="s">
        <v>541</v>
      </c>
      <c r="D1" s="96"/>
      <c r="E1" s="97"/>
      <c r="F1" s="95" t="s">
        <v>542</v>
      </c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 spans="1:28" ht="15" customHeight="1">
      <c r="A2" s="96"/>
      <c r="B2" s="98"/>
      <c r="C2" s="95" t="s">
        <v>543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</row>
    <row r="3" spans="1:28" ht="15" customHeight="1">
      <c r="A3" s="99" t="s">
        <v>110</v>
      </c>
      <c r="B3" s="99" t="s">
        <v>544</v>
      </c>
      <c r="C3" s="100" t="s">
        <v>113</v>
      </c>
      <c r="D3" s="100" t="s">
        <v>112</v>
      </c>
      <c r="E3" s="99" t="s">
        <v>545</v>
      </c>
      <c r="F3" s="101" t="s">
        <v>42</v>
      </c>
      <c r="G3" s="101" t="s">
        <v>111</v>
      </c>
      <c r="H3" s="101" t="s">
        <v>546</v>
      </c>
      <c r="I3" s="101" t="s">
        <v>547</v>
      </c>
      <c r="J3" s="101" t="s">
        <v>548</v>
      </c>
      <c r="K3" s="101" t="s">
        <v>549</v>
      </c>
      <c r="L3" s="101" t="s">
        <v>550</v>
      </c>
      <c r="M3" s="101" t="s">
        <v>551</v>
      </c>
      <c r="N3" s="101" t="s">
        <v>64</v>
      </c>
      <c r="O3" s="101" t="s">
        <v>552</v>
      </c>
      <c r="P3" s="102" t="s">
        <v>436</v>
      </c>
      <c r="Q3" s="102" t="s">
        <v>553</v>
      </c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</row>
    <row r="4" spans="1:28" ht="15" customHeight="1">
      <c r="A4" s="280">
        <v>1</v>
      </c>
      <c r="B4" s="105" t="s">
        <v>543</v>
      </c>
      <c r="C4" s="106">
        <v>14358</v>
      </c>
      <c r="D4" s="97"/>
      <c r="E4" s="105" t="s">
        <v>554</v>
      </c>
      <c r="F4" s="107" t="s">
        <v>555</v>
      </c>
      <c r="G4" s="108">
        <v>100</v>
      </c>
      <c r="H4" s="109">
        <v>45115</v>
      </c>
      <c r="I4" s="283" t="s">
        <v>556</v>
      </c>
      <c r="J4" s="105" t="s">
        <v>557</v>
      </c>
      <c r="K4" s="105" t="s">
        <v>558</v>
      </c>
      <c r="L4" s="109">
        <v>45114</v>
      </c>
      <c r="M4" s="109">
        <v>45119</v>
      </c>
      <c r="N4" s="105" t="s">
        <v>559</v>
      </c>
      <c r="O4" s="97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 spans="1:28" ht="15" customHeight="1">
      <c r="A5" s="264"/>
      <c r="B5" s="105" t="s">
        <v>543</v>
      </c>
      <c r="C5" s="106">
        <v>14452</v>
      </c>
      <c r="D5" s="97"/>
      <c r="E5" s="105" t="s">
        <v>554</v>
      </c>
      <c r="F5" s="107" t="s">
        <v>560</v>
      </c>
      <c r="G5" s="108">
        <v>1500</v>
      </c>
      <c r="H5" s="109">
        <v>45115</v>
      </c>
      <c r="I5" s="264"/>
      <c r="J5" s="105" t="s">
        <v>557</v>
      </c>
      <c r="K5" s="105" t="s">
        <v>558</v>
      </c>
      <c r="L5" s="109">
        <v>45114</v>
      </c>
      <c r="M5" s="109">
        <v>45119</v>
      </c>
      <c r="N5" s="105" t="s">
        <v>559</v>
      </c>
      <c r="O5" s="97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 spans="1:28" ht="15" customHeight="1">
      <c r="A6" s="264"/>
      <c r="B6" s="105" t="s">
        <v>543</v>
      </c>
      <c r="C6" s="106">
        <v>15022</v>
      </c>
      <c r="D6" s="97"/>
      <c r="E6" s="105" t="s">
        <v>554</v>
      </c>
      <c r="F6" s="107" t="s">
        <v>561</v>
      </c>
      <c r="G6" s="108">
        <v>100</v>
      </c>
      <c r="H6" s="109">
        <v>45115</v>
      </c>
      <c r="I6" s="264"/>
      <c r="J6" s="105" t="s">
        <v>557</v>
      </c>
      <c r="K6" s="105" t="s">
        <v>558</v>
      </c>
      <c r="L6" s="109">
        <v>45114</v>
      </c>
      <c r="M6" s="109">
        <v>45119</v>
      </c>
      <c r="N6" s="105" t="s">
        <v>559</v>
      </c>
      <c r="O6" s="97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 spans="1:28" ht="15" customHeight="1">
      <c r="A7" s="264"/>
      <c r="B7" s="105" t="s">
        <v>543</v>
      </c>
      <c r="C7" s="106">
        <v>15032</v>
      </c>
      <c r="D7" s="97"/>
      <c r="E7" s="105" t="s">
        <v>554</v>
      </c>
      <c r="F7" s="107" t="s">
        <v>562</v>
      </c>
      <c r="G7" s="108">
        <v>20</v>
      </c>
      <c r="H7" s="109">
        <v>45115</v>
      </c>
      <c r="I7" s="264"/>
      <c r="J7" s="105" t="s">
        <v>557</v>
      </c>
      <c r="K7" s="105" t="s">
        <v>558</v>
      </c>
      <c r="L7" s="109">
        <v>45114</v>
      </c>
      <c r="M7" s="109">
        <v>45119</v>
      </c>
      <c r="N7" s="105" t="s">
        <v>559</v>
      </c>
      <c r="O7" s="97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 spans="1:28" ht="15" customHeight="1">
      <c r="A8" s="264"/>
      <c r="B8" s="105" t="s">
        <v>543</v>
      </c>
      <c r="C8" s="106">
        <v>15283</v>
      </c>
      <c r="D8" s="112" t="s">
        <v>563</v>
      </c>
      <c r="E8" s="105" t="s">
        <v>554</v>
      </c>
      <c r="F8" s="107" t="s">
        <v>564</v>
      </c>
      <c r="G8" s="108">
        <v>30</v>
      </c>
      <c r="H8" s="109">
        <v>45115</v>
      </c>
      <c r="I8" s="264"/>
      <c r="J8" s="105" t="s">
        <v>557</v>
      </c>
      <c r="K8" s="105" t="s">
        <v>558</v>
      </c>
      <c r="L8" s="109">
        <v>45114</v>
      </c>
      <c r="M8" s="109">
        <v>45119</v>
      </c>
      <c r="N8" s="105" t="s">
        <v>559</v>
      </c>
      <c r="O8" s="97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 spans="1:28" ht="15" customHeight="1">
      <c r="A9" s="264"/>
      <c r="B9" s="105" t="s">
        <v>543</v>
      </c>
      <c r="C9" s="106">
        <v>15283</v>
      </c>
      <c r="D9" s="112" t="s">
        <v>563</v>
      </c>
      <c r="E9" s="105" t="s">
        <v>554</v>
      </c>
      <c r="F9" s="107" t="s">
        <v>565</v>
      </c>
      <c r="G9" s="108">
        <v>30</v>
      </c>
      <c r="H9" s="109">
        <v>45115</v>
      </c>
      <c r="I9" s="264"/>
      <c r="J9" s="105" t="s">
        <v>557</v>
      </c>
      <c r="K9" s="105" t="s">
        <v>558</v>
      </c>
      <c r="L9" s="109">
        <v>45114</v>
      </c>
      <c r="M9" s="109">
        <v>45119</v>
      </c>
      <c r="N9" s="105" t="s">
        <v>559</v>
      </c>
      <c r="O9" s="97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 spans="1:28" ht="15" customHeight="1">
      <c r="A10" s="264"/>
      <c r="B10" s="105" t="s">
        <v>543</v>
      </c>
      <c r="C10" s="106">
        <v>15283</v>
      </c>
      <c r="D10" s="112" t="s">
        <v>563</v>
      </c>
      <c r="E10" s="105" t="s">
        <v>554</v>
      </c>
      <c r="F10" s="107" t="s">
        <v>566</v>
      </c>
      <c r="G10" s="108">
        <v>20</v>
      </c>
      <c r="H10" s="109">
        <v>45115</v>
      </c>
      <c r="I10" s="264"/>
      <c r="J10" s="105" t="s">
        <v>557</v>
      </c>
      <c r="K10" s="105" t="s">
        <v>558</v>
      </c>
      <c r="L10" s="109">
        <v>45114</v>
      </c>
      <c r="M10" s="109">
        <v>45119</v>
      </c>
      <c r="N10" s="105" t="s">
        <v>559</v>
      </c>
      <c r="O10" s="97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 spans="1:28" ht="15" customHeight="1">
      <c r="A11" s="264"/>
      <c r="B11" s="105" t="s">
        <v>543</v>
      </c>
      <c r="C11" s="106">
        <v>15283</v>
      </c>
      <c r="D11" s="112" t="s">
        <v>563</v>
      </c>
      <c r="E11" s="105" t="s">
        <v>554</v>
      </c>
      <c r="F11" s="107" t="s">
        <v>567</v>
      </c>
      <c r="G11" s="108">
        <v>20</v>
      </c>
      <c r="H11" s="109">
        <v>45115</v>
      </c>
      <c r="I11" s="264"/>
      <c r="J11" s="105" t="s">
        <v>557</v>
      </c>
      <c r="K11" s="105" t="s">
        <v>558</v>
      </c>
      <c r="L11" s="109">
        <v>45114</v>
      </c>
      <c r="M11" s="109">
        <v>45119</v>
      </c>
      <c r="N11" s="105" t="s">
        <v>559</v>
      </c>
      <c r="O11" s="97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 spans="1:28" ht="15" customHeight="1">
      <c r="A12" s="264"/>
      <c r="B12" s="105" t="s">
        <v>543</v>
      </c>
      <c r="C12" s="106">
        <v>15283</v>
      </c>
      <c r="D12" s="112" t="s">
        <v>563</v>
      </c>
      <c r="E12" s="105" t="s">
        <v>554</v>
      </c>
      <c r="F12" s="107" t="s">
        <v>568</v>
      </c>
      <c r="G12" s="108">
        <v>20</v>
      </c>
      <c r="H12" s="109">
        <v>45115</v>
      </c>
      <c r="I12" s="264"/>
      <c r="J12" s="105" t="s">
        <v>557</v>
      </c>
      <c r="K12" s="105" t="s">
        <v>558</v>
      </c>
      <c r="L12" s="109">
        <v>45114</v>
      </c>
      <c r="M12" s="109">
        <v>45119</v>
      </c>
      <c r="N12" s="105" t="s">
        <v>559</v>
      </c>
      <c r="O12" s="97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 spans="1:28" ht="15" customHeight="1">
      <c r="A13" s="264"/>
      <c r="B13" s="105" t="s">
        <v>543</v>
      </c>
      <c r="C13" s="106">
        <v>15283</v>
      </c>
      <c r="D13" s="112" t="s">
        <v>563</v>
      </c>
      <c r="E13" s="105" t="s">
        <v>554</v>
      </c>
      <c r="F13" s="107" t="s">
        <v>569</v>
      </c>
      <c r="G13" s="108">
        <v>20</v>
      </c>
      <c r="H13" s="109">
        <v>45115</v>
      </c>
      <c r="I13" s="264"/>
      <c r="J13" s="105" t="s">
        <v>557</v>
      </c>
      <c r="K13" s="105" t="s">
        <v>558</v>
      </c>
      <c r="L13" s="109">
        <v>45114</v>
      </c>
      <c r="M13" s="109">
        <v>45119</v>
      </c>
      <c r="N13" s="105" t="s">
        <v>559</v>
      </c>
      <c r="O13" s="97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 spans="1:28" ht="15" customHeight="1">
      <c r="A14" s="264"/>
      <c r="B14" s="105" t="s">
        <v>543</v>
      </c>
      <c r="C14" s="106">
        <v>15283</v>
      </c>
      <c r="D14" s="112" t="s">
        <v>563</v>
      </c>
      <c r="E14" s="105" t="s">
        <v>554</v>
      </c>
      <c r="F14" s="107" t="s">
        <v>570</v>
      </c>
      <c r="G14" s="108">
        <v>20</v>
      </c>
      <c r="H14" s="109">
        <v>45115</v>
      </c>
      <c r="I14" s="264"/>
      <c r="J14" s="105" t="s">
        <v>557</v>
      </c>
      <c r="K14" s="105" t="s">
        <v>558</v>
      </c>
      <c r="L14" s="109">
        <v>45114</v>
      </c>
      <c r="M14" s="109">
        <v>45119</v>
      </c>
      <c r="N14" s="105" t="s">
        <v>559</v>
      </c>
      <c r="O14" s="97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 spans="1:28" ht="15" customHeight="1">
      <c r="A15" s="264"/>
      <c r="B15" s="105" t="s">
        <v>543</v>
      </c>
      <c r="C15" s="106">
        <v>15283</v>
      </c>
      <c r="D15" s="112" t="s">
        <v>563</v>
      </c>
      <c r="E15" s="105" t="s">
        <v>554</v>
      </c>
      <c r="F15" s="107" t="s">
        <v>571</v>
      </c>
      <c r="G15" s="108">
        <v>20</v>
      </c>
      <c r="H15" s="109">
        <v>45115</v>
      </c>
      <c r="I15" s="264"/>
      <c r="J15" s="105" t="s">
        <v>557</v>
      </c>
      <c r="K15" s="105" t="s">
        <v>558</v>
      </c>
      <c r="L15" s="109">
        <v>45114</v>
      </c>
      <c r="M15" s="109">
        <v>45119</v>
      </c>
      <c r="N15" s="105" t="s">
        <v>559</v>
      </c>
      <c r="O15" s="97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 spans="1:28" ht="15" customHeight="1">
      <c r="A16" s="264"/>
      <c r="B16" s="105" t="s">
        <v>543</v>
      </c>
      <c r="C16" s="106">
        <v>15490</v>
      </c>
      <c r="D16" s="112">
        <v>6528</v>
      </c>
      <c r="E16" s="105" t="s">
        <v>554</v>
      </c>
      <c r="F16" s="107" t="s">
        <v>572</v>
      </c>
      <c r="G16" s="108">
        <v>3</v>
      </c>
      <c r="H16" s="109">
        <v>45115</v>
      </c>
      <c r="I16" s="264"/>
      <c r="J16" s="105" t="s">
        <v>557</v>
      </c>
      <c r="K16" s="105" t="s">
        <v>558</v>
      </c>
      <c r="L16" s="109">
        <v>45114</v>
      </c>
      <c r="M16" s="109">
        <v>45119</v>
      </c>
      <c r="N16" s="105" t="s">
        <v>559</v>
      </c>
      <c r="O16" s="97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 spans="1:28" ht="15" customHeight="1">
      <c r="A17" s="261"/>
      <c r="B17" s="105" t="s">
        <v>543</v>
      </c>
      <c r="C17" s="106">
        <v>15490</v>
      </c>
      <c r="D17" s="112">
        <v>6528</v>
      </c>
      <c r="E17" s="105" t="s">
        <v>554</v>
      </c>
      <c r="F17" s="107" t="s">
        <v>573</v>
      </c>
      <c r="G17" s="108">
        <v>3</v>
      </c>
      <c r="H17" s="109">
        <v>45115</v>
      </c>
      <c r="I17" s="261"/>
      <c r="J17" s="105" t="s">
        <v>557</v>
      </c>
      <c r="K17" s="105" t="s">
        <v>558</v>
      </c>
      <c r="L17" s="109">
        <v>45114</v>
      </c>
      <c r="M17" s="109">
        <v>45119</v>
      </c>
      <c r="N17" s="105" t="s">
        <v>559</v>
      </c>
      <c r="O17" s="97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 spans="1:28" ht="15" customHeight="1">
      <c r="A18" s="113">
        <v>2</v>
      </c>
      <c r="B18" s="105" t="s">
        <v>543</v>
      </c>
      <c r="C18" s="114">
        <v>15197</v>
      </c>
      <c r="D18" s="97"/>
      <c r="E18" s="105" t="s">
        <v>574</v>
      </c>
      <c r="F18" s="105" t="s">
        <v>575</v>
      </c>
      <c r="G18" s="108">
        <v>15</v>
      </c>
      <c r="H18" s="109">
        <v>45121</v>
      </c>
      <c r="I18" s="105" t="s">
        <v>576</v>
      </c>
      <c r="J18" s="108">
        <v>772739530405</v>
      </c>
      <c r="K18" s="105" t="s">
        <v>577</v>
      </c>
      <c r="L18" s="109">
        <v>45121</v>
      </c>
      <c r="M18" s="109">
        <v>45128</v>
      </c>
      <c r="N18" s="105" t="s">
        <v>578</v>
      </c>
      <c r="O18" s="97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 spans="1:28" ht="15" customHeight="1">
      <c r="A19" s="291">
        <v>3</v>
      </c>
      <c r="B19" s="115" t="s">
        <v>543</v>
      </c>
      <c r="C19" s="116">
        <v>15116</v>
      </c>
      <c r="D19" s="117"/>
      <c r="E19" s="115" t="s">
        <v>579</v>
      </c>
      <c r="F19" s="117" t="s">
        <v>98</v>
      </c>
      <c r="G19" s="118">
        <v>200</v>
      </c>
      <c r="H19" s="119">
        <v>45146</v>
      </c>
      <c r="I19" s="292" t="s">
        <v>576</v>
      </c>
      <c r="J19" s="120">
        <v>772978815358</v>
      </c>
      <c r="K19" s="115" t="s">
        <v>577</v>
      </c>
      <c r="L19" s="119">
        <v>45146</v>
      </c>
      <c r="M19" s="119">
        <v>45156</v>
      </c>
      <c r="N19" s="115" t="s">
        <v>580</v>
      </c>
      <c r="O19" s="117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 spans="1:28" ht="15" customHeight="1">
      <c r="A20" s="264"/>
      <c r="B20" s="105" t="s">
        <v>543</v>
      </c>
      <c r="C20" s="114">
        <v>15116</v>
      </c>
      <c r="D20" s="97"/>
      <c r="E20" s="105" t="s">
        <v>579</v>
      </c>
      <c r="F20" s="97" t="s">
        <v>95</v>
      </c>
      <c r="G20" s="121">
        <v>500</v>
      </c>
      <c r="H20" s="119">
        <v>45146</v>
      </c>
      <c r="I20" s="264"/>
      <c r="J20" s="120">
        <v>772978815358</v>
      </c>
      <c r="K20" s="115" t="s">
        <v>577</v>
      </c>
      <c r="L20" s="119">
        <v>45146</v>
      </c>
      <c r="M20" s="119">
        <v>45156</v>
      </c>
      <c r="N20" s="115" t="s">
        <v>580</v>
      </c>
      <c r="O20" s="97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 spans="1:28" ht="15" customHeight="1">
      <c r="A21" s="264"/>
      <c r="B21" s="105" t="s">
        <v>543</v>
      </c>
      <c r="C21" s="114">
        <v>15188</v>
      </c>
      <c r="D21" s="97"/>
      <c r="E21" s="105" t="s">
        <v>579</v>
      </c>
      <c r="F21" s="97" t="s">
        <v>406</v>
      </c>
      <c r="G21" s="121">
        <v>100</v>
      </c>
      <c r="H21" s="119">
        <v>45146</v>
      </c>
      <c r="I21" s="264"/>
      <c r="J21" s="120">
        <v>772978815358</v>
      </c>
      <c r="K21" s="115" t="s">
        <v>577</v>
      </c>
      <c r="L21" s="119">
        <v>45146</v>
      </c>
      <c r="M21" s="119">
        <v>45156</v>
      </c>
      <c r="N21" s="115" t="s">
        <v>580</v>
      </c>
      <c r="O21" s="97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 spans="1:28" ht="15" customHeight="1">
      <c r="A22" s="261"/>
      <c r="B22" s="105" t="s">
        <v>543</v>
      </c>
      <c r="C22" s="114">
        <v>15474</v>
      </c>
      <c r="D22" s="97"/>
      <c r="E22" s="105" t="s">
        <v>579</v>
      </c>
      <c r="F22" s="97" t="s">
        <v>406</v>
      </c>
      <c r="G22" s="121">
        <v>300</v>
      </c>
      <c r="H22" s="119">
        <v>45146</v>
      </c>
      <c r="I22" s="261"/>
      <c r="J22" s="120">
        <v>772978815358</v>
      </c>
      <c r="K22" s="115" t="s">
        <v>577</v>
      </c>
      <c r="L22" s="119">
        <v>45146</v>
      </c>
      <c r="M22" s="119">
        <v>45156</v>
      </c>
      <c r="N22" s="115" t="s">
        <v>580</v>
      </c>
      <c r="O22" s="97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 spans="1:28" ht="15" customHeight="1">
      <c r="A23" s="113">
        <v>4</v>
      </c>
      <c r="B23" s="105" t="s">
        <v>543</v>
      </c>
      <c r="C23" s="106">
        <v>15141</v>
      </c>
      <c r="D23" s="97"/>
      <c r="E23" s="97" t="s">
        <v>581</v>
      </c>
      <c r="F23" s="97" t="s">
        <v>41</v>
      </c>
      <c r="G23" s="121">
        <v>2</v>
      </c>
      <c r="H23" s="109">
        <v>45141</v>
      </c>
      <c r="I23" s="105" t="s">
        <v>576</v>
      </c>
      <c r="J23" s="108">
        <v>772922179997</v>
      </c>
      <c r="K23" s="105" t="s">
        <v>577</v>
      </c>
      <c r="L23" s="109">
        <v>45140</v>
      </c>
      <c r="M23" s="109">
        <v>45148</v>
      </c>
      <c r="N23" s="105" t="s">
        <v>582</v>
      </c>
      <c r="O23" s="97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 spans="1:28" ht="15" customHeight="1">
      <c r="A24" s="280">
        <v>5</v>
      </c>
      <c r="B24" s="105" t="s">
        <v>543</v>
      </c>
      <c r="C24" s="106">
        <v>14827</v>
      </c>
      <c r="D24" s="112">
        <v>6279</v>
      </c>
      <c r="E24" s="122" t="s">
        <v>583</v>
      </c>
      <c r="F24" s="107" t="s">
        <v>31</v>
      </c>
      <c r="G24" s="123">
        <v>50</v>
      </c>
      <c r="H24" s="109">
        <v>45129</v>
      </c>
      <c r="I24" s="283" t="s">
        <v>556</v>
      </c>
      <c r="J24" s="105" t="s">
        <v>584</v>
      </c>
      <c r="K24" s="105" t="s">
        <v>585</v>
      </c>
      <c r="L24" s="109">
        <v>45127</v>
      </c>
      <c r="M24" s="109">
        <v>45129</v>
      </c>
      <c r="N24" s="105" t="s">
        <v>586</v>
      </c>
      <c r="O24" s="97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 spans="1:28" ht="15" customHeight="1">
      <c r="A25" s="264"/>
      <c r="B25" s="105" t="s">
        <v>543</v>
      </c>
      <c r="C25" s="106">
        <v>14827</v>
      </c>
      <c r="D25" s="112">
        <v>6279</v>
      </c>
      <c r="E25" s="122" t="s">
        <v>583</v>
      </c>
      <c r="F25" s="107" t="s">
        <v>32</v>
      </c>
      <c r="G25" s="123">
        <v>50</v>
      </c>
      <c r="H25" s="109">
        <v>45129</v>
      </c>
      <c r="I25" s="264"/>
      <c r="J25" s="105" t="s">
        <v>584</v>
      </c>
      <c r="K25" s="105" t="s">
        <v>585</v>
      </c>
      <c r="L25" s="109">
        <v>45127</v>
      </c>
      <c r="M25" s="109">
        <v>45129</v>
      </c>
      <c r="N25" s="105" t="s">
        <v>586</v>
      </c>
      <c r="O25" s="97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 spans="1:28" ht="29">
      <c r="A26" s="264"/>
      <c r="B26" s="105" t="s">
        <v>543</v>
      </c>
      <c r="C26" s="114">
        <v>14895</v>
      </c>
      <c r="D26" s="112">
        <v>6293</v>
      </c>
      <c r="E26" s="122" t="s">
        <v>583</v>
      </c>
      <c r="F26" s="107" t="s">
        <v>27</v>
      </c>
      <c r="G26" s="123">
        <v>100</v>
      </c>
      <c r="H26" s="109">
        <v>45129</v>
      </c>
      <c r="I26" s="264"/>
      <c r="J26" s="105" t="s">
        <v>584</v>
      </c>
      <c r="K26" s="105" t="s">
        <v>585</v>
      </c>
      <c r="L26" s="109">
        <v>45127</v>
      </c>
      <c r="M26" s="109">
        <v>45129</v>
      </c>
      <c r="N26" s="105" t="s">
        <v>586</v>
      </c>
      <c r="O26" s="97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 spans="1:28" ht="29">
      <c r="A27" s="261"/>
      <c r="B27" s="105" t="s">
        <v>543</v>
      </c>
      <c r="C27" s="114">
        <v>14895</v>
      </c>
      <c r="D27" s="112">
        <v>6293</v>
      </c>
      <c r="E27" s="122" t="s">
        <v>583</v>
      </c>
      <c r="F27" s="107" t="s">
        <v>29</v>
      </c>
      <c r="G27" s="123">
        <v>100</v>
      </c>
      <c r="H27" s="109">
        <v>45129</v>
      </c>
      <c r="I27" s="261"/>
      <c r="J27" s="105" t="s">
        <v>584</v>
      </c>
      <c r="K27" s="105" t="s">
        <v>585</v>
      </c>
      <c r="L27" s="109">
        <v>45127</v>
      </c>
      <c r="M27" s="109">
        <v>45129</v>
      </c>
      <c r="N27" s="105" t="s">
        <v>586</v>
      </c>
      <c r="O27" s="97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 spans="1:28" ht="29">
      <c r="A28" s="280">
        <v>6</v>
      </c>
      <c r="B28" s="105" t="s">
        <v>543</v>
      </c>
      <c r="C28" s="114">
        <v>15732</v>
      </c>
      <c r="D28" s="114">
        <v>6586</v>
      </c>
      <c r="E28" s="105" t="s">
        <v>587</v>
      </c>
      <c r="F28" s="105" t="s">
        <v>377</v>
      </c>
      <c r="G28" s="108">
        <v>75</v>
      </c>
      <c r="H28" s="97"/>
      <c r="I28" s="283" t="s">
        <v>576</v>
      </c>
      <c r="J28" s="108">
        <v>772789760408</v>
      </c>
      <c r="K28" s="105" t="s">
        <v>588</v>
      </c>
      <c r="L28" s="109">
        <v>45128</v>
      </c>
      <c r="M28" s="109">
        <v>45135</v>
      </c>
      <c r="N28" s="105" t="s">
        <v>589</v>
      </c>
      <c r="O28" s="97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 spans="1:28" ht="29">
      <c r="A29" s="261"/>
      <c r="B29" s="105" t="s">
        <v>543</v>
      </c>
      <c r="C29" s="97"/>
      <c r="D29" s="97"/>
      <c r="E29" s="97"/>
      <c r="F29" s="105" t="s">
        <v>590</v>
      </c>
      <c r="G29" s="108">
        <v>2</v>
      </c>
      <c r="H29" s="97"/>
      <c r="I29" s="261"/>
      <c r="J29" s="108">
        <v>772789760408</v>
      </c>
      <c r="K29" s="105" t="s">
        <v>588</v>
      </c>
      <c r="L29" s="109">
        <v>45128</v>
      </c>
      <c r="M29" s="109">
        <v>45135</v>
      </c>
      <c r="N29" s="105" t="s">
        <v>589</v>
      </c>
      <c r="O29" s="97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 spans="1:28" ht="29">
      <c r="A30" s="113">
        <v>7</v>
      </c>
      <c r="B30" s="105" t="s">
        <v>543</v>
      </c>
      <c r="C30" s="114">
        <v>15733</v>
      </c>
      <c r="D30" s="114">
        <v>6586</v>
      </c>
      <c r="E30" s="105" t="s">
        <v>591</v>
      </c>
      <c r="F30" s="105" t="s">
        <v>379</v>
      </c>
      <c r="G30" s="108">
        <v>900</v>
      </c>
      <c r="H30" s="109">
        <v>45127</v>
      </c>
      <c r="I30" s="105" t="s">
        <v>576</v>
      </c>
      <c r="J30" s="108">
        <v>685435042008</v>
      </c>
      <c r="K30" s="105" t="s">
        <v>588</v>
      </c>
      <c r="L30" s="109">
        <v>45126</v>
      </c>
      <c r="M30" s="109">
        <v>45134</v>
      </c>
      <c r="N30" s="105" t="s">
        <v>592</v>
      </c>
      <c r="O30" s="97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 spans="1:28" ht="29">
      <c r="A31" s="280">
        <v>8</v>
      </c>
      <c r="B31" s="105" t="s">
        <v>543</v>
      </c>
      <c r="C31" s="114">
        <v>14113</v>
      </c>
      <c r="D31" s="97"/>
      <c r="E31" s="105" t="s">
        <v>593</v>
      </c>
      <c r="F31" s="97" t="s">
        <v>14</v>
      </c>
      <c r="G31" s="121">
        <v>200</v>
      </c>
      <c r="H31" s="109">
        <v>45147</v>
      </c>
      <c r="I31" s="283" t="s">
        <v>556</v>
      </c>
      <c r="J31" s="105" t="s">
        <v>594</v>
      </c>
      <c r="K31" s="105" t="s">
        <v>595</v>
      </c>
      <c r="L31" s="109">
        <v>45145</v>
      </c>
      <c r="M31" s="97"/>
      <c r="N31" s="105" t="s">
        <v>596</v>
      </c>
      <c r="O31" s="97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 spans="1:28" ht="29">
      <c r="A32" s="264"/>
      <c r="B32" s="105" t="s">
        <v>543</v>
      </c>
      <c r="C32" s="114">
        <v>14113</v>
      </c>
      <c r="D32" s="97"/>
      <c r="E32" s="105" t="s">
        <v>593</v>
      </c>
      <c r="F32" s="97" t="s">
        <v>11</v>
      </c>
      <c r="G32" s="121">
        <v>200</v>
      </c>
      <c r="H32" s="109">
        <v>45147</v>
      </c>
      <c r="I32" s="264"/>
      <c r="J32" s="105" t="s">
        <v>594</v>
      </c>
      <c r="K32" s="105" t="s">
        <v>595</v>
      </c>
      <c r="L32" s="109">
        <v>45145</v>
      </c>
      <c r="M32" s="97"/>
      <c r="N32" s="105" t="s">
        <v>596</v>
      </c>
      <c r="O32" s="97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 spans="1:28" ht="29">
      <c r="A33" s="264"/>
      <c r="B33" s="105" t="s">
        <v>543</v>
      </c>
      <c r="C33" s="114">
        <v>15473</v>
      </c>
      <c r="D33" s="97"/>
      <c r="E33" s="105" t="s">
        <v>593</v>
      </c>
      <c r="F33" s="97" t="s">
        <v>12</v>
      </c>
      <c r="G33" s="121">
        <v>100</v>
      </c>
      <c r="H33" s="109">
        <v>45147</v>
      </c>
      <c r="I33" s="264"/>
      <c r="J33" s="105" t="s">
        <v>594</v>
      </c>
      <c r="K33" s="105" t="s">
        <v>595</v>
      </c>
      <c r="L33" s="109">
        <v>45145</v>
      </c>
      <c r="M33" s="97"/>
      <c r="N33" s="105" t="s">
        <v>596</v>
      </c>
      <c r="O33" s="97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 spans="1:28" ht="29">
      <c r="A34" s="264"/>
      <c r="B34" s="105" t="s">
        <v>543</v>
      </c>
      <c r="C34" s="114">
        <v>15487</v>
      </c>
      <c r="D34" s="114">
        <v>6529</v>
      </c>
      <c r="E34" s="105" t="s">
        <v>593</v>
      </c>
      <c r="F34" s="107" t="s">
        <v>24</v>
      </c>
      <c r="G34" s="123">
        <v>20</v>
      </c>
      <c r="H34" s="109">
        <v>45147</v>
      </c>
      <c r="I34" s="264"/>
      <c r="J34" s="105" t="s">
        <v>594</v>
      </c>
      <c r="K34" s="105" t="s">
        <v>595</v>
      </c>
      <c r="L34" s="109">
        <v>45145</v>
      </c>
      <c r="M34" s="97"/>
      <c r="N34" s="105" t="s">
        <v>596</v>
      </c>
      <c r="O34" s="97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 spans="1:28" ht="29">
      <c r="A35" s="264"/>
      <c r="B35" s="105" t="s">
        <v>543</v>
      </c>
      <c r="C35" s="114">
        <v>15487</v>
      </c>
      <c r="D35" s="114">
        <v>6529</v>
      </c>
      <c r="E35" s="105" t="s">
        <v>593</v>
      </c>
      <c r="F35" s="107" t="s">
        <v>23</v>
      </c>
      <c r="G35" s="123">
        <v>20</v>
      </c>
      <c r="H35" s="109">
        <v>45147</v>
      </c>
      <c r="I35" s="264"/>
      <c r="J35" s="105" t="s">
        <v>594</v>
      </c>
      <c r="K35" s="105" t="s">
        <v>595</v>
      </c>
      <c r="L35" s="109">
        <v>45145</v>
      </c>
      <c r="M35" s="97"/>
      <c r="N35" s="105" t="s">
        <v>596</v>
      </c>
      <c r="O35" s="97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 spans="1:28" ht="29">
      <c r="A36" s="261"/>
      <c r="B36" s="105" t="s">
        <v>543</v>
      </c>
      <c r="C36" s="114">
        <v>15487</v>
      </c>
      <c r="D36" s="114">
        <v>6529</v>
      </c>
      <c r="E36" s="105" t="s">
        <v>593</v>
      </c>
      <c r="F36" s="107" t="s">
        <v>17</v>
      </c>
      <c r="G36" s="123">
        <v>300</v>
      </c>
      <c r="H36" s="109">
        <v>45147</v>
      </c>
      <c r="I36" s="261"/>
      <c r="J36" s="105" t="s">
        <v>594</v>
      </c>
      <c r="K36" s="105" t="s">
        <v>595</v>
      </c>
      <c r="L36" s="109">
        <v>45145</v>
      </c>
      <c r="M36" s="97"/>
      <c r="N36" s="105" t="s">
        <v>596</v>
      </c>
      <c r="O36" s="97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 spans="1:28" ht="29">
      <c r="A37" s="280">
        <v>9</v>
      </c>
      <c r="B37" s="105" t="s">
        <v>543</v>
      </c>
      <c r="C37" s="114">
        <v>15920</v>
      </c>
      <c r="D37" s="97"/>
      <c r="E37" s="105" t="s">
        <v>597</v>
      </c>
      <c r="F37" s="97" t="s">
        <v>598</v>
      </c>
      <c r="G37" s="121">
        <v>2</v>
      </c>
      <c r="H37" s="109">
        <v>45134</v>
      </c>
      <c r="I37" s="283" t="s">
        <v>576</v>
      </c>
      <c r="J37" s="108">
        <v>772908281091</v>
      </c>
      <c r="K37" s="105" t="s">
        <v>588</v>
      </c>
      <c r="L37" s="109">
        <v>45140</v>
      </c>
      <c r="M37" s="109">
        <v>45147</v>
      </c>
      <c r="N37" s="105" t="s">
        <v>582</v>
      </c>
      <c r="O37" s="97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 spans="1:28" ht="29">
      <c r="A38" s="264"/>
      <c r="B38" s="105" t="s">
        <v>543</v>
      </c>
      <c r="C38" s="114">
        <v>15920</v>
      </c>
      <c r="D38" s="97"/>
      <c r="E38" s="105" t="s">
        <v>597</v>
      </c>
      <c r="F38" s="97" t="s">
        <v>599</v>
      </c>
      <c r="G38" s="121">
        <v>2</v>
      </c>
      <c r="H38" s="109">
        <v>45134</v>
      </c>
      <c r="I38" s="264"/>
      <c r="J38" s="108">
        <v>772908281091</v>
      </c>
      <c r="K38" s="105" t="s">
        <v>588</v>
      </c>
      <c r="L38" s="109">
        <v>45140</v>
      </c>
      <c r="M38" s="109">
        <v>45147</v>
      </c>
      <c r="N38" s="105" t="s">
        <v>582</v>
      </c>
      <c r="O38" s="97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 spans="1:28" ht="29">
      <c r="A39" s="264"/>
      <c r="B39" s="105" t="s">
        <v>543</v>
      </c>
      <c r="C39" s="114">
        <v>15920</v>
      </c>
      <c r="D39" s="97"/>
      <c r="E39" s="105" t="s">
        <v>597</v>
      </c>
      <c r="F39" s="97" t="s">
        <v>600</v>
      </c>
      <c r="G39" s="121">
        <v>1</v>
      </c>
      <c r="H39" s="109">
        <v>45134</v>
      </c>
      <c r="I39" s="264"/>
      <c r="J39" s="108">
        <v>772908281091</v>
      </c>
      <c r="K39" s="105" t="s">
        <v>588</v>
      </c>
      <c r="L39" s="109">
        <v>45140</v>
      </c>
      <c r="M39" s="109">
        <v>45147</v>
      </c>
      <c r="N39" s="105" t="s">
        <v>582</v>
      </c>
      <c r="O39" s="97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 spans="1:28" ht="29">
      <c r="A40" s="264"/>
      <c r="B40" s="105" t="s">
        <v>543</v>
      </c>
      <c r="C40" s="114">
        <v>15920</v>
      </c>
      <c r="D40" s="97"/>
      <c r="E40" s="105" t="s">
        <v>597</v>
      </c>
      <c r="F40" s="97" t="s">
        <v>601</v>
      </c>
      <c r="G40" s="121">
        <v>1</v>
      </c>
      <c r="H40" s="109">
        <v>45134</v>
      </c>
      <c r="I40" s="264"/>
      <c r="J40" s="108">
        <v>772908281091</v>
      </c>
      <c r="K40" s="105" t="s">
        <v>588</v>
      </c>
      <c r="L40" s="109">
        <v>45140</v>
      </c>
      <c r="M40" s="109">
        <v>45147</v>
      </c>
      <c r="N40" s="105" t="s">
        <v>582</v>
      </c>
      <c r="O40" s="97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 spans="1:28" ht="29">
      <c r="A41" s="261"/>
      <c r="B41" s="105" t="s">
        <v>543</v>
      </c>
      <c r="C41" s="114">
        <v>15920</v>
      </c>
      <c r="D41" s="97"/>
      <c r="E41" s="105" t="s">
        <v>597</v>
      </c>
      <c r="F41" s="97" t="s">
        <v>602</v>
      </c>
      <c r="G41" s="121">
        <v>1</v>
      </c>
      <c r="H41" s="109">
        <v>45134</v>
      </c>
      <c r="I41" s="261"/>
      <c r="J41" s="108">
        <v>772908281091</v>
      </c>
      <c r="K41" s="105" t="s">
        <v>588</v>
      </c>
      <c r="L41" s="109">
        <v>45140</v>
      </c>
      <c r="M41" s="109">
        <v>45147</v>
      </c>
      <c r="N41" s="105" t="s">
        <v>582</v>
      </c>
      <c r="O41" s="97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 spans="1:28" ht="29">
      <c r="A42" s="280">
        <v>10</v>
      </c>
      <c r="B42" s="105" t="s">
        <v>543</v>
      </c>
      <c r="C42" s="114">
        <v>15388</v>
      </c>
      <c r="D42" s="97"/>
      <c r="E42" s="105" t="s">
        <v>603</v>
      </c>
      <c r="F42" s="97" t="s">
        <v>27</v>
      </c>
      <c r="G42" s="121">
        <v>250</v>
      </c>
      <c r="H42" s="109">
        <v>45154</v>
      </c>
      <c r="I42" s="283" t="s">
        <v>604</v>
      </c>
      <c r="J42" s="107" t="s">
        <v>605</v>
      </c>
      <c r="K42" s="105" t="s">
        <v>606</v>
      </c>
      <c r="L42" s="109">
        <v>45152</v>
      </c>
      <c r="M42" s="109">
        <v>45154</v>
      </c>
      <c r="N42" s="105" t="s">
        <v>607</v>
      </c>
      <c r="O42" s="97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 spans="1:28" ht="29">
      <c r="A43" s="264"/>
      <c r="B43" s="105" t="s">
        <v>543</v>
      </c>
      <c r="C43" s="114">
        <v>15388</v>
      </c>
      <c r="D43" s="97"/>
      <c r="E43" s="105" t="s">
        <v>603</v>
      </c>
      <c r="F43" s="97" t="s">
        <v>29</v>
      </c>
      <c r="G43" s="121">
        <v>200</v>
      </c>
      <c r="H43" s="109">
        <v>45154</v>
      </c>
      <c r="I43" s="264"/>
      <c r="J43" s="107" t="s">
        <v>605</v>
      </c>
      <c r="K43" s="105" t="s">
        <v>606</v>
      </c>
      <c r="L43" s="109">
        <v>45152</v>
      </c>
      <c r="M43" s="109">
        <v>45154</v>
      </c>
      <c r="N43" s="105" t="s">
        <v>607</v>
      </c>
      <c r="O43" s="97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 spans="1:28" ht="29">
      <c r="A44" s="264"/>
      <c r="B44" s="105" t="s">
        <v>543</v>
      </c>
      <c r="C44" s="293" t="s">
        <v>608</v>
      </c>
      <c r="D44" s="263"/>
      <c r="E44" s="105" t="s">
        <v>603</v>
      </c>
      <c r="F44" s="107" t="s">
        <v>31</v>
      </c>
      <c r="G44" s="121">
        <v>6</v>
      </c>
      <c r="H44" s="109">
        <v>45154</v>
      </c>
      <c r="I44" s="264"/>
      <c r="J44" s="107" t="s">
        <v>605</v>
      </c>
      <c r="K44" s="105" t="s">
        <v>606</v>
      </c>
      <c r="L44" s="109">
        <v>45152</v>
      </c>
      <c r="M44" s="109">
        <v>45154</v>
      </c>
      <c r="N44" s="105" t="s">
        <v>607</v>
      </c>
      <c r="O44" s="97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 spans="1:28" ht="29">
      <c r="A45" s="264"/>
      <c r="B45" s="105" t="s">
        <v>543</v>
      </c>
      <c r="C45" s="293" t="s">
        <v>608</v>
      </c>
      <c r="D45" s="263"/>
      <c r="E45" s="105" t="s">
        <v>603</v>
      </c>
      <c r="F45" s="107" t="s">
        <v>32</v>
      </c>
      <c r="G45" s="121">
        <v>2</v>
      </c>
      <c r="H45" s="109">
        <v>45154</v>
      </c>
      <c r="I45" s="264"/>
      <c r="J45" s="107" t="s">
        <v>605</v>
      </c>
      <c r="K45" s="105" t="s">
        <v>606</v>
      </c>
      <c r="L45" s="109">
        <v>45152</v>
      </c>
      <c r="M45" s="109">
        <v>45154</v>
      </c>
      <c r="N45" s="105" t="s">
        <v>607</v>
      </c>
      <c r="O45" s="97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 spans="1:28" ht="29">
      <c r="A46" s="261"/>
      <c r="B46" s="105" t="s">
        <v>543</v>
      </c>
      <c r="C46" s="114">
        <v>15388</v>
      </c>
      <c r="D46" s="97"/>
      <c r="E46" s="105" t="s">
        <v>603</v>
      </c>
      <c r="F46" s="97" t="s">
        <v>33</v>
      </c>
      <c r="G46" s="121">
        <v>100</v>
      </c>
      <c r="H46" s="109">
        <v>45154</v>
      </c>
      <c r="I46" s="261"/>
      <c r="J46" s="107" t="s">
        <v>605</v>
      </c>
      <c r="K46" s="105" t="s">
        <v>606</v>
      </c>
      <c r="L46" s="109">
        <v>45152</v>
      </c>
      <c r="M46" s="109">
        <v>45154</v>
      </c>
      <c r="N46" s="105" t="s">
        <v>607</v>
      </c>
      <c r="O46" s="97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 spans="1:28" ht="29">
      <c r="A47" s="280">
        <v>11</v>
      </c>
      <c r="B47" s="105" t="s">
        <v>543</v>
      </c>
      <c r="C47" s="114">
        <v>15958</v>
      </c>
      <c r="D47" s="97"/>
      <c r="E47" s="105" t="s">
        <v>609</v>
      </c>
      <c r="F47" s="97" t="s">
        <v>439</v>
      </c>
      <c r="G47" s="121">
        <v>20</v>
      </c>
      <c r="H47" s="109">
        <v>45159</v>
      </c>
      <c r="I47" s="283" t="s">
        <v>576</v>
      </c>
      <c r="J47" s="108">
        <v>773093373392</v>
      </c>
      <c r="K47" s="105" t="s">
        <v>610</v>
      </c>
      <c r="L47" s="109">
        <v>45157</v>
      </c>
      <c r="M47" s="109">
        <v>45164</v>
      </c>
      <c r="N47" s="105" t="s">
        <v>611</v>
      </c>
      <c r="O47" s="108">
        <v>869776544</v>
      </c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 spans="1:28" ht="29">
      <c r="A48" s="261"/>
      <c r="B48" s="105" t="s">
        <v>543</v>
      </c>
      <c r="C48" s="114">
        <v>15958</v>
      </c>
      <c r="D48" s="97"/>
      <c r="E48" s="105" t="s">
        <v>609</v>
      </c>
      <c r="F48" s="97" t="s">
        <v>612</v>
      </c>
      <c r="G48" s="121">
        <v>20</v>
      </c>
      <c r="H48" s="109">
        <v>45159</v>
      </c>
      <c r="I48" s="261"/>
      <c r="J48" s="108">
        <v>773093373392</v>
      </c>
      <c r="K48" s="105" t="s">
        <v>610</v>
      </c>
      <c r="L48" s="109">
        <v>45157</v>
      </c>
      <c r="M48" s="109">
        <v>45164</v>
      </c>
      <c r="N48" s="105" t="s">
        <v>611</v>
      </c>
      <c r="O48" s="108">
        <v>869776544</v>
      </c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 spans="1:28" ht="29">
      <c r="A49" s="280">
        <v>12</v>
      </c>
      <c r="B49" s="105" t="s">
        <v>543</v>
      </c>
      <c r="C49" s="114">
        <v>15992</v>
      </c>
      <c r="D49" s="97"/>
      <c r="E49" s="97" t="s">
        <v>579</v>
      </c>
      <c r="F49" s="97" t="s">
        <v>406</v>
      </c>
      <c r="G49" s="121">
        <v>200</v>
      </c>
      <c r="H49" s="109">
        <v>45180</v>
      </c>
      <c r="I49" s="283" t="s">
        <v>576</v>
      </c>
      <c r="J49" s="108">
        <v>773345724152</v>
      </c>
      <c r="K49" s="105" t="s">
        <v>577</v>
      </c>
      <c r="L49" s="109">
        <v>45177</v>
      </c>
      <c r="M49" s="109">
        <v>45188</v>
      </c>
      <c r="N49" s="105" t="s">
        <v>613</v>
      </c>
      <c r="O49" s="108">
        <v>869833588</v>
      </c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 spans="1:28" ht="58">
      <c r="A50" s="264"/>
      <c r="B50" s="105" t="s">
        <v>543</v>
      </c>
      <c r="C50" s="106">
        <v>15845</v>
      </c>
      <c r="D50" s="114" t="s">
        <v>614</v>
      </c>
      <c r="E50" s="97" t="s">
        <v>579</v>
      </c>
      <c r="F50" s="107" t="s">
        <v>292</v>
      </c>
      <c r="G50" s="124">
        <v>100</v>
      </c>
      <c r="H50" s="109">
        <v>45180</v>
      </c>
      <c r="I50" s="264"/>
      <c r="J50" s="108">
        <v>773345724152</v>
      </c>
      <c r="K50" s="105" t="s">
        <v>577</v>
      </c>
      <c r="L50" s="109">
        <v>45177</v>
      </c>
      <c r="M50" s="109">
        <v>45188</v>
      </c>
      <c r="N50" s="105" t="s">
        <v>613</v>
      </c>
      <c r="O50" s="108">
        <v>869833588</v>
      </c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 spans="1:28" ht="58">
      <c r="A51" s="264"/>
      <c r="B51" s="105" t="s">
        <v>543</v>
      </c>
      <c r="C51" s="106">
        <v>15845</v>
      </c>
      <c r="D51" s="114" t="s">
        <v>614</v>
      </c>
      <c r="E51" s="97" t="s">
        <v>579</v>
      </c>
      <c r="F51" s="125" t="s">
        <v>385</v>
      </c>
      <c r="G51" s="126">
        <v>100</v>
      </c>
      <c r="H51" s="109">
        <v>45180</v>
      </c>
      <c r="I51" s="264"/>
      <c r="J51" s="108">
        <v>773345724152</v>
      </c>
      <c r="K51" s="105" t="s">
        <v>577</v>
      </c>
      <c r="L51" s="109">
        <v>45177</v>
      </c>
      <c r="M51" s="109">
        <v>45188</v>
      </c>
      <c r="N51" s="105" t="s">
        <v>613</v>
      </c>
      <c r="O51" s="108">
        <v>869833588</v>
      </c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 spans="1:28" ht="29">
      <c r="A52" s="261"/>
      <c r="B52" s="105" t="s">
        <v>543</v>
      </c>
      <c r="C52" s="106">
        <v>16118</v>
      </c>
      <c r="D52" s="106">
        <v>6670</v>
      </c>
      <c r="E52" s="97" t="s">
        <v>579</v>
      </c>
      <c r="F52" s="107" t="s">
        <v>385</v>
      </c>
      <c r="G52" s="127">
        <v>100</v>
      </c>
      <c r="H52" s="109">
        <v>45180</v>
      </c>
      <c r="I52" s="261"/>
      <c r="J52" s="108">
        <v>773345724152</v>
      </c>
      <c r="K52" s="105" t="s">
        <v>577</v>
      </c>
      <c r="L52" s="109">
        <v>45177</v>
      </c>
      <c r="M52" s="109">
        <v>45188</v>
      </c>
      <c r="N52" s="105" t="s">
        <v>613</v>
      </c>
      <c r="O52" s="108">
        <v>869833588</v>
      </c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 spans="1:28" ht="29">
      <c r="A53" s="280">
        <v>13</v>
      </c>
      <c r="B53" s="105" t="s">
        <v>543</v>
      </c>
      <c r="C53" s="114">
        <v>14357</v>
      </c>
      <c r="D53" s="97"/>
      <c r="E53" s="105" t="s">
        <v>554</v>
      </c>
      <c r="F53" s="97" t="s">
        <v>122</v>
      </c>
      <c r="G53" s="121">
        <v>15</v>
      </c>
      <c r="H53" s="109">
        <v>45163</v>
      </c>
      <c r="I53" s="105" t="s">
        <v>604</v>
      </c>
      <c r="J53" s="105" t="s">
        <v>615</v>
      </c>
      <c r="K53" s="105" t="s">
        <v>577</v>
      </c>
      <c r="L53" s="109">
        <v>45159</v>
      </c>
      <c r="M53" s="109">
        <v>45164</v>
      </c>
      <c r="N53" s="105" t="s">
        <v>616</v>
      </c>
      <c r="O53" s="97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 spans="1:28" ht="29">
      <c r="A54" s="264"/>
      <c r="B54" s="105" t="s">
        <v>543</v>
      </c>
      <c r="C54" s="114">
        <v>14359</v>
      </c>
      <c r="D54" s="97"/>
      <c r="E54" s="105" t="s">
        <v>554</v>
      </c>
      <c r="F54" s="97" t="s">
        <v>122</v>
      </c>
      <c r="G54" s="121">
        <v>100</v>
      </c>
      <c r="H54" s="109">
        <v>45163</v>
      </c>
      <c r="I54" s="105" t="s">
        <v>604</v>
      </c>
      <c r="J54" s="105" t="s">
        <v>615</v>
      </c>
      <c r="K54" s="105" t="s">
        <v>577</v>
      </c>
      <c r="L54" s="109">
        <v>45159</v>
      </c>
      <c r="M54" s="109">
        <v>45164</v>
      </c>
      <c r="N54" s="105" t="s">
        <v>616</v>
      </c>
      <c r="O54" s="97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 spans="1:28" ht="29">
      <c r="A55" s="264"/>
      <c r="B55" s="105" t="s">
        <v>543</v>
      </c>
      <c r="C55" s="114">
        <v>14360</v>
      </c>
      <c r="D55" s="97"/>
      <c r="E55" s="105" t="s">
        <v>554</v>
      </c>
      <c r="F55" s="97" t="s">
        <v>122</v>
      </c>
      <c r="G55" s="121">
        <v>85</v>
      </c>
      <c r="H55" s="109">
        <v>45163</v>
      </c>
      <c r="I55" s="105" t="s">
        <v>604</v>
      </c>
      <c r="J55" s="105" t="s">
        <v>615</v>
      </c>
      <c r="K55" s="105" t="s">
        <v>577</v>
      </c>
      <c r="L55" s="109">
        <v>45159</v>
      </c>
      <c r="M55" s="109">
        <v>45164</v>
      </c>
      <c r="N55" s="105" t="s">
        <v>616</v>
      </c>
      <c r="O55" s="97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 spans="1:28" ht="29">
      <c r="A56" s="264"/>
      <c r="B56" s="105" t="s">
        <v>543</v>
      </c>
      <c r="C56" s="114">
        <v>14452</v>
      </c>
      <c r="D56" s="97"/>
      <c r="E56" s="105" t="s">
        <v>554</v>
      </c>
      <c r="F56" s="97" t="s">
        <v>259</v>
      </c>
      <c r="G56" s="121">
        <v>800</v>
      </c>
      <c r="H56" s="109">
        <v>45163</v>
      </c>
      <c r="I56" s="105" t="s">
        <v>604</v>
      </c>
      <c r="J56" s="105" t="s">
        <v>615</v>
      </c>
      <c r="K56" s="105" t="s">
        <v>577</v>
      </c>
      <c r="L56" s="109">
        <v>45159</v>
      </c>
      <c r="M56" s="109">
        <v>45164</v>
      </c>
      <c r="N56" s="105" t="s">
        <v>616</v>
      </c>
      <c r="O56" s="97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 spans="1:28" ht="29">
      <c r="A57" s="264"/>
      <c r="B57" s="105" t="s">
        <v>543</v>
      </c>
      <c r="C57" s="114">
        <v>15032</v>
      </c>
      <c r="D57" s="97"/>
      <c r="E57" s="105" t="s">
        <v>554</v>
      </c>
      <c r="F57" s="97" t="s">
        <v>169</v>
      </c>
      <c r="G57" s="121">
        <v>80</v>
      </c>
      <c r="H57" s="109">
        <v>45163</v>
      </c>
      <c r="I57" s="105" t="s">
        <v>604</v>
      </c>
      <c r="J57" s="105" t="s">
        <v>615</v>
      </c>
      <c r="K57" s="105" t="s">
        <v>577</v>
      </c>
      <c r="L57" s="109">
        <v>45159</v>
      </c>
      <c r="M57" s="109">
        <v>45164</v>
      </c>
      <c r="N57" s="105" t="s">
        <v>616</v>
      </c>
      <c r="O57" s="97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 spans="1:28" ht="29">
      <c r="A58" s="264"/>
      <c r="B58" s="105" t="s">
        <v>543</v>
      </c>
      <c r="C58" s="114">
        <v>15033</v>
      </c>
      <c r="D58" s="97"/>
      <c r="E58" s="105" t="s">
        <v>554</v>
      </c>
      <c r="F58" s="97" t="s">
        <v>169</v>
      </c>
      <c r="G58" s="121">
        <v>60</v>
      </c>
      <c r="H58" s="109">
        <v>45163</v>
      </c>
      <c r="I58" s="105" t="s">
        <v>604</v>
      </c>
      <c r="J58" s="105" t="s">
        <v>615</v>
      </c>
      <c r="K58" s="105" t="s">
        <v>577</v>
      </c>
      <c r="L58" s="109">
        <v>45159</v>
      </c>
      <c r="M58" s="109">
        <v>45164</v>
      </c>
      <c r="N58" s="105" t="s">
        <v>616</v>
      </c>
      <c r="O58" s="97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 spans="1:28" ht="29">
      <c r="A59" s="264"/>
      <c r="B59" s="105" t="s">
        <v>543</v>
      </c>
      <c r="C59" s="114">
        <v>15547</v>
      </c>
      <c r="D59" s="106">
        <v>6543</v>
      </c>
      <c r="E59" s="105" t="s">
        <v>554</v>
      </c>
      <c r="F59" s="107" t="s">
        <v>256</v>
      </c>
      <c r="G59" s="127">
        <v>3</v>
      </c>
      <c r="H59" s="109">
        <v>45163</v>
      </c>
      <c r="I59" s="105" t="s">
        <v>604</v>
      </c>
      <c r="J59" s="105" t="s">
        <v>615</v>
      </c>
      <c r="K59" s="105" t="s">
        <v>577</v>
      </c>
      <c r="L59" s="109">
        <v>45159</v>
      </c>
      <c r="M59" s="109">
        <v>45164</v>
      </c>
      <c r="N59" s="105" t="s">
        <v>616</v>
      </c>
      <c r="O59" s="97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 spans="1:28" ht="29">
      <c r="A60" s="264"/>
      <c r="B60" s="105" t="s">
        <v>543</v>
      </c>
      <c r="C60" s="114">
        <v>15966</v>
      </c>
      <c r="D60" s="128">
        <v>6656</v>
      </c>
      <c r="E60" s="105" t="s">
        <v>554</v>
      </c>
      <c r="F60" s="107" t="s">
        <v>123</v>
      </c>
      <c r="G60" s="127">
        <v>5</v>
      </c>
      <c r="H60" s="109">
        <v>45163</v>
      </c>
      <c r="I60" s="105" t="s">
        <v>604</v>
      </c>
      <c r="J60" s="105" t="s">
        <v>615</v>
      </c>
      <c r="K60" s="105" t="s">
        <v>577</v>
      </c>
      <c r="L60" s="109">
        <v>45159</v>
      </c>
      <c r="M60" s="109">
        <v>45164</v>
      </c>
      <c r="N60" s="105" t="s">
        <v>616</v>
      </c>
      <c r="O60" s="97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 spans="1:28" ht="29">
      <c r="A61" s="264"/>
      <c r="B61" s="105" t="s">
        <v>543</v>
      </c>
      <c r="C61" s="114">
        <v>15966</v>
      </c>
      <c r="D61" s="129">
        <v>6656</v>
      </c>
      <c r="E61" s="105" t="s">
        <v>554</v>
      </c>
      <c r="F61" s="125" t="s">
        <v>328</v>
      </c>
      <c r="G61" s="130">
        <v>1</v>
      </c>
      <c r="H61" s="109">
        <v>45163</v>
      </c>
      <c r="I61" s="105" t="s">
        <v>604</v>
      </c>
      <c r="J61" s="105" t="s">
        <v>615</v>
      </c>
      <c r="K61" s="105" t="s">
        <v>577</v>
      </c>
      <c r="L61" s="109">
        <v>45159</v>
      </c>
      <c r="M61" s="109">
        <v>45164</v>
      </c>
      <c r="N61" s="105" t="s">
        <v>616</v>
      </c>
      <c r="O61" s="97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 spans="1:28" ht="29">
      <c r="A62" s="261"/>
      <c r="B62" s="105" t="s">
        <v>543</v>
      </c>
      <c r="C62" s="114">
        <v>16032</v>
      </c>
      <c r="D62" s="114">
        <v>6678</v>
      </c>
      <c r="E62" s="105" t="s">
        <v>554</v>
      </c>
      <c r="F62" s="107" t="s">
        <v>123</v>
      </c>
      <c r="G62" s="127">
        <v>5</v>
      </c>
      <c r="H62" s="109">
        <v>45163</v>
      </c>
      <c r="I62" s="105" t="s">
        <v>604</v>
      </c>
      <c r="J62" s="105" t="s">
        <v>615</v>
      </c>
      <c r="K62" s="105" t="s">
        <v>577</v>
      </c>
      <c r="L62" s="109">
        <v>45159</v>
      </c>
      <c r="M62" s="109">
        <v>45164</v>
      </c>
      <c r="N62" s="105" t="s">
        <v>616</v>
      </c>
      <c r="O62" s="97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 spans="1:28" ht="29">
      <c r="A63" s="280">
        <v>14</v>
      </c>
      <c r="B63" s="105" t="s">
        <v>543</v>
      </c>
      <c r="C63" s="114">
        <v>16023</v>
      </c>
      <c r="D63" s="114">
        <v>6677</v>
      </c>
      <c r="E63" s="105" t="s">
        <v>617</v>
      </c>
      <c r="F63" s="105" t="s">
        <v>618</v>
      </c>
      <c r="G63" s="108">
        <v>5</v>
      </c>
      <c r="H63" s="109">
        <v>45160</v>
      </c>
      <c r="I63" s="283" t="s">
        <v>604</v>
      </c>
      <c r="J63" s="105" t="s">
        <v>619</v>
      </c>
      <c r="K63" s="105" t="s">
        <v>620</v>
      </c>
      <c r="L63" s="109">
        <v>45166</v>
      </c>
      <c r="M63" s="109">
        <v>45169</v>
      </c>
      <c r="N63" s="105" t="s">
        <v>621</v>
      </c>
      <c r="O63" s="97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 spans="1:28" ht="29">
      <c r="A64" s="261"/>
      <c r="B64" s="105" t="s">
        <v>543</v>
      </c>
      <c r="C64" s="114">
        <v>15489</v>
      </c>
      <c r="D64" s="114">
        <v>6529</v>
      </c>
      <c r="E64" s="105" t="s">
        <v>617</v>
      </c>
      <c r="F64" s="107" t="s">
        <v>50</v>
      </c>
      <c r="G64" s="127">
        <v>50</v>
      </c>
      <c r="H64" s="109">
        <v>45160</v>
      </c>
      <c r="I64" s="261"/>
      <c r="J64" s="105" t="s">
        <v>619</v>
      </c>
      <c r="K64" s="105" t="s">
        <v>620</v>
      </c>
      <c r="L64" s="109">
        <v>45166</v>
      </c>
      <c r="M64" s="109">
        <v>45169</v>
      </c>
      <c r="N64" s="105" t="s">
        <v>621</v>
      </c>
      <c r="O64" s="97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 spans="1:28" ht="29">
      <c r="A65" s="113">
        <v>15</v>
      </c>
      <c r="B65" s="105" t="s">
        <v>543</v>
      </c>
      <c r="C65" s="106">
        <v>15004</v>
      </c>
      <c r="D65" s="114">
        <v>6280</v>
      </c>
      <c r="E65" s="107" t="s">
        <v>622</v>
      </c>
      <c r="F65" s="131" t="s">
        <v>49</v>
      </c>
      <c r="G65" s="127">
        <v>100</v>
      </c>
      <c r="H65" s="109">
        <v>45169</v>
      </c>
      <c r="I65" s="105" t="s">
        <v>623</v>
      </c>
      <c r="J65" s="108">
        <v>773249562323</v>
      </c>
      <c r="K65" s="105" t="s">
        <v>577</v>
      </c>
      <c r="L65" s="109">
        <v>45168</v>
      </c>
      <c r="M65" s="109">
        <v>45176</v>
      </c>
      <c r="N65" s="105" t="s">
        <v>624</v>
      </c>
      <c r="O65" s="108">
        <v>869813609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 spans="1:28" ht="29">
      <c r="A66" s="113">
        <v>16</v>
      </c>
      <c r="B66" s="105" t="s">
        <v>543</v>
      </c>
      <c r="C66" s="106">
        <v>15790</v>
      </c>
      <c r="D66" s="106">
        <v>6614</v>
      </c>
      <c r="E66" s="107" t="s">
        <v>625</v>
      </c>
      <c r="F66" s="131" t="s">
        <v>47</v>
      </c>
      <c r="G66" s="127">
        <v>200</v>
      </c>
      <c r="H66" s="109">
        <v>45170</v>
      </c>
      <c r="I66" s="105" t="s">
        <v>623</v>
      </c>
      <c r="J66" s="108">
        <v>773250477990</v>
      </c>
      <c r="K66" s="105" t="s">
        <v>577</v>
      </c>
      <c r="L66" s="109">
        <v>45168</v>
      </c>
      <c r="M66" s="109">
        <v>45180</v>
      </c>
      <c r="N66" s="105" t="s">
        <v>626</v>
      </c>
      <c r="O66" s="108">
        <v>869810148</v>
      </c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 spans="1:28" ht="29">
      <c r="A67" s="280">
        <v>17</v>
      </c>
      <c r="B67" s="105" t="s">
        <v>541</v>
      </c>
      <c r="C67" s="114">
        <v>15489</v>
      </c>
      <c r="D67" s="114">
        <v>6529</v>
      </c>
      <c r="E67" s="105" t="s">
        <v>617</v>
      </c>
      <c r="F67" s="107" t="s">
        <v>50</v>
      </c>
      <c r="G67" s="127">
        <v>50</v>
      </c>
      <c r="H67" s="109">
        <v>45189</v>
      </c>
      <c r="I67" s="283" t="s">
        <v>556</v>
      </c>
      <c r="J67" s="105" t="s">
        <v>627</v>
      </c>
      <c r="K67" s="105" t="s">
        <v>628</v>
      </c>
      <c r="L67" s="109">
        <v>45187</v>
      </c>
      <c r="M67" s="109">
        <v>45200</v>
      </c>
      <c r="N67" s="105" t="s">
        <v>629</v>
      </c>
      <c r="O67" s="97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 spans="1:28" ht="29">
      <c r="A68" s="264"/>
      <c r="B68" s="105" t="s">
        <v>541</v>
      </c>
      <c r="C68" s="114">
        <v>15488</v>
      </c>
      <c r="D68" s="114">
        <v>6529</v>
      </c>
      <c r="E68" s="132" t="s">
        <v>630</v>
      </c>
      <c r="F68" s="131" t="s">
        <v>3</v>
      </c>
      <c r="G68" s="127">
        <v>200</v>
      </c>
      <c r="H68" s="109">
        <v>45189</v>
      </c>
      <c r="I68" s="264"/>
      <c r="J68" s="105" t="s">
        <v>627</v>
      </c>
      <c r="K68" s="105" t="s">
        <v>628</v>
      </c>
      <c r="L68" s="109">
        <v>45187</v>
      </c>
      <c r="M68" s="109">
        <v>45200</v>
      </c>
      <c r="N68" s="105" t="s">
        <v>629</v>
      </c>
      <c r="O68" s="97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 spans="1:28" ht="29">
      <c r="A69" s="264"/>
      <c r="B69" s="105" t="s">
        <v>541</v>
      </c>
      <c r="C69" s="114">
        <v>15488</v>
      </c>
      <c r="D69" s="114">
        <v>6529</v>
      </c>
      <c r="E69" s="132" t="s">
        <v>630</v>
      </c>
      <c r="F69" s="133" t="s">
        <v>8</v>
      </c>
      <c r="G69" s="130">
        <v>200</v>
      </c>
      <c r="H69" s="109">
        <v>45189</v>
      </c>
      <c r="I69" s="264"/>
      <c r="J69" s="105" t="s">
        <v>627</v>
      </c>
      <c r="K69" s="105" t="s">
        <v>628</v>
      </c>
      <c r="L69" s="109">
        <v>45187</v>
      </c>
      <c r="M69" s="109">
        <v>45200</v>
      </c>
      <c r="N69" s="105" t="s">
        <v>629</v>
      </c>
      <c r="O69" s="97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 spans="1:28" ht="29">
      <c r="A70" s="264"/>
      <c r="B70" s="105" t="s">
        <v>541</v>
      </c>
      <c r="C70" s="114">
        <v>15488</v>
      </c>
      <c r="D70" s="114">
        <v>6529</v>
      </c>
      <c r="E70" s="132" t="s">
        <v>630</v>
      </c>
      <c r="F70" s="133" t="s">
        <v>1</v>
      </c>
      <c r="G70" s="130">
        <v>100</v>
      </c>
      <c r="H70" s="109">
        <v>45189</v>
      </c>
      <c r="I70" s="264"/>
      <c r="J70" s="105" t="s">
        <v>627</v>
      </c>
      <c r="K70" s="105" t="s">
        <v>628</v>
      </c>
      <c r="L70" s="109">
        <v>45187</v>
      </c>
      <c r="M70" s="109">
        <v>45200</v>
      </c>
      <c r="N70" s="105" t="s">
        <v>629</v>
      </c>
      <c r="O70" s="97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 spans="1:28" ht="29">
      <c r="A71" s="264"/>
      <c r="B71" s="105" t="s">
        <v>541</v>
      </c>
      <c r="C71" s="114">
        <v>15488</v>
      </c>
      <c r="D71" s="114">
        <v>6529</v>
      </c>
      <c r="E71" s="132" t="s">
        <v>630</v>
      </c>
      <c r="F71" s="133" t="s">
        <v>310</v>
      </c>
      <c r="G71" s="130">
        <v>200</v>
      </c>
      <c r="H71" s="109">
        <v>45189</v>
      </c>
      <c r="I71" s="264"/>
      <c r="J71" s="105" t="s">
        <v>627</v>
      </c>
      <c r="K71" s="105" t="s">
        <v>628</v>
      </c>
      <c r="L71" s="109">
        <v>45187</v>
      </c>
      <c r="M71" s="109">
        <v>45200</v>
      </c>
      <c r="N71" s="105" t="s">
        <v>629</v>
      </c>
      <c r="O71" s="97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 spans="1:28" ht="29">
      <c r="A72" s="264"/>
      <c r="B72" s="105" t="s">
        <v>541</v>
      </c>
      <c r="C72" s="114">
        <v>15488</v>
      </c>
      <c r="D72" s="114">
        <v>6529</v>
      </c>
      <c r="E72" s="132" t="s">
        <v>630</v>
      </c>
      <c r="F72" s="133" t="s">
        <v>305</v>
      </c>
      <c r="G72" s="130">
        <v>100</v>
      </c>
      <c r="H72" s="109">
        <v>45189</v>
      </c>
      <c r="I72" s="264"/>
      <c r="J72" s="105" t="s">
        <v>627</v>
      </c>
      <c r="K72" s="105" t="s">
        <v>628</v>
      </c>
      <c r="L72" s="109">
        <v>45187</v>
      </c>
      <c r="M72" s="109">
        <v>45200</v>
      </c>
      <c r="N72" s="105" t="s">
        <v>629</v>
      </c>
      <c r="O72" s="97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 spans="1:28" ht="29">
      <c r="A73" s="264"/>
      <c r="B73" s="105" t="s">
        <v>541</v>
      </c>
      <c r="C73" s="106">
        <v>15729</v>
      </c>
      <c r="D73" s="106">
        <v>6554</v>
      </c>
      <c r="E73" s="97" t="s">
        <v>631</v>
      </c>
      <c r="F73" s="107" t="s">
        <v>17</v>
      </c>
      <c r="G73" s="127">
        <v>300</v>
      </c>
      <c r="H73" s="109">
        <v>45189</v>
      </c>
      <c r="I73" s="264"/>
      <c r="J73" s="105" t="s">
        <v>627</v>
      </c>
      <c r="K73" s="105" t="s">
        <v>628</v>
      </c>
      <c r="L73" s="109">
        <v>45187</v>
      </c>
      <c r="M73" s="109">
        <v>45200</v>
      </c>
      <c r="N73" s="105" t="s">
        <v>629</v>
      </c>
      <c r="O73" s="97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 spans="1:28" ht="29">
      <c r="A74" s="264"/>
      <c r="B74" s="105" t="s">
        <v>541</v>
      </c>
      <c r="C74" s="106">
        <v>15792</v>
      </c>
      <c r="D74" s="106">
        <v>6614</v>
      </c>
      <c r="E74" s="97" t="s">
        <v>631</v>
      </c>
      <c r="F74" s="107" t="s">
        <v>11</v>
      </c>
      <c r="G74" s="127">
        <v>60</v>
      </c>
      <c r="H74" s="109">
        <v>45189</v>
      </c>
      <c r="I74" s="264"/>
      <c r="J74" s="105" t="s">
        <v>627</v>
      </c>
      <c r="K74" s="105" t="s">
        <v>628</v>
      </c>
      <c r="L74" s="109">
        <v>45187</v>
      </c>
      <c r="M74" s="109">
        <v>45200</v>
      </c>
      <c r="N74" s="105" t="s">
        <v>629</v>
      </c>
      <c r="O74" s="97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 spans="1:28" ht="29">
      <c r="A75" s="264"/>
      <c r="B75" s="105" t="s">
        <v>541</v>
      </c>
      <c r="C75" s="106">
        <v>15792</v>
      </c>
      <c r="D75" s="106">
        <v>6614</v>
      </c>
      <c r="E75" s="97" t="s">
        <v>631</v>
      </c>
      <c r="F75" s="125" t="s">
        <v>10</v>
      </c>
      <c r="G75" s="130">
        <v>100</v>
      </c>
      <c r="H75" s="109">
        <v>45189</v>
      </c>
      <c r="I75" s="264"/>
      <c r="J75" s="105" t="s">
        <v>627</v>
      </c>
      <c r="K75" s="105" t="s">
        <v>628</v>
      </c>
      <c r="L75" s="109">
        <v>45187</v>
      </c>
      <c r="M75" s="109">
        <v>45200</v>
      </c>
      <c r="N75" s="105" t="s">
        <v>629</v>
      </c>
      <c r="O75" s="97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 spans="1:28" ht="29">
      <c r="A76" s="264"/>
      <c r="B76" s="105" t="s">
        <v>541</v>
      </c>
      <c r="C76" s="106">
        <v>16246</v>
      </c>
      <c r="D76" s="97"/>
      <c r="E76" s="97" t="s">
        <v>632</v>
      </c>
      <c r="F76" s="97" t="s">
        <v>57</v>
      </c>
      <c r="G76" s="121">
        <v>1</v>
      </c>
      <c r="H76" s="109">
        <v>45189</v>
      </c>
      <c r="I76" s="264"/>
      <c r="J76" s="105" t="s">
        <v>627</v>
      </c>
      <c r="K76" s="105" t="s">
        <v>628</v>
      </c>
      <c r="L76" s="109">
        <v>45187</v>
      </c>
      <c r="M76" s="109">
        <v>45200</v>
      </c>
      <c r="N76" s="105" t="s">
        <v>629</v>
      </c>
      <c r="O76" s="97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 spans="1:28" ht="58">
      <c r="A77" s="264"/>
      <c r="B77" s="105" t="s">
        <v>541</v>
      </c>
      <c r="C77" s="106">
        <v>15830</v>
      </c>
      <c r="D77" s="114" t="s">
        <v>614</v>
      </c>
      <c r="E77" s="107" t="s">
        <v>633</v>
      </c>
      <c r="F77" s="131" t="s">
        <v>403</v>
      </c>
      <c r="G77" s="124">
        <v>5000</v>
      </c>
      <c r="H77" s="109">
        <v>45189</v>
      </c>
      <c r="I77" s="264"/>
      <c r="J77" s="105" t="s">
        <v>627</v>
      </c>
      <c r="K77" s="105" t="s">
        <v>628</v>
      </c>
      <c r="L77" s="109">
        <v>45187</v>
      </c>
      <c r="M77" s="109">
        <v>45200</v>
      </c>
      <c r="N77" s="105" t="s">
        <v>629</v>
      </c>
      <c r="O77" s="97"/>
      <c r="P77" s="294" t="s">
        <v>634</v>
      </c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 spans="1:28" ht="58">
      <c r="A78" s="264"/>
      <c r="B78" s="105" t="s">
        <v>541</v>
      </c>
      <c r="C78" s="106">
        <v>15830</v>
      </c>
      <c r="D78" s="114" t="s">
        <v>614</v>
      </c>
      <c r="E78" s="107" t="s">
        <v>633</v>
      </c>
      <c r="F78" s="133" t="s">
        <v>635</v>
      </c>
      <c r="G78" s="126">
        <v>5000</v>
      </c>
      <c r="H78" s="109">
        <v>45189</v>
      </c>
      <c r="I78" s="264"/>
      <c r="J78" s="105" t="s">
        <v>627</v>
      </c>
      <c r="K78" s="105" t="s">
        <v>628</v>
      </c>
      <c r="L78" s="109">
        <v>45187</v>
      </c>
      <c r="M78" s="109">
        <v>45200</v>
      </c>
      <c r="N78" s="105" t="s">
        <v>629</v>
      </c>
      <c r="O78" s="97"/>
      <c r="P78" s="262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 spans="1:28" ht="29">
      <c r="A79" s="261"/>
      <c r="B79" s="105" t="s">
        <v>541</v>
      </c>
      <c r="C79" s="106">
        <v>16116</v>
      </c>
      <c r="D79" s="106">
        <v>6670</v>
      </c>
      <c r="E79" s="107" t="s">
        <v>633</v>
      </c>
      <c r="F79" s="131" t="s">
        <v>403</v>
      </c>
      <c r="G79" s="126">
        <v>5000</v>
      </c>
      <c r="H79" s="109">
        <v>45189</v>
      </c>
      <c r="I79" s="261"/>
      <c r="J79" s="105" t="s">
        <v>627</v>
      </c>
      <c r="K79" s="105" t="s">
        <v>628</v>
      </c>
      <c r="L79" s="109">
        <v>45187</v>
      </c>
      <c r="M79" s="109">
        <v>45200</v>
      </c>
      <c r="N79" s="105" t="s">
        <v>629</v>
      </c>
      <c r="O79" s="134"/>
      <c r="P79" s="262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 spans="1:28" ht="29">
      <c r="A80" s="280">
        <v>18</v>
      </c>
      <c r="B80" s="105" t="s">
        <v>543</v>
      </c>
      <c r="C80" s="106">
        <v>16048</v>
      </c>
      <c r="D80" s="106">
        <v>6636</v>
      </c>
      <c r="E80" s="132" t="s">
        <v>636</v>
      </c>
      <c r="F80" s="131" t="s">
        <v>377</v>
      </c>
      <c r="G80" s="124">
        <v>548</v>
      </c>
      <c r="H80" s="109">
        <v>45183</v>
      </c>
      <c r="I80" s="283" t="s">
        <v>623</v>
      </c>
      <c r="J80" s="108">
        <v>773345480956</v>
      </c>
      <c r="K80" s="105" t="s">
        <v>558</v>
      </c>
      <c r="L80" s="109">
        <v>45181</v>
      </c>
      <c r="M80" s="109">
        <v>45187</v>
      </c>
      <c r="N80" s="105" t="s">
        <v>613</v>
      </c>
      <c r="O80" s="281">
        <v>869829669</v>
      </c>
      <c r="P80" s="294" t="s">
        <v>637</v>
      </c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 spans="1:28" ht="29">
      <c r="A81" s="264"/>
      <c r="B81" s="105" t="s">
        <v>543</v>
      </c>
      <c r="C81" s="106">
        <v>16048</v>
      </c>
      <c r="D81" s="106">
        <v>6636</v>
      </c>
      <c r="E81" s="132" t="s">
        <v>636</v>
      </c>
      <c r="F81" s="133" t="s">
        <v>379</v>
      </c>
      <c r="G81" s="126">
        <v>7000</v>
      </c>
      <c r="H81" s="109">
        <v>45183</v>
      </c>
      <c r="I81" s="264"/>
      <c r="J81" s="108">
        <v>773345480956</v>
      </c>
      <c r="K81" s="105" t="s">
        <v>558</v>
      </c>
      <c r="L81" s="109">
        <v>45181</v>
      </c>
      <c r="M81" s="109">
        <v>45187</v>
      </c>
      <c r="N81" s="105" t="s">
        <v>613</v>
      </c>
      <c r="O81" s="264"/>
      <c r="P81" s="262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 spans="1:28" ht="29">
      <c r="A82" s="264"/>
      <c r="B82" s="105" t="s">
        <v>543</v>
      </c>
      <c r="C82" s="106">
        <v>16082</v>
      </c>
      <c r="D82" s="106">
        <v>6670</v>
      </c>
      <c r="E82" s="132" t="s">
        <v>636</v>
      </c>
      <c r="F82" s="131" t="s">
        <v>284</v>
      </c>
      <c r="G82" s="124">
        <v>40</v>
      </c>
      <c r="H82" s="109">
        <v>45183</v>
      </c>
      <c r="I82" s="264"/>
      <c r="J82" s="108">
        <v>773345480956</v>
      </c>
      <c r="K82" s="105" t="s">
        <v>558</v>
      </c>
      <c r="L82" s="109">
        <v>45181</v>
      </c>
      <c r="M82" s="109">
        <v>45187</v>
      </c>
      <c r="N82" s="105" t="s">
        <v>613</v>
      </c>
      <c r="O82" s="264"/>
      <c r="P82" s="262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 spans="1:28" ht="29">
      <c r="A83" s="264"/>
      <c r="B83" s="105" t="s">
        <v>543</v>
      </c>
      <c r="C83" s="106">
        <v>16082</v>
      </c>
      <c r="D83" s="106">
        <v>6670</v>
      </c>
      <c r="E83" s="132" t="s">
        <v>636</v>
      </c>
      <c r="F83" s="133" t="s">
        <v>289</v>
      </c>
      <c r="G83" s="126">
        <v>5000</v>
      </c>
      <c r="H83" s="109">
        <v>45183</v>
      </c>
      <c r="I83" s="264"/>
      <c r="J83" s="108">
        <v>773345480956</v>
      </c>
      <c r="K83" s="105" t="s">
        <v>558</v>
      </c>
      <c r="L83" s="109">
        <v>45181</v>
      </c>
      <c r="M83" s="109">
        <v>45187</v>
      </c>
      <c r="N83" s="105" t="s">
        <v>613</v>
      </c>
      <c r="O83" s="264"/>
      <c r="P83" s="262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 spans="1:28" ht="29">
      <c r="A84" s="264"/>
      <c r="B84" s="105" t="s">
        <v>543</v>
      </c>
      <c r="C84" s="106">
        <v>16082</v>
      </c>
      <c r="D84" s="106">
        <v>6670</v>
      </c>
      <c r="E84" s="132" t="s">
        <v>636</v>
      </c>
      <c r="F84" s="133" t="s">
        <v>191</v>
      </c>
      <c r="G84" s="126">
        <v>450</v>
      </c>
      <c r="H84" s="109">
        <v>45183</v>
      </c>
      <c r="I84" s="264"/>
      <c r="J84" s="108">
        <v>773345480956</v>
      </c>
      <c r="K84" s="105" t="s">
        <v>558</v>
      </c>
      <c r="L84" s="109">
        <v>45181</v>
      </c>
      <c r="M84" s="109">
        <v>45187</v>
      </c>
      <c r="N84" s="105" t="s">
        <v>613</v>
      </c>
      <c r="O84" s="264"/>
      <c r="P84" s="262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 spans="1:28" ht="29">
      <c r="A85" s="264"/>
      <c r="B85" s="105" t="s">
        <v>543</v>
      </c>
      <c r="C85" s="106">
        <v>16082</v>
      </c>
      <c r="D85" s="106">
        <v>6670</v>
      </c>
      <c r="E85" s="132" t="s">
        <v>636</v>
      </c>
      <c r="F85" s="133" t="s">
        <v>412</v>
      </c>
      <c r="G85" s="126">
        <v>2400</v>
      </c>
      <c r="H85" s="109">
        <v>45183</v>
      </c>
      <c r="I85" s="264"/>
      <c r="J85" s="108">
        <v>773345480956</v>
      </c>
      <c r="K85" s="105" t="s">
        <v>558</v>
      </c>
      <c r="L85" s="109">
        <v>45181</v>
      </c>
      <c r="M85" s="109">
        <v>45187</v>
      </c>
      <c r="N85" s="105" t="s">
        <v>613</v>
      </c>
      <c r="O85" s="264"/>
      <c r="P85" s="262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 spans="1:28" ht="29">
      <c r="A86" s="264"/>
      <c r="B86" s="105" t="s">
        <v>543</v>
      </c>
      <c r="C86" s="106">
        <v>16082</v>
      </c>
      <c r="D86" s="106">
        <v>6670</v>
      </c>
      <c r="E86" s="132" t="s">
        <v>636</v>
      </c>
      <c r="F86" s="133" t="s">
        <v>414</v>
      </c>
      <c r="G86" s="126">
        <v>2400</v>
      </c>
      <c r="H86" s="109">
        <v>45183</v>
      </c>
      <c r="I86" s="264"/>
      <c r="J86" s="108">
        <v>773345480956</v>
      </c>
      <c r="K86" s="105" t="s">
        <v>558</v>
      </c>
      <c r="L86" s="109">
        <v>45181</v>
      </c>
      <c r="M86" s="109">
        <v>45187</v>
      </c>
      <c r="N86" s="105" t="s">
        <v>613</v>
      </c>
      <c r="O86" s="264"/>
      <c r="P86" s="262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 spans="1:28" ht="29">
      <c r="A87" s="264"/>
      <c r="B87" s="105" t="s">
        <v>543</v>
      </c>
      <c r="C87" s="106">
        <v>16082</v>
      </c>
      <c r="D87" s="106">
        <v>6670</v>
      </c>
      <c r="E87" s="132" t="s">
        <v>636</v>
      </c>
      <c r="F87" s="133" t="s">
        <v>262</v>
      </c>
      <c r="G87" s="126">
        <v>200</v>
      </c>
      <c r="H87" s="109">
        <v>45183</v>
      </c>
      <c r="I87" s="264"/>
      <c r="J87" s="108">
        <v>773345480956</v>
      </c>
      <c r="K87" s="105" t="s">
        <v>558</v>
      </c>
      <c r="L87" s="109">
        <v>45181</v>
      </c>
      <c r="M87" s="109">
        <v>45187</v>
      </c>
      <c r="N87" s="105" t="s">
        <v>613</v>
      </c>
      <c r="O87" s="264"/>
      <c r="P87" s="262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 spans="1:28" ht="29">
      <c r="A88" s="264"/>
      <c r="B88" s="105" t="s">
        <v>543</v>
      </c>
      <c r="C88" s="106">
        <v>16082</v>
      </c>
      <c r="D88" s="106">
        <v>6670</v>
      </c>
      <c r="E88" s="132" t="s">
        <v>636</v>
      </c>
      <c r="F88" s="133" t="s">
        <v>264</v>
      </c>
      <c r="G88" s="126">
        <v>200</v>
      </c>
      <c r="H88" s="109">
        <v>45183</v>
      </c>
      <c r="I88" s="264"/>
      <c r="J88" s="108">
        <v>773345480956</v>
      </c>
      <c r="K88" s="105" t="s">
        <v>558</v>
      </c>
      <c r="L88" s="109">
        <v>45181</v>
      </c>
      <c r="M88" s="109">
        <v>45187</v>
      </c>
      <c r="N88" s="105" t="s">
        <v>613</v>
      </c>
      <c r="O88" s="264"/>
      <c r="P88" s="262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 spans="1:28" ht="29">
      <c r="A89" s="264"/>
      <c r="B89" s="105" t="s">
        <v>543</v>
      </c>
      <c r="C89" s="106">
        <v>16082</v>
      </c>
      <c r="D89" s="106">
        <v>6670</v>
      </c>
      <c r="E89" s="132" t="s">
        <v>636</v>
      </c>
      <c r="F89" s="133" t="s">
        <v>415</v>
      </c>
      <c r="G89" s="126">
        <v>350</v>
      </c>
      <c r="H89" s="109">
        <v>45183</v>
      </c>
      <c r="I89" s="264"/>
      <c r="J89" s="108">
        <v>773345480956</v>
      </c>
      <c r="K89" s="105" t="s">
        <v>558</v>
      </c>
      <c r="L89" s="109">
        <v>45181</v>
      </c>
      <c r="M89" s="109">
        <v>45187</v>
      </c>
      <c r="N89" s="105" t="s">
        <v>613</v>
      </c>
      <c r="O89" s="264"/>
      <c r="P89" s="262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 spans="1:28" ht="29">
      <c r="A90" s="264"/>
      <c r="B90" s="105" t="s">
        <v>543</v>
      </c>
      <c r="C90" s="106">
        <v>16082</v>
      </c>
      <c r="D90" s="106">
        <v>6670</v>
      </c>
      <c r="E90" s="132" t="s">
        <v>636</v>
      </c>
      <c r="F90" s="133" t="s">
        <v>398</v>
      </c>
      <c r="G90" s="130">
        <v>350</v>
      </c>
      <c r="H90" s="109">
        <v>45183</v>
      </c>
      <c r="I90" s="264"/>
      <c r="J90" s="108">
        <v>773345480956</v>
      </c>
      <c r="K90" s="105" t="s">
        <v>558</v>
      </c>
      <c r="L90" s="109">
        <v>45181</v>
      </c>
      <c r="M90" s="109">
        <v>45187</v>
      </c>
      <c r="N90" s="105" t="s">
        <v>613</v>
      </c>
      <c r="O90" s="264"/>
      <c r="P90" s="262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 spans="1:28" ht="29">
      <c r="A91" s="264"/>
      <c r="B91" s="105" t="s">
        <v>543</v>
      </c>
      <c r="C91" s="106">
        <v>16082</v>
      </c>
      <c r="D91" s="106">
        <v>6670</v>
      </c>
      <c r="E91" s="132" t="s">
        <v>636</v>
      </c>
      <c r="F91" s="133" t="s">
        <v>266</v>
      </c>
      <c r="G91" s="130">
        <v>350</v>
      </c>
      <c r="H91" s="109">
        <v>45183</v>
      </c>
      <c r="I91" s="264"/>
      <c r="J91" s="108">
        <v>773345480956</v>
      </c>
      <c r="K91" s="105" t="s">
        <v>558</v>
      </c>
      <c r="L91" s="109">
        <v>45181</v>
      </c>
      <c r="M91" s="109">
        <v>45187</v>
      </c>
      <c r="N91" s="105" t="s">
        <v>613</v>
      </c>
      <c r="O91" s="264"/>
      <c r="P91" s="262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 spans="1:28" ht="29">
      <c r="A92" s="264"/>
      <c r="B92" s="105" t="s">
        <v>543</v>
      </c>
      <c r="C92" s="106">
        <v>16082</v>
      </c>
      <c r="D92" s="106">
        <v>6670</v>
      </c>
      <c r="E92" s="132" t="s">
        <v>636</v>
      </c>
      <c r="F92" s="133" t="s">
        <v>268</v>
      </c>
      <c r="G92" s="130">
        <v>350</v>
      </c>
      <c r="H92" s="109">
        <v>45183</v>
      </c>
      <c r="I92" s="264"/>
      <c r="J92" s="108">
        <v>773345480956</v>
      </c>
      <c r="K92" s="105" t="s">
        <v>558</v>
      </c>
      <c r="L92" s="109">
        <v>45181</v>
      </c>
      <c r="M92" s="109">
        <v>45187</v>
      </c>
      <c r="N92" s="105" t="s">
        <v>613</v>
      </c>
      <c r="O92" s="264"/>
      <c r="P92" s="262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 spans="1:28" ht="29">
      <c r="A93" s="264"/>
      <c r="B93" s="105" t="s">
        <v>543</v>
      </c>
      <c r="C93" s="106">
        <v>16082</v>
      </c>
      <c r="D93" s="106">
        <v>6670</v>
      </c>
      <c r="E93" s="132" t="s">
        <v>636</v>
      </c>
      <c r="F93" s="133" t="s">
        <v>418</v>
      </c>
      <c r="G93" s="130">
        <v>350</v>
      </c>
      <c r="H93" s="109">
        <v>45183</v>
      </c>
      <c r="I93" s="264"/>
      <c r="J93" s="108">
        <v>773345480956</v>
      </c>
      <c r="K93" s="105" t="s">
        <v>558</v>
      </c>
      <c r="L93" s="109">
        <v>45181</v>
      </c>
      <c r="M93" s="109">
        <v>45187</v>
      </c>
      <c r="N93" s="105" t="s">
        <v>613</v>
      </c>
      <c r="O93" s="264"/>
      <c r="P93" s="262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 spans="1:28" ht="29">
      <c r="A94" s="264"/>
      <c r="B94" s="105" t="s">
        <v>543</v>
      </c>
      <c r="C94" s="106">
        <v>16082</v>
      </c>
      <c r="D94" s="106">
        <v>6670</v>
      </c>
      <c r="E94" s="132" t="s">
        <v>636</v>
      </c>
      <c r="F94" s="133" t="s">
        <v>419</v>
      </c>
      <c r="G94" s="130">
        <v>350</v>
      </c>
      <c r="H94" s="109">
        <v>45183</v>
      </c>
      <c r="I94" s="264"/>
      <c r="J94" s="108">
        <v>773345480956</v>
      </c>
      <c r="K94" s="105" t="s">
        <v>558</v>
      </c>
      <c r="L94" s="109">
        <v>45181</v>
      </c>
      <c r="M94" s="109">
        <v>45187</v>
      </c>
      <c r="N94" s="105" t="s">
        <v>613</v>
      </c>
      <c r="O94" s="264"/>
      <c r="P94" s="262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 spans="1:28" ht="29">
      <c r="A95" s="264"/>
      <c r="B95" s="105" t="s">
        <v>543</v>
      </c>
      <c r="C95" s="106">
        <v>16082</v>
      </c>
      <c r="D95" s="106">
        <v>6670</v>
      </c>
      <c r="E95" s="132" t="s">
        <v>636</v>
      </c>
      <c r="F95" s="133" t="s">
        <v>270</v>
      </c>
      <c r="G95" s="130">
        <v>12700</v>
      </c>
      <c r="H95" s="109">
        <v>45183</v>
      </c>
      <c r="I95" s="264"/>
      <c r="J95" s="108">
        <v>773345480956</v>
      </c>
      <c r="K95" s="105" t="s">
        <v>558</v>
      </c>
      <c r="L95" s="109">
        <v>45181</v>
      </c>
      <c r="M95" s="109">
        <v>45187</v>
      </c>
      <c r="N95" s="105" t="s">
        <v>613</v>
      </c>
      <c r="O95" s="264"/>
      <c r="P95" s="262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 spans="1:28" ht="29">
      <c r="A96" s="264"/>
      <c r="B96" s="105" t="s">
        <v>543</v>
      </c>
      <c r="C96" s="106">
        <v>16082</v>
      </c>
      <c r="D96" s="106">
        <v>6670</v>
      </c>
      <c r="E96" s="132" t="s">
        <v>636</v>
      </c>
      <c r="F96" s="133" t="s">
        <v>191</v>
      </c>
      <c r="G96" s="130">
        <v>16700</v>
      </c>
      <c r="H96" s="109">
        <v>45183</v>
      </c>
      <c r="I96" s="264"/>
      <c r="J96" s="108">
        <v>773345480956</v>
      </c>
      <c r="K96" s="105" t="s">
        <v>558</v>
      </c>
      <c r="L96" s="109">
        <v>45181</v>
      </c>
      <c r="M96" s="109">
        <v>45187</v>
      </c>
      <c r="N96" s="105" t="s">
        <v>613</v>
      </c>
      <c r="O96" s="264"/>
      <c r="P96" s="262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 spans="1:28" ht="29">
      <c r="A97" s="261"/>
      <c r="B97" s="105" t="s">
        <v>543</v>
      </c>
      <c r="C97" s="106">
        <v>16157</v>
      </c>
      <c r="D97" s="106">
        <v>6693</v>
      </c>
      <c r="E97" s="132" t="s">
        <v>636</v>
      </c>
      <c r="F97" s="131" t="s">
        <v>405</v>
      </c>
      <c r="G97" s="127">
        <v>100</v>
      </c>
      <c r="H97" s="109">
        <v>45183</v>
      </c>
      <c r="I97" s="261"/>
      <c r="J97" s="108">
        <v>773345480956</v>
      </c>
      <c r="K97" s="105" t="s">
        <v>558</v>
      </c>
      <c r="L97" s="109">
        <v>45181</v>
      </c>
      <c r="M97" s="109">
        <v>45187</v>
      </c>
      <c r="N97" s="105" t="s">
        <v>613</v>
      </c>
      <c r="O97" s="261"/>
      <c r="P97" s="262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 spans="1:28" ht="58">
      <c r="A98" s="280">
        <v>19</v>
      </c>
      <c r="B98" s="105" t="s">
        <v>543</v>
      </c>
      <c r="C98" s="114" t="s">
        <v>638</v>
      </c>
      <c r="D98" s="97"/>
      <c r="E98" s="105" t="s">
        <v>639</v>
      </c>
      <c r="F98" s="105" t="s">
        <v>159</v>
      </c>
      <c r="G98" s="108">
        <v>2</v>
      </c>
      <c r="H98" s="109">
        <v>45177</v>
      </c>
      <c r="I98" s="283" t="s">
        <v>576</v>
      </c>
      <c r="J98" s="108">
        <v>773294543673</v>
      </c>
      <c r="K98" s="105" t="s">
        <v>577</v>
      </c>
      <c r="L98" s="109">
        <v>45173</v>
      </c>
      <c r="M98" s="109">
        <v>45180</v>
      </c>
      <c r="N98" s="105" t="s">
        <v>613</v>
      </c>
      <c r="O98" s="117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 spans="1:28" ht="58">
      <c r="A99" s="264"/>
      <c r="B99" s="105" t="s">
        <v>543</v>
      </c>
      <c r="C99" s="114" t="s">
        <v>638</v>
      </c>
      <c r="D99" s="97"/>
      <c r="E99" s="105" t="s">
        <v>639</v>
      </c>
      <c r="F99" s="105" t="s">
        <v>165</v>
      </c>
      <c r="G99" s="108">
        <v>2</v>
      </c>
      <c r="H99" s="109">
        <v>45177</v>
      </c>
      <c r="I99" s="264"/>
      <c r="J99" s="108">
        <v>773294543673</v>
      </c>
      <c r="K99" s="105" t="s">
        <v>577</v>
      </c>
      <c r="L99" s="109">
        <v>45173</v>
      </c>
      <c r="M99" s="109">
        <v>45180</v>
      </c>
      <c r="N99" s="105" t="s">
        <v>613</v>
      </c>
      <c r="O99" s="97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 spans="1:28" ht="58">
      <c r="A100" s="264"/>
      <c r="B100" s="105" t="s">
        <v>543</v>
      </c>
      <c r="C100" s="114" t="s">
        <v>638</v>
      </c>
      <c r="D100" s="97"/>
      <c r="E100" s="105" t="s">
        <v>639</v>
      </c>
      <c r="F100" s="105" t="s">
        <v>640</v>
      </c>
      <c r="G100" s="108">
        <v>2</v>
      </c>
      <c r="H100" s="109">
        <v>45177</v>
      </c>
      <c r="I100" s="264"/>
      <c r="J100" s="108">
        <v>773294543673</v>
      </c>
      <c r="K100" s="105" t="s">
        <v>577</v>
      </c>
      <c r="L100" s="109">
        <v>45173</v>
      </c>
      <c r="M100" s="109">
        <v>45180</v>
      </c>
      <c r="N100" s="105" t="s">
        <v>613</v>
      </c>
      <c r="O100" s="97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 spans="1:28" ht="58">
      <c r="A101" s="261"/>
      <c r="B101" s="105" t="s">
        <v>543</v>
      </c>
      <c r="C101" s="114" t="s">
        <v>638</v>
      </c>
      <c r="D101" s="97"/>
      <c r="E101" s="105" t="s">
        <v>639</v>
      </c>
      <c r="F101" s="105" t="s">
        <v>393</v>
      </c>
      <c r="G101" s="108">
        <v>2</v>
      </c>
      <c r="H101" s="109">
        <v>45177</v>
      </c>
      <c r="I101" s="261"/>
      <c r="J101" s="108">
        <v>773294543673</v>
      </c>
      <c r="K101" s="105" t="s">
        <v>577</v>
      </c>
      <c r="L101" s="109">
        <v>45173</v>
      </c>
      <c r="M101" s="109">
        <v>45180</v>
      </c>
      <c r="N101" s="105" t="s">
        <v>613</v>
      </c>
      <c r="O101" s="97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 spans="1:28" ht="29">
      <c r="A102" s="113">
        <v>20</v>
      </c>
      <c r="B102" s="105" t="s">
        <v>543</v>
      </c>
      <c r="C102" s="106">
        <v>16302</v>
      </c>
      <c r="D102" s="106" t="s">
        <v>641</v>
      </c>
      <c r="E102" s="107" t="s">
        <v>579</v>
      </c>
      <c r="F102" s="131" t="s">
        <v>385</v>
      </c>
      <c r="G102" s="127">
        <v>200</v>
      </c>
      <c r="H102" s="109">
        <v>45188</v>
      </c>
      <c r="I102" s="105" t="s">
        <v>576</v>
      </c>
      <c r="J102" s="108">
        <v>773439560542</v>
      </c>
      <c r="K102" s="105" t="s">
        <v>577</v>
      </c>
      <c r="L102" s="109">
        <v>45187</v>
      </c>
      <c r="M102" s="109">
        <v>45195</v>
      </c>
      <c r="N102" s="105" t="s">
        <v>642</v>
      </c>
      <c r="O102" s="97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 spans="1:28" ht="29">
      <c r="A103" s="280">
        <v>21</v>
      </c>
      <c r="B103" s="105" t="s">
        <v>543</v>
      </c>
      <c r="C103" s="114">
        <v>15727</v>
      </c>
      <c r="D103" s="106">
        <v>6603</v>
      </c>
      <c r="E103" s="105" t="s">
        <v>603</v>
      </c>
      <c r="F103" s="107" t="s">
        <v>27</v>
      </c>
      <c r="G103" s="127">
        <v>100</v>
      </c>
      <c r="H103" s="109">
        <v>45196</v>
      </c>
      <c r="I103" s="283" t="s">
        <v>556</v>
      </c>
      <c r="J103" s="108" t="s">
        <v>643</v>
      </c>
      <c r="K103" s="105" t="s">
        <v>644</v>
      </c>
      <c r="L103" s="109">
        <v>45195</v>
      </c>
      <c r="M103" s="109">
        <v>45202</v>
      </c>
      <c r="N103" s="105" t="s">
        <v>645</v>
      </c>
      <c r="O103" s="97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 spans="1:28" ht="29">
      <c r="A104" s="264"/>
      <c r="B104" s="105" t="s">
        <v>543</v>
      </c>
      <c r="C104" s="114">
        <v>15789</v>
      </c>
      <c r="D104" s="106">
        <v>6614</v>
      </c>
      <c r="E104" s="105" t="s">
        <v>603</v>
      </c>
      <c r="F104" s="107" t="s">
        <v>31</v>
      </c>
      <c r="G104" s="127">
        <v>100</v>
      </c>
      <c r="H104" s="109">
        <v>45196</v>
      </c>
      <c r="I104" s="264"/>
      <c r="J104" s="108" t="s">
        <v>643</v>
      </c>
      <c r="K104" s="105" t="s">
        <v>644</v>
      </c>
      <c r="L104" s="109">
        <v>45195</v>
      </c>
      <c r="M104" s="109">
        <v>45202</v>
      </c>
      <c r="N104" s="105" t="s">
        <v>645</v>
      </c>
      <c r="O104" s="97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 spans="1:28" ht="29">
      <c r="A105" s="264"/>
      <c r="B105" s="105" t="s">
        <v>543</v>
      </c>
      <c r="C105" s="293" t="s">
        <v>647</v>
      </c>
      <c r="D105" s="263"/>
      <c r="E105" s="105" t="s">
        <v>603</v>
      </c>
      <c r="F105" s="107" t="s">
        <v>31</v>
      </c>
      <c r="G105" s="127">
        <v>1</v>
      </c>
      <c r="H105" s="109">
        <v>45196</v>
      </c>
      <c r="I105" s="264"/>
      <c r="J105" s="108" t="s">
        <v>643</v>
      </c>
      <c r="K105" s="105" t="s">
        <v>644</v>
      </c>
      <c r="L105" s="109">
        <v>45195</v>
      </c>
      <c r="M105" s="109">
        <v>45202</v>
      </c>
      <c r="N105" s="105" t="s">
        <v>645</v>
      </c>
      <c r="O105" s="97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 spans="1:28" ht="29">
      <c r="A106" s="264"/>
      <c r="B106" s="105" t="s">
        <v>543</v>
      </c>
      <c r="C106" s="293" t="s">
        <v>647</v>
      </c>
      <c r="D106" s="263"/>
      <c r="E106" s="105" t="s">
        <v>603</v>
      </c>
      <c r="F106" s="107" t="s">
        <v>32</v>
      </c>
      <c r="G106" s="127">
        <v>1</v>
      </c>
      <c r="H106" s="109">
        <v>45196</v>
      </c>
      <c r="I106" s="264"/>
      <c r="J106" s="108" t="s">
        <v>643</v>
      </c>
      <c r="K106" s="105" t="s">
        <v>644</v>
      </c>
      <c r="L106" s="109">
        <v>45195</v>
      </c>
      <c r="M106" s="109">
        <v>45202</v>
      </c>
      <c r="N106" s="105" t="s">
        <v>645</v>
      </c>
      <c r="O106" s="97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 spans="1:28" ht="29">
      <c r="A107" s="264"/>
      <c r="B107" s="105" t="s">
        <v>543</v>
      </c>
      <c r="C107" s="293" t="s">
        <v>648</v>
      </c>
      <c r="D107" s="263"/>
      <c r="E107" s="105" t="s">
        <v>603</v>
      </c>
      <c r="F107" s="107" t="s">
        <v>31</v>
      </c>
      <c r="G107" s="127">
        <v>1</v>
      </c>
      <c r="H107" s="109">
        <v>45196</v>
      </c>
      <c r="I107" s="264"/>
      <c r="J107" s="108" t="s">
        <v>643</v>
      </c>
      <c r="K107" s="105" t="s">
        <v>644</v>
      </c>
      <c r="L107" s="109">
        <v>45195</v>
      </c>
      <c r="M107" s="109">
        <v>45202</v>
      </c>
      <c r="N107" s="105" t="s">
        <v>645</v>
      </c>
      <c r="O107" s="97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 spans="1:28" ht="29">
      <c r="A108" s="264"/>
      <c r="B108" s="105" t="s">
        <v>543</v>
      </c>
      <c r="C108" s="293" t="s">
        <v>648</v>
      </c>
      <c r="D108" s="263"/>
      <c r="E108" s="105" t="s">
        <v>603</v>
      </c>
      <c r="F108" s="107" t="s">
        <v>32</v>
      </c>
      <c r="G108" s="127">
        <v>1</v>
      </c>
      <c r="H108" s="109">
        <v>45196</v>
      </c>
      <c r="I108" s="264"/>
      <c r="J108" s="108" t="s">
        <v>643</v>
      </c>
      <c r="K108" s="105" t="s">
        <v>644</v>
      </c>
      <c r="L108" s="109">
        <v>45195</v>
      </c>
      <c r="M108" s="109">
        <v>45202</v>
      </c>
      <c r="N108" s="105" t="s">
        <v>645</v>
      </c>
      <c r="O108" s="97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 spans="1:28" ht="29">
      <c r="A109" s="264"/>
      <c r="B109" s="105" t="s">
        <v>543</v>
      </c>
      <c r="C109" s="114" t="s">
        <v>638</v>
      </c>
      <c r="D109" s="97"/>
      <c r="E109" s="105" t="s">
        <v>603</v>
      </c>
      <c r="F109" s="131" t="s">
        <v>649</v>
      </c>
      <c r="G109" s="127">
        <v>1</v>
      </c>
      <c r="H109" s="109">
        <v>45196</v>
      </c>
      <c r="I109" s="264"/>
      <c r="J109" s="108" t="s">
        <v>643</v>
      </c>
      <c r="K109" s="105" t="s">
        <v>644</v>
      </c>
      <c r="L109" s="109">
        <v>45195</v>
      </c>
      <c r="M109" s="109">
        <v>45202</v>
      </c>
      <c r="N109" s="105" t="s">
        <v>645</v>
      </c>
      <c r="O109" s="97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 spans="1:28" ht="29">
      <c r="A110" s="261"/>
      <c r="B110" s="105" t="s">
        <v>543</v>
      </c>
      <c r="C110" s="114" t="s">
        <v>638</v>
      </c>
      <c r="D110" s="97"/>
      <c r="E110" s="105" t="s">
        <v>603</v>
      </c>
      <c r="F110" s="131" t="s">
        <v>650</v>
      </c>
      <c r="G110" s="127">
        <v>1</v>
      </c>
      <c r="H110" s="109">
        <v>45196</v>
      </c>
      <c r="I110" s="261"/>
      <c r="J110" s="108" t="s">
        <v>643</v>
      </c>
      <c r="K110" s="105" t="s">
        <v>644</v>
      </c>
      <c r="L110" s="109">
        <v>45195</v>
      </c>
      <c r="M110" s="109">
        <v>45202</v>
      </c>
      <c r="N110" s="105" t="s">
        <v>645</v>
      </c>
      <c r="O110" s="97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 spans="1:28" ht="29">
      <c r="A111" s="280">
        <v>22</v>
      </c>
      <c r="B111" s="105" t="s">
        <v>543</v>
      </c>
      <c r="C111" s="114">
        <v>15791</v>
      </c>
      <c r="D111" s="114">
        <v>6614</v>
      </c>
      <c r="E111" s="107" t="s">
        <v>651</v>
      </c>
      <c r="F111" s="131" t="s">
        <v>37</v>
      </c>
      <c r="G111" s="127">
        <v>100</v>
      </c>
      <c r="H111" s="109">
        <v>45201</v>
      </c>
      <c r="I111" s="283" t="s">
        <v>576</v>
      </c>
      <c r="J111" s="108">
        <v>773533410149</v>
      </c>
      <c r="K111" s="105" t="s">
        <v>652</v>
      </c>
      <c r="L111" s="109">
        <v>45196</v>
      </c>
      <c r="M111" s="109">
        <v>45206</v>
      </c>
      <c r="N111" s="105" t="s">
        <v>653</v>
      </c>
      <c r="O111" s="97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 spans="1:28" ht="29">
      <c r="A112" s="261"/>
      <c r="B112" s="105" t="s">
        <v>543</v>
      </c>
      <c r="C112" s="114">
        <v>15791</v>
      </c>
      <c r="D112" s="114">
        <v>6614</v>
      </c>
      <c r="E112" s="107" t="s">
        <v>651</v>
      </c>
      <c r="F112" s="133" t="s">
        <v>154</v>
      </c>
      <c r="G112" s="130">
        <v>50</v>
      </c>
      <c r="H112" s="109">
        <v>45201</v>
      </c>
      <c r="I112" s="261"/>
      <c r="J112" s="108">
        <v>773533410149</v>
      </c>
      <c r="K112" s="105" t="s">
        <v>652</v>
      </c>
      <c r="L112" s="109">
        <v>45196</v>
      </c>
      <c r="M112" s="109">
        <v>45206</v>
      </c>
      <c r="N112" s="105" t="s">
        <v>653</v>
      </c>
      <c r="O112" s="97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 spans="1:28" ht="29">
      <c r="A113" s="280">
        <v>23</v>
      </c>
      <c r="B113" s="105" t="s">
        <v>543</v>
      </c>
      <c r="C113" s="114">
        <v>16160</v>
      </c>
      <c r="D113" s="114">
        <v>6670</v>
      </c>
      <c r="E113" s="105" t="s">
        <v>609</v>
      </c>
      <c r="F113" s="107" t="s">
        <v>284</v>
      </c>
      <c r="G113" s="127">
        <v>30</v>
      </c>
      <c r="H113" s="109">
        <v>45201</v>
      </c>
      <c r="I113" s="283" t="s">
        <v>576</v>
      </c>
      <c r="J113" s="108">
        <v>773533596916</v>
      </c>
      <c r="K113" s="105" t="s">
        <v>654</v>
      </c>
      <c r="L113" s="109">
        <v>45196</v>
      </c>
      <c r="M113" s="109">
        <v>45206</v>
      </c>
      <c r="N113" s="105" t="s">
        <v>653</v>
      </c>
      <c r="O113" s="97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 spans="1:28" ht="29">
      <c r="A114" s="264"/>
      <c r="B114" s="105" t="s">
        <v>543</v>
      </c>
      <c r="C114" s="114">
        <v>16160</v>
      </c>
      <c r="D114" s="114">
        <v>6670</v>
      </c>
      <c r="E114" s="105" t="s">
        <v>609</v>
      </c>
      <c r="F114" s="125" t="s">
        <v>191</v>
      </c>
      <c r="G114" s="130">
        <v>500</v>
      </c>
      <c r="H114" s="109">
        <v>45201</v>
      </c>
      <c r="I114" s="264"/>
      <c r="J114" s="108">
        <v>773533596916</v>
      </c>
      <c r="K114" s="105" t="s">
        <v>654</v>
      </c>
      <c r="L114" s="109">
        <v>45196</v>
      </c>
      <c r="M114" s="109">
        <v>45206</v>
      </c>
      <c r="N114" s="105" t="s">
        <v>653</v>
      </c>
      <c r="O114" s="97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 spans="1:28" ht="29">
      <c r="A115" s="264"/>
      <c r="B115" s="105" t="s">
        <v>543</v>
      </c>
      <c r="C115" s="114">
        <v>16160</v>
      </c>
      <c r="D115" s="114">
        <v>6670</v>
      </c>
      <c r="E115" s="105" t="s">
        <v>609</v>
      </c>
      <c r="F115" s="125" t="s">
        <v>412</v>
      </c>
      <c r="G115" s="130">
        <v>2400</v>
      </c>
      <c r="H115" s="109">
        <v>45201</v>
      </c>
      <c r="I115" s="264"/>
      <c r="J115" s="108">
        <v>773533596916</v>
      </c>
      <c r="K115" s="105" t="s">
        <v>654</v>
      </c>
      <c r="L115" s="109">
        <v>45196</v>
      </c>
      <c r="M115" s="109">
        <v>45206</v>
      </c>
      <c r="N115" s="105" t="s">
        <v>653</v>
      </c>
      <c r="O115" s="97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 spans="1:28" ht="29">
      <c r="A116" s="264"/>
      <c r="B116" s="105" t="s">
        <v>543</v>
      </c>
      <c r="C116" s="114">
        <v>16160</v>
      </c>
      <c r="D116" s="114">
        <v>6670</v>
      </c>
      <c r="E116" s="105" t="s">
        <v>609</v>
      </c>
      <c r="F116" s="125" t="s">
        <v>414</v>
      </c>
      <c r="G116" s="130">
        <v>2400</v>
      </c>
      <c r="H116" s="109">
        <v>45201</v>
      </c>
      <c r="I116" s="264"/>
      <c r="J116" s="108">
        <v>773533596916</v>
      </c>
      <c r="K116" s="105" t="s">
        <v>654</v>
      </c>
      <c r="L116" s="109">
        <v>45196</v>
      </c>
      <c r="M116" s="109">
        <v>45206</v>
      </c>
      <c r="N116" s="105" t="s">
        <v>653</v>
      </c>
      <c r="O116" s="97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 spans="1:28" ht="29">
      <c r="A117" s="264"/>
      <c r="B117" s="105" t="s">
        <v>543</v>
      </c>
      <c r="C117" s="114">
        <v>16160</v>
      </c>
      <c r="D117" s="114">
        <v>6670</v>
      </c>
      <c r="E117" s="105" t="s">
        <v>609</v>
      </c>
      <c r="F117" s="125" t="s">
        <v>262</v>
      </c>
      <c r="G117" s="130">
        <v>150</v>
      </c>
      <c r="H117" s="109">
        <v>45201</v>
      </c>
      <c r="I117" s="264"/>
      <c r="J117" s="108">
        <v>773533596916</v>
      </c>
      <c r="K117" s="105" t="s">
        <v>654</v>
      </c>
      <c r="L117" s="109">
        <v>45196</v>
      </c>
      <c r="M117" s="109">
        <v>45206</v>
      </c>
      <c r="N117" s="105" t="s">
        <v>653</v>
      </c>
      <c r="O117" s="97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 spans="1:28" ht="29">
      <c r="A118" s="264"/>
      <c r="B118" s="105" t="s">
        <v>543</v>
      </c>
      <c r="C118" s="114">
        <v>16160</v>
      </c>
      <c r="D118" s="114">
        <v>6670</v>
      </c>
      <c r="E118" s="105" t="s">
        <v>609</v>
      </c>
      <c r="F118" s="125" t="s">
        <v>264</v>
      </c>
      <c r="G118" s="130">
        <v>150</v>
      </c>
      <c r="H118" s="109">
        <v>45201</v>
      </c>
      <c r="I118" s="264"/>
      <c r="J118" s="108">
        <v>773533596916</v>
      </c>
      <c r="K118" s="105" t="s">
        <v>654</v>
      </c>
      <c r="L118" s="109">
        <v>45196</v>
      </c>
      <c r="M118" s="109">
        <v>45206</v>
      </c>
      <c r="N118" s="105" t="s">
        <v>653</v>
      </c>
      <c r="O118" s="97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 spans="1:28" ht="29">
      <c r="A119" s="264"/>
      <c r="B119" s="105" t="s">
        <v>543</v>
      </c>
      <c r="C119" s="114">
        <v>16160</v>
      </c>
      <c r="D119" s="114">
        <v>6670</v>
      </c>
      <c r="E119" s="105" t="s">
        <v>609</v>
      </c>
      <c r="F119" s="125" t="s">
        <v>415</v>
      </c>
      <c r="G119" s="130">
        <v>350</v>
      </c>
      <c r="H119" s="109">
        <v>45201</v>
      </c>
      <c r="I119" s="264"/>
      <c r="J119" s="108">
        <v>773533596916</v>
      </c>
      <c r="K119" s="105" t="s">
        <v>654</v>
      </c>
      <c r="L119" s="109">
        <v>45196</v>
      </c>
      <c r="M119" s="109">
        <v>45206</v>
      </c>
      <c r="N119" s="105" t="s">
        <v>653</v>
      </c>
      <c r="O119" s="97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 spans="1:28" ht="29">
      <c r="A120" s="264"/>
      <c r="B120" s="105" t="s">
        <v>543</v>
      </c>
      <c r="C120" s="114">
        <v>16160</v>
      </c>
      <c r="D120" s="114">
        <v>6670</v>
      </c>
      <c r="E120" s="105" t="s">
        <v>609</v>
      </c>
      <c r="F120" s="125" t="s">
        <v>398</v>
      </c>
      <c r="G120" s="130">
        <v>350</v>
      </c>
      <c r="H120" s="109">
        <v>45201</v>
      </c>
      <c r="I120" s="264"/>
      <c r="J120" s="108">
        <v>773533596916</v>
      </c>
      <c r="K120" s="105" t="s">
        <v>654</v>
      </c>
      <c r="L120" s="109">
        <v>45196</v>
      </c>
      <c r="M120" s="109">
        <v>45206</v>
      </c>
      <c r="N120" s="105" t="s">
        <v>653</v>
      </c>
      <c r="O120" s="97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 spans="1:28" ht="29">
      <c r="A121" s="264"/>
      <c r="B121" s="105" t="s">
        <v>543</v>
      </c>
      <c r="C121" s="114">
        <v>16160</v>
      </c>
      <c r="D121" s="114">
        <v>6670</v>
      </c>
      <c r="E121" s="105" t="s">
        <v>609</v>
      </c>
      <c r="F121" s="125" t="s">
        <v>266</v>
      </c>
      <c r="G121" s="130">
        <v>350</v>
      </c>
      <c r="H121" s="109">
        <v>45201</v>
      </c>
      <c r="I121" s="264"/>
      <c r="J121" s="108">
        <v>773533596916</v>
      </c>
      <c r="K121" s="105" t="s">
        <v>654</v>
      </c>
      <c r="L121" s="109">
        <v>45196</v>
      </c>
      <c r="M121" s="109">
        <v>45206</v>
      </c>
      <c r="N121" s="105" t="s">
        <v>653</v>
      </c>
      <c r="O121" s="97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 spans="1:28" ht="29">
      <c r="A122" s="264"/>
      <c r="B122" s="105" t="s">
        <v>543</v>
      </c>
      <c r="C122" s="114">
        <v>16160</v>
      </c>
      <c r="D122" s="114">
        <v>6670</v>
      </c>
      <c r="E122" s="105" t="s">
        <v>609</v>
      </c>
      <c r="F122" s="125" t="s">
        <v>268</v>
      </c>
      <c r="G122" s="130">
        <v>350</v>
      </c>
      <c r="H122" s="109">
        <v>45201</v>
      </c>
      <c r="I122" s="264"/>
      <c r="J122" s="108">
        <v>773533596916</v>
      </c>
      <c r="K122" s="105" t="s">
        <v>654</v>
      </c>
      <c r="L122" s="109">
        <v>45196</v>
      </c>
      <c r="M122" s="109">
        <v>45206</v>
      </c>
      <c r="N122" s="105" t="s">
        <v>653</v>
      </c>
      <c r="O122" s="97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 spans="1:28" ht="29">
      <c r="A123" s="264"/>
      <c r="B123" s="105" t="s">
        <v>543</v>
      </c>
      <c r="C123" s="114">
        <v>16160</v>
      </c>
      <c r="D123" s="114">
        <v>6670</v>
      </c>
      <c r="E123" s="105" t="s">
        <v>609</v>
      </c>
      <c r="F123" s="125" t="s">
        <v>418</v>
      </c>
      <c r="G123" s="130">
        <v>350</v>
      </c>
      <c r="H123" s="109">
        <v>45201</v>
      </c>
      <c r="I123" s="264"/>
      <c r="J123" s="108">
        <v>773533596916</v>
      </c>
      <c r="K123" s="105" t="s">
        <v>654</v>
      </c>
      <c r="L123" s="109">
        <v>45196</v>
      </c>
      <c r="M123" s="109">
        <v>45206</v>
      </c>
      <c r="N123" s="105" t="s">
        <v>653</v>
      </c>
      <c r="O123" s="97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 spans="1:28" ht="29">
      <c r="A124" s="264"/>
      <c r="B124" s="105" t="s">
        <v>543</v>
      </c>
      <c r="C124" s="114">
        <v>16160</v>
      </c>
      <c r="D124" s="114">
        <v>6670</v>
      </c>
      <c r="E124" s="105" t="s">
        <v>609</v>
      </c>
      <c r="F124" s="125" t="s">
        <v>419</v>
      </c>
      <c r="G124" s="130">
        <v>350</v>
      </c>
      <c r="H124" s="109">
        <v>45201</v>
      </c>
      <c r="I124" s="264"/>
      <c r="J124" s="108">
        <v>773533596916</v>
      </c>
      <c r="K124" s="105" t="s">
        <v>654</v>
      </c>
      <c r="L124" s="109">
        <v>45196</v>
      </c>
      <c r="M124" s="109">
        <v>45206</v>
      </c>
      <c r="N124" s="105" t="s">
        <v>653</v>
      </c>
      <c r="O124" s="97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 spans="1:28" ht="29">
      <c r="A125" s="264"/>
      <c r="B125" s="105" t="s">
        <v>543</v>
      </c>
      <c r="C125" s="114">
        <v>16160</v>
      </c>
      <c r="D125" s="114">
        <v>6670</v>
      </c>
      <c r="E125" s="105" t="s">
        <v>609</v>
      </c>
      <c r="F125" s="125" t="s">
        <v>270</v>
      </c>
      <c r="G125" s="130">
        <v>12700</v>
      </c>
      <c r="H125" s="109">
        <v>45201</v>
      </c>
      <c r="I125" s="264"/>
      <c r="J125" s="108">
        <v>773533596916</v>
      </c>
      <c r="K125" s="105" t="s">
        <v>654</v>
      </c>
      <c r="L125" s="109">
        <v>45196</v>
      </c>
      <c r="M125" s="109">
        <v>45206</v>
      </c>
      <c r="N125" s="105" t="s">
        <v>653</v>
      </c>
      <c r="O125" s="97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 spans="1:28" ht="29">
      <c r="A126" s="264"/>
      <c r="B126" s="105" t="s">
        <v>543</v>
      </c>
      <c r="C126" s="114">
        <v>16160</v>
      </c>
      <c r="D126" s="114">
        <v>6670</v>
      </c>
      <c r="E126" s="105" t="s">
        <v>609</v>
      </c>
      <c r="F126" s="125" t="s">
        <v>191</v>
      </c>
      <c r="G126" s="130">
        <v>16700</v>
      </c>
      <c r="H126" s="109">
        <v>45201</v>
      </c>
      <c r="I126" s="264"/>
      <c r="J126" s="108">
        <v>773533596916</v>
      </c>
      <c r="K126" s="105" t="s">
        <v>654</v>
      </c>
      <c r="L126" s="109">
        <v>45196</v>
      </c>
      <c r="M126" s="109">
        <v>45206</v>
      </c>
      <c r="N126" s="105" t="s">
        <v>653</v>
      </c>
      <c r="O126" s="97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 spans="1:28" ht="29">
      <c r="A127" s="264"/>
      <c r="B127" s="105" t="s">
        <v>543</v>
      </c>
      <c r="C127" s="114">
        <v>16260</v>
      </c>
      <c r="D127" s="114" t="s">
        <v>641</v>
      </c>
      <c r="E127" s="105" t="s">
        <v>609</v>
      </c>
      <c r="F127" s="107" t="s">
        <v>289</v>
      </c>
      <c r="G127" s="127">
        <v>4000</v>
      </c>
      <c r="H127" s="109">
        <v>45201</v>
      </c>
      <c r="I127" s="264"/>
      <c r="J127" s="108">
        <v>773533596916</v>
      </c>
      <c r="K127" s="105" t="s">
        <v>654</v>
      </c>
      <c r="L127" s="109">
        <v>45196</v>
      </c>
      <c r="M127" s="109">
        <v>45206</v>
      </c>
      <c r="N127" s="105" t="s">
        <v>653</v>
      </c>
      <c r="O127" s="97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 spans="1:28" ht="29">
      <c r="A128" s="264"/>
      <c r="B128" s="105" t="s">
        <v>543</v>
      </c>
      <c r="C128" s="114">
        <v>16260</v>
      </c>
      <c r="D128" s="114" t="s">
        <v>641</v>
      </c>
      <c r="E128" s="105" t="s">
        <v>609</v>
      </c>
      <c r="F128" s="125" t="s">
        <v>420</v>
      </c>
      <c r="G128" s="130">
        <v>500</v>
      </c>
      <c r="H128" s="109">
        <v>45201</v>
      </c>
      <c r="I128" s="264"/>
      <c r="J128" s="108">
        <v>773533596916</v>
      </c>
      <c r="K128" s="105" t="s">
        <v>654</v>
      </c>
      <c r="L128" s="109">
        <v>45196</v>
      </c>
      <c r="M128" s="109">
        <v>45206</v>
      </c>
      <c r="N128" s="105" t="s">
        <v>653</v>
      </c>
      <c r="O128" s="97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 spans="1:28" ht="29">
      <c r="A129" s="264"/>
      <c r="B129" s="105" t="s">
        <v>543</v>
      </c>
      <c r="C129" s="114">
        <v>16260</v>
      </c>
      <c r="D129" s="114" t="s">
        <v>641</v>
      </c>
      <c r="E129" s="105" t="s">
        <v>609</v>
      </c>
      <c r="F129" s="125" t="s">
        <v>412</v>
      </c>
      <c r="G129" s="130">
        <v>2000</v>
      </c>
      <c r="H129" s="109">
        <v>45201</v>
      </c>
      <c r="I129" s="264"/>
      <c r="J129" s="108">
        <v>773533596916</v>
      </c>
      <c r="K129" s="105" t="s">
        <v>654</v>
      </c>
      <c r="L129" s="109">
        <v>45196</v>
      </c>
      <c r="M129" s="109">
        <v>45206</v>
      </c>
      <c r="N129" s="105" t="s">
        <v>653</v>
      </c>
      <c r="O129" s="97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 spans="1:28" ht="29">
      <c r="A130" s="264"/>
      <c r="B130" s="105" t="s">
        <v>543</v>
      </c>
      <c r="C130" s="114">
        <v>16260</v>
      </c>
      <c r="D130" s="114" t="s">
        <v>641</v>
      </c>
      <c r="E130" s="105" t="s">
        <v>609</v>
      </c>
      <c r="F130" s="125" t="s">
        <v>414</v>
      </c>
      <c r="G130" s="130">
        <v>2000</v>
      </c>
      <c r="H130" s="109">
        <v>45201</v>
      </c>
      <c r="I130" s="264"/>
      <c r="J130" s="108">
        <v>773533596916</v>
      </c>
      <c r="K130" s="105" t="s">
        <v>654</v>
      </c>
      <c r="L130" s="109">
        <v>45196</v>
      </c>
      <c r="M130" s="109">
        <v>45206</v>
      </c>
      <c r="N130" s="105" t="s">
        <v>653</v>
      </c>
      <c r="O130" s="97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 spans="1:28" ht="29">
      <c r="A131" s="264"/>
      <c r="B131" s="105" t="s">
        <v>543</v>
      </c>
      <c r="C131" s="114">
        <v>16260</v>
      </c>
      <c r="D131" s="114" t="s">
        <v>641</v>
      </c>
      <c r="E131" s="105" t="s">
        <v>609</v>
      </c>
      <c r="F131" s="125" t="s">
        <v>262</v>
      </c>
      <c r="G131" s="130">
        <v>500</v>
      </c>
      <c r="H131" s="109">
        <v>45201</v>
      </c>
      <c r="I131" s="264"/>
      <c r="J131" s="108">
        <v>773533596916</v>
      </c>
      <c r="K131" s="105" t="s">
        <v>654</v>
      </c>
      <c r="L131" s="109">
        <v>45196</v>
      </c>
      <c r="M131" s="109">
        <v>45206</v>
      </c>
      <c r="N131" s="105" t="s">
        <v>653</v>
      </c>
      <c r="O131" s="97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 spans="1:28" ht="29">
      <c r="A132" s="264"/>
      <c r="B132" s="105" t="s">
        <v>543</v>
      </c>
      <c r="C132" s="114">
        <v>16260</v>
      </c>
      <c r="D132" s="114" t="s">
        <v>641</v>
      </c>
      <c r="E132" s="105" t="s">
        <v>609</v>
      </c>
      <c r="F132" s="125" t="s">
        <v>264</v>
      </c>
      <c r="G132" s="130">
        <v>500</v>
      </c>
      <c r="H132" s="109">
        <v>45201</v>
      </c>
      <c r="I132" s="264"/>
      <c r="J132" s="108">
        <v>773533596916</v>
      </c>
      <c r="K132" s="105" t="s">
        <v>654</v>
      </c>
      <c r="L132" s="109">
        <v>45196</v>
      </c>
      <c r="M132" s="109">
        <v>45206</v>
      </c>
      <c r="N132" s="105" t="s">
        <v>653</v>
      </c>
      <c r="O132" s="97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 spans="1:28" ht="29">
      <c r="A133" s="264"/>
      <c r="B133" s="105" t="s">
        <v>543</v>
      </c>
      <c r="C133" s="114">
        <v>16260</v>
      </c>
      <c r="D133" s="114" t="s">
        <v>641</v>
      </c>
      <c r="E133" s="105" t="s">
        <v>609</v>
      </c>
      <c r="F133" s="125" t="s">
        <v>418</v>
      </c>
      <c r="G133" s="130">
        <v>500</v>
      </c>
      <c r="H133" s="109">
        <v>45201</v>
      </c>
      <c r="I133" s="264"/>
      <c r="J133" s="108">
        <v>773533596916</v>
      </c>
      <c r="K133" s="105" t="s">
        <v>654</v>
      </c>
      <c r="L133" s="109">
        <v>45196</v>
      </c>
      <c r="M133" s="109">
        <v>45206</v>
      </c>
      <c r="N133" s="105" t="s">
        <v>653</v>
      </c>
      <c r="O133" s="97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 spans="1:28" ht="29">
      <c r="A134" s="264"/>
      <c r="B134" s="105" t="s">
        <v>543</v>
      </c>
      <c r="C134" s="114">
        <v>16260</v>
      </c>
      <c r="D134" s="114" t="s">
        <v>641</v>
      </c>
      <c r="E134" s="105" t="s">
        <v>609</v>
      </c>
      <c r="F134" s="125" t="s">
        <v>419</v>
      </c>
      <c r="G134" s="130">
        <v>500</v>
      </c>
      <c r="H134" s="109">
        <v>45201</v>
      </c>
      <c r="I134" s="264"/>
      <c r="J134" s="108">
        <v>773533596916</v>
      </c>
      <c r="K134" s="105" t="s">
        <v>654</v>
      </c>
      <c r="L134" s="109">
        <v>45196</v>
      </c>
      <c r="M134" s="109">
        <v>45206</v>
      </c>
      <c r="N134" s="105" t="s">
        <v>653</v>
      </c>
      <c r="O134" s="97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 spans="1:28" ht="29">
      <c r="A135" s="264"/>
      <c r="B135" s="105" t="s">
        <v>543</v>
      </c>
      <c r="C135" s="114">
        <v>16260</v>
      </c>
      <c r="D135" s="114" t="s">
        <v>641</v>
      </c>
      <c r="E135" s="105" t="s">
        <v>609</v>
      </c>
      <c r="F135" s="125" t="s">
        <v>270</v>
      </c>
      <c r="G135" s="130">
        <v>11500</v>
      </c>
      <c r="H135" s="109">
        <v>45201</v>
      </c>
      <c r="I135" s="264"/>
      <c r="J135" s="108">
        <v>773533596916</v>
      </c>
      <c r="K135" s="105" t="s">
        <v>654</v>
      </c>
      <c r="L135" s="109">
        <v>45196</v>
      </c>
      <c r="M135" s="109">
        <v>45206</v>
      </c>
      <c r="N135" s="105" t="s">
        <v>653</v>
      </c>
      <c r="O135" s="97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 spans="1:28" ht="29">
      <c r="A136" s="261"/>
      <c r="B136" s="105" t="s">
        <v>543</v>
      </c>
      <c r="C136" s="114">
        <v>16260</v>
      </c>
      <c r="D136" s="114" t="s">
        <v>641</v>
      </c>
      <c r="E136" s="105" t="s">
        <v>609</v>
      </c>
      <c r="F136" s="125" t="s">
        <v>191</v>
      </c>
      <c r="G136" s="130">
        <v>11500</v>
      </c>
      <c r="H136" s="109">
        <v>45201</v>
      </c>
      <c r="I136" s="261"/>
      <c r="J136" s="108">
        <v>773533596916</v>
      </c>
      <c r="K136" s="105" t="s">
        <v>654</v>
      </c>
      <c r="L136" s="109">
        <v>45196</v>
      </c>
      <c r="M136" s="109">
        <v>45206</v>
      </c>
      <c r="N136" s="105" t="s">
        <v>653</v>
      </c>
      <c r="O136" s="97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 spans="1:28" ht="29">
      <c r="A137" s="280">
        <v>24</v>
      </c>
      <c r="B137" s="105" t="s">
        <v>541</v>
      </c>
      <c r="C137" s="114">
        <v>14453</v>
      </c>
      <c r="D137" s="97"/>
      <c r="E137" s="105" t="s">
        <v>655</v>
      </c>
      <c r="F137" s="97" t="s">
        <v>43</v>
      </c>
      <c r="G137" s="121">
        <v>200</v>
      </c>
      <c r="H137" s="136">
        <v>45227</v>
      </c>
      <c r="I137" s="283" t="s">
        <v>556</v>
      </c>
      <c r="J137" s="108" t="s">
        <v>656</v>
      </c>
      <c r="K137" s="105" t="s">
        <v>657</v>
      </c>
      <c r="L137" s="136">
        <v>45223</v>
      </c>
      <c r="M137" s="109">
        <v>45232</v>
      </c>
      <c r="N137" s="105" t="s">
        <v>658</v>
      </c>
      <c r="O137" s="97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 spans="1:28" ht="29">
      <c r="A138" s="264"/>
      <c r="B138" s="105" t="s">
        <v>541</v>
      </c>
      <c r="C138" s="114">
        <v>14453</v>
      </c>
      <c r="D138" s="97"/>
      <c r="E138" s="105" t="s">
        <v>655</v>
      </c>
      <c r="F138" s="97" t="s">
        <v>44</v>
      </c>
      <c r="G138" s="121">
        <v>200</v>
      </c>
      <c r="H138" s="136">
        <v>45227</v>
      </c>
      <c r="I138" s="264"/>
      <c r="J138" s="108" t="s">
        <v>656</v>
      </c>
      <c r="K138" s="105" t="s">
        <v>657</v>
      </c>
      <c r="L138" s="136">
        <v>45223</v>
      </c>
      <c r="M138" s="109">
        <v>45232</v>
      </c>
      <c r="N138" s="105" t="s">
        <v>658</v>
      </c>
      <c r="O138" s="97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 spans="1:28" ht="29">
      <c r="A139" s="264"/>
      <c r="B139" s="105" t="s">
        <v>541</v>
      </c>
      <c r="C139" s="114">
        <v>14453</v>
      </c>
      <c r="D139" s="97"/>
      <c r="E139" s="105" t="s">
        <v>655</v>
      </c>
      <c r="F139" s="97" t="s">
        <v>46</v>
      </c>
      <c r="G139" s="121">
        <v>200</v>
      </c>
      <c r="H139" s="136">
        <v>45227</v>
      </c>
      <c r="I139" s="264"/>
      <c r="J139" s="108" t="s">
        <v>656</v>
      </c>
      <c r="K139" s="105" t="s">
        <v>657</v>
      </c>
      <c r="L139" s="136">
        <v>45223</v>
      </c>
      <c r="M139" s="109">
        <v>45232</v>
      </c>
      <c r="N139" s="105" t="s">
        <v>658</v>
      </c>
      <c r="O139" s="97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 spans="1:28" ht="29">
      <c r="A140" s="264"/>
      <c r="B140" s="105" t="s">
        <v>541</v>
      </c>
      <c r="C140" s="114">
        <v>15787</v>
      </c>
      <c r="D140" s="114">
        <v>6614</v>
      </c>
      <c r="E140" s="105" t="s">
        <v>617</v>
      </c>
      <c r="F140" s="107" t="s">
        <v>50</v>
      </c>
      <c r="G140" s="127">
        <v>50</v>
      </c>
      <c r="H140" s="136">
        <v>45227</v>
      </c>
      <c r="I140" s="264"/>
      <c r="J140" s="108" t="s">
        <v>656</v>
      </c>
      <c r="K140" s="105" t="s">
        <v>657</v>
      </c>
      <c r="L140" s="136">
        <v>45223</v>
      </c>
      <c r="M140" s="109">
        <v>45232</v>
      </c>
      <c r="N140" s="105" t="s">
        <v>658</v>
      </c>
      <c r="O140" s="97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 spans="1:28" ht="29">
      <c r="A141" s="264"/>
      <c r="B141" s="105" t="s">
        <v>541</v>
      </c>
      <c r="C141" s="114">
        <v>15788</v>
      </c>
      <c r="D141" s="114">
        <v>6614</v>
      </c>
      <c r="E141" s="105" t="s">
        <v>630</v>
      </c>
      <c r="F141" s="107" t="s">
        <v>8</v>
      </c>
      <c r="G141" s="127">
        <v>200</v>
      </c>
      <c r="H141" s="136">
        <v>45227</v>
      </c>
      <c r="I141" s="264"/>
      <c r="J141" s="108" t="s">
        <v>656</v>
      </c>
      <c r="K141" s="105" t="s">
        <v>657</v>
      </c>
      <c r="L141" s="136">
        <v>45223</v>
      </c>
      <c r="M141" s="109">
        <v>45232</v>
      </c>
      <c r="N141" s="105" t="s">
        <v>658</v>
      </c>
      <c r="O141" s="97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 spans="1:28" ht="29">
      <c r="A142" s="264"/>
      <c r="B142" s="105" t="s">
        <v>541</v>
      </c>
      <c r="C142" s="114">
        <v>15788</v>
      </c>
      <c r="D142" s="114">
        <v>6614</v>
      </c>
      <c r="E142" s="105" t="s">
        <v>630</v>
      </c>
      <c r="F142" s="125" t="s">
        <v>305</v>
      </c>
      <c r="G142" s="130">
        <v>100</v>
      </c>
      <c r="H142" s="136">
        <v>45227</v>
      </c>
      <c r="I142" s="264"/>
      <c r="J142" s="108" t="s">
        <v>656</v>
      </c>
      <c r="K142" s="105" t="s">
        <v>657</v>
      </c>
      <c r="L142" s="136">
        <v>45223</v>
      </c>
      <c r="M142" s="109">
        <v>45232</v>
      </c>
      <c r="N142" s="105" t="s">
        <v>658</v>
      </c>
      <c r="O142" s="97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 spans="1:28" ht="29">
      <c r="A143" s="264"/>
      <c r="B143" s="105" t="s">
        <v>541</v>
      </c>
      <c r="C143" s="114">
        <v>15788</v>
      </c>
      <c r="D143" s="114">
        <v>6614</v>
      </c>
      <c r="E143" s="105" t="s">
        <v>630</v>
      </c>
      <c r="F143" s="125" t="s">
        <v>310</v>
      </c>
      <c r="G143" s="130">
        <v>200</v>
      </c>
      <c r="H143" s="136">
        <v>45227</v>
      </c>
      <c r="I143" s="264"/>
      <c r="J143" s="108" t="s">
        <v>656</v>
      </c>
      <c r="K143" s="105" t="s">
        <v>657</v>
      </c>
      <c r="L143" s="136">
        <v>45223</v>
      </c>
      <c r="M143" s="109">
        <v>45232</v>
      </c>
      <c r="N143" s="105" t="s">
        <v>658</v>
      </c>
      <c r="O143" s="97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 spans="1:28" ht="29">
      <c r="A144" s="264"/>
      <c r="B144" s="105" t="s">
        <v>541</v>
      </c>
      <c r="C144" s="106">
        <v>15882</v>
      </c>
      <c r="D144" s="97"/>
      <c r="E144" s="97" t="s">
        <v>659</v>
      </c>
      <c r="F144" s="97" t="s">
        <v>39</v>
      </c>
      <c r="G144" s="121">
        <v>100</v>
      </c>
      <c r="H144" s="136">
        <v>45227</v>
      </c>
      <c r="I144" s="264"/>
      <c r="J144" s="108" t="s">
        <v>656</v>
      </c>
      <c r="K144" s="105" t="s">
        <v>657</v>
      </c>
      <c r="L144" s="136">
        <v>45223</v>
      </c>
      <c r="M144" s="109">
        <v>45232</v>
      </c>
      <c r="N144" s="105" t="s">
        <v>658</v>
      </c>
      <c r="O144" s="97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 spans="1:28" ht="29">
      <c r="A145" s="264"/>
      <c r="B145" s="105" t="s">
        <v>541</v>
      </c>
      <c r="C145" s="106">
        <v>15936</v>
      </c>
      <c r="D145" s="97"/>
      <c r="E145" s="97" t="s">
        <v>636</v>
      </c>
      <c r="F145" s="97" t="s">
        <v>412</v>
      </c>
      <c r="G145" s="137">
        <v>5000</v>
      </c>
      <c r="H145" s="136">
        <v>45227</v>
      </c>
      <c r="I145" s="264"/>
      <c r="J145" s="108" t="s">
        <v>656</v>
      </c>
      <c r="K145" s="105" t="s">
        <v>657</v>
      </c>
      <c r="L145" s="136">
        <v>45223</v>
      </c>
      <c r="M145" s="109">
        <v>45232</v>
      </c>
      <c r="N145" s="105" t="s">
        <v>658</v>
      </c>
      <c r="O145" s="97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 spans="1:28" ht="29">
      <c r="A146" s="264"/>
      <c r="B146" s="105" t="s">
        <v>541</v>
      </c>
      <c r="C146" s="106">
        <v>15936</v>
      </c>
      <c r="D146" s="97"/>
      <c r="E146" s="97" t="s">
        <v>636</v>
      </c>
      <c r="F146" s="97" t="s">
        <v>414</v>
      </c>
      <c r="G146" s="137">
        <v>5000</v>
      </c>
      <c r="H146" s="136">
        <v>45227</v>
      </c>
      <c r="I146" s="264"/>
      <c r="J146" s="108" t="s">
        <v>656</v>
      </c>
      <c r="K146" s="105" t="s">
        <v>657</v>
      </c>
      <c r="L146" s="136">
        <v>45223</v>
      </c>
      <c r="M146" s="109">
        <v>45232</v>
      </c>
      <c r="N146" s="105" t="s">
        <v>658</v>
      </c>
      <c r="O146" s="97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 spans="1:28" ht="29">
      <c r="A147" s="264"/>
      <c r="B147" s="105" t="s">
        <v>541</v>
      </c>
      <c r="C147" s="106">
        <v>15936</v>
      </c>
      <c r="D147" s="97"/>
      <c r="E147" s="97" t="s">
        <v>636</v>
      </c>
      <c r="F147" s="97" t="s">
        <v>270</v>
      </c>
      <c r="G147" s="137">
        <v>10000</v>
      </c>
      <c r="H147" s="136">
        <v>45227</v>
      </c>
      <c r="I147" s="264"/>
      <c r="J147" s="108" t="s">
        <v>656</v>
      </c>
      <c r="K147" s="105" t="s">
        <v>657</v>
      </c>
      <c r="L147" s="136">
        <v>45223</v>
      </c>
      <c r="M147" s="109">
        <v>45232</v>
      </c>
      <c r="N147" s="105" t="s">
        <v>658</v>
      </c>
      <c r="O147" s="97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 spans="1:28" ht="29">
      <c r="A148" s="264"/>
      <c r="B148" s="105" t="s">
        <v>541</v>
      </c>
      <c r="C148" s="106">
        <v>15936</v>
      </c>
      <c r="D148" s="97"/>
      <c r="E148" s="97" t="s">
        <v>636</v>
      </c>
      <c r="F148" s="97" t="s">
        <v>191</v>
      </c>
      <c r="G148" s="137">
        <v>10000</v>
      </c>
      <c r="H148" s="136">
        <v>45227</v>
      </c>
      <c r="I148" s="264"/>
      <c r="J148" s="108" t="s">
        <v>656</v>
      </c>
      <c r="K148" s="105" t="s">
        <v>657</v>
      </c>
      <c r="L148" s="136">
        <v>45223</v>
      </c>
      <c r="M148" s="109">
        <v>45232</v>
      </c>
      <c r="N148" s="105" t="s">
        <v>658</v>
      </c>
      <c r="O148" s="97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 spans="1:28" ht="29">
      <c r="A149" s="261"/>
      <c r="B149" s="105" t="s">
        <v>541</v>
      </c>
      <c r="C149" s="106">
        <v>15936</v>
      </c>
      <c r="D149" s="97"/>
      <c r="E149" s="97" t="s">
        <v>636</v>
      </c>
      <c r="F149" s="97" t="s">
        <v>289</v>
      </c>
      <c r="G149" s="137">
        <v>15000</v>
      </c>
      <c r="H149" s="136">
        <v>45227</v>
      </c>
      <c r="I149" s="261"/>
      <c r="J149" s="108" t="s">
        <v>656</v>
      </c>
      <c r="K149" s="105" t="s">
        <v>657</v>
      </c>
      <c r="L149" s="136">
        <v>45223</v>
      </c>
      <c r="M149" s="109">
        <v>45232</v>
      </c>
      <c r="N149" s="105" t="s">
        <v>658</v>
      </c>
      <c r="O149" s="97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 spans="1:28" ht="29">
      <c r="A150" s="113">
        <v>25</v>
      </c>
      <c r="B150" s="105" t="s">
        <v>543</v>
      </c>
      <c r="C150" s="114">
        <v>15787</v>
      </c>
      <c r="D150" s="114">
        <v>6614</v>
      </c>
      <c r="E150" s="105" t="s">
        <v>617</v>
      </c>
      <c r="F150" s="107" t="s">
        <v>50</v>
      </c>
      <c r="G150" s="127">
        <v>50</v>
      </c>
      <c r="H150" s="136">
        <v>45211</v>
      </c>
      <c r="I150" s="105" t="s">
        <v>556</v>
      </c>
      <c r="J150" s="108" t="s">
        <v>660</v>
      </c>
      <c r="K150" s="105" t="s">
        <v>620</v>
      </c>
      <c r="L150" s="136">
        <v>45211</v>
      </c>
      <c r="M150" s="136">
        <v>45216</v>
      </c>
      <c r="N150" s="105" t="s">
        <v>661</v>
      </c>
      <c r="O150" s="105" t="s">
        <v>662</v>
      </c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 spans="1:28" ht="29">
      <c r="A151" s="280">
        <v>26</v>
      </c>
      <c r="B151" s="105" t="s">
        <v>543</v>
      </c>
      <c r="C151" s="106">
        <v>15875</v>
      </c>
      <c r="D151" s="97"/>
      <c r="E151" s="97" t="s">
        <v>631</v>
      </c>
      <c r="F151" s="97" t="s">
        <v>56</v>
      </c>
      <c r="G151" s="121">
        <v>60</v>
      </c>
      <c r="H151" s="136">
        <v>45212</v>
      </c>
      <c r="I151" s="283" t="s">
        <v>576</v>
      </c>
      <c r="J151" s="108">
        <v>773684517838</v>
      </c>
      <c r="K151" s="105" t="s">
        <v>663</v>
      </c>
      <c r="L151" s="136">
        <v>45209</v>
      </c>
      <c r="M151" s="136">
        <v>45217</v>
      </c>
      <c r="N151" s="105" t="s">
        <v>664</v>
      </c>
      <c r="O151" s="97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 spans="1:28" ht="29">
      <c r="A152" s="261"/>
      <c r="B152" s="105" t="s">
        <v>543</v>
      </c>
      <c r="C152" s="106">
        <v>15750</v>
      </c>
      <c r="D152" s="97"/>
      <c r="E152" s="97" t="s">
        <v>631</v>
      </c>
      <c r="F152" s="97" t="s">
        <v>10</v>
      </c>
      <c r="G152" s="121">
        <v>200</v>
      </c>
      <c r="H152" s="136">
        <v>45212</v>
      </c>
      <c r="I152" s="261"/>
      <c r="J152" s="108">
        <v>773684517838</v>
      </c>
      <c r="K152" s="105" t="s">
        <v>663</v>
      </c>
      <c r="L152" s="136">
        <v>45209</v>
      </c>
      <c r="M152" s="136">
        <v>45217</v>
      </c>
      <c r="N152" s="105" t="s">
        <v>664</v>
      </c>
      <c r="O152" s="97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 spans="1:28" ht="29">
      <c r="A153" s="280">
        <v>27</v>
      </c>
      <c r="B153" s="105" t="s">
        <v>543</v>
      </c>
      <c r="C153" s="106">
        <v>15781</v>
      </c>
      <c r="D153" s="97"/>
      <c r="E153" s="97" t="s">
        <v>603</v>
      </c>
      <c r="F153" s="97" t="s">
        <v>35</v>
      </c>
      <c r="G153" s="121">
        <v>100</v>
      </c>
      <c r="H153" s="109">
        <v>45233</v>
      </c>
      <c r="I153" s="283" t="s">
        <v>604</v>
      </c>
      <c r="J153" s="108" t="s">
        <v>665</v>
      </c>
      <c r="K153" s="105" t="s">
        <v>666</v>
      </c>
      <c r="L153" s="136">
        <v>45229</v>
      </c>
      <c r="M153" s="109">
        <v>45234</v>
      </c>
      <c r="N153" s="105" t="s">
        <v>667</v>
      </c>
      <c r="O153" s="97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 spans="1:28" ht="29">
      <c r="A154" s="261"/>
      <c r="B154" s="105" t="s">
        <v>543</v>
      </c>
      <c r="C154" s="138">
        <v>16002</v>
      </c>
      <c r="D154" s="97"/>
      <c r="E154" s="97" t="s">
        <v>603</v>
      </c>
      <c r="F154" s="97" t="s">
        <v>35</v>
      </c>
      <c r="G154" s="121">
        <v>200</v>
      </c>
      <c r="H154" s="109">
        <v>45233</v>
      </c>
      <c r="I154" s="261"/>
      <c r="J154" s="108" t="s">
        <v>665</v>
      </c>
      <c r="K154" s="105" t="s">
        <v>666</v>
      </c>
      <c r="L154" s="136">
        <v>45229</v>
      </c>
      <c r="M154" s="109">
        <v>45234</v>
      </c>
      <c r="N154" s="105" t="s">
        <v>667</v>
      </c>
      <c r="O154" s="97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 spans="1:28" ht="29">
      <c r="A155" s="280">
        <v>28</v>
      </c>
      <c r="B155" s="105" t="s">
        <v>543</v>
      </c>
      <c r="C155" s="138">
        <v>16032</v>
      </c>
      <c r="D155" s="114">
        <v>6678</v>
      </c>
      <c r="E155" s="105" t="s">
        <v>554</v>
      </c>
      <c r="F155" s="133" t="s">
        <v>328</v>
      </c>
      <c r="G155" s="130">
        <v>5</v>
      </c>
      <c r="H155" s="109">
        <v>45229</v>
      </c>
      <c r="I155" s="283" t="s">
        <v>668</v>
      </c>
      <c r="J155" s="108">
        <v>773885736911</v>
      </c>
      <c r="K155" s="105" t="s">
        <v>669</v>
      </c>
      <c r="L155" s="136">
        <v>45230</v>
      </c>
      <c r="M155" s="109">
        <v>45237</v>
      </c>
      <c r="N155" s="105" t="s">
        <v>658</v>
      </c>
      <c r="O155" s="97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 spans="1:28" ht="29">
      <c r="A156" s="264"/>
      <c r="B156" s="105" t="s">
        <v>543</v>
      </c>
      <c r="C156" s="138">
        <v>15966</v>
      </c>
      <c r="D156" s="114">
        <v>6656</v>
      </c>
      <c r="E156" s="105" t="s">
        <v>554</v>
      </c>
      <c r="F156" s="133" t="s">
        <v>328</v>
      </c>
      <c r="G156" s="130">
        <v>4</v>
      </c>
      <c r="H156" s="109">
        <v>45229</v>
      </c>
      <c r="I156" s="264"/>
      <c r="J156" s="108">
        <v>773885736911</v>
      </c>
      <c r="K156" s="105" t="s">
        <v>669</v>
      </c>
      <c r="L156" s="136">
        <v>45230</v>
      </c>
      <c r="M156" s="109">
        <v>45237</v>
      </c>
      <c r="N156" s="105" t="s">
        <v>658</v>
      </c>
      <c r="O156" s="97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 spans="1:28" ht="29">
      <c r="A157" s="264"/>
      <c r="B157" s="105" t="s">
        <v>543</v>
      </c>
      <c r="C157" s="138">
        <v>16202</v>
      </c>
      <c r="D157" s="97"/>
      <c r="E157" s="105" t="s">
        <v>554</v>
      </c>
      <c r="F157" s="133" t="s">
        <v>670</v>
      </c>
      <c r="G157" s="130">
        <v>15</v>
      </c>
      <c r="H157" s="109">
        <v>45229</v>
      </c>
      <c r="I157" s="264"/>
      <c r="J157" s="108">
        <v>773885736911</v>
      </c>
      <c r="K157" s="105" t="s">
        <v>669</v>
      </c>
      <c r="L157" s="136">
        <v>45230</v>
      </c>
      <c r="M157" s="109">
        <v>45237</v>
      </c>
      <c r="N157" s="105" t="s">
        <v>658</v>
      </c>
      <c r="O157" s="97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 spans="1:28" ht="29">
      <c r="A158" s="264"/>
      <c r="B158" s="105" t="s">
        <v>543</v>
      </c>
      <c r="C158" s="138">
        <v>16243</v>
      </c>
      <c r="D158" s="97"/>
      <c r="E158" s="105" t="s">
        <v>554</v>
      </c>
      <c r="F158" s="133" t="s">
        <v>671</v>
      </c>
      <c r="G158" s="130">
        <v>9</v>
      </c>
      <c r="H158" s="109">
        <v>45229</v>
      </c>
      <c r="I158" s="264"/>
      <c r="J158" s="108">
        <v>773885736911</v>
      </c>
      <c r="K158" s="105" t="s">
        <v>669</v>
      </c>
      <c r="L158" s="136">
        <v>45230</v>
      </c>
      <c r="M158" s="109">
        <v>45237</v>
      </c>
      <c r="N158" s="105" t="s">
        <v>658</v>
      </c>
      <c r="O158" s="97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 spans="1:28" ht="29">
      <c r="A159" s="264"/>
      <c r="B159" s="105" t="s">
        <v>543</v>
      </c>
      <c r="C159" s="139">
        <v>16624</v>
      </c>
      <c r="D159" s="114">
        <v>6938</v>
      </c>
      <c r="E159" s="105" t="s">
        <v>554</v>
      </c>
      <c r="F159" s="97" t="s">
        <v>473</v>
      </c>
      <c r="G159" s="121">
        <v>6</v>
      </c>
      <c r="H159" s="109">
        <v>45229</v>
      </c>
      <c r="I159" s="264"/>
      <c r="J159" s="108">
        <v>773885736911</v>
      </c>
      <c r="K159" s="105" t="s">
        <v>669</v>
      </c>
      <c r="L159" s="136">
        <v>45230</v>
      </c>
      <c r="M159" s="109">
        <v>45237</v>
      </c>
      <c r="N159" s="105" t="s">
        <v>658</v>
      </c>
      <c r="O159" s="97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 spans="1:28" ht="29">
      <c r="A160" s="264"/>
      <c r="B160" s="105" t="s">
        <v>543</v>
      </c>
      <c r="C160" s="114">
        <v>15033</v>
      </c>
      <c r="D160" s="97"/>
      <c r="E160" s="105" t="s">
        <v>554</v>
      </c>
      <c r="F160" s="105" t="s">
        <v>169</v>
      </c>
      <c r="G160" s="108">
        <v>40</v>
      </c>
      <c r="H160" s="109">
        <v>45229</v>
      </c>
      <c r="I160" s="264"/>
      <c r="J160" s="108">
        <v>773885736911</v>
      </c>
      <c r="K160" s="105" t="s">
        <v>669</v>
      </c>
      <c r="L160" s="136">
        <v>45230</v>
      </c>
      <c r="M160" s="109">
        <v>45237</v>
      </c>
      <c r="N160" s="105" t="s">
        <v>658</v>
      </c>
      <c r="O160" s="97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 spans="1:28" ht="29">
      <c r="A161" s="261"/>
      <c r="B161" s="105" t="s">
        <v>543</v>
      </c>
      <c r="C161" s="114">
        <v>16724</v>
      </c>
      <c r="D161" s="114">
        <v>6985</v>
      </c>
      <c r="E161" s="105" t="s">
        <v>554</v>
      </c>
      <c r="F161" s="105" t="s">
        <v>447</v>
      </c>
      <c r="G161" s="108">
        <v>8</v>
      </c>
      <c r="H161" s="109">
        <v>45229</v>
      </c>
      <c r="I161" s="261"/>
      <c r="J161" s="108">
        <v>773885736911</v>
      </c>
      <c r="K161" s="105" t="s">
        <v>669</v>
      </c>
      <c r="L161" s="136">
        <v>45230</v>
      </c>
      <c r="M161" s="109">
        <v>45237</v>
      </c>
      <c r="N161" s="105" t="s">
        <v>658</v>
      </c>
      <c r="O161" s="97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 spans="1:28" ht="58">
      <c r="A162" s="280">
        <v>29</v>
      </c>
      <c r="B162" s="105" t="s">
        <v>543</v>
      </c>
      <c r="C162" s="114">
        <v>15010</v>
      </c>
      <c r="D162" s="97"/>
      <c r="E162" s="105" t="s">
        <v>672</v>
      </c>
      <c r="F162" s="97" t="s">
        <v>54</v>
      </c>
      <c r="G162" s="121">
        <v>250</v>
      </c>
      <c r="H162" s="136">
        <v>45224</v>
      </c>
      <c r="I162" s="283" t="s">
        <v>673</v>
      </c>
      <c r="J162" s="105" t="s">
        <v>674</v>
      </c>
      <c r="K162" s="105" t="s">
        <v>644</v>
      </c>
      <c r="L162" s="136">
        <v>45223</v>
      </c>
      <c r="M162" s="136">
        <v>45225</v>
      </c>
      <c r="N162" s="105" t="s">
        <v>675</v>
      </c>
      <c r="O162" s="97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 spans="1:28" ht="58">
      <c r="A163" s="264"/>
      <c r="B163" s="105" t="s">
        <v>543</v>
      </c>
      <c r="C163" s="114">
        <v>15011</v>
      </c>
      <c r="D163" s="97"/>
      <c r="E163" s="105" t="s">
        <v>672</v>
      </c>
      <c r="F163" s="97" t="s">
        <v>54</v>
      </c>
      <c r="G163" s="121">
        <v>250</v>
      </c>
      <c r="H163" s="136">
        <v>45224</v>
      </c>
      <c r="I163" s="264"/>
      <c r="J163" s="105" t="s">
        <v>674</v>
      </c>
      <c r="K163" s="105" t="s">
        <v>644</v>
      </c>
      <c r="L163" s="136">
        <v>45223</v>
      </c>
      <c r="M163" s="136">
        <v>45225</v>
      </c>
      <c r="N163" s="105" t="s">
        <v>675</v>
      </c>
      <c r="O163" s="97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 spans="1:28" ht="58">
      <c r="A164" s="261"/>
      <c r="B164" s="105" t="s">
        <v>543</v>
      </c>
      <c r="C164" s="114" t="s">
        <v>638</v>
      </c>
      <c r="D164" s="97"/>
      <c r="E164" s="105" t="s">
        <v>672</v>
      </c>
      <c r="F164" s="97" t="s">
        <v>169</v>
      </c>
      <c r="G164" s="137">
        <v>2</v>
      </c>
      <c r="H164" s="136">
        <v>45224</v>
      </c>
      <c r="I164" s="261"/>
      <c r="J164" s="105" t="s">
        <v>674</v>
      </c>
      <c r="K164" s="105" t="s">
        <v>644</v>
      </c>
      <c r="L164" s="136">
        <v>45223</v>
      </c>
      <c r="M164" s="136">
        <v>45225</v>
      </c>
      <c r="N164" s="105" t="s">
        <v>675</v>
      </c>
      <c r="O164" s="97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 spans="1:28" ht="29">
      <c r="A165" s="280">
        <v>30</v>
      </c>
      <c r="B165" s="105" t="s">
        <v>543</v>
      </c>
      <c r="C165" s="281">
        <v>16186</v>
      </c>
      <c r="D165" s="97"/>
      <c r="E165" s="282" t="s">
        <v>579</v>
      </c>
      <c r="F165" s="97" t="s">
        <v>95</v>
      </c>
      <c r="G165" s="137">
        <v>1000</v>
      </c>
      <c r="H165" s="136">
        <v>45229</v>
      </c>
      <c r="I165" s="283" t="s">
        <v>668</v>
      </c>
      <c r="J165" s="108">
        <v>773871453232</v>
      </c>
      <c r="K165" s="105" t="s">
        <v>669</v>
      </c>
      <c r="L165" s="136">
        <v>45226</v>
      </c>
      <c r="M165" s="136">
        <v>45234</v>
      </c>
      <c r="N165" s="105" t="s">
        <v>676</v>
      </c>
      <c r="O165" s="97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 spans="1:28" ht="29">
      <c r="A166" s="261"/>
      <c r="B166" s="105" t="s">
        <v>543</v>
      </c>
      <c r="C166" s="261"/>
      <c r="D166" s="97"/>
      <c r="E166" s="261"/>
      <c r="F166" s="97" t="s">
        <v>98</v>
      </c>
      <c r="G166" s="121">
        <v>200</v>
      </c>
      <c r="H166" s="136">
        <v>45229</v>
      </c>
      <c r="I166" s="261"/>
      <c r="J166" s="108">
        <v>773871453232</v>
      </c>
      <c r="K166" s="105" t="s">
        <v>669</v>
      </c>
      <c r="L166" s="136">
        <v>45226</v>
      </c>
      <c r="M166" s="136">
        <v>45234</v>
      </c>
      <c r="N166" s="105" t="s">
        <v>676</v>
      </c>
      <c r="O166" s="97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 spans="1:28" ht="29">
      <c r="A167" s="280">
        <v>31</v>
      </c>
      <c r="B167" s="105" t="s">
        <v>543</v>
      </c>
      <c r="C167" s="281">
        <v>15189</v>
      </c>
      <c r="D167" s="97"/>
      <c r="E167" s="282" t="s">
        <v>631</v>
      </c>
      <c r="F167" s="97" t="s">
        <v>21</v>
      </c>
      <c r="G167" s="121">
        <v>16</v>
      </c>
      <c r="H167" s="136">
        <v>45225</v>
      </c>
      <c r="I167" s="283" t="s">
        <v>576</v>
      </c>
      <c r="J167" s="108">
        <v>773838846265</v>
      </c>
      <c r="K167" s="283" t="s">
        <v>677</v>
      </c>
      <c r="L167" s="136">
        <v>45224</v>
      </c>
      <c r="M167" s="109">
        <v>45231</v>
      </c>
      <c r="N167" s="105" t="s">
        <v>678</v>
      </c>
      <c r="O167" s="97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 spans="1:28" ht="29">
      <c r="A168" s="264"/>
      <c r="B168" s="105" t="s">
        <v>543</v>
      </c>
      <c r="C168" s="261"/>
      <c r="D168" s="97"/>
      <c r="E168" s="264"/>
      <c r="F168" s="97" t="s">
        <v>19</v>
      </c>
      <c r="G168" s="121">
        <v>88</v>
      </c>
      <c r="H168" s="136">
        <v>45225</v>
      </c>
      <c r="I168" s="264"/>
      <c r="J168" s="108">
        <v>773838846265</v>
      </c>
      <c r="K168" s="264"/>
      <c r="L168" s="136">
        <v>45224</v>
      </c>
      <c r="M168" s="109">
        <v>45231</v>
      </c>
      <c r="N168" s="105" t="s">
        <v>678</v>
      </c>
      <c r="O168" s="97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 spans="1:28" ht="29">
      <c r="A169" s="264"/>
      <c r="B169" s="105" t="s">
        <v>543</v>
      </c>
      <c r="C169" s="97"/>
      <c r="D169" s="114" t="s">
        <v>679</v>
      </c>
      <c r="E169" s="264"/>
      <c r="F169" s="97" t="s">
        <v>21</v>
      </c>
      <c r="G169" s="127">
        <v>1</v>
      </c>
      <c r="H169" s="136">
        <v>45225</v>
      </c>
      <c r="I169" s="264"/>
      <c r="J169" s="108">
        <v>773838846265</v>
      </c>
      <c r="K169" s="264"/>
      <c r="L169" s="136">
        <v>45224</v>
      </c>
      <c r="M169" s="109">
        <v>45231</v>
      </c>
      <c r="N169" s="105" t="s">
        <v>678</v>
      </c>
      <c r="O169" s="97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 spans="1:28" ht="29">
      <c r="A170" s="261"/>
      <c r="B170" s="105" t="s">
        <v>543</v>
      </c>
      <c r="C170" s="97"/>
      <c r="D170" s="114" t="s">
        <v>679</v>
      </c>
      <c r="E170" s="261"/>
      <c r="F170" s="97" t="s">
        <v>19</v>
      </c>
      <c r="G170" s="127">
        <v>1</v>
      </c>
      <c r="H170" s="136">
        <v>45225</v>
      </c>
      <c r="I170" s="261"/>
      <c r="J170" s="108">
        <v>773838846265</v>
      </c>
      <c r="K170" s="261"/>
      <c r="L170" s="136">
        <v>45224</v>
      </c>
      <c r="M170" s="109">
        <v>45231</v>
      </c>
      <c r="N170" s="105" t="s">
        <v>678</v>
      </c>
      <c r="O170" s="97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 spans="1:28" ht="29">
      <c r="A171" s="113">
        <v>32</v>
      </c>
      <c r="B171" s="105" t="s">
        <v>543</v>
      </c>
      <c r="C171" s="114">
        <v>16655</v>
      </c>
      <c r="D171" s="114">
        <v>6953</v>
      </c>
      <c r="E171" s="107" t="s">
        <v>681</v>
      </c>
      <c r="F171" s="131" t="s">
        <v>475</v>
      </c>
      <c r="G171" s="127">
        <v>1</v>
      </c>
      <c r="H171" s="136">
        <v>45223</v>
      </c>
      <c r="I171" s="105" t="s">
        <v>576</v>
      </c>
      <c r="J171" s="108">
        <v>773824190119</v>
      </c>
      <c r="K171" s="105" t="s">
        <v>577</v>
      </c>
      <c r="L171" s="136">
        <v>45222</v>
      </c>
      <c r="M171" s="136">
        <v>45227</v>
      </c>
      <c r="N171" s="105" t="s">
        <v>682</v>
      </c>
      <c r="O171" s="97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 spans="1:28" ht="29">
      <c r="A172" s="280">
        <v>33</v>
      </c>
      <c r="B172" s="105" t="s">
        <v>541</v>
      </c>
      <c r="C172" s="284">
        <v>16079</v>
      </c>
      <c r="D172" s="284">
        <v>6683</v>
      </c>
      <c r="E172" s="295" t="s">
        <v>683</v>
      </c>
      <c r="F172" s="131" t="s">
        <v>17</v>
      </c>
      <c r="G172" s="127">
        <v>450</v>
      </c>
      <c r="H172" s="136">
        <v>45252</v>
      </c>
      <c r="I172" s="283" t="s">
        <v>604</v>
      </c>
      <c r="J172" s="108" t="s">
        <v>684</v>
      </c>
      <c r="K172" s="283" t="s">
        <v>685</v>
      </c>
      <c r="L172" s="136">
        <v>45245</v>
      </c>
      <c r="M172" s="136">
        <v>45260</v>
      </c>
      <c r="N172" s="105" t="s">
        <v>686</v>
      </c>
      <c r="O172" s="97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 spans="1:28" ht="29">
      <c r="A173" s="261"/>
      <c r="B173" s="105" t="s">
        <v>541</v>
      </c>
      <c r="C173" s="261"/>
      <c r="D173" s="261"/>
      <c r="E173" s="261"/>
      <c r="F173" s="133" t="s">
        <v>380</v>
      </c>
      <c r="G173" s="130">
        <v>30</v>
      </c>
      <c r="H173" s="136">
        <v>45252</v>
      </c>
      <c r="I173" s="261"/>
      <c r="J173" s="108" t="s">
        <v>684</v>
      </c>
      <c r="K173" s="261"/>
      <c r="L173" s="136">
        <v>45245</v>
      </c>
      <c r="M173" s="136">
        <v>45260</v>
      </c>
      <c r="N173" s="105" t="s">
        <v>686</v>
      </c>
      <c r="O173" s="97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 spans="1:28" ht="29">
      <c r="A174" s="113">
        <v>34</v>
      </c>
      <c r="B174" s="105" t="s">
        <v>543</v>
      </c>
      <c r="C174" s="106">
        <v>16692</v>
      </c>
      <c r="D174" s="139">
        <v>6992</v>
      </c>
      <c r="E174" s="107" t="s">
        <v>687</v>
      </c>
      <c r="F174" s="131" t="s">
        <v>477</v>
      </c>
      <c r="G174" s="127">
        <v>20</v>
      </c>
      <c r="H174" s="136">
        <v>45230</v>
      </c>
      <c r="I174" s="105" t="s">
        <v>576</v>
      </c>
      <c r="J174" s="108">
        <v>773904024815</v>
      </c>
      <c r="K174" s="105" t="s">
        <v>577</v>
      </c>
      <c r="L174" s="136">
        <v>45230</v>
      </c>
      <c r="M174" s="109">
        <v>45233</v>
      </c>
      <c r="N174" s="105" t="s">
        <v>676</v>
      </c>
      <c r="O174" s="97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 spans="1:28" ht="29">
      <c r="A175" s="280">
        <v>35</v>
      </c>
      <c r="B175" s="105" t="s">
        <v>543</v>
      </c>
      <c r="C175" s="281">
        <v>16811</v>
      </c>
      <c r="D175" s="281">
        <v>7018</v>
      </c>
      <c r="E175" s="282" t="s">
        <v>688</v>
      </c>
      <c r="F175" s="141" t="s">
        <v>483</v>
      </c>
      <c r="G175" s="142">
        <v>1</v>
      </c>
      <c r="H175" s="109">
        <v>45231</v>
      </c>
      <c r="I175" s="283" t="s">
        <v>576</v>
      </c>
      <c r="J175" s="123">
        <v>785678249432</v>
      </c>
      <c r="K175" s="283" t="s">
        <v>577</v>
      </c>
      <c r="L175" s="136">
        <v>45230</v>
      </c>
      <c r="M175" s="109">
        <v>45238</v>
      </c>
      <c r="N175" s="105" t="s">
        <v>667</v>
      </c>
      <c r="O175" s="97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 spans="1:28" ht="29">
      <c r="A176" s="264"/>
      <c r="B176" s="105" t="s">
        <v>543</v>
      </c>
      <c r="C176" s="264"/>
      <c r="D176" s="264"/>
      <c r="E176" s="264"/>
      <c r="F176" s="143" t="s">
        <v>484</v>
      </c>
      <c r="G176" s="130">
        <v>1</v>
      </c>
      <c r="H176" s="109">
        <v>45231</v>
      </c>
      <c r="I176" s="264"/>
      <c r="J176" s="123">
        <v>785678249432</v>
      </c>
      <c r="K176" s="264"/>
      <c r="L176" s="136">
        <v>45230</v>
      </c>
      <c r="M176" s="109">
        <v>45238</v>
      </c>
      <c r="N176" s="105" t="s">
        <v>667</v>
      </c>
      <c r="O176" s="97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 spans="1:28" ht="29">
      <c r="A177" s="264"/>
      <c r="B177" s="105" t="s">
        <v>543</v>
      </c>
      <c r="C177" s="264"/>
      <c r="D177" s="264"/>
      <c r="E177" s="264"/>
      <c r="F177" s="143" t="s">
        <v>485</v>
      </c>
      <c r="G177" s="130">
        <v>3</v>
      </c>
      <c r="H177" s="109">
        <v>45231</v>
      </c>
      <c r="I177" s="264"/>
      <c r="J177" s="123">
        <v>785678249432</v>
      </c>
      <c r="K177" s="264"/>
      <c r="L177" s="136">
        <v>45230</v>
      </c>
      <c r="M177" s="109">
        <v>45238</v>
      </c>
      <c r="N177" s="105" t="s">
        <v>667</v>
      </c>
      <c r="O177" s="97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 spans="1:28" ht="29">
      <c r="A178" s="264"/>
      <c r="B178" s="105" t="s">
        <v>543</v>
      </c>
      <c r="C178" s="264"/>
      <c r="D178" s="264"/>
      <c r="E178" s="264"/>
      <c r="F178" s="143" t="s">
        <v>486</v>
      </c>
      <c r="G178" s="130">
        <v>2</v>
      </c>
      <c r="H178" s="109">
        <v>45231</v>
      </c>
      <c r="I178" s="264"/>
      <c r="J178" s="123">
        <v>785678249432</v>
      </c>
      <c r="K178" s="264"/>
      <c r="L178" s="136">
        <v>45230</v>
      </c>
      <c r="M178" s="109">
        <v>45238</v>
      </c>
      <c r="N178" s="105" t="s">
        <v>667</v>
      </c>
      <c r="O178" s="97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 spans="1:28" ht="29">
      <c r="A179" s="264"/>
      <c r="B179" s="105" t="s">
        <v>543</v>
      </c>
      <c r="C179" s="264"/>
      <c r="D179" s="264"/>
      <c r="E179" s="264"/>
      <c r="F179" s="143" t="s">
        <v>487</v>
      </c>
      <c r="G179" s="130">
        <v>1</v>
      </c>
      <c r="H179" s="109">
        <v>45231</v>
      </c>
      <c r="I179" s="264"/>
      <c r="J179" s="123">
        <v>785678249432</v>
      </c>
      <c r="K179" s="264"/>
      <c r="L179" s="136">
        <v>45230</v>
      </c>
      <c r="M179" s="109">
        <v>45238</v>
      </c>
      <c r="N179" s="105" t="s">
        <v>667</v>
      </c>
      <c r="O179" s="97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 spans="1:28" ht="29">
      <c r="A180" s="261"/>
      <c r="B180" s="105" t="s">
        <v>543</v>
      </c>
      <c r="C180" s="261"/>
      <c r="D180" s="261"/>
      <c r="E180" s="261"/>
      <c r="F180" s="143" t="s">
        <v>488</v>
      </c>
      <c r="G180" s="130">
        <v>1</v>
      </c>
      <c r="H180" s="109">
        <v>45231</v>
      </c>
      <c r="I180" s="261"/>
      <c r="J180" s="123">
        <v>785678249432</v>
      </c>
      <c r="K180" s="261"/>
      <c r="L180" s="136">
        <v>45230</v>
      </c>
      <c r="M180" s="109">
        <v>45238</v>
      </c>
      <c r="N180" s="105" t="s">
        <v>667</v>
      </c>
      <c r="O180" s="97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 spans="1:28" ht="29">
      <c r="A181" s="104">
        <v>36</v>
      </c>
      <c r="B181" s="105" t="s">
        <v>543</v>
      </c>
      <c r="C181" s="140">
        <v>16079</v>
      </c>
      <c r="D181" s="140">
        <v>6683</v>
      </c>
      <c r="E181" s="132" t="s">
        <v>683</v>
      </c>
      <c r="F181" s="131" t="s">
        <v>17</v>
      </c>
      <c r="G181" s="127">
        <v>300</v>
      </c>
      <c r="H181" s="136">
        <v>45241</v>
      </c>
      <c r="I181" s="105" t="s">
        <v>604</v>
      </c>
      <c r="J181" s="108" t="s">
        <v>689</v>
      </c>
      <c r="K181" s="110" t="s">
        <v>690</v>
      </c>
      <c r="L181" s="136">
        <v>45239</v>
      </c>
      <c r="M181" s="136">
        <v>45241</v>
      </c>
      <c r="N181" s="105" t="s">
        <v>691</v>
      </c>
      <c r="O181" s="97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 spans="1:28" ht="29">
      <c r="A182" s="280">
        <v>38</v>
      </c>
      <c r="B182" s="110" t="s">
        <v>541</v>
      </c>
      <c r="C182" s="114">
        <v>16012</v>
      </c>
      <c r="D182" s="97"/>
      <c r="E182" s="132" t="s">
        <v>683</v>
      </c>
      <c r="F182" s="97" t="s">
        <v>17</v>
      </c>
      <c r="G182" s="121">
        <v>100</v>
      </c>
      <c r="H182" s="136">
        <v>45273</v>
      </c>
      <c r="I182" s="283" t="s">
        <v>692</v>
      </c>
      <c r="J182" s="105" t="s">
        <v>693</v>
      </c>
      <c r="K182" s="283" t="s">
        <v>694</v>
      </c>
      <c r="L182" s="136">
        <v>45273</v>
      </c>
      <c r="M182" s="136">
        <v>45281</v>
      </c>
      <c r="N182" s="105" t="s">
        <v>696</v>
      </c>
      <c r="O182" s="97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 spans="1:28" ht="29">
      <c r="A183" s="261"/>
      <c r="B183" s="110" t="s">
        <v>541</v>
      </c>
      <c r="C183" s="114">
        <v>16413</v>
      </c>
      <c r="D183" s="97"/>
      <c r="E183" s="132" t="s">
        <v>683</v>
      </c>
      <c r="F183" s="97" t="s">
        <v>14</v>
      </c>
      <c r="G183" s="121">
        <v>100</v>
      </c>
      <c r="H183" s="136">
        <v>45273</v>
      </c>
      <c r="I183" s="261"/>
      <c r="J183" s="105" t="s">
        <v>693</v>
      </c>
      <c r="K183" s="261"/>
      <c r="L183" s="136">
        <v>45273</v>
      </c>
      <c r="M183" s="136">
        <v>45281</v>
      </c>
      <c r="N183" s="105" t="s">
        <v>696</v>
      </c>
      <c r="O183" s="97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 spans="1:28" ht="29">
      <c r="A184" s="280">
        <v>39</v>
      </c>
      <c r="B184" s="110" t="s">
        <v>541</v>
      </c>
      <c r="C184" s="106">
        <v>16080</v>
      </c>
      <c r="D184" s="114">
        <v>6683</v>
      </c>
      <c r="E184" s="134" t="s">
        <v>630</v>
      </c>
      <c r="F184" s="107" t="s">
        <v>6</v>
      </c>
      <c r="G184" s="127">
        <v>200</v>
      </c>
      <c r="H184" s="136">
        <v>45280</v>
      </c>
      <c r="I184" s="283" t="s">
        <v>692</v>
      </c>
      <c r="J184" s="105" t="s">
        <v>697</v>
      </c>
      <c r="K184" s="283" t="s">
        <v>698</v>
      </c>
      <c r="L184" s="136">
        <v>45280</v>
      </c>
      <c r="M184" s="136">
        <v>45288</v>
      </c>
      <c r="N184" s="105" t="s">
        <v>696</v>
      </c>
      <c r="O184" s="97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 spans="1:28" ht="29">
      <c r="A185" s="261"/>
      <c r="B185" s="110" t="s">
        <v>541</v>
      </c>
      <c r="C185" s="106">
        <v>16080</v>
      </c>
      <c r="D185" s="114">
        <v>6683</v>
      </c>
      <c r="E185" s="134" t="s">
        <v>630</v>
      </c>
      <c r="F185" s="125" t="s">
        <v>5</v>
      </c>
      <c r="G185" s="130">
        <v>100</v>
      </c>
      <c r="H185" s="136">
        <v>45280</v>
      </c>
      <c r="I185" s="261"/>
      <c r="J185" s="105" t="s">
        <v>697</v>
      </c>
      <c r="K185" s="261"/>
      <c r="L185" s="136">
        <v>45280</v>
      </c>
      <c r="M185" s="136">
        <v>45288</v>
      </c>
      <c r="N185" s="105" t="s">
        <v>696</v>
      </c>
      <c r="O185" s="97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 spans="1:28" ht="29">
      <c r="A186" s="280">
        <v>40</v>
      </c>
      <c r="B186" s="110" t="s">
        <v>541</v>
      </c>
      <c r="C186" s="114">
        <v>16602</v>
      </c>
      <c r="D186" s="114">
        <v>6906</v>
      </c>
      <c r="E186" s="283" t="s">
        <v>630</v>
      </c>
      <c r="F186" s="141" t="s">
        <v>6</v>
      </c>
      <c r="G186" s="142">
        <v>200</v>
      </c>
      <c r="H186" s="136">
        <v>45290</v>
      </c>
      <c r="I186" s="283" t="s">
        <v>692</v>
      </c>
      <c r="J186" s="105" t="s">
        <v>699</v>
      </c>
      <c r="K186" s="283" t="s">
        <v>698</v>
      </c>
      <c r="L186" s="136">
        <v>45290</v>
      </c>
      <c r="M186" s="109">
        <v>45305</v>
      </c>
      <c r="N186" s="105" t="s">
        <v>700</v>
      </c>
      <c r="O186" s="97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 spans="1:28" ht="29">
      <c r="A187" s="261"/>
      <c r="B187" s="110" t="s">
        <v>541</v>
      </c>
      <c r="C187" s="114">
        <v>16602</v>
      </c>
      <c r="D187" s="114">
        <v>6906</v>
      </c>
      <c r="E187" s="261"/>
      <c r="F187" s="143" t="s">
        <v>5</v>
      </c>
      <c r="G187" s="144">
        <v>100</v>
      </c>
      <c r="H187" s="136">
        <v>45290</v>
      </c>
      <c r="I187" s="261"/>
      <c r="J187" s="105" t="s">
        <v>699</v>
      </c>
      <c r="K187" s="261"/>
      <c r="L187" s="136">
        <v>45290</v>
      </c>
      <c r="M187" s="109">
        <v>45305</v>
      </c>
      <c r="N187" s="105" t="s">
        <v>700</v>
      </c>
      <c r="O187" s="97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 spans="1:28" ht="29">
      <c r="A188" s="280">
        <v>41</v>
      </c>
      <c r="B188" s="110" t="s">
        <v>543</v>
      </c>
      <c r="C188" s="106">
        <v>16605</v>
      </c>
      <c r="D188" s="114">
        <v>6906</v>
      </c>
      <c r="E188" s="107" t="s">
        <v>683</v>
      </c>
      <c r="F188" s="131" t="s">
        <v>10</v>
      </c>
      <c r="G188" s="127">
        <v>100</v>
      </c>
      <c r="H188" s="136">
        <v>45277</v>
      </c>
      <c r="I188" s="283" t="s">
        <v>604</v>
      </c>
      <c r="J188" s="136">
        <v>45277</v>
      </c>
      <c r="K188" s="283" t="s">
        <v>663</v>
      </c>
      <c r="L188" s="97"/>
      <c r="M188" s="136">
        <v>45275</v>
      </c>
      <c r="N188" s="105" t="s">
        <v>701</v>
      </c>
      <c r="O188" s="97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 spans="1:28" ht="29">
      <c r="A189" s="261"/>
      <c r="B189" s="110" t="s">
        <v>543</v>
      </c>
      <c r="C189" s="106">
        <v>16715</v>
      </c>
      <c r="D189" s="97"/>
      <c r="E189" s="97" t="s">
        <v>683</v>
      </c>
      <c r="F189" s="97" t="s">
        <v>12</v>
      </c>
      <c r="G189" s="121">
        <v>150</v>
      </c>
      <c r="H189" s="136">
        <v>45277</v>
      </c>
      <c r="I189" s="261"/>
      <c r="J189" s="136">
        <v>45277</v>
      </c>
      <c r="K189" s="261"/>
      <c r="L189" s="97"/>
      <c r="M189" s="136">
        <v>45275</v>
      </c>
      <c r="N189" s="105" t="s">
        <v>701</v>
      </c>
      <c r="O189" s="97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 spans="1:28" ht="29">
      <c r="A190" s="113">
        <v>42</v>
      </c>
      <c r="B190" s="105" t="s">
        <v>543</v>
      </c>
      <c r="C190" s="114">
        <v>16850</v>
      </c>
      <c r="D190" s="114">
        <v>7038</v>
      </c>
      <c r="E190" s="107" t="s">
        <v>702</v>
      </c>
      <c r="F190" s="131" t="s">
        <v>37</v>
      </c>
      <c r="G190" s="127">
        <v>175</v>
      </c>
      <c r="H190" s="136">
        <v>45276</v>
      </c>
      <c r="I190" s="105" t="s">
        <v>576</v>
      </c>
      <c r="J190" s="108">
        <v>774382425184</v>
      </c>
      <c r="K190" s="105" t="s">
        <v>654</v>
      </c>
      <c r="L190" s="109">
        <v>45268</v>
      </c>
      <c r="M190" s="136">
        <v>45276</v>
      </c>
      <c r="N190" s="105" t="s">
        <v>703</v>
      </c>
      <c r="O190" s="97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 spans="1:28" ht="29">
      <c r="A191" s="113">
        <v>43</v>
      </c>
      <c r="B191" s="105" t="s">
        <v>543</v>
      </c>
      <c r="C191" s="114">
        <v>17046</v>
      </c>
      <c r="D191" s="114">
        <v>7172</v>
      </c>
      <c r="E191" s="107" t="s">
        <v>704</v>
      </c>
      <c r="F191" s="131" t="s">
        <v>705</v>
      </c>
      <c r="G191" s="127">
        <v>1</v>
      </c>
      <c r="H191" s="109">
        <v>45267</v>
      </c>
      <c r="I191" s="105" t="s">
        <v>576</v>
      </c>
      <c r="J191" s="108">
        <v>774252094545</v>
      </c>
      <c r="K191" s="105" t="s">
        <v>588</v>
      </c>
      <c r="L191" s="136">
        <v>45259</v>
      </c>
      <c r="M191" s="109">
        <v>45267</v>
      </c>
      <c r="N191" s="105" t="s">
        <v>706</v>
      </c>
      <c r="O191" s="97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 spans="1:28" ht="29">
      <c r="A192" s="280">
        <v>44</v>
      </c>
      <c r="B192" s="110" t="s">
        <v>543</v>
      </c>
      <c r="C192" s="135">
        <v>17091</v>
      </c>
      <c r="D192" s="135">
        <v>7018</v>
      </c>
      <c r="E192" s="134" t="s">
        <v>688</v>
      </c>
      <c r="F192" s="131" t="s">
        <v>489</v>
      </c>
      <c r="G192" s="127">
        <v>100</v>
      </c>
      <c r="H192" s="136">
        <v>45256</v>
      </c>
      <c r="I192" s="283" t="s">
        <v>576</v>
      </c>
      <c r="J192" s="108">
        <v>774226366660</v>
      </c>
      <c r="K192" s="105" t="s">
        <v>588</v>
      </c>
      <c r="L192" s="136">
        <v>45255</v>
      </c>
      <c r="M192" s="136">
        <v>45260</v>
      </c>
      <c r="N192" s="105" t="s">
        <v>707</v>
      </c>
      <c r="O192" s="97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 spans="1:28" ht="29">
      <c r="A193" s="264"/>
      <c r="B193" s="110" t="s">
        <v>543</v>
      </c>
      <c r="C193" s="135">
        <v>17091</v>
      </c>
      <c r="D193" s="135">
        <v>7018</v>
      </c>
      <c r="E193" s="134" t="s">
        <v>688</v>
      </c>
      <c r="F193" s="133" t="s">
        <v>490</v>
      </c>
      <c r="G193" s="130">
        <v>100</v>
      </c>
      <c r="H193" s="136">
        <v>45256</v>
      </c>
      <c r="I193" s="264"/>
      <c r="J193" s="108">
        <v>774226366660</v>
      </c>
      <c r="K193" s="105" t="s">
        <v>588</v>
      </c>
      <c r="L193" s="136">
        <v>45255</v>
      </c>
      <c r="M193" s="136">
        <v>45260</v>
      </c>
      <c r="N193" s="105" t="s">
        <v>707</v>
      </c>
      <c r="O193" s="97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 spans="1:28" ht="29">
      <c r="A194" s="264"/>
      <c r="B194" s="110" t="s">
        <v>543</v>
      </c>
      <c r="C194" s="135">
        <v>17091</v>
      </c>
      <c r="D194" s="135">
        <v>7018</v>
      </c>
      <c r="E194" s="134" t="s">
        <v>688</v>
      </c>
      <c r="F194" s="133" t="s">
        <v>491</v>
      </c>
      <c r="G194" s="130">
        <v>100</v>
      </c>
      <c r="H194" s="136">
        <v>45256</v>
      </c>
      <c r="I194" s="264"/>
      <c r="J194" s="108">
        <v>774226366660</v>
      </c>
      <c r="K194" s="105" t="s">
        <v>588</v>
      </c>
      <c r="L194" s="136">
        <v>45255</v>
      </c>
      <c r="M194" s="136">
        <v>45260</v>
      </c>
      <c r="N194" s="105" t="s">
        <v>707</v>
      </c>
      <c r="O194" s="97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 spans="1:28" ht="29">
      <c r="A195" s="264"/>
      <c r="B195" s="110" t="s">
        <v>543</v>
      </c>
      <c r="C195" s="135">
        <v>17091</v>
      </c>
      <c r="D195" s="135">
        <v>7018</v>
      </c>
      <c r="E195" s="134" t="s">
        <v>688</v>
      </c>
      <c r="F195" s="133" t="s">
        <v>492</v>
      </c>
      <c r="G195" s="130">
        <v>100</v>
      </c>
      <c r="H195" s="136">
        <v>45256</v>
      </c>
      <c r="I195" s="264"/>
      <c r="J195" s="108">
        <v>774226366660</v>
      </c>
      <c r="K195" s="105" t="s">
        <v>588</v>
      </c>
      <c r="L195" s="136">
        <v>45255</v>
      </c>
      <c r="M195" s="136">
        <v>45260</v>
      </c>
      <c r="N195" s="105" t="s">
        <v>707</v>
      </c>
      <c r="O195" s="97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 spans="1:28" ht="29">
      <c r="A196" s="264"/>
      <c r="B196" s="110" t="s">
        <v>543</v>
      </c>
      <c r="C196" s="135">
        <v>17091</v>
      </c>
      <c r="D196" s="135">
        <v>7018</v>
      </c>
      <c r="E196" s="134" t="s">
        <v>688</v>
      </c>
      <c r="F196" s="133" t="s">
        <v>493</v>
      </c>
      <c r="G196" s="130">
        <v>100</v>
      </c>
      <c r="H196" s="136">
        <v>45256</v>
      </c>
      <c r="I196" s="264"/>
      <c r="J196" s="108">
        <v>774226366660</v>
      </c>
      <c r="K196" s="105" t="s">
        <v>588</v>
      </c>
      <c r="L196" s="136">
        <v>45255</v>
      </c>
      <c r="M196" s="136">
        <v>45260</v>
      </c>
      <c r="N196" s="105" t="s">
        <v>707</v>
      </c>
      <c r="O196" s="97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 spans="1:28" ht="29">
      <c r="A197" s="261"/>
      <c r="B197" s="110" t="s">
        <v>543</v>
      </c>
      <c r="C197" s="135">
        <v>17091</v>
      </c>
      <c r="D197" s="135">
        <v>7018</v>
      </c>
      <c r="E197" s="134" t="s">
        <v>688</v>
      </c>
      <c r="F197" s="133" t="s">
        <v>494</v>
      </c>
      <c r="G197" s="130">
        <v>100</v>
      </c>
      <c r="H197" s="136">
        <v>45256</v>
      </c>
      <c r="I197" s="261"/>
      <c r="J197" s="108">
        <v>774226366660</v>
      </c>
      <c r="K197" s="105" t="s">
        <v>588</v>
      </c>
      <c r="L197" s="136">
        <v>45255</v>
      </c>
      <c r="M197" s="136">
        <v>45260</v>
      </c>
      <c r="N197" s="105" t="s">
        <v>707</v>
      </c>
      <c r="O197" s="97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 spans="1:28" ht="29">
      <c r="A198" s="280">
        <v>45</v>
      </c>
      <c r="B198" s="110" t="s">
        <v>543</v>
      </c>
      <c r="C198" s="114">
        <v>16924</v>
      </c>
      <c r="D198" s="114">
        <v>7106</v>
      </c>
      <c r="E198" s="110" t="s">
        <v>554</v>
      </c>
      <c r="F198" s="107" t="s">
        <v>708</v>
      </c>
      <c r="G198" s="127">
        <v>24</v>
      </c>
      <c r="H198" s="136">
        <v>45267</v>
      </c>
      <c r="I198" s="283" t="s">
        <v>576</v>
      </c>
      <c r="J198" s="123">
        <v>774217754001</v>
      </c>
      <c r="K198" s="105" t="s">
        <v>709</v>
      </c>
      <c r="L198" s="136">
        <v>45259</v>
      </c>
      <c r="M198" s="136">
        <v>45268</v>
      </c>
      <c r="N198" s="105" t="s">
        <v>706</v>
      </c>
      <c r="O198" s="97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 spans="1:28" ht="29">
      <c r="A199" s="264"/>
      <c r="B199" s="110" t="s">
        <v>543</v>
      </c>
      <c r="C199" s="114">
        <v>16654</v>
      </c>
      <c r="D199" s="114">
        <v>6944</v>
      </c>
      <c r="E199" s="110" t="s">
        <v>554</v>
      </c>
      <c r="F199" s="107" t="s">
        <v>326</v>
      </c>
      <c r="G199" s="127">
        <v>1</v>
      </c>
      <c r="H199" s="136">
        <v>45267</v>
      </c>
      <c r="I199" s="264"/>
      <c r="J199" s="123">
        <v>774217754001</v>
      </c>
      <c r="K199" s="105" t="s">
        <v>709</v>
      </c>
      <c r="L199" s="136">
        <v>45259</v>
      </c>
      <c r="M199" s="136">
        <v>45268</v>
      </c>
      <c r="N199" s="105" t="s">
        <v>706</v>
      </c>
      <c r="O199" s="97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 spans="1:28" ht="29">
      <c r="A200" s="264"/>
      <c r="B200" s="110" t="s">
        <v>543</v>
      </c>
      <c r="C200" s="114">
        <v>16654</v>
      </c>
      <c r="D200" s="114">
        <v>6944</v>
      </c>
      <c r="E200" s="110" t="s">
        <v>554</v>
      </c>
      <c r="F200" s="125" t="s">
        <v>327</v>
      </c>
      <c r="G200" s="130">
        <v>1</v>
      </c>
      <c r="H200" s="136">
        <v>45267</v>
      </c>
      <c r="I200" s="264"/>
      <c r="J200" s="123">
        <v>774217754001</v>
      </c>
      <c r="K200" s="105" t="s">
        <v>709</v>
      </c>
      <c r="L200" s="136">
        <v>45259</v>
      </c>
      <c r="M200" s="136">
        <v>45268</v>
      </c>
      <c r="N200" s="105" t="s">
        <v>706</v>
      </c>
      <c r="O200" s="97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 spans="1:28" ht="29">
      <c r="A201" s="264"/>
      <c r="B201" s="110" t="s">
        <v>543</v>
      </c>
      <c r="C201" s="114">
        <v>16925</v>
      </c>
      <c r="D201" s="114">
        <v>7103</v>
      </c>
      <c r="E201" s="110" t="s">
        <v>554</v>
      </c>
      <c r="F201" s="105" t="s">
        <v>473</v>
      </c>
      <c r="G201" s="108">
        <v>2</v>
      </c>
      <c r="H201" s="136">
        <v>45267</v>
      </c>
      <c r="I201" s="264"/>
      <c r="J201" s="123">
        <v>774217754001</v>
      </c>
      <c r="K201" s="105" t="s">
        <v>709</v>
      </c>
      <c r="L201" s="136">
        <v>45259</v>
      </c>
      <c r="M201" s="136">
        <v>45268</v>
      </c>
      <c r="N201" s="105" t="s">
        <v>706</v>
      </c>
      <c r="O201" s="97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 spans="1:28" ht="29">
      <c r="A202" s="264"/>
      <c r="B202" s="110" t="s">
        <v>543</v>
      </c>
      <c r="C202" s="114">
        <v>16813</v>
      </c>
      <c r="D202" s="97"/>
      <c r="E202" s="110" t="s">
        <v>554</v>
      </c>
      <c r="F202" s="105" t="s">
        <v>710</v>
      </c>
      <c r="G202" s="108">
        <v>5</v>
      </c>
      <c r="H202" s="136">
        <v>45267</v>
      </c>
      <c r="I202" s="264"/>
      <c r="J202" s="123">
        <v>774217754001</v>
      </c>
      <c r="K202" s="105" t="s">
        <v>709</v>
      </c>
      <c r="L202" s="136">
        <v>45259</v>
      </c>
      <c r="M202" s="136">
        <v>45268</v>
      </c>
      <c r="N202" s="105" t="s">
        <v>706</v>
      </c>
      <c r="O202" s="97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 spans="1:28" ht="29">
      <c r="A203" s="264"/>
      <c r="B203" s="110" t="s">
        <v>543</v>
      </c>
      <c r="C203" s="114">
        <v>16243</v>
      </c>
      <c r="D203" s="97"/>
      <c r="E203" s="110" t="s">
        <v>554</v>
      </c>
      <c r="F203" s="105" t="s">
        <v>671</v>
      </c>
      <c r="G203" s="108">
        <v>2</v>
      </c>
      <c r="H203" s="136">
        <v>45267</v>
      </c>
      <c r="I203" s="264"/>
      <c r="J203" s="123">
        <v>774217754001</v>
      </c>
      <c r="K203" s="105" t="s">
        <v>709</v>
      </c>
      <c r="L203" s="136">
        <v>45259</v>
      </c>
      <c r="M203" s="136">
        <v>45268</v>
      </c>
      <c r="N203" s="105" t="s">
        <v>706</v>
      </c>
      <c r="O203" s="97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 spans="1:28" ht="29">
      <c r="A204" s="264"/>
      <c r="B204" s="110" t="s">
        <v>543</v>
      </c>
      <c r="C204" s="114">
        <v>14452</v>
      </c>
      <c r="D204" s="97"/>
      <c r="E204" s="110" t="s">
        <v>554</v>
      </c>
      <c r="F204" s="105" t="s">
        <v>259</v>
      </c>
      <c r="G204" s="108">
        <v>1700</v>
      </c>
      <c r="H204" s="136">
        <v>45267</v>
      </c>
      <c r="I204" s="264"/>
      <c r="J204" s="123">
        <v>774217754001</v>
      </c>
      <c r="K204" s="105" t="s">
        <v>709</v>
      </c>
      <c r="L204" s="136">
        <v>45259</v>
      </c>
      <c r="M204" s="136">
        <v>45268</v>
      </c>
      <c r="N204" s="105" t="s">
        <v>706</v>
      </c>
      <c r="O204" s="97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 spans="1:28" ht="29">
      <c r="A205" s="264"/>
      <c r="B205" s="110" t="s">
        <v>543</v>
      </c>
      <c r="C205" s="114">
        <v>15786</v>
      </c>
      <c r="D205" s="114">
        <v>6614</v>
      </c>
      <c r="E205" s="110" t="s">
        <v>554</v>
      </c>
      <c r="F205" s="105" t="s">
        <v>122</v>
      </c>
      <c r="G205" s="108">
        <v>20</v>
      </c>
      <c r="H205" s="136">
        <v>45267</v>
      </c>
      <c r="I205" s="264"/>
      <c r="J205" s="123">
        <v>774217754001</v>
      </c>
      <c r="K205" s="105" t="s">
        <v>709</v>
      </c>
      <c r="L205" s="136">
        <v>45259</v>
      </c>
      <c r="M205" s="136">
        <v>45268</v>
      </c>
      <c r="N205" s="105" t="s">
        <v>706</v>
      </c>
      <c r="O205" s="97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 spans="1:28" ht="29">
      <c r="A206" s="264"/>
      <c r="B206" s="110" t="s">
        <v>543</v>
      </c>
      <c r="C206" s="114">
        <v>14361</v>
      </c>
      <c r="D206" s="97"/>
      <c r="E206" s="110" t="s">
        <v>554</v>
      </c>
      <c r="F206" s="105" t="s">
        <v>122</v>
      </c>
      <c r="G206" s="108">
        <v>100</v>
      </c>
      <c r="H206" s="136">
        <v>45267</v>
      </c>
      <c r="I206" s="264"/>
      <c r="J206" s="123">
        <v>774217754001</v>
      </c>
      <c r="K206" s="105" t="s">
        <v>709</v>
      </c>
      <c r="L206" s="136">
        <v>45259</v>
      </c>
      <c r="M206" s="136">
        <v>45268</v>
      </c>
      <c r="N206" s="105" t="s">
        <v>706</v>
      </c>
      <c r="O206" s="97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 spans="1:28" ht="29">
      <c r="A207" s="261"/>
      <c r="B207" s="110" t="s">
        <v>543</v>
      </c>
      <c r="C207" s="114">
        <v>16724</v>
      </c>
      <c r="D207" s="97"/>
      <c r="E207" s="110" t="s">
        <v>554</v>
      </c>
      <c r="F207" s="105" t="s">
        <v>447</v>
      </c>
      <c r="G207" s="108">
        <v>2</v>
      </c>
      <c r="H207" s="136">
        <v>45267</v>
      </c>
      <c r="I207" s="261"/>
      <c r="J207" s="123">
        <v>774217754001</v>
      </c>
      <c r="K207" s="105" t="s">
        <v>709</v>
      </c>
      <c r="L207" s="136">
        <v>45259</v>
      </c>
      <c r="M207" s="136">
        <v>45268</v>
      </c>
      <c r="N207" s="105" t="s">
        <v>706</v>
      </c>
      <c r="O207" s="97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 spans="1:28" ht="29">
      <c r="A208" s="280">
        <v>46</v>
      </c>
      <c r="B208" s="110" t="s">
        <v>543</v>
      </c>
      <c r="C208" s="106">
        <v>17126</v>
      </c>
      <c r="D208" s="114">
        <v>7216</v>
      </c>
      <c r="E208" s="97" t="s">
        <v>687</v>
      </c>
      <c r="F208" s="107" t="s">
        <v>711</v>
      </c>
      <c r="G208" s="127">
        <v>30</v>
      </c>
      <c r="H208" s="136">
        <v>45276</v>
      </c>
      <c r="I208" s="283" t="s">
        <v>576</v>
      </c>
      <c r="J208" s="108">
        <v>774398580661</v>
      </c>
      <c r="K208" s="283" t="s">
        <v>577</v>
      </c>
      <c r="L208" s="109">
        <v>45268</v>
      </c>
      <c r="M208" s="136">
        <v>45276</v>
      </c>
      <c r="N208" s="105" t="s">
        <v>701</v>
      </c>
      <c r="O208" s="97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 spans="1:28" ht="29">
      <c r="A209" s="264"/>
      <c r="B209" s="110" t="s">
        <v>543</v>
      </c>
      <c r="C209" s="106">
        <v>17126</v>
      </c>
      <c r="D209" s="114">
        <v>7216</v>
      </c>
      <c r="E209" s="97" t="s">
        <v>687</v>
      </c>
      <c r="F209" s="107" t="s">
        <v>712</v>
      </c>
      <c r="G209" s="130">
        <v>30</v>
      </c>
      <c r="H209" s="136">
        <v>45276</v>
      </c>
      <c r="I209" s="264"/>
      <c r="J209" s="108">
        <v>774398580661</v>
      </c>
      <c r="K209" s="264"/>
      <c r="L209" s="109">
        <v>45268</v>
      </c>
      <c r="M209" s="136">
        <v>45276</v>
      </c>
      <c r="N209" s="105" t="s">
        <v>701</v>
      </c>
      <c r="O209" s="97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 spans="1:28" ht="29">
      <c r="A210" s="264"/>
      <c r="B210" s="110" t="s">
        <v>543</v>
      </c>
      <c r="C210" s="106">
        <v>17126</v>
      </c>
      <c r="D210" s="114">
        <v>7216</v>
      </c>
      <c r="E210" s="97" t="s">
        <v>687</v>
      </c>
      <c r="F210" s="107" t="s">
        <v>713</v>
      </c>
      <c r="G210" s="130">
        <v>30</v>
      </c>
      <c r="H210" s="136">
        <v>45276</v>
      </c>
      <c r="I210" s="264"/>
      <c r="J210" s="108">
        <v>774398580661</v>
      </c>
      <c r="K210" s="264"/>
      <c r="L210" s="109">
        <v>45268</v>
      </c>
      <c r="M210" s="136">
        <v>45276</v>
      </c>
      <c r="N210" s="105" t="s">
        <v>701</v>
      </c>
      <c r="O210" s="97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 spans="1:28" ht="29">
      <c r="A211" s="264"/>
      <c r="B211" s="110" t="s">
        <v>543</v>
      </c>
      <c r="C211" s="106">
        <v>17126</v>
      </c>
      <c r="D211" s="114">
        <v>7216</v>
      </c>
      <c r="E211" s="97" t="s">
        <v>687</v>
      </c>
      <c r="F211" s="107" t="s">
        <v>714</v>
      </c>
      <c r="G211" s="130">
        <v>30</v>
      </c>
      <c r="H211" s="136">
        <v>45276</v>
      </c>
      <c r="I211" s="264"/>
      <c r="J211" s="108">
        <v>774398580661</v>
      </c>
      <c r="K211" s="264"/>
      <c r="L211" s="109">
        <v>45268</v>
      </c>
      <c r="M211" s="136">
        <v>45276</v>
      </c>
      <c r="N211" s="105" t="s">
        <v>701</v>
      </c>
      <c r="O211" s="97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 spans="1:28" ht="29">
      <c r="A212" s="264"/>
      <c r="B212" s="110" t="s">
        <v>543</v>
      </c>
      <c r="C212" s="106">
        <v>17126</v>
      </c>
      <c r="D212" s="114">
        <v>7216</v>
      </c>
      <c r="E212" s="97" t="s">
        <v>687</v>
      </c>
      <c r="F212" s="107" t="s">
        <v>715</v>
      </c>
      <c r="G212" s="130">
        <v>30</v>
      </c>
      <c r="H212" s="136">
        <v>45276</v>
      </c>
      <c r="I212" s="264"/>
      <c r="J212" s="108">
        <v>774398580661</v>
      </c>
      <c r="K212" s="264"/>
      <c r="L212" s="109">
        <v>45268</v>
      </c>
      <c r="M212" s="136">
        <v>45276</v>
      </c>
      <c r="N212" s="105" t="s">
        <v>701</v>
      </c>
      <c r="O212" s="97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 spans="1:28" ht="29">
      <c r="A213" s="261"/>
      <c r="B213" s="110" t="s">
        <v>543</v>
      </c>
      <c r="C213" s="106">
        <v>17126</v>
      </c>
      <c r="D213" s="114">
        <v>7216</v>
      </c>
      <c r="E213" s="97" t="s">
        <v>687</v>
      </c>
      <c r="F213" s="107" t="s">
        <v>716</v>
      </c>
      <c r="G213" s="130">
        <v>30</v>
      </c>
      <c r="H213" s="136">
        <v>45276</v>
      </c>
      <c r="I213" s="261"/>
      <c r="J213" s="108">
        <v>774398580661</v>
      </c>
      <c r="K213" s="261"/>
      <c r="L213" s="109">
        <v>45268</v>
      </c>
      <c r="M213" s="136">
        <v>45276</v>
      </c>
      <c r="N213" s="105" t="s">
        <v>701</v>
      </c>
      <c r="O213" s="97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 spans="1:28" ht="29">
      <c r="A214" s="113">
        <v>47</v>
      </c>
      <c r="B214" s="110" t="s">
        <v>543</v>
      </c>
      <c r="C214" s="114">
        <v>16522</v>
      </c>
      <c r="D214" s="114">
        <v>6895</v>
      </c>
      <c r="E214" s="107" t="s">
        <v>617</v>
      </c>
      <c r="F214" s="131" t="s">
        <v>50</v>
      </c>
      <c r="G214" s="127">
        <v>50</v>
      </c>
      <c r="H214" s="145">
        <v>45297</v>
      </c>
      <c r="I214" s="105" t="s">
        <v>604</v>
      </c>
      <c r="J214" s="105" t="s">
        <v>717</v>
      </c>
      <c r="K214" s="105" t="s">
        <v>620</v>
      </c>
      <c r="L214" s="145">
        <v>45295</v>
      </c>
      <c r="M214" s="145">
        <v>45301</v>
      </c>
      <c r="N214" s="105" t="s">
        <v>718</v>
      </c>
      <c r="O214" s="97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 spans="1:28" ht="29">
      <c r="A215" s="113">
        <v>48</v>
      </c>
      <c r="B215" s="110" t="s">
        <v>541</v>
      </c>
      <c r="C215" s="114">
        <v>16522</v>
      </c>
      <c r="D215" s="114">
        <v>6895</v>
      </c>
      <c r="E215" s="107" t="s">
        <v>617</v>
      </c>
      <c r="F215" s="131" t="s">
        <v>50</v>
      </c>
      <c r="G215" s="127">
        <v>50</v>
      </c>
      <c r="H215" s="136">
        <v>45297</v>
      </c>
      <c r="I215" s="105" t="s">
        <v>604</v>
      </c>
      <c r="J215" s="105" t="s">
        <v>719</v>
      </c>
      <c r="K215" s="105" t="s">
        <v>620</v>
      </c>
      <c r="L215" s="109">
        <v>45293</v>
      </c>
      <c r="M215" s="136">
        <v>45308</v>
      </c>
      <c r="N215" s="105" t="s">
        <v>720</v>
      </c>
      <c r="O215" s="97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 spans="1:28" ht="29">
      <c r="A216" s="280">
        <v>49</v>
      </c>
      <c r="B216" s="110" t="s">
        <v>543</v>
      </c>
      <c r="C216" s="106">
        <v>16624</v>
      </c>
      <c r="D216" s="114">
        <v>6938</v>
      </c>
      <c r="E216" s="105" t="s">
        <v>554</v>
      </c>
      <c r="F216" s="107" t="s">
        <v>473</v>
      </c>
      <c r="G216" s="123">
        <v>38</v>
      </c>
      <c r="H216" s="136">
        <v>45276</v>
      </c>
      <c r="I216" s="283" t="s">
        <v>623</v>
      </c>
      <c r="J216" s="108">
        <v>774367452270</v>
      </c>
      <c r="K216" s="283" t="s">
        <v>610</v>
      </c>
      <c r="L216" s="109">
        <v>45267</v>
      </c>
      <c r="M216" s="136">
        <v>45278</v>
      </c>
      <c r="N216" s="105" t="s">
        <v>721</v>
      </c>
      <c r="O216" s="97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 spans="1:28" ht="29">
      <c r="A217" s="264"/>
      <c r="B217" s="110" t="s">
        <v>543</v>
      </c>
      <c r="C217" s="138">
        <v>14360</v>
      </c>
      <c r="D217" s="97"/>
      <c r="E217" s="105" t="s">
        <v>554</v>
      </c>
      <c r="F217" s="125" t="s">
        <v>122</v>
      </c>
      <c r="G217" s="146">
        <v>15</v>
      </c>
      <c r="H217" s="136">
        <v>45276</v>
      </c>
      <c r="I217" s="264"/>
      <c r="J217" s="108">
        <v>774367452270</v>
      </c>
      <c r="K217" s="264"/>
      <c r="L217" s="109">
        <v>45267</v>
      </c>
      <c r="M217" s="136">
        <v>45278</v>
      </c>
      <c r="N217" s="105" t="s">
        <v>721</v>
      </c>
      <c r="O217" s="97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 spans="1:28" ht="29">
      <c r="A218" s="264"/>
      <c r="B218" s="110" t="s">
        <v>543</v>
      </c>
      <c r="C218" s="138">
        <v>16674</v>
      </c>
      <c r="D218" s="114">
        <v>6967</v>
      </c>
      <c r="E218" s="105" t="s">
        <v>554</v>
      </c>
      <c r="F218" s="125" t="s">
        <v>476</v>
      </c>
      <c r="G218" s="146">
        <v>60</v>
      </c>
      <c r="H218" s="136">
        <v>45276</v>
      </c>
      <c r="I218" s="264"/>
      <c r="J218" s="108">
        <v>774367452270</v>
      </c>
      <c r="K218" s="264"/>
      <c r="L218" s="109">
        <v>45267</v>
      </c>
      <c r="M218" s="136">
        <v>45278</v>
      </c>
      <c r="N218" s="105" t="s">
        <v>721</v>
      </c>
      <c r="O218" s="97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 spans="1:28" ht="29">
      <c r="A219" s="264"/>
      <c r="B219" s="110" t="s">
        <v>543</v>
      </c>
      <c r="C219" s="138">
        <v>16917</v>
      </c>
      <c r="D219" s="97"/>
      <c r="E219" s="105" t="s">
        <v>554</v>
      </c>
      <c r="F219" s="125" t="s">
        <v>722</v>
      </c>
      <c r="G219" s="146">
        <v>6</v>
      </c>
      <c r="H219" s="136">
        <v>45276</v>
      </c>
      <c r="I219" s="264"/>
      <c r="J219" s="108">
        <v>774367452270</v>
      </c>
      <c r="K219" s="264"/>
      <c r="L219" s="109">
        <v>45267</v>
      </c>
      <c r="M219" s="136">
        <v>45278</v>
      </c>
      <c r="N219" s="105" t="s">
        <v>721</v>
      </c>
      <c r="O219" s="97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 spans="1:28" ht="29">
      <c r="A220" s="264"/>
      <c r="B220" s="110" t="s">
        <v>543</v>
      </c>
      <c r="C220" s="138">
        <v>17184</v>
      </c>
      <c r="D220" s="114">
        <v>6944</v>
      </c>
      <c r="E220" s="105" t="s">
        <v>554</v>
      </c>
      <c r="F220" s="125" t="s">
        <v>326</v>
      </c>
      <c r="G220" s="146">
        <v>2</v>
      </c>
      <c r="H220" s="136">
        <v>45276</v>
      </c>
      <c r="I220" s="264"/>
      <c r="J220" s="108">
        <v>774367452270</v>
      </c>
      <c r="K220" s="264"/>
      <c r="L220" s="109">
        <v>45267</v>
      </c>
      <c r="M220" s="136">
        <v>45278</v>
      </c>
      <c r="N220" s="105" t="s">
        <v>721</v>
      </c>
      <c r="O220" s="97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 spans="1:28" ht="29">
      <c r="A221" s="261"/>
      <c r="B221" s="110" t="s">
        <v>543</v>
      </c>
      <c r="C221" s="138">
        <v>17184</v>
      </c>
      <c r="D221" s="114">
        <v>6944</v>
      </c>
      <c r="E221" s="105" t="s">
        <v>554</v>
      </c>
      <c r="F221" s="125" t="s">
        <v>327</v>
      </c>
      <c r="G221" s="146">
        <v>2</v>
      </c>
      <c r="H221" s="136">
        <v>45276</v>
      </c>
      <c r="I221" s="261"/>
      <c r="J221" s="108">
        <v>774367452270</v>
      </c>
      <c r="K221" s="261"/>
      <c r="L221" s="109">
        <v>45267</v>
      </c>
      <c r="M221" s="136">
        <v>45278</v>
      </c>
      <c r="N221" s="105" t="s">
        <v>721</v>
      </c>
      <c r="O221" s="97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 spans="1:28" ht="29">
      <c r="A222" s="113">
        <v>50</v>
      </c>
      <c r="B222" s="105" t="s">
        <v>543</v>
      </c>
      <c r="C222" s="114">
        <v>17190</v>
      </c>
      <c r="D222" s="97"/>
      <c r="E222" s="97" t="s">
        <v>723</v>
      </c>
      <c r="F222" s="97" t="s">
        <v>724</v>
      </c>
      <c r="G222" s="121">
        <v>2</v>
      </c>
      <c r="H222" s="136">
        <v>45276</v>
      </c>
      <c r="I222" s="105" t="s">
        <v>623</v>
      </c>
      <c r="J222" s="108">
        <v>774492701925</v>
      </c>
      <c r="K222" s="105" t="s">
        <v>577</v>
      </c>
      <c r="L222" s="136">
        <v>45275</v>
      </c>
      <c r="M222" s="136">
        <v>45280</v>
      </c>
      <c r="N222" s="105" t="s">
        <v>725</v>
      </c>
      <c r="O222" s="97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 spans="1:28" ht="43.5">
      <c r="A223" s="113">
        <v>51</v>
      </c>
      <c r="B223" s="105" t="s">
        <v>543</v>
      </c>
      <c r="C223" s="114">
        <v>16852</v>
      </c>
      <c r="D223" s="114">
        <v>7038</v>
      </c>
      <c r="E223" s="107" t="s">
        <v>726</v>
      </c>
      <c r="F223" s="131" t="s">
        <v>47</v>
      </c>
      <c r="G223" s="127">
        <v>200</v>
      </c>
      <c r="H223" s="97"/>
      <c r="I223" s="105" t="s">
        <v>623</v>
      </c>
      <c r="J223" s="105" t="s">
        <v>727</v>
      </c>
      <c r="K223" s="97"/>
      <c r="L223" s="136">
        <v>45280</v>
      </c>
      <c r="M223" s="97"/>
      <c r="N223" s="105" t="s">
        <v>728</v>
      </c>
      <c r="O223" s="97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 spans="1:28" ht="14.5">
      <c r="A224" s="147"/>
      <c r="B224" s="147"/>
      <c r="C224" s="147"/>
      <c r="D224" s="147"/>
      <c r="E224" s="148"/>
      <c r="F224" s="149"/>
      <c r="G224" s="149"/>
      <c r="H224" s="150"/>
      <c r="I224" s="147"/>
      <c r="J224" s="147"/>
      <c r="K224" s="147"/>
      <c r="L224" s="150"/>
      <c r="M224" s="150"/>
      <c r="N224" s="147"/>
      <c r="O224" s="147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</row>
    <row r="225" spans="1:28" ht="29">
      <c r="A225" s="280">
        <v>52</v>
      </c>
      <c r="B225" s="283" t="s">
        <v>543</v>
      </c>
      <c r="C225" s="114">
        <v>16409</v>
      </c>
      <c r="D225" s="97"/>
      <c r="E225" s="134" t="s">
        <v>603</v>
      </c>
      <c r="F225" s="97" t="s">
        <v>29</v>
      </c>
      <c r="G225" s="121">
        <v>300</v>
      </c>
      <c r="H225" s="109">
        <v>45314</v>
      </c>
      <c r="I225" s="283" t="s">
        <v>623</v>
      </c>
      <c r="J225" s="108">
        <v>774852892128</v>
      </c>
      <c r="K225" s="283" t="s">
        <v>729</v>
      </c>
      <c r="L225" s="109">
        <v>45313</v>
      </c>
      <c r="M225" s="109">
        <v>45317</v>
      </c>
      <c r="N225" s="105" t="s">
        <v>730</v>
      </c>
      <c r="O225" s="97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 spans="1:28" ht="29">
      <c r="A226" s="264"/>
      <c r="B226" s="264"/>
      <c r="C226" s="114">
        <v>16409</v>
      </c>
      <c r="D226" s="97"/>
      <c r="E226" s="134" t="s">
        <v>603</v>
      </c>
      <c r="F226" s="97" t="s">
        <v>32</v>
      </c>
      <c r="G226" s="121">
        <v>100</v>
      </c>
      <c r="H226" s="109">
        <v>45314</v>
      </c>
      <c r="I226" s="264"/>
      <c r="J226" s="108">
        <v>774852892128</v>
      </c>
      <c r="K226" s="261"/>
      <c r="L226" s="109">
        <v>45313</v>
      </c>
      <c r="M226" s="109">
        <v>45317</v>
      </c>
      <c r="N226" s="105" t="s">
        <v>730</v>
      </c>
      <c r="O226" s="97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 spans="1:28" ht="29">
      <c r="A227" s="261"/>
      <c r="B227" s="261"/>
      <c r="C227" s="114">
        <v>17015</v>
      </c>
      <c r="D227" s="97"/>
      <c r="E227" s="105" t="s">
        <v>603</v>
      </c>
      <c r="F227" s="105" t="s">
        <v>447</v>
      </c>
      <c r="G227" s="108">
        <v>10</v>
      </c>
      <c r="H227" s="109">
        <v>45314</v>
      </c>
      <c r="I227" s="261"/>
      <c r="J227" s="108">
        <v>774852892128</v>
      </c>
      <c r="K227" s="105" t="s">
        <v>577</v>
      </c>
      <c r="L227" s="109">
        <v>45313</v>
      </c>
      <c r="M227" s="109">
        <v>45317</v>
      </c>
      <c r="N227" s="105" t="s">
        <v>730</v>
      </c>
      <c r="O227" s="97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 spans="1:28" ht="29">
      <c r="A228" s="280">
        <v>53</v>
      </c>
      <c r="B228" s="283" t="s">
        <v>543</v>
      </c>
      <c r="C228" s="114">
        <v>16603</v>
      </c>
      <c r="D228" s="114">
        <v>6906</v>
      </c>
      <c r="E228" s="132" t="s">
        <v>630</v>
      </c>
      <c r="F228" s="131" t="s">
        <v>3</v>
      </c>
      <c r="G228" s="127">
        <v>100</v>
      </c>
      <c r="H228" s="109">
        <v>45312</v>
      </c>
      <c r="I228" s="283" t="s">
        <v>731</v>
      </c>
      <c r="J228" s="152" t="s">
        <v>732</v>
      </c>
      <c r="K228" s="283" t="s">
        <v>733</v>
      </c>
      <c r="L228" s="97"/>
      <c r="M228" s="109">
        <v>45313</v>
      </c>
      <c r="N228" s="105" t="s">
        <v>734</v>
      </c>
      <c r="O228" s="97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 spans="1:28" ht="29">
      <c r="A229" s="261"/>
      <c r="B229" s="261"/>
      <c r="C229" s="114">
        <v>16603</v>
      </c>
      <c r="D229" s="114">
        <v>6906</v>
      </c>
      <c r="E229" s="132" t="s">
        <v>630</v>
      </c>
      <c r="F229" s="133" t="s">
        <v>1</v>
      </c>
      <c r="G229" s="130">
        <v>100</v>
      </c>
      <c r="H229" s="109">
        <v>45312</v>
      </c>
      <c r="I229" s="261"/>
      <c r="J229" s="152" t="s">
        <v>732</v>
      </c>
      <c r="K229" s="261"/>
      <c r="L229" s="97"/>
      <c r="M229" s="109">
        <v>45313</v>
      </c>
      <c r="N229" s="105" t="s">
        <v>734</v>
      </c>
      <c r="O229" s="97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 spans="1:28" ht="29">
      <c r="A230" s="280">
        <v>54</v>
      </c>
      <c r="B230" s="283" t="s">
        <v>543</v>
      </c>
      <c r="C230" s="114">
        <v>16620</v>
      </c>
      <c r="D230" s="114">
        <v>6930</v>
      </c>
      <c r="E230" s="132" t="s">
        <v>735</v>
      </c>
      <c r="F230" s="131" t="s">
        <v>48</v>
      </c>
      <c r="G230" s="127">
        <v>167</v>
      </c>
      <c r="H230" s="145">
        <v>45296</v>
      </c>
      <c r="I230" s="283" t="s">
        <v>623</v>
      </c>
      <c r="J230" s="108">
        <v>774665889490</v>
      </c>
      <c r="K230" s="105" t="s">
        <v>736</v>
      </c>
      <c r="L230" s="145">
        <v>45295</v>
      </c>
      <c r="M230" s="145">
        <v>45302</v>
      </c>
      <c r="N230" s="105" t="s">
        <v>718</v>
      </c>
      <c r="O230" s="97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 spans="1:28" ht="29">
      <c r="A231" s="261"/>
      <c r="B231" s="261"/>
      <c r="C231" s="114">
        <v>16620</v>
      </c>
      <c r="D231" s="114">
        <v>6930</v>
      </c>
      <c r="E231" s="132" t="s">
        <v>735</v>
      </c>
      <c r="F231" s="133" t="s">
        <v>49</v>
      </c>
      <c r="G231" s="130">
        <v>167</v>
      </c>
      <c r="H231" s="145">
        <v>45296</v>
      </c>
      <c r="I231" s="261"/>
      <c r="J231" s="108">
        <v>774665889490</v>
      </c>
      <c r="K231" s="105" t="s">
        <v>736</v>
      </c>
      <c r="L231" s="145">
        <v>45295</v>
      </c>
      <c r="M231" s="145">
        <v>45302</v>
      </c>
      <c r="N231" s="105" t="s">
        <v>718</v>
      </c>
      <c r="O231" s="97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 spans="1:28" ht="29">
      <c r="A232" s="113">
        <v>55</v>
      </c>
      <c r="B232" s="105" t="s">
        <v>543</v>
      </c>
      <c r="C232" s="114" t="s">
        <v>638</v>
      </c>
      <c r="D232" s="97"/>
      <c r="E232" s="105" t="s">
        <v>737</v>
      </c>
      <c r="F232" s="97"/>
      <c r="G232" s="97"/>
      <c r="H232" s="145">
        <v>45296</v>
      </c>
      <c r="I232" s="105" t="s">
        <v>623</v>
      </c>
      <c r="J232" s="108">
        <v>774666355944</v>
      </c>
      <c r="K232" s="105" t="s">
        <v>577</v>
      </c>
      <c r="L232" s="145">
        <v>45295</v>
      </c>
      <c r="M232" s="145">
        <v>45300</v>
      </c>
      <c r="N232" s="105" t="s">
        <v>718</v>
      </c>
      <c r="O232" s="97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 spans="1:28" ht="29">
      <c r="A233" s="280">
        <v>56</v>
      </c>
      <c r="B233" s="283" t="s">
        <v>543</v>
      </c>
      <c r="C233" s="114">
        <v>17309</v>
      </c>
      <c r="D233" s="97"/>
      <c r="E233" s="105" t="s">
        <v>554</v>
      </c>
      <c r="F233" s="105" t="s">
        <v>738</v>
      </c>
      <c r="G233" s="108">
        <v>10</v>
      </c>
      <c r="H233" s="153">
        <v>45281</v>
      </c>
      <c r="I233" s="283" t="s">
        <v>623</v>
      </c>
      <c r="J233" s="123">
        <v>774566618100</v>
      </c>
      <c r="K233" s="105" t="s">
        <v>669</v>
      </c>
      <c r="L233" s="153">
        <v>45281</v>
      </c>
      <c r="M233" s="153">
        <v>45290</v>
      </c>
      <c r="N233" s="105" t="s">
        <v>739</v>
      </c>
      <c r="O233" s="97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 spans="1:28" ht="29">
      <c r="A234" s="264"/>
      <c r="B234" s="264"/>
      <c r="C234" s="114">
        <v>17309</v>
      </c>
      <c r="D234" s="97"/>
      <c r="E234" s="105" t="s">
        <v>554</v>
      </c>
      <c r="F234" s="105" t="s">
        <v>740</v>
      </c>
      <c r="G234" s="108">
        <v>10</v>
      </c>
      <c r="H234" s="153">
        <v>45281</v>
      </c>
      <c r="I234" s="264"/>
      <c r="J234" s="123">
        <v>774566618100</v>
      </c>
      <c r="K234" s="105" t="s">
        <v>669</v>
      </c>
      <c r="L234" s="153">
        <v>45281</v>
      </c>
      <c r="M234" s="153">
        <v>45290</v>
      </c>
      <c r="N234" s="105" t="s">
        <v>739</v>
      </c>
      <c r="O234" s="97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 spans="1:28" ht="29">
      <c r="A235" s="264"/>
      <c r="B235" s="264"/>
      <c r="C235" s="114">
        <v>16865</v>
      </c>
      <c r="D235" s="97"/>
      <c r="E235" s="105" t="s">
        <v>554</v>
      </c>
      <c r="F235" s="105" t="s">
        <v>441</v>
      </c>
      <c r="G235" s="108">
        <v>20</v>
      </c>
      <c r="H235" s="153">
        <v>45281</v>
      </c>
      <c r="I235" s="264"/>
      <c r="J235" s="123">
        <v>774566618100</v>
      </c>
      <c r="K235" s="105" t="s">
        <v>669</v>
      </c>
      <c r="L235" s="153">
        <v>45281</v>
      </c>
      <c r="M235" s="153">
        <v>45290</v>
      </c>
      <c r="N235" s="105" t="s">
        <v>739</v>
      </c>
      <c r="O235" s="97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 spans="1:28" ht="29">
      <c r="A236" s="261"/>
      <c r="B236" s="261"/>
      <c r="C236" s="114">
        <v>15957</v>
      </c>
      <c r="D236" s="97"/>
      <c r="E236" s="105" t="s">
        <v>554</v>
      </c>
      <c r="F236" s="105" t="s">
        <v>441</v>
      </c>
      <c r="G236" s="108">
        <v>20</v>
      </c>
      <c r="H236" s="153">
        <v>45281</v>
      </c>
      <c r="I236" s="261"/>
      <c r="J236" s="123">
        <v>774566618100</v>
      </c>
      <c r="K236" s="105" t="s">
        <v>669</v>
      </c>
      <c r="L236" s="153">
        <v>45281</v>
      </c>
      <c r="M236" s="153">
        <v>45290</v>
      </c>
      <c r="N236" s="105" t="s">
        <v>739</v>
      </c>
      <c r="O236" s="97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 spans="1:28" ht="29">
      <c r="A237" s="280">
        <v>57</v>
      </c>
      <c r="B237" s="283" t="s">
        <v>543</v>
      </c>
      <c r="C237" s="114">
        <v>17008</v>
      </c>
      <c r="D237" s="97"/>
      <c r="E237" s="105" t="s">
        <v>683</v>
      </c>
      <c r="F237" s="105" t="s">
        <v>56</v>
      </c>
      <c r="G237" s="108">
        <v>40</v>
      </c>
      <c r="H237" s="154" t="s">
        <v>741</v>
      </c>
      <c r="I237" s="283" t="s">
        <v>623</v>
      </c>
      <c r="J237" s="108">
        <v>774730876569</v>
      </c>
      <c r="K237" s="283" t="s">
        <v>654</v>
      </c>
      <c r="L237" s="154" t="s">
        <v>741</v>
      </c>
      <c r="M237" s="154" t="s">
        <v>742</v>
      </c>
      <c r="N237" s="105" t="s">
        <v>743</v>
      </c>
      <c r="O237" s="97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 spans="1:28" ht="29">
      <c r="A238" s="264"/>
      <c r="B238" s="264"/>
      <c r="C238" s="106">
        <v>16846</v>
      </c>
      <c r="D238" s="106">
        <v>7038</v>
      </c>
      <c r="E238" s="282" t="s">
        <v>744</v>
      </c>
      <c r="F238" s="131" t="s">
        <v>10</v>
      </c>
      <c r="G238" s="127">
        <v>100</v>
      </c>
      <c r="H238" s="154" t="s">
        <v>741</v>
      </c>
      <c r="I238" s="264"/>
      <c r="J238" s="108">
        <v>774730876569</v>
      </c>
      <c r="K238" s="264"/>
      <c r="L238" s="154" t="s">
        <v>741</v>
      </c>
      <c r="M238" s="154" t="s">
        <v>742</v>
      </c>
      <c r="N238" s="105" t="s">
        <v>743</v>
      </c>
      <c r="O238" s="97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 spans="1:28" ht="29">
      <c r="A239" s="261"/>
      <c r="B239" s="261"/>
      <c r="C239" s="106">
        <v>16846</v>
      </c>
      <c r="D239" s="106">
        <v>7038</v>
      </c>
      <c r="E239" s="261"/>
      <c r="F239" s="133" t="s">
        <v>11</v>
      </c>
      <c r="G239" s="130">
        <v>40</v>
      </c>
      <c r="H239" s="154" t="s">
        <v>741</v>
      </c>
      <c r="I239" s="261"/>
      <c r="J239" s="108">
        <v>774730876569</v>
      </c>
      <c r="K239" s="261"/>
      <c r="L239" s="154" t="s">
        <v>741</v>
      </c>
      <c r="M239" s="154" t="s">
        <v>742</v>
      </c>
      <c r="N239" s="105" t="s">
        <v>743</v>
      </c>
      <c r="O239" s="97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 spans="1:28" ht="29">
      <c r="A240" s="280">
        <v>58</v>
      </c>
      <c r="B240" s="283" t="s">
        <v>543</v>
      </c>
      <c r="C240" s="284">
        <v>16161</v>
      </c>
      <c r="D240" s="284">
        <v>6670</v>
      </c>
      <c r="E240" s="282" t="s">
        <v>636</v>
      </c>
      <c r="F240" s="107" t="s">
        <v>284</v>
      </c>
      <c r="G240" s="127">
        <v>30</v>
      </c>
      <c r="H240" s="145">
        <v>45296</v>
      </c>
      <c r="I240" s="283" t="s">
        <v>623</v>
      </c>
      <c r="J240" s="108">
        <v>774666115268</v>
      </c>
      <c r="K240" s="283" t="s">
        <v>745</v>
      </c>
      <c r="L240" s="145">
        <v>45295</v>
      </c>
      <c r="M240" s="145">
        <v>45302</v>
      </c>
      <c r="N240" s="105" t="s">
        <v>746</v>
      </c>
      <c r="O240" s="97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 spans="1:28" ht="29">
      <c r="A241" s="264"/>
      <c r="B241" s="264"/>
      <c r="C241" s="264"/>
      <c r="D241" s="264"/>
      <c r="E241" s="264"/>
      <c r="F241" s="125" t="s">
        <v>191</v>
      </c>
      <c r="G241" s="130">
        <v>350</v>
      </c>
      <c r="H241" s="145">
        <v>45296</v>
      </c>
      <c r="I241" s="264"/>
      <c r="J241" s="108">
        <v>774666115268</v>
      </c>
      <c r="K241" s="264"/>
      <c r="L241" s="145">
        <v>45295</v>
      </c>
      <c r="M241" s="145">
        <v>45302</v>
      </c>
      <c r="N241" s="105" t="s">
        <v>746</v>
      </c>
      <c r="O241" s="97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 spans="1:28" ht="29">
      <c r="A242" s="264"/>
      <c r="B242" s="264"/>
      <c r="C242" s="264"/>
      <c r="D242" s="264"/>
      <c r="E242" s="264"/>
      <c r="F242" s="125" t="s">
        <v>412</v>
      </c>
      <c r="G242" s="130">
        <v>2400</v>
      </c>
      <c r="H242" s="145">
        <v>45296</v>
      </c>
      <c r="I242" s="264"/>
      <c r="J242" s="108">
        <v>774666115268</v>
      </c>
      <c r="K242" s="264"/>
      <c r="L242" s="145">
        <v>45295</v>
      </c>
      <c r="M242" s="145">
        <v>45302</v>
      </c>
      <c r="N242" s="105" t="s">
        <v>746</v>
      </c>
      <c r="O242" s="97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 spans="1:28" ht="29">
      <c r="A243" s="264"/>
      <c r="B243" s="264"/>
      <c r="C243" s="264"/>
      <c r="D243" s="264"/>
      <c r="E243" s="264"/>
      <c r="F243" s="125" t="s">
        <v>414</v>
      </c>
      <c r="G243" s="130">
        <v>2400</v>
      </c>
      <c r="H243" s="145">
        <v>45296</v>
      </c>
      <c r="I243" s="264"/>
      <c r="J243" s="108">
        <v>774666115268</v>
      </c>
      <c r="K243" s="264"/>
      <c r="L243" s="145">
        <v>45295</v>
      </c>
      <c r="M243" s="145">
        <v>45302</v>
      </c>
      <c r="N243" s="105" t="s">
        <v>746</v>
      </c>
      <c r="O243" s="97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 spans="1:28" ht="29">
      <c r="A244" s="264"/>
      <c r="B244" s="264"/>
      <c r="C244" s="264"/>
      <c r="D244" s="264"/>
      <c r="E244" s="264"/>
      <c r="F244" s="125" t="s">
        <v>262</v>
      </c>
      <c r="G244" s="130">
        <v>150</v>
      </c>
      <c r="H244" s="145">
        <v>45296</v>
      </c>
      <c r="I244" s="264"/>
      <c r="J244" s="108">
        <v>774666115268</v>
      </c>
      <c r="K244" s="264"/>
      <c r="L244" s="145">
        <v>45295</v>
      </c>
      <c r="M244" s="145">
        <v>45302</v>
      </c>
      <c r="N244" s="105" t="s">
        <v>746</v>
      </c>
      <c r="O244" s="97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 spans="1:28" ht="29">
      <c r="A245" s="264"/>
      <c r="B245" s="264"/>
      <c r="C245" s="264"/>
      <c r="D245" s="264"/>
      <c r="E245" s="264"/>
      <c r="F245" s="125" t="s">
        <v>264</v>
      </c>
      <c r="G245" s="130">
        <v>150</v>
      </c>
      <c r="H245" s="145">
        <v>45296</v>
      </c>
      <c r="I245" s="264"/>
      <c r="J245" s="108">
        <v>774666115268</v>
      </c>
      <c r="K245" s="264"/>
      <c r="L245" s="145">
        <v>45295</v>
      </c>
      <c r="M245" s="145">
        <v>45302</v>
      </c>
      <c r="N245" s="105" t="s">
        <v>746</v>
      </c>
      <c r="O245" s="97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 spans="1:28" ht="29">
      <c r="A246" s="264"/>
      <c r="B246" s="264"/>
      <c r="C246" s="264"/>
      <c r="D246" s="264"/>
      <c r="E246" s="264"/>
      <c r="F246" s="125" t="s">
        <v>415</v>
      </c>
      <c r="G246" s="130">
        <v>300</v>
      </c>
      <c r="H246" s="145">
        <v>45296</v>
      </c>
      <c r="I246" s="264"/>
      <c r="J246" s="108">
        <v>774666115268</v>
      </c>
      <c r="K246" s="264"/>
      <c r="L246" s="145">
        <v>45295</v>
      </c>
      <c r="M246" s="145">
        <v>45302</v>
      </c>
      <c r="N246" s="105" t="s">
        <v>746</v>
      </c>
      <c r="O246" s="97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 spans="1:28" ht="29">
      <c r="A247" s="264"/>
      <c r="B247" s="264"/>
      <c r="C247" s="264"/>
      <c r="D247" s="264"/>
      <c r="E247" s="264"/>
      <c r="F247" s="125" t="s">
        <v>398</v>
      </c>
      <c r="G247" s="130">
        <v>300</v>
      </c>
      <c r="H247" s="145">
        <v>45296</v>
      </c>
      <c r="I247" s="264"/>
      <c r="J247" s="108">
        <v>774666115268</v>
      </c>
      <c r="K247" s="264"/>
      <c r="L247" s="145">
        <v>45295</v>
      </c>
      <c r="M247" s="145">
        <v>45302</v>
      </c>
      <c r="N247" s="105" t="s">
        <v>746</v>
      </c>
      <c r="O247" s="97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 spans="1:28" ht="29">
      <c r="A248" s="264"/>
      <c r="B248" s="264"/>
      <c r="C248" s="264"/>
      <c r="D248" s="264"/>
      <c r="E248" s="264"/>
      <c r="F248" s="125" t="s">
        <v>266</v>
      </c>
      <c r="G248" s="130">
        <v>300</v>
      </c>
      <c r="H248" s="145">
        <v>45296</v>
      </c>
      <c r="I248" s="264"/>
      <c r="J248" s="108">
        <v>774666115268</v>
      </c>
      <c r="K248" s="264"/>
      <c r="L248" s="145">
        <v>45295</v>
      </c>
      <c r="M248" s="145">
        <v>45302</v>
      </c>
      <c r="N248" s="105" t="s">
        <v>746</v>
      </c>
      <c r="O248" s="97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 spans="1:28" ht="29">
      <c r="A249" s="264"/>
      <c r="B249" s="264"/>
      <c r="C249" s="264"/>
      <c r="D249" s="264"/>
      <c r="E249" s="264"/>
      <c r="F249" s="125" t="s">
        <v>268</v>
      </c>
      <c r="G249" s="130">
        <v>300</v>
      </c>
      <c r="H249" s="145">
        <v>45296</v>
      </c>
      <c r="I249" s="264"/>
      <c r="J249" s="108">
        <v>774666115268</v>
      </c>
      <c r="K249" s="264"/>
      <c r="L249" s="145">
        <v>45295</v>
      </c>
      <c r="M249" s="145">
        <v>45302</v>
      </c>
      <c r="N249" s="105" t="s">
        <v>746</v>
      </c>
      <c r="O249" s="97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 spans="1:28" ht="29">
      <c r="A250" s="264"/>
      <c r="B250" s="264"/>
      <c r="C250" s="264"/>
      <c r="D250" s="264"/>
      <c r="E250" s="264"/>
      <c r="F250" s="125" t="s">
        <v>418</v>
      </c>
      <c r="G250" s="130">
        <v>300</v>
      </c>
      <c r="H250" s="145">
        <v>45296</v>
      </c>
      <c r="I250" s="264"/>
      <c r="J250" s="108">
        <v>774666115268</v>
      </c>
      <c r="K250" s="264"/>
      <c r="L250" s="145">
        <v>45295</v>
      </c>
      <c r="M250" s="145">
        <v>45302</v>
      </c>
      <c r="N250" s="105" t="s">
        <v>746</v>
      </c>
      <c r="O250" s="97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 spans="1:28" ht="29">
      <c r="A251" s="264"/>
      <c r="B251" s="264"/>
      <c r="C251" s="264"/>
      <c r="D251" s="264"/>
      <c r="E251" s="264"/>
      <c r="F251" s="125" t="s">
        <v>419</v>
      </c>
      <c r="G251" s="130">
        <v>300</v>
      </c>
      <c r="H251" s="145">
        <v>45296</v>
      </c>
      <c r="I251" s="264"/>
      <c r="J251" s="108">
        <v>774666115268</v>
      </c>
      <c r="K251" s="264"/>
      <c r="L251" s="145">
        <v>45295</v>
      </c>
      <c r="M251" s="145">
        <v>45302</v>
      </c>
      <c r="N251" s="105" t="s">
        <v>746</v>
      </c>
      <c r="O251" s="97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 spans="1:28" ht="29">
      <c r="A252" s="264"/>
      <c r="B252" s="264"/>
      <c r="C252" s="264"/>
      <c r="D252" s="264"/>
      <c r="E252" s="264"/>
      <c r="F252" s="125" t="s">
        <v>270</v>
      </c>
      <c r="G252" s="130">
        <v>12500</v>
      </c>
      <c r="H252" s="145">
        <v>45296</v>
      </c>
      <c r="I252" s="264"/>
      <c r="J252" s="108">
        <v>774666115268</v>
      </c>
      <c r="K252" s="264"/>
      <c r="L252" s="145">
        <v>45295</v>
      </c>
      <c r="M252" s="145">
        <v>45302</v>
      </c>
      <c r="N252" s="105" t="s">
        <v>746</v>
      </c>
      <c r="O252" s="97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 spans="1:28" ht="29">
      <c r="A253" s="264"/>
      <c r="B253" s="264"/>
      <c r="C253" s="261"/>
      <c r="D253" s="261"/>
      <c r="E253" s="261"/>
      <c r="F253" s="125" t="s">
        <v>191</v>
      </c>
      <c r="G253" s="130">
        <v>16500</v>
      </c>
      <c r="H253" s="145">
        <v>45296</v>
      </c>
      <c r="I253" s="264"/>
      <c r="J253" s="108">
        <v>774666115268</v>
      </c>
      <c r="K253" s="264"/>
      <c r="L253" s="145">
        <v>45295</v>
      </c>
      <c r="M253" s="145">
        <v>45302</v>
      </c>
      <c r="N253" s="105" t="s">
        <v>746</v>
      </c>
      <c r="O253" s="97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 spans="1:28" ht="29">
      <c r="A254" s="264"/>
      <c r="B254" s="264"/>
      <c r="C254" s="281">
        <v>17126</v>
      </c>
      <c r="D254" s="281">
        <v>7216</v>
      </c>
      <c r="E254" s="283" t="s">
        <v>747</v>
      </c>
      <c r="F254" s="117" t="s">
        <v>748</v>
      </c>
      <c r="G254" s="155">
        <v>1</v>
      </c>
      <c r="H254" s="145">
        <v>45296</v>
      </c>
      <c r="I254" s="264"/>
      <c r="J254" s="108">
        <v>774666115268</v>
      </c>
      <c r="K254" s="264"/>
      <c r="L254" s="145">
        <v>45295</v>
      </c>
      <c r="M254" s="145">
        <v>45302</v>
      </c>
      <c r="N254" s="105" t="s">
        <v>746</v>
      </c>
      <c r="O254" s="97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 spans="1:28" ht="29">
      <c r="A255" s="261"/>
      <c r="B255" s="261"/>
      <c r="C255" s="261"/>
      <c r="D255" s="261"/>
      <c r="E255" s="261"/>
      <c r="F255" s="117" t="s">
        <v>749</v>
      </c>
      <c r="G255" s="155">
        <v>1</v>
      </c>
      <c r="H255" s="145">
        <v>45296</v>
      </c>
      <c r="I255" s="261"/>
      <c r="J255" s="108">
        <v>774666115268</v>
      </c>
      <c r="K255" s="261"/>
      <c r="L255" s="145">
        <v>45295</v>
      </c>
      <c r="M255" s="145">
        <v>45302</v>
      </c>
      <c r="N255" s="105" t="s">
        <v>746</v>
      </c>
      <c r="O255" s="97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 spans="1:28" ht="29">
      <c r="A256" s="113">
        <v>59</v>
      </c>
      <c r="B256" s="105" t="s">
        <v>543</v>
      </c>
      <c r="C256" s="114">
        <v>17174</v>
      </c>
      <c r="D256" s="97"/>
      <c r="E256" s="97" t="s">
        <v>750</v>
      </c>
      <c r="F256" s="97" t="s">
        <v>751</v>
      </c>
      <c r="G256" s="121">
        <v>10</v>
      </c>
      <c r="H256" s="145">
        <v>45296</v>
      </c>
      <c r="I256" s="105" t="s">
        <v>623</v>
      </c>
      <c r="J256" s="108">
        <v>774694629176</v>
      </c>
      <c r="K256" s="105" t="s">
        <v>669</v>
      </c>
      <c r="L256" s="145">
        <v>45296</v>
      </c>
      <c r="M256" s="145">
        <v>45300</v>
      </c>
      <c r="N256" s="105" t="s">
        <v>752</v>
      </c>
      <c r="O256" s="97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 spans="1:28" ht="29">
      <c r="A257" s="113">
        <v>60</v>
      </c>
      <c r="B257" s="105" t="s">
        <v>543</v>
      </c>
      <c r="C257" s="114">
        <v>17324</v>
      </c>
      <c r="D257" s="97"/>
      <c r="E257" s="97" t="s">
        <v>651</v>
      </c>
      <c r="F257" s="97" t="s">
        <v>37</v>
      </c>
      <c r="G257" s="121">
        <v>200</v>
      </c>
      <c r="H257" s="154" t="s">
        <v>753</v>
      </c>
      <c r="I257" s="105" t="s">
        <v>623</v>
      </c>
      <c r="J257" s="108">
        <v>774747270581</v>
      </c>
      <c r="K257" s="105" t="s">
        <v>694</v>
      </c>
      <c r="L257" s="154" t="s">
        <v>753</v>
      </c>
      <c r="M257" s="145">
        <v>45306</v>
      </c>
      <c r="N257" s="105" t="s">
        <v>754</v>
      </c>
      <c r="O257" s="97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 spans="1:28" ht="29">
      <c r="A258" s="113">
        <v>61</v>
      </c>
      <c r="B258" s="105" t="s">
        <v>543</v>
      </c>
      <c r="C258" s="114">
        <v>17400</v>
      </c>
      <c r="D258" s="97"/>
      <c r="E258" s="97" t="s">
        <v>755</v>
      </c>
      <c r="F258" s="97" t="s">
        <v>756</v>
      </c>
      <c r="G258" s="121">
        <v>10</v>
      </c>
      <c r="H258" s="145">
        <v>45296</v>
      </c>
      <c r="I258" s="105" t="s">
        <v>623</v>
      </c>
      <c r="J258" s="108">
        <v>788858478654</v>
      </c>
      <c r="K258" s="105" t="s">
        <v>577</v>
      </c>
      <c r="L258" s="145">
        <v>45295</v>
      </c>
      <c r="M258" s="145">
        <v>45301</v>
      </c>
      <c r="N258" s="105" t="s">
        <v>757</v>
      </c>
      <c r="O258" s="97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 spans="1:28" ht="29">
      <c r="A259" s="280">
        <v>63</v>
      </c>
      <c r="B259" s="283" t="s">
        <v>543</v>
      </c>
      <c r="C259" s="281">
        <v>16819</v>
      </c>
      <c r="D259" s="282"/>
      <c r="E259" s="282" t="s">
        <v>758</v>
      </c>
      <c r="F259" s="97" t="s">
        <v>393</v>
      </c>
      <c r="G259" s="121">
        <v>800</v>
      </c>
      <c r="H259" s="109">
        <v>45312</v>
      </c>
      <c r="I259" s="283" t="s">
        <v>604</v>
      </c>
      <c r="J259" s="105" t="s">
        <v>759</v>
      </c>
      <c r="K259" s="283" t="s">
        <v>760</v>
      </c>
      <c r="L259" s="109">
        <v>45312</v>
      </c>
      <c r="M259" s="109">
        <v>45313</v>
      </c>
      <c r="N259" s="105" t="s">
        <v>761</v>
      </c>
      <c r="O259" s="97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 spans="1:28" ht="29">
      <c r="A260" s="264"/>
      <c r="B260" s="264"/>
      <c r="C260" s="264"/>
      <c r="D260" s="264"/>
      <c r="E260" s="264"/>
      <c r="F260" s="97" t="s">
        <v>165</v>
      </c>
      <c r="G260" s="121">
        <v>9700</v>
      </c>
      <c r="H260" s="109">
        <v>45312</v>
      </c>
      <c r="I260" s="264"/>
      <c r="J260" s="105" t="s">
        <v>759</v>
      </c>
      <c r="K260" s="264"/>
      <c r="L260" s="109">
        <v>45312</v>
      </c>
      <c r="M260" s="109">
        <v>45313</v>
      </c>
      <c r="N260" s="105" t="s">
        <v>761</v>
      </c>
      <c r="O260" s="97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 spans="1:28" ht="29">
      <c r="A261" s="264"/>
      <c r="B261" s="264"/>
      <c r="C261" s="264"/>
      <c r="D261" s="264"/>
      <c r="E261" s="264"/>
      <c r="F261" s="97" t="s">
        <v>159</v>
      </c>
      <c r="G261" s="121">
        <v>2200</v>
      </c>
      <c r="H261" s="109">
        <v>45312</v>
      </c>
      <c r="I261" s="264"/>
      <c r="J261" s="105" t="s">
        <v>759</v>
      </c>
      <c r="K261" s="264"/>
      <c r="L261" s="109">
        <v>45312</v>
      </c>
      <c r="M261" s="109">
        <v>45313</v>
      </c>
      <c r="N261" s="105" t="s">
        <v>761</v>
      </c>
      <c r="O261" s="97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 spans="1:28" ht="29">
      <c r="A262" s="264"/>
      <c r="B262" s="264"/>
      <c r="C262" s="264"/>
      <c r="D262" s="264"/>
      <c r="E262" s="264"/>
      <c r="F262" s="97" t="s">
        <v>762</v>
      </c>
      <c r="G262" s="121">
        <v>2550</v>
      </c>
      <c r="H262" s="109">
        <v>45312</v>
      </c>
      <c r="I262" s="264"/>
      <c r="J262" s="105" t="s">
        <v>759</v>
      </c>
      <c r="K262" s="264"/>
      <c r="L262" s="109">
        <v>45312</v>
      </c>
      <c r="M262" s="109">
        <v>45313</v>
      </c>
      <c r="N262" s="105" t="s">
        <v>761</v>
      </c>
      <c r="O262" s="97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 spans="1:28" ht="29">
      <c r="A263" s="264"/>
      <c r="B263" s="264"/>
      <c r="C263" s="264"/>
      <c r="D263" s="264"/>
      <c r="E263" s="264"/>
      <c r="F263" s="97" t="s">
        <v>763</v>
      </c>
      <c r="G263" s="121">
        <v>700</v>
      </c>
      <c r="H263" s="109">
        <v>45312</v>
      </c>
      <c r="I263" s="264"/>
      <c r="J263" s="105" t="s">
        <v>759</v>
      </c>
      <c r="K263" s="264"/>
      <c r="L263" s="109">
        <v>45312</v>
      </c>
      <c r="M263" s="109">
        <v>45313</v>
      </c>
      <c r="N263" s="105" t="s">
        <v>761</v>
      </c>
      <c r="O263" s="97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 spans="1:28" ht="29">
      <c r="A264" s="264"/>
      <c r="B264" s="264"/>
      <c r="C264" s="264"/>
      <c r="D264" s="264"/>
      <c r="E264" s="264"/>
      <c r="F264" s="97" t="s">
        <v>764</v>
      </c>
      <c r="G264" s="121">
        <v>900</v>
      </c>
      <c r="H264" s="109">
        <v>45312</v>
      </c>
      <c r="I264" s="264"/>
      <c r="J264" s="105" t="s">
        <v>759</v>
      </c>
      <c r="K264" s="264"/>
      <c r="L264" s="109">
        <v>45312</v>
      </c>
      <c r="M264" s="109">
        <v>45313</v>
      </c>
      <c r="N264" s="105" t="s">
        <v>761</v>
      </c>
      <c r="O264" s="97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 spans="1:28" ht="29">
      <c r="A265" s="264"/>
      <c r="B265" s="264"/>
      <c r="C265" s="264"/>
      <c r="D265" s="264"/>
      <c r="E265" s="264"/>
      <c r="F265" s="97" t="s">
        <v>765</v>
      </c>
      <c r="G265" s="121">
        <v>600</v>
      </c>
      <c r="H265" s="109">
        <v>45312</v>
      </c>
      <c r="I265" s="264"/>
      <c r="J265" s="105" t="s">
        <v>759</v>
      </c>
      <c r="K265" s="264"/>
      <c r="L265" s="109">
        <v>45312</v>
      </c>
      <c r="M265" s="109">
        <v>45313</v>
      </c>
      <c r="N265" s="105" t="s">
        <v>761</v>
      </c>
      <c r="O265" s="97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 spans="1:28" ht="29">
      <c r="A266" s="264"/>
      <c r="B266" s="264"/>
      <c r="C266" s="264"/>
      <c r="D266" s="264"/>
      <c r="E266" s="264"/>
      <c r="F266" s="97" t="s">
        <v>172</v>
      </c>
      <c r="G266" s="121">
        <v>600</v>
      </c>
      <c r="H266" s="109">
        <v>45312</v>
      </c>
      <c r="I266" s="264"/>
      <c r="J266" s="105" t="s">
        <v>759</v>
      </c>
      <c r="K266" s="264"/>
      <c r="L266" s="109">
        <v>45312</v>
      </c>
      <c r="M266" s="109">
        <v>45313</v>
      </c>
      <c r="N266" s="105" t="s">
        <v>761</v>
      </c>
      <c r="O266" s="97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 spans="1:28" ht="29">
      <c r="A267" s="264"/>
      <c r="B267" s="264"/>
      <c r="C267" s="264"/>
      <c r="D267" s="264"/>
      <c r="E267" s="264"/>
      <c r="F267" s="97" t="s">
        <v>766</v>
      </c>
      <c r="G267" s="121">
        <v>200</v>
      </c>
      <c r="H267" s="109">
        <v>45312</v>
      </c>
      <c r="I267" s="264"/>
      <c r="J267" s="105" t="s">
        <v>759</v>
      </c>
      <c r="K267" s="264"/>
      <c r="L267" s="109">
        <v>45312</v>
      </c>
      <c r="M267" s="109">
        <v>45313</v>
      </c>
      <c r="N267" s="105" t="s">
        <v>761</v>
      </c>
      <c r="O267" s="97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 spans="1:28" ht="29">
      <c r="A268" s="264"/>
      <c r="B268" s="264"/>
      <c r="C268" s="264"/>
      <c r="D268" s="264"/>
      <c r="E268" s="264"/>
      <c r="F268" s="97" t="s">
        <v>167</v>
      </c>
      <c r="G268" s="121">
        <v>1000</v>
      </c>
      <c r="H268" s="109">
        <v>45312</v>
      </c>
      <c r="I268" s="264"/>
      <c r="J268" s="105" t="s">
        <v>759</v>
      </c>
      <c r="K268" s="264"/>
      <c r="L268" s="109">
        <v>45312</v>
      </c>
      <c r="M268" s="109">
        <v>45313</v>
      </c>
      <c r="N268" s="105" t="s">
        <v>761</v>
      </c>
      <c r="O268" s="97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 spans="1:28" ht="29">
      <c r="A269" s="264"/>
      <c r="B269" s="264"/>
      <c r="C269" s="264"/>
      <c r="D269" s="264"/>
      <c r="E269" s="264"/>
      <c r="F269" s="97" t="s">
        <v>241</v>
      </c>
      <c r="G269" s="121">
        <v>100</v>
      </c>
      <c r="H269" s="109">
        <v>45312</v>
      </c>
      <c r="I269" s="264"/>
      <c r="J269" s="105" t="s">
        <v>759</v>
      </c>
      <c r="K269" s="264"/>
      <c r="L269" s="109">
        <v>45312</v>
      </c>
      <c r="M269" s="109">
        <v>45313</v>
      </c>
      <c r="N269" s="105" t="s">
        <v>761</v>
      </c>
      <c r="O269" s="97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 spans="1:28" ht="29">
      <c r="A270" s="264"/>
      <c r="B270" s="264"/>
      <c r="C270" s="264"/>
      <c r="D270" s="264"/>
      <c r="E270" s="264"/>
      <c r="F270" s="97" t="s">
        <v>767</v>
      </c>
      <c r="G270" s="121">
        <v>200</v>
      </c>
      <c r="H270" s="109">
        <v>45312</v>
      </c>
      <c r="I270" s="264"/>
      <c r="J270" s="105" t="s">
        <v>759</v>
      </c>
      <c r="K270" s="264"/>
      <c r="L270" s="109">
        <v>45312</v>
      </c>
      <c r="M270" s="109">
        <v>45313</v>
      </c>
      <c r="N270" s="105" t="s">
        <v>761</v>
      </c>
      <c r="O270" s="97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 spans="1:28" ht="29">
      <c r="A271" s="264"/>
      <c r="B271" s="264"/>
      <c r="C271" s="264"/>
      <c r="D271" s="264"/>
      <c r="E271" s="264"/>
      <c r="F271" s="97" t="s">
        <v>768</v>
      </c>
      <c r="G271" s="121">
        <v>100</v>
      </c>
      <c r="H271" s="109">
        <v>45312</v>
      </c>
      <c r="I271" s="264"/>
      <c r="J271" s="105" t="s">
        <v>759</v>
      </c>
      <c r="K271" s="264"/>
      <c r="L271" s="109">
        <v>45312</v>
      </c>
      <c r="M271" s="109">
        <v>45313</v>
      </c>
      <c r="N271" s="105" t="s">
        <v>761</v>
      </c>
      <c r="O271" s="97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 spans="1:28" ht="29">
      <c r="A272" s="264"/>
      <c r="B272" s="264"/>
      <c r="C272" s="264"/>
      <c r="D272" s="264"/>
      <c r="E272" s="264"/>
      <c r="F272" s="97" t="s">
        <v>472</v>
      </c>
      <c r="G272" s="121">
        <v>100</v>
      </c>
      <c r="H272" s="109">
        <v>45312</v>
      </c>
      <c r="I272" s="264"/>
      <c r="J272" s="105" t="s">
        <v>759</v>
      </c>
      <c r="K272" s="264"/>
      <c r="L272" s="109">
        <v>45312</v>
      </c>
      <c r="M272" s="109">
        <v>45313</v>
      </c>
      <c r="N272" s="105" t="s">
        <v>761</v>
      </c>
      <c r="O272" s="97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 spans="1:28" ht="29">
      <c r="A273" s="264"/>
      <c r="B273" s="264"/>
      <c r="C273" s="264"/>
      <c r="D273" s="264"/>
      <c r="E273" s="264"/>
      <c r="F273" s="97" t="s">
        <v>769</v>
      </c>
      <c r="G273" s="121">
        <v>100</v>
      </c>
      <c r="H273" s="109">
        <v>45312</v>
      </c>
      <c r="I273" s="264"/>
      <c r="J273" s="105" t="s">
        <v>759</v>
      </c>
      <c r="K273" s="264"/>
      <c r="L273" s="109">
        <v>45312</v>
      </c>
      <c r="M273" s="109">
        <v>45313</v>
      </c>
      <c r="N273" s="105" t="s">
        <v>761</v>
      </c>
      <c r="O273" s="97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 spans="1:28" ht="29">
      <c r="A274" s="261"/>
      <c r="B274" s="261"/>
      <c r="C274" s="261"/>
      <c r="D274" s="261"/>
      <c r="E274" s="261"/>
      <c r="F274" s="97" t="s">
        <v>640</v>
      </c>
      <c r="G274" s="121">
        <v>100</v>
      </c>
      <c r="H274" s="109">
        <v>45312</v>
      </c>
      <c r="I274" s="261"/>
      <c r="J274" s="105" t="s">
        <v>759</v>
      </c>
      <c r="K274" s="261"/>
      <c r="L274" s="109">
        <v>45312</v>
      </c>
      <c r="M274" s="109">
        <v>45313</v>
      </c>
      <c r="N274" s="105" t="s">
        <v>761</v>
      </c>
      <c r="O274" s="97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 spans="1:28" ht="29">
      <c r="A275" s="113">
        <v>64</v>
      </c>
      <c r="B275" s="105" t="s">
        <v>543</v>
      </c>
      <c r="C275" s="114">
        <v>16212</v>
      </c>
      <c r="D275" s="97"/>
      <c r="E275" s="97" t="s">
        <v>771</v>
      </c>
      <c r="F275" s="97" t="s">
        <v>41</v>
      </c>
      <c r="G275" s="121">
        <v>400</v>
      </c>
      <c r="H275" s="109">
        <v>45308</v>
      </c>
      <c r="I275" s="105" t="s">
        <v>604</v>
      </c>
      <c r="J275" s="105" t="s">
        <v>772</v>
      </c>
      <c r="K275" s="105" t="s">
        <v>685</v>
      </c>
      <c r="L275" s="109">
        <v>45308</v>
      </c>
      <c r="M275" s="109">
        <v>45310</v>
      </c>
      <c r="N275" s="105" t="s">
        <v>773</v>
      </c>
      <c r="O275" s="97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 spans="1:28" ht="29">
      <c r="A276" s="280">
        <v>65</v>
      </c>
      <c r="B276" s="283" t="s">
        <v>543</v>
      </c>
      <c r="C276" s="281">
        <v>16153</v>
      </c>
      <c r="D276" s="282"/>
      <c r="E276" s="282" t="s">
        <v>636</v>
      </c>
      <c r="F276" s="97" t="s">
        <v>412</v>
      </c>
      <c r="G276" s="137">
        <v>5000</v>
      </c>
      <c r="H276" s="109">
        <v>45307</v>
      </c>
      <c r="I276" s="283" t="s">
        <v>576</v>
      </c>
      <c r="J276" s="108">
        <v>774809222103</v>
      </c>
      <c r="K276" s="283" t="s">
        <v>558</v>
      </c>
      <c r="L276" s="109">
        <v>45307</v>
      </c>
      <c r="M276" s="109">
        <v>45314</v>
      </c>
      <c r="N276" s="105" t="s">
        <v>720</v>
      </c>
      <c r="O276" s="97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 spans="1:28" ht="29">
      <c r="A277" s="264"/>
      <c r="B277" s="264"/>
      <c r="C277" s="264"/>
      <c r="D277" s="264"/>
      <c r="E277" s="264"/>
      <c r="F277" s="97" t="s">
        <v>414</v>
      </c>
      <c r="G277" s="137">
        <v>5000</v>
      </c>
      <c r="H277" s="109">
        <v>45307</v>
      </c>
      <c r="I277" s="264"/>
      <c r="J277" s="108">
        <v>774809222103</v>
      </c>
      <c r="K277" s="264"/>
      <c r="L277" s="109">
        <v>45307</v>
      </c>
      <c r="M277" s="109">
        <v>45314</v>
      </c>
      <c r="N277" s="105" t="s">
        <v>720</v>
      </c>
      <c r="O277" s="97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 spans="1:28" ht="29">
      <c r="A278" s="264"/>
      <c r="B278" s="264"/>
      <c r="C278" s="264"/>
      <c r="D278" s="264"/>
      <c r="E278" s="264"/>
      <c r="F278" s="97" t="s">
        <v>270</v>
      </c>
      <c r="G278" s="137">
        <v>10000</v>
      </c>
      <c r="H278" s="109">
        <v>45307</v>
      </c>
      <c r="I278" s="264"/>
      <c r="J278" s="108">
        <v>774809222103</v>
      </c>
      <c r="K278" s="264"/>
      <c r="L278" s="109">
        <v>45307</v>
      </c>
      <c r="M278" s="109">
        <v>45314</v>
      </c>
      <c r="N278" s="105" t="s">
        <v>720</v>
      </c>
      <c r="O278" s="97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 spans="1:28" ht="29">
      <c r="A279" s="264"/>
      <c r="B279" s="264"/>
      <c r="C279" s="264"/>
      <c r="D279" s="264"/>
      <c r="E279" s="264"/>
      <c r="F279" s="97" t="s">
        <v>191</v>
      </c>
      <c r="G279" s="137">
        <v>10000</v>
      </c>
      <c r="H279" s="109">
        <v>45307</v>
      </c>
      <c r="I279" s="264"/>
      <c r="J279" s="108">
        <v>774809222103</v>
      </c>
      <c r="K279" s="264"/>
      <c r="L279" s="109">
        <v>45307</v>
      </c>
      <c r="M279" s="109">
        <v>45314</v>
      </c>
      <c r="N279" s="105" t="s">
        <v>720</v>
      </c>
      <c r="O279" s="97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 spans="1:28" ht="29">
      <c r="A280" s="261"/>
      <c r="B280" s="261"/>
      <c r="C280" s="261"/>
      <c r="D280" s="261"/>
      <c r="E280" s="261"/>
      <c r="F280" s="97" t="s">
        <v>289</v>
      </c>
      <c r="G280" s="137">
        <v>10000</v>
      </c>
      <c r="H280" s="109">
        <v>45307</v>
      </c>
      <c r="I280" s="261"/>
      <c r="J280" s="108">
        <v>774809222103</v>
      </c>
      <c r="K280" s="261"/>
      <c r="L280" s="109">
        <v>45307</v>
      </c>
      <c r="M280" s="109">
        <v>45314</v>
      </c>
      <c r="N280" s="105" t="s">
        <v>720</v>
      </c>
      <c r="O280" s="97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 spans="1:28" ht="29">
      <c r="A281" s="113">
        <v>67</v>
      </c>
      <c r="B281" s="105" t="s">
        <v>543</v>
      </c>
      <c r="C281" s="114">
        <v>17571</v>
      </c>
      <c r="D281" s="114">
        <v>7344</v>
      </c>
      <c r="E281" s="107" t="s">
        <v>591</v>
      </c>
      <c r="F281" s="131" t="s">
        <v>774</v>
      </c>
      <c r="G281" s="127">
        <v>20</v>
      </c>
      <c r="H281" s="109">
        <v>45307</v>
      </c>
      <c r="I281" s="105" t="s">
        <v>623</v>
      </c>
      <c r="J281" s="108">
        <v>726028999697</v>
      </c>
      <c r="K281" s="105" t="s">
        <v>577</v>
      </c>
      <c r="L281" s="109">
        <v>45307</v>
      </c>
      <c r="M281" s="109">
        <v>45314</v>
      </c>
      <c r="N281" s="105" t="s">
        <v>720</v>
      </c>
      <c r="O281" s="97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 spans="1:28" ht="29">
      <c r="A282" s="113">
        <v>70</v>
      </c>
      <c r="B282" s="105" t="s">
        <v>543</v>
      </c>
      <c r="C282" s="114">
        <v>17359</v>
      </c>
      <c r="D282" s="114">
        <v>7287</v>
      </c>
      <c r="E282" s="107" t="s">
        <v>775</v>
      </c>
      <c r="F282" s="131" t="s">
        <v>776</v>
      </c>
      <c r="G282" s="127">
        <v>3</v>
      </c>
      <c r="H282" s="109">
        <v>45314</v>
      </c>
      <c r="I282" s="105" t="s">
        <v>623</v>
      </c>
      <c r="J282" s="108">
        <v>774837241760</v>
      </c>
      <c r="K282" s="105" t="s">
        <v>577</v>
      </c>
      <c r="L282" s="109">
        <v>45309</v>
      </c>
      <c r="M282" s="109">
        <v>45315</v>
      </c>
      <c r="N282" s="105" t="s">
        <v>734</v>
      </c>
      <c r="O282" s="97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 spans="1:28" ht="29">
      <c r="A283" s="280">
        <v>71</v>
      </c>
      <c r="B283" s="284" t="s">
        <v>541</v>
      </c>
      <c r="C283" s="157">
        <v>16928</v>
      </c>
      <c r="D283" s="131"/>
      <c r="E283" s="131" t="s">
        <v>631</v>
      </c>
      <c r="F283" s="131" t="s">
        <v>10</v>
      </c>
      <c r="G283" s="127">
        <v>200</v>
      </c>
      <c r="H283" s="109">
        <v>45328</v>
      </c>
      <c r="I283" s="283" t="s">
        <v>731</v>
      </c>
      <c r="J283" s="105" t="s">
        <v>777</v>
      </c>
      <c r="K283" s="283" t="s">
        <v>778</v>
      </c>
      <c r="L283" s="109">
        <v>45323</v>
      </c>
      <c r="M283" s="109">
        <v>45334</v>
      </c>
      <c r="N283" s="105" t="s">
        <v>779</v>
      </c>
      <c r="O283" s="97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 spans="1:28" ht="29">
      <c r="A284" s="264"/>
      <c r="B284" s="264"/>
      <c r="C284" s="157">
        <v>16928</v>
      </c>
      <c r="D284" s="131"/>
      <c r="E284" s="131" t="s">
        <v>631</v>
      </c>
      <c r="F284" s="133" t="s">
        <v>14</v>
      </c>
      <c r="G284" s="130">
        <v>100</v>
      </c>
      <c r="H284" s="109">
        <v>45328</v>
      </c>
      <c r="I284" s="264"/>
      <c r="J284" s="105" t="s">
        <v>777</v>
      </c>
      <c r="K284" s="264"/>
      <c r="L284" s="109">
        <v>45323</v>
      </c>
      <c r="M284" s="109">
        <v>45334</v>
      </c>
      <c r="N284" s="105" t="s">
        <v>779</v>
      </c>
      <c r="O284" s="97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 spans="1:28" ht="29">
      <c r="A285" s="264"/>
      <c r="B285" s="264"/>
      <c r="C285" s="157">
        <v>17388</v>
      </c>
      <c r="D285" s="133"/>
      <c r="E285" s="158" t="s">
        <v>631</v>
      </c>
      <c r="F285" s="133" t="s">
        <v>13</v>
      </c>
      <c r="G285" s="130">
        <v>200</v>
      </c>
      <c r="H285" s="109">
        <v>45328</v>
      </c>
      <c r="I285" s="264"/>
      <c r="J285" s="105" t="s">
        <v>777</v>
      </c>
      <c r="K285" s="264"/>
      <c r="L285" s="109">
        <v>45323</v>
      </c>
      <c r="M285" s="109">
        <v>45334</v>
      </c>
      <c r="N285" s="105" t="s">
        <v>779</v>
      </c>
      <c r="O285" s="97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 spans="1:28" ht="29">
      <c r="A286" s="264"/>
      <c r="B286" s="264"/>
      <c r="C286" s="157">
        <v>17388</v>
      </c>
      <c r="D286" s="133"/>
      <c r="E286" s="107" t="s">
        <v>631</v>
      </c>
      <c r="F286" s="133" t="s">
        <v>14</v>
      </c>
      <c r="G286" s="130">
        <v>200</v>
      </c>
      <c r="H286" s="109">
        <v>45328</v>
      </c>
      <c r="I286" s="261"/>
      <c r="J286" s="105" t="s">
        <v>777</v>
      </c>
      <c r="K286" s="261"/>
      <c r="L286" s="109">
        <v>45323</v>
      </c>
      <c r="M286" s="109">
        <v>45334</v>
      </c>
      <c r="N286" s="105" t="s">
        <v>779</v>
      </c>
      <c r="O286" s="97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 spans="1:28" ht="29">
      <c r="A287" s="280">
        <v>72</v>
      </c>
      <c r="B287" s="284" t="s">
        <v>541</v>
      </c>
      <c r="C287" s="157">
        <v>16849</v>
      </c>
      <c r="D287" s="159">
        <v>7038</v>
      </c>
      <c r="E287" s="133" t="s">
        <v>780</v>
      </c>
      <c r="F287" s="133" t="s">
        <v>50</v>
      </c>
      <c r="G287" s="130">
        <v>50</v>
      </c>
      <c r="H287" s="109">
        <v>45325</v>
      </c>
      <c r="I287" s="283" t="s">
        <v>731</v>
      </c>
      <c r="J287" s="105" t="s">
        <v>781</v>
      </c>
      <c r="K287" s="283" t="s">
        <v>778</v>
      </c>
      <c r="L287" s="109">
        <v>45325</v>
      </c>
      <c r="M287" s="109">
        <v>45334</v>
      </c>
      <c r="N287" s="105" t="s">
        <v>782</v>
      </c>
      <c r="O287" s="97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 spans="1:28" ht="29">
      <c r="A288" s="264"/>
      <c r="B288" s="264"/>
      <c r="C288" s="159">
        <v>17245</v>
      </c>
      <c r="D288" s="159">
        <v>7038</v>
      </c>
      <c r="E288" s="133" t="s">
        <v>617</v>
      </c>
      <c r="F288" s="133" t="s">
        <v>50</v>
      </c>
      <c r="G288" s="130">
        <v>50</v>
      </c>
      <c r="H288" s="109">
        <v>45325</v>
      </c>
      <c r="I288" s="264"/>
      <c r="J288" s="105" t="s">
        <v>781</v>
      </c>
      <c r="K288" s="264"/>
      <c r="L288" s="109">
        <v>45325</v>
      </c>
      <c r="M288" s="109">
        <v>45334</v>
      </c>
      <c r="N288" s="105" t="s">
        <v>782</v>
      </c>
      <c r="O288" s="97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 spans="1:28" ht="29">
      <c r="A289" s="261"/>
      <c r="B289" s="261"/>
      <c r="C289" s="133"/>
      <c r="D289" s="159" t="s">
        <v>78</v>
      </c>
      <c r="E289" s="133" t="s">
        <v>783</v>
      </c>
      <c r="F289" s="133"/>
      <c r="G289" s="130">
        <v>2</v>
      </c>
      <c r="H289" s="109">
        <v>45325</v>
      </c>
      <c r="I289" s="261"/>
      <c r="J289" s="105" t="s">
        <v>781</v>
      </c>
      <c r="K289" s="261"/>
      <c r="L289" s="109">
        <v>45325</v>
      </c>
      <c r="M289" s="109">
        <v>45334</v>
      </c>
      <c r="N289" s="105" t="s">
        <v>782</v>
      </c>
      <c r="O289" s="97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 spans="1:28" ht="29">
      <c r="A290" s="113">
        <v>73</v>
      </c>
      <c r="B290" s="138" t="s">
        <v>543</v>
      </c>
      <c r="C290" s="159">
        <v>17561</v>
      </c>
      <c r="D290" s="159">
        <v>7038</v>
      </c>
      <c r="E290" s="133" t="s">
        <v>651</v>
      </c>
      <c r="F290" s="133" t="s">
        <v>37</v>
      </c>
      <c r="G290" s="130">
        <v>175</v>
      </c>
      <c r="H290" s="109">
        <v>45324</v>
      </c>
      <c r="I290" s="105" t="s">
        <v>623</v>
      </c>
      <c r="J290" s="108">
        <v>775030962573</v>
      </c>
      <c r="K290" s="105" t="s">
        <v>654</v>
      </c>
      <c r="L290" s="109">
        <v>45324</v>
      </c>
      <c r="M290" s="109">
        <v>45337</v>
      </c>
      <c r="N290" s="105" t="s">
        <v>784</v>
      </c>
      <c r="O290" s="97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 spans="1:28" ht="29">
      <c r="A291" s="113">
        <v>74</v>
      </c>
      <c r="B291" s="138" t="s">
        <v>543</v>
      </c>
      <c r="C291" s="159">
        <v>17316</v>
      </c>
      <c r="D291" s="159">
        <v>7281</v>
      </c>
      <c r="E291" s="133" t="s">
        <v>617</v>
      </c>
      <c r="F291" s="133" t="s">
        <v>52</v>
      </c>
      <c r="G291" s="130">
        <v>3</v>
      </c>
      <c r="H291" s="109">
        <v>45316</v>
      </c>
      <c r="I291" s="105" t="s">
        <v>623</v>
      </c>
      <c r="J291" s="108">
        <v>774919893448</v>
      </c>
      <c r="K291" s="105" t="s">
        <v>669</v>
      </c>
      <c r="L291" s="109">
        <v>45316</v>
      </c>
      <c r="M291" s="109">
        <v>45325</v>
      </c>
      <c r="N291" s="105" t="s">
        <v>785</v>
      </c>
      <c r="O291" s="97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 spans="1:28" ht="29">
      <c r="A292" s="280">
        <v>75</v>
      </c>
      <c r="B292" s="285" t="s">
        <v>541</v>
      </c>
      <c r="C292" s="159">
        <v>17315</v>
      </c>
      <c r="D292" s="159">
        <v>7281</v>
      </c>
      <c r="E292" s="133" t="s">
        <v>775</v>
      </c>
      <c r="F292" s="133" t="s">
        <v>40</v>
      </c>
      <c r="G292" s="130">
        <v>2</v>
      </c>
      <c r="H292" s="109">
        <v>45382</v>
      </c>
      <c r="I292" s="283" t="s">
        <v>786</v>
      </c>
      <c r="J292" s="105" t="s">
        <v>787</v>
      </c>
      <c r="K292" s="283" t="s">
        <v>736</v>
      </c>
      <c r="L292" s="109">
        <v>45375</v>
      </c>
      <c r="M292" s="109">
        <v>45423</v>
      </c>
      <c r="N292" s="105" t="s">
        <v>788</v>
      </c>
      <c r="O292" s="283" t="s">
        <v>789</v>
      </c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 spans="1:28" ht="29">
      <c r="A293" s="261"/>
      <c r="B293" s="261"/>
      <c r="C293" s="159">
        <v>17629</v>
      </c>
      <c r="D293" s="159">
        <v>7358</v>
      </c>
      <c r="E293" s="133" t="s">
        <v>775</v>
      </c>
      <c r="F293" s="133" t="s">
        <v>40</v>
      </c>
      <c r="G293" s="130">
        <v>2</v>
      </c>
      <c r="H293" s="109">
        <v>45382</v>
      </c>
      <c r="I293" s="264"/>
      <c r="J293" s="105" t="s">
        <v>787</v>
      </c>
      <c r="K293" s="264"/>
      <c r="L293" s="109">
        <v>45375</v>
      </c>
      <c r="M293" s="109">
        <v>45423</v>
      </c>
      <c r="N293" s="105" t="s">
        <v>788</v>
      </c>
      <c r="O293" s="264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 spans="1:28" ht="29">
      <c r="A294" s="113">
        <v>95</v>
      </c>
      <c r="B294" s="114" t="s">
        <v>541</v>
      </c>
      <c r="C294" s="114">
        <v>18034</v>
      </c>
      <c r="D294" s="114">
        <v>7481</v>
      </c>
      <c r="E294" s="105" t="s">
        <v>775</v>
      </c>
      <c r="F294" s="105" t="s">
        <v>40</v>
      </c>
      <c r="G294" s="108">
        <v>3</v>
      </c>
      <c r="H294" s="109">
        <v>45382</v>
      </c>
      <c r="I294" s="261"/>
      <c r="J294" s="105" t="s">
        <v>787</v>
      </c>
      <c r="K294" s="261"/>
      <c r="L294" s="109">
        <v>45375</v>
      </c>
      <c r="M294" s="109">
        <v>45423</v>
      </c>
      <c r="N294" s="105" t="s">
        <v>788</v>
      </c>
      <c r="O294" s="26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 spans="1:28" ht="29">
      <c r="A295" s="280">
        <v>76</v>
      </c>
      <c r="B295" s="285" t="s">
        <v>543</v>
      </c>
      <c r="C295" s="159">
        <v>16410</v>
      </c>
      <c r="D295" s="133"/>
      <c r="E295" s="297" t="s">
        <v>603</v>
      </c>
      <c r="F295" s="133" t="s">
        <v>29</v>
      </c>
      <c r="G295" s="130">
        <v>200</v>
      </c>
      <c r="H295" s="109">
        <v>45319</v>
      </c>
      <c r="I295" s="283" t="s">
        <v>604</v>
      </c>
      <c r="J295" s="105" t="s">
        <v>790</v>
      </c>
      <c r="K295" s="283" t="s">
        <v>585</v>
      </c>
      <c r="L295" s="109">
        <v>45317</v>
      </c>
      <c r="M295" s="109">
        <v>45320</v>
      </c>
      <c r="N295" s="105" t="s">
        <v>791</v>
      </c>
      <c r="O295" s="97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 spans="1:28" ht="29">
      <c r="A296" s="264"/>
      <c r="B296" s="264"/>
      <c r="C296" s="159">
        <v>16410</v>
      </c>
      <c r="D296" s="133"/>
      <c r="E296" s="264"/>
      <c r="F296" s="133" t="s">
        <v>32</v>
      </c>
      <c r="G296" s="130">
        <v>100</v>
      </c>
      <c r="H296" s="109">
        <v>45319</v>
      </c>
      <c r="I296" s="261"/>
      <c r="J296" s="105" t="s">
        <v>790</v>
      </c>
      <c r="K296" s="261"/>
      <c r="L296" s="109">
        <v>45317</v>
      </c>
      <c r="M296" s="109">
        <v>45320</v>
      </c>
      <c r="N296" s="105" t="s">
        <v>791</v>
      </c>
      <c r="O296" s="97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 spans="1:28" ht="29">
      <c r="A297" s="113">
        <v>62</v>
      </c>
      <c r="B297" s="114" t="s">
        <v>543</v>
      </c>
      <c r="C297" s="114">
        <v>16784</v>
      </c>
      <c r="D297" s="97"/>
      <c r="E297" s="97" t="s">
        <v>603</v>
      </c>
      <c r="F297" s="97" t="s">
        <v>33</v>
      </c>
      <c r="G297" s="121">
        <v>100</v>
      </c>
      <c r="H297" s="154" t="s">
        <v>792</v>
      </c>
      <c r="I297" s="283" t="s">
        <v>786</v>
      </c>
      <c r="J297" s="105" t="s">
        <v>793</v>
      </c>
      <c r="K297" s="283" t="s">
        <v>794</v>
      </c>
      <c r="L297" s="109">
        <v>45350</v>
      </c>
      <c r="M297" s="109">
        <v>45357</v>
      </c>
      <c r="N297" s="105" t="s">
        <v>795</v>
      </c>
      <c r="O297" s="283" t="s">
        <v>796</v>
      </c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 spans="1:28" ht="29">
      <c r="A298" s="280">
        <v>77</v>
      </c>
      <c r="B298" s="284" t="s">
        <v>543</v>
      </c>
      <c r="C298" s="159">
        <v>16851</v>
      </c>
      <c r="D298" s="159">
        <v>7038</v>
      </c>
      <c r="E298" s="282" t="s">
        <v>603</v>
      </c>
      <c r="F298" s="160" t="s">
        <v>27</v>
      </c>
      <c r="G298" s="161">
        <v>100</v>
      </c>
      <c r="H298" s="154" t="s">
        <v>792</v>
      </c>
      <c r="I298" s="264"/>
      <c r="J298" s="105" t="s">
        <v>793</v>
      </c>
      <c r="K298" s="264"/>
      <c r="L298" s="109">
        <v>45350</v>
      </c>
      <c r="M298" s="109">
        <v>45357</v>
      </c>
      <c r="N298" s="105" t="s">
        <v>795</v>
      </c>
      <c r="O298" s="264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 spans="1:28" ht="29">
      <c r="A299" s="264"/>
      <c r="B299" s="261"/>
      <c r="C299" s="159">
        <v>16851</v>
      </c>
      <c r="D299" s="159">
        <v>7038</v>
      </c>
      <c r="E299" s="261"/>
      <c r="F299" s="160" t="s">
        <v>31</v>
      </c>
      <c r="G299" s="162">
        <v>75</v>
      </c>
      <c r="H299" s="154" t="s">
        <v>792</v>
      </c>
      <c r="I299" s="261"/>
      <c r="J299" s="105" t="s">
        <v>793</v>
      </c>
      <c r="K299" s="261"/>
      <c r="L299" s="109">
        <v>45350</v>
      </c>
      <c r="M299" s="109">
        <v>45357</v>
      </c>
      <c r="N299" s="105" t="s">
        <v>795</v>
      </c>
      <c r="O299" s="26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 spans="1:28" ht="29">
      <c r="A300" s="113">
        <v>78</v>
      </c>
      <c r="B300" s="138" t="s">
        <v>543</v>
      </c>
      <c r="C300" s="159">
        <v>17325</v>
      </c>
      <c r="D300" s="133"/>
      <c r="E300" s="133" t="s">
        <v>631</v>
      </c>
      <c r="F300" s="133" t="s">
        <v>11</v>
      </c>
      <c r="G300" s="130">
        <v>200</v>
      </c>
      <c r="H300" s="109">
        <v>45321</v>
      </c>
      <c r="I300" s="105" t="s">
        <v>623</v>
      </c>
      <c r="J300" s="108">
        <v>774948639280</v>
      </c>
      <c r="K300" s="105" t="s">
        <v>694</v>
      </c>
      <c r="L300" s="109">
        <v>45320</v>
      </c>
      <c r="M300" s="109">
        <v>45323</v>
      </c>
      <c r="N300" s="105" t="s">
        <v>785</v>
      </c>
      <c r="O300" s="97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 spans="1:28" ht="29">
      <c r="A301" s="113">
        <v>79</v>
      </c>
      <c r="B301" s="138" t="s">
        <v>543</v>
      </c>
      <c r="C301" s="114">
        <v>17632</v>
      </c>
      <c r="D301" s="97"/>
      <c r="E301" s="97" t="s">
        <v>797</v>
      </c>
      <c r="F301" s="97" t="s">
        <v>411</v>
      </c>
      <c r="G301" s="121">
        <v>200</v>
      </c>
      <c r="H301" s="109">
        <v>45321</v>
      </c>
      <c r="I301" s="105" t="s">
        <v>623</v>
      </c>
      <c r="J301" s="163">
        <v>774979351145</v>
      </c>
      <c r="K301" s="105" t="s">
        <v>610</v>
      </c>
      <c r="L301" s="109">
        <v>45321</v>
      </c>
      <c r="M301" s="109">
        <v>45329</v>
      </c>
      <c r="N301" s="105" t="s">
        <v>798</v>
      </c>
      <c r="O301" s="97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 spans="1:28" ht="29">
      <c r="A302" s="113">
        <v>80</v>
      </c>
      <c r="B302" s="138" t="s">
        <v>543</v>
      </c>
      <c r="C302" s="114">
        <v>17631</v>
      </c>
      <c r="D302" s="97"/>
      <c r="E302" s="97" t="s">
        <v>683</v>
      </c>
      <c r="F302" s="97" t="s">
        <v>56</v>
      </c>
      <c r="G302" s="121">
        <v>100</v>
      </c>
      <c r="H302" s="109">
        <v>45321</v>
      </c>
      <c r="I302" s="105" t="s">
        <v>623</v>
      </c>
      <c r="J302" s="108">
        <v>774976286137</v>
      </c>
      <c r="K302" s="105" t="s">
        <v>669</v>
      </c>
      <c r="L302" s="109">
        <v>45320</v>
      </c>
      <c r="M302" s="109">
        <v>45329</v>
      </c>
      <c r="N302" s="105" t="s">
        <v>799</v>
      </c>
      <c r="O302" s="97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 spans="1:28" ht="29">
      <c r="A303" s="113">
        <v>81</v>
      </c>
      <c r="B303" s="138" t="s">
        <v>543</v>
      </c>
      <c r="C303" s="164">
        <v>17606</v>
      </c>
      <c r="D303" s="97"/>
      <c r="E303" s="97" t="s">
        <v>800</v>
      </c>
      <c r="F303" s="97" t="s">
        <v>61</v>
      </c>
      <c r="G303" s="121">
        <v>100</v>
      </c>
      <c r="H303" s="109">
        <v>45406</v>
      </c>
      <c r="I303" s="105" t="s">
        <v>786</v>
      </c>
      <c r="J303" s="105" t="s">
        <v>801</v>
      </c>
      <c r="K303" s="105" t="s">
        <v>558</v>
      </c>
      <c r="L303" s="109">
        <v>45405</v>
      </c>
      <c r="M303" s="109">
        <v>45409</v>
      </c>
      <c r="N303" s="105" t="s">
        <v>802</v>
      </c>
      <c r="O303" s="105" t="s">
        <v>803</v>
      </c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 spans="1:28" ht="29">
      <c r="A304" s="113">
        <v>82</v>
      </c>
      <c r="B304" s="114" t="s">
        <v>543</v>
      </c>
      <c r="C304" s="114">
        <v>17780</v>
      </c>
      <c r="D304" s="114">
        <v>7405</v>
      </c>
      <c r="E304" s="105" t="s">
        <v>804</v>
      </c>
      <c r="F304" s="105" t="s">
        <v>805</v>
      </c>
      <c r="G304" s="108">
        <v>2</v>
      </c>
      <c r="H304" s="109">
        <v>45338</v>
      </c>
      <c r="I304" s="105" t="s">
        <v>623</v>
      </c>
      <c r="J304" s="108">
        <v>775203757191</v>
      </c>
      <c r="K304" s="283" t="s">
        <v>577</v>
      </c>
      <c r="L304" s="109">
        <v>45338</v>
      </c>
      <c r="M304" s="109">
        <v>45345</v>
      </c>
      <c r="N304" s="105" t="s">
        <v>806</v>
      </c>
      <c r="O304" s="97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 spans="1:28" ht="29">
      <c r="A305" s="113">
        <v>83</v>
      </c>
      <c r="B305" s="114" t="s">
        <v>543</v>
      </c>
      <c r="C305" s="106">
        <v>17806</v>
      </c>
      <c r="D305" s="114">
        <v>7401</v>
      </c>
      <c r="E305" s="105" t="s">
        <v>804</v>
      </c>
      <c r="F305" s="105" t="s">
        <v>473</v>
      </c>
      <c r="G305" s="105" t="s">
        <v>807</v>
      </c>
      <c r="H305" s="109">
        <v>45338</v>
      </c>
      <c r="I305" s="105" t="s">
        <v>623</v>
      </c>
      <c r="J305" s="108">
        <v>775203757191</v>
      </c>
      <c r="K305" s="261"/>
      <c r="L305" s="109">
        <v>45338</v>
      </c>
      <c r="M305" s="109">
        <v>45345</v>
      </c>
      <c r="N305" s="105" t="s">
        <v>806</v>
      </c>
      <c r="O305" s="97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 spans="1:28" ht="29">
      <c r="A306" s="280">
        <v>84</v>
      </c>
      <c r="B306" s="281" t="s">
        <v>543</v>
      </c>
      <c r="C306" s="284">
        <v>17638</v>
      </c>
      <c r="D306" s="281">
        <v>7361</v>
      </c>
      <c r="E306" s="282" t="s">
        <v>631</v>
      </c>
      <c r="F306" s="165" t="s">
        <v>11</v>
      </c>
      <c r="G306" s="166">
        <v>20</v>
      </c>
      <c r="H306" s="109">
        <v>45384</v>
      </c>
      <c r="I306" s="105" t="s">
        <v>623</v>
      </c>
      <c r="J306" s="108">
        <v>775761837545</v>
      </c>
      <c r="K306" s="283" t="s">
        <v>558</v>
      </c>
      <c r="L306" s="109">
        <v>45384</v>
      </c>
      <c r="M306" s="109">
        <v>45398</v>
      </c>
      <c r="N306" s="105" t="s">
        <v>808</v>
      </c>
      <c r="O306" s="97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 spans="1:28" ht="29">
      <c r="A307" s="261"/>
      <c r="B307" s="261"/>
      <c r="C307" s="261"/>
      <c r="D307" s="261"/>
      <c r="E307" s="261"/>
      <c r="F307" s="167" t="s">
        <v>10</v>
      </c>
      <c r="G307" s="155">
        <v>20</v>
      </c>
      <c r="H307" s="109">
        <v>45384</v>
      </c>
      <c r="I307" s="105" t="s">
        <v>623</v>
      </c>
      <c r="J307" s="108">
        <v>775761837545</v>
      </c>
      <c r="K307" s="264"/>
      <c r="L307" s="109">
        <v>45384</v>
      </c>
      <c r="M307" s="109">
        <v>45398</v>
      </c>
      <c r="N307" s="105" t="s">
        <v>808</v>
      </c>
      <c r="O307" s="97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 spans="1:28" ht="29">
      <c r="A308" s="113">
        <v>92</v>
      </c>
      <c r="B308" s="114" t="s">
        <v>543</v>
      </c>
      <c r="C308" s="106">
        <v>17563</v>
      </c>
      <c r="D308" s="97"/>
      <c r="E308" s="97" t="s">
        <v>683</v>
      </c>
      <c r="F308" s="97" t="s">
        <v>56</v>
      </c>
      <c r="G308" s="121">
        <v>100</v>
      </c>
      <c r="H308" s="109">
        <v>45384</v>
      </c>
      <c r="I308" s="105" t="s">
        <v>623</v>
      </c>
      <c r="J308" s="108">
        <v>775761837545</v>
      </c>
      <c r="K308" s="261"/>
      <c r="L308" s="109">
        <v>45384</v>
      </c>
      <c r="M308" s="109">
        <v>45398</v>
      </c>
      <c r="N308" s="105" t="s">
        <v>808</v>
      </c>
      <c r="O308" s="97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 spans="1:28" ht="29">
      <c r="A309" s="280">
        <v>85</v>
      </c>
      <c r="B309" s="285" t="s">
        <v>543</v>
      </c>
      <c r="C309" s="281">
        <v>17549</v>
      </c>
      <c r="D309" s="97"/>
      <c r="E309" s="282" t="s">
        <v>603</v>
      </c>
      <c r="F309" s="97" t="s">
        <v>33</v>
      </c>
      <c r="G309" s="121">
        <v>150</v>
      </c>
      <c r="H309" s="109">
        <v>45398</v>
      </c>
      <c r="I309" s="283" t="s">
        <v>604</v>
      </c>
      <c r="J309" s="108" t="s">
        <v>809</v>
      </c>
      <c r="K309" s="105" t="s">
        <v>654</v>
      </c>
      <c r="L309" s="109">
        <v>45397</v>
      </c>
      <c r="M309" s="109">
        <v>45401</v>
      </c>
      <c r="N309" s="105" t="s">
        <v>810</v>
      </c>
      <c r="O309" s="283" t="s">
        <v>811</v>
      </c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 spans="1:28" ht="29">
      <c r="A310" s="264"/>
      <c r="B310" s="264"/>
      <c r="C310" s="264"/>
      <c r="D310" s="97"/>
      <c r="E310" s="264"/>
      <c r="F310" s="165" t="s">
        <v>812</v>
      </c>
      <c r="G310" s="166">
        <v>1</v>
      </c>
      <c r="H310" s="109">
        <v>45398</v>
      </c>
      <c r="I310" s="264"/>
      <c r="J310" s="108" t="s">
        <v>809</v>
      </c>
      <c r="K310" s="105" t="s">
        <v>654</v>
      </c>
      <c r="L310" s="109">
        <v>45397</v>
      </c>
      <c r="M310" s="109">
        <v>45401</v>
      </c>
      <c r="N310" s="105" t="s">
        <v>810</v>
      </c>
      <c r="O310" s="264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 spans="1:28" ht="29">
      <c r="A311" s="264"/>
      <c r="B311" s="264"/>
      <c r="C311" s="264"/>
      <c r="D311" s="97"/>
      <c r="E311" s="264"/>
      <c r="F311" s="165" t="s">
        <v>813</v>
      </c>
      <c r="G311" s="166">
        <v>2</v>
      </c>
      <c r="H311" s="109">
        <v>45398</v>
      </c>
      <c r="I311" s="264"/>
      <c r="J311" s="108" t="s">
        <v>809</v>
      </c>
      <c r="K311" s="105" t="s">
        <v>654</v>
      </c>
      <c r="L311" s="109">
        <v>45397</v>
      </c>
      <c r="M311" s="109">
        <v>45401</v>
      </c>
      <c r="N311" s="105" t="s">
        <v>810</v>
      </c>
      <c r="O311" s="264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 spans="1:28" ht="29">
      <c r="A312" s="261"/>
      <c r="B312" s="261"/>
      <c r="C312" s="261"/>
      <c r="D312" s="97"/>
      <c r="E312" s="261"/>
      <c r="F312" s="165" t="s">
        <v>814</v>
      </c>
      <c r="G312" s="166">
        <v>1</v>
      </c>
      <c r="H312" s="109">
        <v>45398</v>
      </c>
      <c r="I312" s="261"/>
      <c r="J312" s="108" t="s">
        <v>809</v>
      </c>
      <c r="K312" s="105" t="s">
        <v>654</v>
      </c>
      <c r="L312" s="109">
        <v>45397</v>
      </c>
      <c r="M312" s="109">
        <v>45401</v>
      </c>
      <c r="N312" s="105" t="s">
        <v>810</v>
      </c>
      <c r="O312" s="26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 spans="1:28" ht="29">
      <c r="A313" s="280">
        <v>86</v>
      </c>
      <c r="B313" s="281" t="s">
        <v>543</v>
      </c>
      <c r="C313" s="281">
        <v>16590</v>
      </c>
      <c r="D313" s="281">
        <v>6906</v>
      </c>
      <c r="E313" s="282" t="s">
        <v>630</v>
      </c>
      <c r="F313" s="165" t="s">
        <v>8</v>
      </c>
      <c r="G313" s="166">
        <v>200</v>
      </c>
      <c r="H313" s="109">
        <v>45363</v>
      </c>
      <c r="I313" s="283" t="s">
        <v>786</v>
      </c>
      <c r="J313" s="105" t="s">
        <v>815</v>
      </c>
      <c r="K313" s="283" t="s">
        <v>816</v>
      </c>
      <c r="L313" s="109">
        <v>45358</v>
      </c>
      <c r="M313" s="109">
        <v>45364</v>
      </c>
      <c r="N313" s="105" t="s">
        <v>817</v>
      </c>
      <c r="O313" s="283" t="s">
        <v>796</v>
      </c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 spans="1:28" ht="29">
      <c r="A314" s="261"/>
      <c r="B314" s="261"/>
      <c r="C314" s="261"/>
      <c r="D314" s="261"/>
      <c r="E314" s="261"/>
      <c r="F314" s="167" t="s">
        <v>6</v>
      </c>
      <c r="G314" s="155">
        <v>200</v>
      </c>
      <c r="H314" s="109">
        <v>45363</v>
      </c>
      <c r="I314" s="261"/>
      <c r="J314" s="105" t="s">
        <v>815</v>
      </c>
      <c r="K314" s="261"/>
      <c r="L314" s="109">
        <v>45358</v>
      </c>
      <c r="M314" s="109">
        <v>45364</v>
      </c>
      <c r="N314" s="105" t="s">
        <v>817</v>
      </c>
      <c r="O314" s="26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 spans="1:28" ht="29">
      <c r="A315" s="113">
        <v>87</v>
      </c>
      <c r="B315" s="114" t="s">
        <v>543</v>
      </c>
      <c r="C315" s="114">
        <v>17802</v>
      </c>
      <c r="D315" s="114">
        <v>7384</v>
      </c>
      <c r="E315" s="105" t="s">
        <v>818</v>
      </c>
      <c r="F315" s="105" t="s">
        <v>819</v>
      </c>
      <c r="G315" s="108">
        <v>80</v>
      </c>
      <c r="H315" s="109">
        <v>45364</v>
      </c>
      <c r="I315" s="105" t="s">
        <v>623</v>
      </c>
      <c r="J315" s="108">
        <v>775502788321</v>
      </c>
      <c r="K315" s="105" t="s">
        <v>577</v>
      </c>
      <c r="L315" s="109">
        <v>45364</v>
      </c>
      <c r="M315" s="109">
        <v>45370</v>
      </c>
      <c r="N315" s="105" t="s">
        <v>820</v>
      </c>
      <c r="O315" s="97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 spans="1:28" ht="29">
      <c r="A316" s="113">
        <v>88</v>
      </c>
      <c r="B316" s="114" t="s">
        <v>543</v>
      </c>
      <c r="C316" s="106">
        <v>17721</v>
      </c>
      <c r="D316" s="97"/>
      <c r="E316" s="97" t="s">
        <v>797</v>
      </c>
      <c r="F316" s="97" t="s">
        <v>411</v>
      </c>
      <c r="G316" s="121">
        <v>200</v>
      </c>
      <c r="H316" s="109">
        <v>45373</v>
      </c>
      <c r="I316" s="105" t="s">
        <v>623</v>
      </c>
      <c r="J316" s="108">
        <v>775629257590</v>
      </c>
      <c r="K316" s="105" t="s">
        <v>610</v>
      </c>
      <c r="L316" s="109">
        <v>45373</v>
      </c>
      <c r="M316" s="109">
        <v>45378</v>
      </c>
      <c r="N316" s="105" t="s">
        <v>821</v>
      </c>
      <c r="O316" s="97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 spans="1:28" ht="29">
      <c r="A317" s="113">
        <v>96</v>
      </c>
      <c r="B317" s="138" t="s">
        <v>543</v>
      </c>
      <c r="C317" s="106">
        <v>17721</v>
      </c>
      <c r="D317" s="97"/>
      <c r="E317" s="97" t="s">
        <v>797</v>
      </c>
      <c r="F317" s="97" t="s">
        <v>411</v>
      </c>
      <c r="G317" s="127">
        <v>827</v>
      </c>
      <c r="H317" s="109">
        <v>45378</v>
      </c>
      <c r="I317" s="105" t="s">
        <v>623</v>
      </c>
      <c r="J317" s="108">
        <v>775686965582</v>
      </c>
      <c r="K317" s="105" t="s">
        <v>652</v>
      </c>
      <c r="L317" s="109">
        <v>45378</v>
      </c>
      <c r="M317" s="109">
        <v>45383</v>
      </c>
      <c r="N317" s="105" t="s">
        <v>822</v>
      </c>
      <c r="O317" s="97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 spans="1:28" ht="29">
      <c r="A318" s="113">
        <v>90</v>
      </c>
      <c r="B318" s="114" t="s">
        <v>543</v>
      </c>
      <c r="C318" s="114">
        <v>17560</v>
      </c>
      <c r="D318" s="114">
        <v>7038</v>
      </c>
      <c r="E318" s="105" t="s">
        <v>630</v>
      </c>
      <c r="F318" s="105" t="s">
        <v>1</v>
      </c>
      <c r="G318" s="108">
        <v>100</v>
      </c>
      <c r="H318" s="109">
        <v>45461</v>
      </c>
      <c r="I318" s="283" t="s">
        <v>823</v>
      </c>
      <c r="J318" s="105" t="s">
        <v>824</v>
      </c>
      <c r="K318" s="283" t="s">
        <v>825</v>
      </c>
      <c r="L318" s="109">
        <v>45454</v>
      </c>
      <c r="M318" s="109">
        <v>45462</v>
      </c>
      <c r="N318" s="105" t="s">
        <v>826</v>
      </c>
      <c r="O318" s="105" t="s">
        <v>827</v>
      </c>
      <c r="P318" s="168" t="s">
        <v>828</v>
      </c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 spans="1:28" ht="29">
      <c r="A319" s="113">
        <v>114</v>
      </c>
      <c r="B319" s="114" t="s">
        <v>543</v>
      </c>
      <c r="C319" s="106">
        <v>17800</v>
      </c>
      <c r="D319" s="97"/>
      <c r="E319" s="97" t="s">
        <v>603</v>
      </c>
      <c r="F319" s="97" t="s">
        <v>35</v>
      </c>
      <c r="G319" s="121">
        <v>200</v>
      </c>
      <c r="H319" s="109">
        <v>45461</v>
      </c>
      <c r="I319" s="261"/>
      <c r="J319" s="105" t="s">
        <v>824</v>
      </c>
      <c r="K319" s="261"/>
      <c r="L319" s="109">
        <v>45454</v>
      </c>
      <c r="M319" s="109">
        <v>45462</v>
      </c>
      <c r="N319" s="105" t="s">
        <v>829</v>
      </c>
      <c r="O319" s="105" t="s">
        <v>827</v>
      </c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 spans="1:28" ht="29">
      <c r="A320" s="280">
        <v>91</v>
      </c>
      <c r="B320" s="281" t="s">
        <v>543</v>
      </c>
      <c r="C320" s="284">
        <v>17967</v>
      </c>
      <c r="D320" s="281">
        <v>7437</v>
      </c>
      <c r="E320" s="282" t="s">
        <v>775</v>
      </c>
      <c r="F320" s="131" t="s">
        <v>123</v>
      </c>
      <c r="G320" s="127">
        <v>30</v>
      </c>
      <c r="H320" s="109">
        <v>45373</v>
      </c>
      <c r="I320" s="283" t="s">
        <v>623</v>
      </c>
      <c r="J320" s="108">
        <v>775628215440</v>
      </c>
      <c r="K320" s="283" t="s">
        <v>577</v>
      </c>
      <c r="L320" s="109">
        <v>45373</v>
      </c>
      <c r="M320" s="109">
        <v>45381</v>
      </c>
      <c r="N320" s="105" t="s">
        <v>821</v>
      </c>
      <c r="O320" s="97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 spans="1:28" ht="29">
      <c r="A321" s="264"/>
      <c r="B321" s="264"/>
      <c r="C321" s="261"/>
      <c r="D321" s="261"/>
      <c r="E321" s="264"/>
      <c r="F321" s="133" t="s">
        <v>328</v>
      </c>
      <c r="G321" s="130">
        <v>30</v>
      </c>
      <c r="H321" s="109">
        <v>45373</v>
      </c>
      <c r="I321" s="264"/>
      <c r="J321" s="108">
        <v>775628215440</v>
      </c>
      <c r="K321" s="264"/>
      <c r="L321" s="109">
        <v>45373</v>
      </c>
      <c r="M321" s="109">
        <v>45381</v>
      </c>
      <c r="N321" s="105" t="s">
        <v>821</v>
      </c>
      <c r="O321" s="97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 spans="1:28" ht="29">
      <c r="A322" s="264"/>
      <c r="B322" s="264"/>
      <c r="C322" s="106">
        <v>17806</v>
      </c>
      <c r="D322" s="114">
        <v>7401</v>
      </c>
      <c r="E322" s="264"/>
      <c r="F322" s="97" t="s">
        <v>473</v>
      </c>
      <c r="G322" s="130">
        <v>12</v>
      </c>
      <c r="H322" s="109">
        <v>45373</v>
      </c>
      <c r="I322" s="264"/>
      <c r="J322" s="108">
        <v>775628215440</v>
      </c>
      <c r="K322" s="264"/>
      <c r="L322" s="109">
        <v>45373</v>
      </c>
      <c r="M322" s="109">
        <v>45381</v>
      </c>
      <c r="N322" s="105" t="s">
        <v>821</v>
      </c>
      <c r="O322" s="97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 spans="1:28" ht="29">
      <c r="A323" s="261"/>
      <c r="B323" s="261"/>
      <c r="C323" s="106">
        <v>17359</v>
      </c>
      <c r="D323" s="114">
        <v>7287</v>
      </c>
      <c r="E323" s="261"/>
      <c r="F323" s="97" t="s">
        <v>776</v>
      </c>
      <c r="G323" s="130">
        <v>1</v>
      </c>
      <c r="H323" s="109">
        <v>45373</v>
      </c>
      <c r="I323" s="261"/>
      <c r="J323" s="108">
        <v>775628215440</v>
      </c>
      <c r="K323" s="261"/>
      <c r="L323" s="109">
        <v>45373</v>
      </c>
      <c r="M323" s="109">
        <v>45381</v>
      </c>
      <c r="N323" s="105" t="s">
        <v>821</v>
      </c>
      <c r="O323" s="97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 spans="1:28" ht="29">
      <c r="A324" s="280">
        <v>93</v>
      </c>
      <c r="B324" s="281" t="s">
        <v>543</v>
      </c>
      <c r="C324" s="106">
        <v>17965</v>
      </c>
      <c r="D324" s="114">
        <v>7462</v>
      </c>
      <c r="E324" s="282" t="s">
        <v>636</v>
      </c>
      <c r="F324" s="131" t="s">
        <v>830</v>
      </c>
      <c r="G324" s="127">
        <v>15</v>
      </c>
      <c r="H324" s="109">
        <v>45377</v>
      </c>
      <c r="I324" s="283" t="s">
        <v>623</v>
      </c>
      <c r="J324" s="108">
        <v>775667523042</v>
      </c>
      <c r="K324" s="283" t="s">
        <v>577</v>
      </c>
      <c r="L324" s="109">
        <v>45377</v>
      </c>
      <c r="M324" s="109">
        <v>45381</v>
      </c>
      <c r="N324" s="105" t="s">
        <v>831</v>
      </c>
      <c r="O324" s="97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 spans="1:28" ht="29">
      <c r="A325" s="261"/>
      <c r="B325" s="261"/>
      <c r="C325" s="169">
        <v>17968</v>
      </c>
      <c r="D325" s="157">
        <v>7437</v>
      </c>
      <c r="E325" s="261"/>
      <c r="F325" s="107" t="s">
        <v>477</v>
      </c>
      <c r="G325" s="127">
        <v>50</v>
      </c>
      <c r="H325" s="109">
        <v>45377</v>
      </c>
      <c r="I325" s="261"/>
      <c r="J325" s="108">
        <v>775667523042</v>
      </c>
      <c r="K325" s="261"/>
      <c r="L325" s="109">
        <v>45377</v>
      </c>
      <c r="M325" s="109">
        <v>45381</v>
      </c>
      <c r="N325" s="105" t="s">
        <v>831</v>
      </c>
      <c r="O325" s="97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 spans="1:28" ht="29">
      <c r="A326" s="280">
        <v>94</v>
      </c>
      <c r="B326" s="281" t="s">
        <v>543</v>
      </c>
      <c r="C326" s="287">
        <v>17801</v>
      </c>
      <c r="D326" s="284">
        <v>7400</v>
      </c>
      <c r="E326" s="288" t="s">
        <v>832</v>
      </c>
      <c r="F326" s="131" t="s">
        <v>833</v>
      </c>
      <c r="G326" s="127">
        <v>60</v>
      </c>
      <c r="H326" s="170">
        <v>45373</v>
      </c>
      <c r="I326" s="283" t="s">
        <v>623</v>
      </c>
      <c r="J326" s="108">
        <v>775630516308</v>
      </c>
      <c r="K326" s="283" t="s">
        <v>610</v>
      </c>
      <c r="L326" s="170">
        <v>45373</v>
      </c>
      <c r="M326" s="109">
        <v>45381</v>
      </c>
      <c r="N326" s="105" t="s">
        <v>834</v>
      </c>
      <c r="O326" s="97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 spans="1:28" ht="29">
      <c r="A327" s="261"/>
      <c r="B327" s="261"/>
      <c r="C327" s="265"/>
      <c r="D327" s="261"/>
      <c r="E327" s="265"/>
      <c r="F327" s="133" t="s">
        <v>835</v>
      </c>
      <c r="G327" s="130">
        <v>60</v>
      </c>
      <c r="H327" s="170">
        <v>45373</v>
      </c>
      <c r="I327" s="261"/>
      <c r="J327" s="108">
        <v>775630516308</v>
      </c>
      <c r="K327" s="261"/>
      <c r="L327" s="170">
        <v>45373</v>
      </c>
      <c r="M327" s="109">
        <v>45381</v>
      </c>
      <c r="N327" s="105" t="s">
        <v>834</v>
      </c>
      <c r="O327" s="97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 spans="1:28" ht="29">
      <c r="A328" s="280">
        <v>97</v>
      </c>
      <c r="B328" s="281" t="s">
        <v>543</v>
      </c>
      <c r="C328" s="281">
        <v>17964</v>
      </c>
      <c r="D328" s="281">
        <v>7462</v>
      </c>
      <c r="E328" s="282" t="s">
        <v>836</v>
      </c>
      <c r="F328" s="165" t="s">
        <v>837</v>
      </c>
      <c r="G328" s="166">
        <v>50</v>
      </c>
      <c r="H328" s="109">
        <v>45377</v>
      </c>
      <c r="I328" s="283" t="s">
        <v>838</v>
      </c>
      <c r="J328" s="108">
        <v>734109229697</v>
      </c>
      <c r="K328" s="283" t="s">
        <v>577</v>
      </c>
      <c r="L328" s="109">
        <v>45377</v>
      </c>
      <c r="M328" s="109">
        <v>45381</v>
      </c>
      <c r="N328" s="105" t="s">
        <v>822</v>
      </c>
      <c r="O328" s="97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 spans="1:28" ht="29">
      <c r="A329" s="261"/>
      <c r="B329" s="261"/>
      <c r="C329" s="261"/>
      <c r="D329" s="261"/>
      <c r="E329" s="261"/>
      <c r="F329" s="171" t="s">
        <v>774</v>
      </c>
      <c r="G329" s="172">
        <v>50</v>
      </c>
      <c r="H329" s="109">
        <v>45377</v>
      </c>
      <c r="I329" s="261"/>
      <c r="J329" s="108">
        <v>734109229697</v>
      </c>
      <c r="K329" s="261"/>
      <c r="L329" s="109">
        <v>45377</v>
      </c>
      <c r="M329" s="109">
        <v>45381</v>
      </c>
      <c r="N329" s="105" t="s">
        <v>822</v>
      </c>
      <c r="O329" s="97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 spans="1:28" ht="29">
      <c r="A330" s="113">
        <v>98</v>
      </c>
      <c r="B330" s="114" t="s">
        <v>543</v>
      </c>
      <c r="C330" s="114">
        <v>18045</v>
      </c>
      <c r="D330" s="114">
        <v>7505</v>
      </c>
      <c r="E330" s="105" t="s">
        <v>617</v>
      </c>
      <c r="F330" s="105" t="s">
        <v>51</v>
      </c>
      <c r="G330" s="108">
        <v>1</v>
      </c>
      <c r="H330" s="109">
        <v>45377</v>
      </c>
      <c r="I330" s="105" t="s">
        <v>623</v>
      </c>
      <c r="J330" s="108">
        <v>775667299830</v>
      </c>
      <c r="K330" s="105" t="s">
        <v>577</v>
      </c>
      <c r="L330" s="109">
        <v>45377</v>
      </c>
      <c r="M330" s="109">
        <v>45383</v>
      </c>
      <c r="N330" s="105" t="s">
        <v>834</v>
      </c>
      <c r="O330" s="97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 spans="1:28" ht="29">
      <c r="A331" s="113">
        <v>99</v>
      </c>
      <c r="B331" s="114" t="s">
        <v>543</v>
      </c>
      <c r="C331" s="106">
        <v>18071</v>
      </c>
      <c r="D331" s="97"/>
      <c r="E331" s="97" t="s">
        <v>771</v>
      </c>
      <c r="F331" s="97" t="s">
        <v>60</v>
      </c>
      <c r="G331" s="121">
        <v>104</v>
      </c>
      <c r="H331" s="109">
        <v>45450</v>
      </c>
      <c r="I331" s="105" t="s">
        <v>623</v>
      </c>
      <c r="J331" s="108">
        <v>776725033020</v>
      </c>
      <c r="K331" s="105" t="s">
        <v>644</v>
      </c>
      <c r="L331" s="109">
        <v>45450</v>
      </c>
      <c r="M331" s="109">
        <v>45455</v>
      </c>
      <c r="N331" s="105" t="s">
        <v>839</v>
      </c>
      <c r="O331" s="105" t="s">
        <v>840</v>
      </c>
      <c r="P331" s="168" t="s">
        <v>828</v>
      </c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 spans="1:28" ht="29">
      <c r="A332" s="280">
        <v>100</v>
      </c>
      <c r="B332" s="281" t="s">
        <v>543</v>
      </c>
      <c r="C332" s="281">
        <v>18044</v>
      </c>
      <c r="D332" s="281">
        <v>7503</v>
      </c>
      <c r="E332" s="283" t="s">
        <v>617</v>
      </c>
      <c r="F332" s="107" t="s">
        <v>395</v>
      </c>
      <c r="G332" s="127">
        <v>14</v>
      </c>
      <c r="H332" s="109">
        <v>45392</v>
      </c>
      <c r="I332" s="283" t="s">
        <v>841</v>
      </c>
      <c r="J332" s="108">
        <v>775889803715</v>
      </c>
      <c r="K332" s="283" t="s">
        <v>577</v>
      </c>
      <c r="L332" s="109">
        <v>45392</v>
      </c>
      <c r="M332" s="109">
        <v>45401</v>
      </c>
      <c r="N332" s="105" t="s">
        <v>842</v>
      </c>
      <c r="O332" s="97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 spans="1:28" ht="29">
      <c r="A333" s="264"/>
      <c r="B333" s="264"/>
      <c r="C333" s="264"/>
      <c r="D333" s="264"/>
      <c r="E333" s="264"/>
      <c r="F333" s="125" t="s">
        <v>843</v>
      </c>
      <c r="G333" s="130">
        <v>14</v>
      </c>
      <c r="H333" s="109">
        <v>45392</v>
      </c>
      <c r="I333" s="264"/>
      <c r="J333" s="108">
        <v>775889803715</v>
      </c>
      <c r="K333" s="264"/>
      <c r="L333" s="109">
        <v>45392</v>
      </c>
      <c r="M333" s="109">
        <v>45401</v>
      </c>
      <c r="N333" s="105" t="s">
        <v>842</v>
      </c>
      <c r="O333" s="97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 spans="1:28" ht="29">
      <c r="A334" s="264"/>
      <c r="B334" s="264"/>
      <c r="C334" s="264"/>
      <c r="D334" s="264"/>
      <c r="E334" s="264"/>
      <c r="F334" s="125" t="s">
        <v>844</v>
      </c>
      <c r="G334" s="130">
        <v>14</v>
      </c>
      <c r="H334" s="109">
        <v>45392</v>
      </c>
      <c r="I334" s="264"/>
      <c r="J334" s="108">
        <v>775889803715</v>
      </c>
      <c r="K334" s="264"/>
      <c r="L334" s="109">
        <v>45392</v>
      </c>
      <c r="M334" s="109">
        <v>45401</v>
      </c>
      <c r="N334" s="105" t="s">
        <v>842</v>
      </c>
      <c r="O334" s="97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 spans="1:28" ht="29">
      <c r="A335" s="264"/>
      <c r="B335" s="264"/>
      <c r="C335" s="264"/>
      <c r="D335" s="264"/>
      <c r="E335" s="264"/>
      <c r="F335" s="125" t="s">
        <v>845</v>
      </c>
      <c r="G335" s="130">
        <v>14</v>
      </c>
      <c r="H335" s="109">
        <v>45392</v>
      </c>
      <c r="I335" s="264"/>
      <c r="J335" s="108">
        <v>775889803715</v>
      </c>
      <c r="K335" s="264"/>
      <c r="L335" s="109">
        <v>45392</v>
      </c>
      <c r="M335" s="109">
        <v>45401</v>
      </c>
      <c r="N335" s="105" t="s">
        <v>842</v>
      </c>
      <c r="O335" s="97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 spans="1:28" ht="29">
      <c r="A336" s="264"/>
      <c r="B336" s="264"/>
      <c r="C336" s="264"/>
      <c r="D336" s="264"/>
      <c r="E336" s="264"/>
      <c r="F336" s="125" t="s">
        <v>846</v>
      </c>
      <c r="G336" s="130">
        <v>56</v>
      </c>
      <c r="H336" s="109">
        <v>45392</v>
      </c>
      <c r="I336" s="264"/>
      <c r="J336" s="108">
        <v>775889803715</v>
      </c>
      <c r="K336" s="264"/>
      <c r="L336" s="109">
        <v>45392</v>
      </c>
      <c r="M336" s="109">
        <v>45401</v>
      </c>
      <c r="N336" s="105" t="s">
        <v>842</v>
      </c>
      <c r="O336" s="97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 spans="1:28" ht="29">
      <c r="A337" s="261"/>
      <c r="B337" s="261"/>
      <c r="C337" s="261"/>
      <c r="D337" s="261"/>
      <c r="E337" s="261"/>
      <c r="F337" s="125" t="s">
        <v>847</v>
      </c>
      <c r="G337" s="130">
        <v>14</v>
      </c>
      <c r="H337" s="109">
        <v>45392</v>
      </c>
      <c r="I337" s="261"/>
      <c r="J337" s="108">
        <v>775889803715</v>
      </c>
      <c r="K337" s="261"/>
      <c r="L337" s="109">
        <v>45392</v>
      </c>
      <c r="M337" s="109">
        <v>45401</v>
      </c>
      <c r="N337" s="105" t="s">
        <v>842</v>
      </c>
      <c r="O337" s="97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 spans="1:28" ht="29">
      <c r="A338" s="113">
        <v>101</v>
      </c>
      <c r="B338" s="114" t="s">
        <v>543</v>
      </c>
      <c r="C338" s="114">
        <v>17630</v>
      </c>
      <c r="D338" s="114">
        <v>7038</v>
      </c>
      <c r="E338" s="105" t="s">
        <v>631</v>
      </c>
      <c r="F338" s="105" t="s">
        <v>17</v>
      </c>
      <c r="G338" s="108">
        <v>400</v>
      </c>
      <c r="H338" s="109">
        <v>45412</v>
      </c>
      <c r="I338" s="105" t="s">
        <v>604</v>
      </c>
      <c r="J338" s="105" t="s">
        <v>848</v>
      </c>
      <c r="K338" s="105" t="s">
        <v>729</v>
      </c>
      <c r="L338" s="109">
        <v>45411</v>
      </c>
      <c r="M338" s="109">
        <v>45415</v>
      </c>
      <c r="N338" s="105" t="s">
        <v>849</v>
      </c>
      <c r="O338" s="105" t="s">
        <v>850</v>
      </c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 spans="1:28" ht="29">
      <c r="A339" s="280">
        <v>102</v>
      </c>
      <c r="B339" s="283" t="s">
        <v>543</v>
      </c>
      <c r="C339" s="284">
        <v>17665</v>
      </c>
      <c r="D339" s="282"/>
      <c r="E339" s="282" t="s">
        <v>683</v>
      </c>
      <c r="F339" s="97" t="s">
        <v>12</v>
      </c>
      <c r="G339" s="121">
        <v>100</v>
      </c>
      <c r="H339" s="109">
        <v>45426</v>
      </c>
      <c r="I339" s="283" t="s">
        <v>823</v>
      </c>
      <c r="J339" s="105" t="s">
        <v>851</v>
      </c>
      <c r="K339" s="283" t="s">
        <v>709</v>
      </c>
      <c r="L339" s="109">
        <v>45422</v>
      </c>
      <c r="M339" s="109">
        <v>45428</v>
      </c>
      <c r="N339" s="105" t="s">
        <v>852</v>
      </c>
      <c r="O339" s="283" t="s">
        <v>853</v>
      </c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 spans="1:28" ht="29">
      <c r="A340" s="264"/>
      <c r="B340" s="264"/>
      <c r="C340" s="261"/>
      <c r="D340" s="261"/>
      <c r="E340" s="261"/>
      <c r="F340" s="97" t="s">
        <v>17</v>
      </c>
      <c r="G340" s="121">
        <v>100</v>
      </c>
      <c r="H340" s="109">
        <v>45426</v>
      </c>
      <c r="I340" s="264"/>
      <c r="J340" s="105" t="s">
        <v>851</v>
      </c>
      <c r="K340" s="264"/>
      <c r="L340" s="109">
        <v>45422</v>
      </c>
      <c r="M340" s="109">
        <v>45428</v>
      </c>
      <c r="N340" s="105" t="s">
        <v>852</v>
      </c>
      <c r="O340" s="264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 spans="1:28" ht="29">
      <c r="A341" s="264"/>
      <c r="B341" s="264"/>
      <c r="C341" s="284">
        <v>17651</v>
      </c>
      <c r="D341" s="282"/>
      <c r="E341" s="282" t="s">
        <v>683</v>
      </c>
      <c r="F341" s="97" t="s">
        <v>62</v>
      </c>
      <c r="G341" s="121">
        <v>12</v>
      </c>
      <c r="H341" s="109">
        <v>45426</v>
      </c>
      <c r="I341" s="264"/>
      <c r="J341" s="105" t="s">
        <v>851</v>
      </c>
      <c r="K341" s="264"/>
      <c r="L341" s="109">
        <v>45422</v>
      </c>
      <c r="M341" s="109">
        <v>45428</v>
      </c>
      <c r="N341" s="105" t="s">
        <v>852</v>
      </c>
      <c r="O341" s="264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 spans="1:28" ht="29">
      <c r="A342" s="261"/>
      <c r="B342" s="261"/>
      <c r="C342" s="261"/>
      <c r="D342" s="261"/>
      <c r="E342" s="261"/>
      <c r="F342" s="97" t="s">
        <v>63</v>
      </c>
      <c r="G342" s="121">
        <v>12</v>
      </c>
      <c r="H342" s="109">
        <v>45426</v>
      </c>
      <c r="I342" s="261"/>
      <c r="J342" s="105" t="s">
        <v>851</v>
      </c>
      <c r="K342" s="261"/>
      <c r="L342" s="109">
        <v>45422</v>
      </c>
      <c r="M342" s="109">
        <v>45428</v>
      </c>
      <c r="N342" s="105" t="s">
        <v>852</v>
      </c>
      <c r="O342" s="26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 spans="1:28" ht="29">
      <c r="A343" s="280">
        <v>103</v>
      </c>
      <c r="B343" s="283" t="s">
        <v>543</v>
      </c>
      <c r="C343" s="284">
        <v>18227</v>
      </c>
      <c r="D343" s="281">
        <v>7569</v>
      </c>
      <c r="E343" s="282" t="s">
        <v>591</v>
      </c>
      <c r="F343" s="165" t="s">
        <v>854</v>
      </c>
      <c r="G343" s="166">
        <v>20</v>
      </c>
      <c r="H343" s="109">
        <v>45411</v>
      </c>
      <c r="I343" s="283" t="s">
        <v>855</v>
      </c>
      <c r="J343" s="108">
        <v>741106751684</v>
      </c>
      <c r="K343" s="105" t="s">
        <v>577</v>
      </c>
      <c r="L343" s="109">
        <v>45411</v>
      </c>
      <c r="M343" s="109">
        <v>45418</v>
      </c>
      <c r="N343" s="105" t="s">
        <v>856</v>
      </c>
      <c r="O343" s="97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 spans="1:28" ht="29">
      <c r="A344" s="261"/>
      <c r="B344" s="261"/>
      <c r="C344" s="261"/>
      <c r="D344" s="261"/>
      <c r="E344" s="261"/>
      <c r="F344" s="167" t="s">
        <v>857</v>
      </c>
      <c r="G344" s="155">
        <v>10</v>
      </c>
      <c r="H344" s="109">
        <v>45411</v>
      </c>
      <c r="I344" s="261"/>
      <c r="J344" s="108">
        <v>741106751684</v>
      </c>
      <c r="K344" s="105" t="s">
        <v>577</v>
      </c>
      <c r="L344" s="109">
        <v>45411</v>
      </c>
      <c r="M344" s="109">
        <v>45418</v>
      </c>
      <c r="N344" s="105" t="s">
        <v>856</v>
      </c>
      <c r="O344" s="97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 spans="1:28" ht="29">
      <c r="A345" s="113">
        <v>105</v>
      </c>
      <c r="B345" s="105" t="s">
        <v>543</v>
      </c>
      <c r="C345" s="114">
        <v>18226</v>
      </c>
      <c r="D345" s="114">
        <v>7581</v>
      </c>
      <c r="E345" s="107" t="s">
        <v>858</v>
      </c>
      <c r="F345" s="131" t="s">
        <v>859</v>
      </c>
      <c r="G345" s="127">
        <v>17</v>
      </c>
      <c r="H345" s="109">
        <v>45442</v>
      </c>
      <c r="I345" s="105" t="s">
        <v>860</v>
      </c>
      <c r="J345" s="108">
        <v>9617891301</v>
      </c>
      <c r="K345" s="105" t="s">
        <v>577</v>
      </c>
      <c r="L345" s="109">
        <v>45442</v>
      </c>
      <c r="M345" s="109">
        <v>45446</v>
      </c>
      <c r="N345" s="105" t="s">
        <v>861</v>
      </c>
      <c r="O345" s="105" t="s">
        <v>789</v>
      </c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 spans="1:28" ht="29">
      <c r="A346" s="280">
        <v>106</v>
      </c>
      <c r="B346" s="283" t="s">
        <v>543</v>
      </c>
      <c r="C346" s="284">
        <v>18254</v>
      </c>
      <c r="D346" s="281">
        <v>7551</v>
      </c>
      <c r="E346" s="282" t="s">
        <v>832</v>
      </c>
      <c r="F346" s="131" t="s">
        <v>862</v>
      </c>
      <c r="G346" s="127">
        <v>100</v>
      </c>
      <c r="H346" s="109">
        <v>45450</v>
      </c>
      <c r="I346" s="283" t="s">
        <v>623</v>
      </c>
      <c r="J346" s="108">
        <v>776724806309</v>
      </c>
      <c r="K346" s="283" t="s">
        <v>577</v>
      </c>
      <c r="L346" s="109">
        <v>45450</v>
      </c>
      <c r="M346" s="109">
        <v>45457</v>
      </c>
      <c r="N346" s="105" t="s">
        <v>839</v>
      </c>
      <c r="O346" s="283" t="s">
        <v>840</v>
      </c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 spans="1:28" ht="29">
      <c r="A347" s="261"/>
      <c r="B347" s="261"/>
      <c r="C347" s="261"/>
      <c r="D347" s="261"/>
      <c r="E347" s="261"/>
      <c r="F347" s="133" t="s">
        <v>863</v>
      </c>
      <c r="G347" s="130">
        <v>100</v>
      </c>
      <c r="H347" s="109">
        <v>45450</v>
      </c>
      <c r="I347" s="261"/>
      <c r="J347" s="108">
        <v>776724806309</v>
      </c>
      <c r="K347" s="261"/>
      <c r="L347" s="109">
        <v>45450</v>
      </c>
      <c r="M347" s="109">
        <v>45457</v>
      </c>
      <c r="N347" s="105" t="s">
        <v>839</v>
      </c>
      <c r="O347" s="26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 spans="1:28" ht="29">
      <c r="A348" s="280">
        <v>107</v>
      </c>
      <c r="B348" s="283" t="s">
        <v>543</v>
      </c>
      <c r="C348" s="281">
        <v>18262</v>
      </c>
      <c r="D348" s="282"/>
      <c r="E348" s="283" t="s">
        <v>864</v>
      </c>
      <c r="F348" s="105" t="s">
        <v>60</v>
      </c>
      <c r="G348" s="108">
        <v>30</v>
      </c>
      <c r="H348" s="109">
        <v>45428</v>
      </c>
      <c r="I348" s="283" t="s">
        <v>786</v>
      </c>
      <c r="J348" s="108" t="s">
        <v>865</v>
      </c>
      <c r="K348" s="105" t="s">
        <v>669</v>
      </c>
      <c r="L348" s="109">
        <v>45427</v>
      </c>
      <c r="M348" s="109">
        <v>45429</v>
      </c>
      <c r="N348" s="105" t="s">
        <v>866</v>
      </c>
      <c r="O348" s="283" t="s">
        <v>867</v>
      </c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 spans="1:28" ht="43.5">
      <c r="A349" s="264"/>
      <c r="B349" s="264"/>
      <c r="C349" s="264"/>
      <c r="D349" s="264"/>
      <c r="E349" s="264"/>
      <c r="F349" s="105" t="s">
        <v>868</v>
      </c>
      <c r="G349" s="108">
        <v>1</v>
      </c>
      <c r="H349" s="109">
        <v>45428</v>
      </c>
      <c r="I349" s="264"/>
      <c r="J349" s="108" t="s">
        <v>865</v>
      </c>
      <c r="K349" s="105" t="s">
        <v>669</v>
      </c>
      <c r="L349" s="109">
        <v>45427</v>
      </c>
      <c r="M349" s="109">
        <v>45429</v>
      </c>
      <c r="N349" s="105" t="s">
        <v>866</v>
      </c>
      <c r="O349" s="264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 spans="1:28" ht="43.5">
      <c r="A350" s="264"/>
      <c r="B350" s="264"/>
      <c r="C350" s="264"/>
      <c r="D350" s="264"/>
      <c r="E350" s="264"/>
      <c r="F350" s="105" t="s">
        <v>869</v>
      </c>
      <c r="G350" s="108">
        <v>1</v>
      </c>
      <c r="H350" s="109">
        <v>45428</v>
      </c>
      <c r="I350" s="264"/>
      <c r="J350" s="108" t="s">
        <v>865</v>
      </c>
      <c r="K350" s="105" t="s">
        <v>669</v>
      </c>
      <c r="L350" s="109">
        <v>45427</v>
      </c>
      <c r="M350" s="109">
        <v>45429</v>
      </c>
      <c r="N350" s="105" t="s">
        <v>866</v>
      </c>
      <c r="O350" s="264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 spans="1:28" ht="29">
      <c r="A351" s="261"/>
      <c r="B351" s="261"/>
      <c r="C351" s="261"/>
      <c r="D351" s="261"/>
      <c r="E351" s="261"/>
      <c r="F351" s="105" t="s">
        <v>870</v>
      </c>
      <c r="G351" s="108">
        <v>1</v>
      </c>
      <c r="H351" s="109">
        <v>45428</v>
      </c>
      <c r="I351" s="261"/>
      <c r="J351" s="108" t="s">
        <v>865</v>
      </c>
      <c r="K351" s="105" t="s">
        <v>669</v>
      </c>
      <c r="L351" s="109">
        <v>45427</v>
      </c>
      <c r="M351" s="109">
        <v>45429</v>
      </c>
      <c r="N351" s="105" t="s">
        <v>866</v>
      </c>
      <c r="O351" s="26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 spans="1:28" ht="29">
      <c r="A352" s="113">
        <v>108</v>
      </c>
      <c r="B352" s="105" t="s">
        <v>543</v>
      </c>
      <c r="C352" s="114">
        <v>18253</v>
      </c>
      <c r="D352" s="114">
        <v>7566</v>
      </c>
      <c r="E352" s="107" t="s">
        <v>871</v>
      </c>
      <c r="F352" s="131" t="s">
        <v>872</v>
      </c>
      <c r="G352" s="127">
        <v>40</v>
      </c>
      <c r="H352" s="109">
        <v>45446</v>
      </c>
      <c r="I352" s="105" t="s">
        <v>860</v>
      </c>
      <c r="J352" s="108">
        <v>3086341716</v>
      </c>
      <c r="K352" s="105" t="s">
        <v>577</v>
      </c>
      <c r="L352" s="109">
        <v>45442</v>
      </c>
      <c r="M352" s="109">
        <v>45450</v>
      </c>
      <c r="N352" s="105" t="s">
        <v>873</v>
      </c>
      <c r="O352" s="105" t="s">
        <v>874</v>
      </c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 spans="1:28" ht="29">
      <c r="A353" s="280">
        <v>109</v>
      </c>
      <c r="B353" s="283" t="s">
        <v>543</v>
      </c>
      <c r="C353" s="114">
        <v>18096</v>
      </c>
      <c r="D353" s="97"/>
      <c r="E353" s="97" t="s">
        <v>631</v>
      </c>
      <c r="F353" s="97" t="s">
        <v>12</v>
      </c>
      <c r="G353" s="121">
        <v>200</v>
      </c>
      <c r="H353" s="109">
        <v>45475</v>
      </c>
      <c r="I353" s="283" t="s">
        <v>823</v>
      </c>
      <c r="J353" s="105" t="s">
        <v>875</v>
      </c>
      <c r="K353" s="105" t="s">
        <v>694</v>
      </c>
      <c r="L353" s="109">
        <v>45474</v>
      </c>
      <c r="M353" s="109">
        <v>45477</v>
      </c>
      <c r="N353" s="105" t="s">
        <v>876</v>
      </c>
      <c r="O353" s="105" t="s">
        <v>877</v>
      </c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 spans="1:28" ht="29">
      <c r="A354" s="264"/>
      <c r="B354" s="264"/>
      <c r="C354" s="285">
        <v>18408</v>
      </c>
      <c r="D354" s="286"/>
      <c r="E354" s="286" t="s">
        <v>593</v>
      </c>
      <c r="F354" s="133" t="s">
        <v>11</v>
      </c>
      <c r="G354" s="130">
        <v>200</v>
      </c>
      <c r="H354" s="109">
        <v>45475</v>
      </c>
      <c r="I354" s="264"/>
      <c r="J354" s="105" t="s">
        <v>875</v>
      </c>
      <c r="K354" s="283" t="s">
        <v>729</v>
      </c>
      <c r="L354" s="109">
        <v>45474</v>
      </c>
      <c r="M354" s="109">
        <v>45477</v>
      </c>
      <c r="N354" s="105" t="s">
        <v>876</v>
      </c>
      <c r="O354" s="105" t="s">
        <v>877</v>
      </c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 spans="1:28" ht="29">
      <c r="A355" s="261"/>
      <c r="B355" s="261"/>
      <c r="C355" s="261"/>
      <c r="D355" s="261"/>
      <c r="E355" s="261"/>
      <c r="F355" s="173" t="s">
        <v>10</v>
      </c>
      <c r="G355" s="174">
        <v>200</v>
      </c>
      <c r="H355" s="109">
        <v>45475</v>
      </c>
      <c r="I355" s="261"/>
      <c r="J355" s="105" t="s">
        <v>875</v>
      </c>
      <c r="K355" s="261"/>
      <c r="L355" s="109">
        <v>45474</v>
      </c>
      <c r="M355" s="109">
        <v>45477</v>
      </c>
      <c r="N355" s="105" t="s">
        <v>876</v>
      </c>
      <c r="O355" s="105" t="s">
        <v>877</v>
      </c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 spans="1:28" ht="29">
      <c r="A356" s="280">
        <v>110</v>
      </c>
      <c r="B356" s="283" t="s">
        <v>543</v>
      </c>
      <c r="C356" s="114">
        <v>18288</v>
      </c>
      <c r="D356" s="114">
        <v>7580</v>
      </c>
      <c r="E356" s="283" t="s">
        <v>554</v>
      </c>
      <c r="F356" s="107" t="s">
        <v>708</v>
      </c>
      <c r="G356" s="127">
        <v>25</v>
      </c>
      <c r="H356" s="109">
        <v>45441</v>
      </c>
      <c r="I356" s="283" t="s">
        <v>878</v>
      </c>
      <c r="J356" s="108">
        <v>776591888311</v>
      </c>
      <c r="K356" s="283" t="s">
        <v>610</v>
      </c>
      <c r="L356" s="109">
        <v>45441</v>
      </c>
      <c r="M356" s="109">
        <v>45447</v>
      </c>
      <c r="N356" s="105" t="s">
        <v>873</v>
      </c>
      <c r="O356" s="105" t="s">
        <v>879</v>
      </c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 spans="1:28" ht="29">
      <c r="A357" s="264"/>
      <c r="B357" s="264"/>
      <c r="C357" s="114">
        <v>18208</v>
      </c>
      <c r="D357" s="114">
        <v>7562</v>
      </c>
      <c r="E357" s="264"/>
      <c r="F357" s="107" t="s">
        <v>708</v>
      </c>
      <c r="G357" s="127">
        <v>25</v>
      </c>
      <c r="H357" s="109">
        <v>45441</v>
      </c>
      <c r="I357" s="264"/>
      <c r="J357" s="108">
        <v>776591888311</v>
      </c>
      <c r="K357" s="264"/>
      <c r="L357" s="109">
        <v>45441</v>
      </c>
      <c r="M357" s="109">
        <v>45447</v>
      </c>
      <c r="N357" s="105" t="s">
        <v>873</v>
      </c>
      <c r="O357" s="105" t="s">
        <v>879</v>
      </c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 spans="1:28" ht="29">
      <c r="A358" s="261"/>
      <c r="B358" s="261"/>
      <c r="C358" s="114">
        <v>18209</v>
      </c>
      <c r="D358" s="114">
        <v>7563</v>
      </c>
      <c r="E358" s="261"/>
      <c r="F358" s="107" t="s">
        <v>880</v>
      </c>
      <c r="G358" s="127">
        <v>15</v>
      </c>
      <c r="H358" s="109">
        <v>45441</v>
      </c>
      <c r="I358" s="261"/>
      <c r="J358" s="108">
        <v>776591888311</v>
      </c>
      <c r="K358" s="261"/>
      <c r="L358" s="109">
        <v>45441</v>
      </c>
      <c r="M358" s="109">
        <v>45447</v>
      </c>
      <c r="N358" s="105" t="s">
        <v>873</v>
      </c>
      <c r="O358" s="105" t="s">
        <v>879</v>
      </c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 spans="1:28" ht="29">
      <c r="A359" s="280">
        <v>111</v>
      </c>
      <c r="B359" s="283" t="s">
        <v>543</v>
      </c>
      <c r="C359" s="281">
        <v>17642</v>
      </c>
      <c r="D359" s="281">
        <v>7361</v>
      </c>
      <c r="E359" s="282" t="s">
        <v>603</v>
      </c>
      <c r="F359" s="131" t="s">
        <v>31</v>
      </c>
      <c r="G359" s="127">
        <v>80</v>
      </c>
      <c r="H359" s="109">
        <v>45450</v>
      </c>
      <c r="I359" s="283" t="s">
        <v>604</v>
      </c>
      <c r="J359" s="105" t="s">
        <v>881</v>
      </c>
      <c r="K359" s="283" t="s">
        <v>663</v>
      </c>
      <c r="L359" s="109">
        <v>45447</v>
      </c>
      <c r="M359" s="109">
        <v>45451</v>
      </c>
      <c r="N359" s="105" t="s">
        <v>882</v>
      </c>
      <c r="O359" s="283" t="s">
        <v>874</v>
      </c>
      <c r="P359" s="296" t="s">
        <v>828</v>
      </c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 spans="1:28" ht="29">
      <c r="A360" s="264"/>
      <c r="B360" s="264"/>
      <c r="C360" s="264"/>
      <c r="D360" s="264"/>
      <c r="E360" s="264"/>
      <c r="F360" s="133" t="s">
        <v>32</v>
      </c>
      <c r="G360" s="130">
        <v>100</v>
      </c>
      <c r="H360" s="109">
        <v>45450</v>
      </c>
      <c r="I360" s="264"/>
      <c r="J360" s="105" t="s">
        <v>881</v>
      </c>
      <c r="K360" s="264"/>
      <c r="L360" s="109">
        <v>45447</v>
      </c>
      <c r="M360" s="109">
        <v>45451</v>
      </c>
      <c r="N360" s="105" t="s">
        <v>882</v>
      </c>
      <c r="O360" s="264"/>
      <c r="P360" s="262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 spans="1:28" ht="29">
      <c r="A361" s="261"/>
      <c r="B361" s="261"/>
      <c r="C361" s="261"/>
      <c r="D361" s="261"/>
      <c r="E361" s="261"/>
      <c r="F361" s="133" t="s">
        <v>29</v>
      </c>
      <c r="G361" s="130">
        <v>50</v>
      </c>
      <c r="H361" s="109">
        <v>45450</v>
      </c>
      <c r="I361" s="261"/>
      <c r="J361" s="105" t="s">
        <v>881</v>
      </c>
      <c r="K361" s="261"/>
      <c r="L361" s="109">
        <v>45447</v>
      </c>
      <c r="M361" s="109">
        <v>45451</v>
      </c>
      <c r="N361" s="105" t="s">
        <v>882</v>
      </c>
      <c r="O361" s="261"/>
      <c r="P361" s="262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 spans="1:28" ht="29">
      <c r="A362" s="280">
        <v>112</v>
      </c>
      <c r="B362" s="283" t="s">
        <v>543</v>
      </c>
      <c r="C362" s="281">
        <v>17969</v>
      </c>
      <c r="D362" s="281">
        <v>7437</v>
      </c>
      <c r="E362" s="282" t="s">
        <v>683</v>
      </c>
      <c r="F362" s="131" t="s">
        <v>17</v>
      </c>
      <c r="G362" s="127">
        <v>500</v>
      </c>
      <c r="H362" s="109">
        <v>45450</v>
      </c>
      <c r="I362" s="283" t="s">
        <v>823</v>
      </c>
      <c r="J362" s="105" t="s">
        <v>883</v>
      </c>
      <c r="K362" s="283" t="s">
        <v>884</v>
      </c>
      <c r="L362" s="109">
        <v>45447</v>
      </c>
      <c r="M362" s="109">
        <v>45451</v>
      </c>
      <c r="N362" s="105" t="s">
        <v>885</v>
      </c>
      <c r="O362" s="283" t="s">
        <v>886</v>
      </c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 spans="1:28" ht="29">
      <c r="A363" s="261"/>
      <c r="B363" s="261"/>
      <c r="C363" s="261"/>
      <c r="D363" s="261"/>
      <c r="E363" s="261"/>
      <c r="F363" s="133" t="s">
        <v>10</v>
      </c>
      <c r="G363" s="130">
        <v>230</v>
      </c>
      <c r="H363" s="109">
        <v>45450</v>
      </c>
      <c r="I363" s="261"/>
      <c r="J363" s="105" t="s">
        <v>883</v>
      </c>
      <c r="K363" s="261"/>
      <c r="L363" s="109">
        <v>45447</v>
      </c>
      <c r="M363" s="109">
        <v>45451</v>
      </c>
      <c r="N363" s="105" t="s">
        <v>885</v>
      </c>
      <c r="O363" s="26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 spans="1:28" ht="29">
      <c r="A364" s="113">
        <v>113</v>
      </c>
      <c r="B364" s="105" t="s">
        <v>543</v>
      </c>
      <c r="C364" s="114">
        <v>18062</v>
      </c>
      <c r="D364" s="97"/>
      <c r="E364" s="97" t="s">
        <v>630</v>
      </c>
      <c r="F364" s="97" t="s">
        <v>8</v>
      </c>
      <c r="G364" s="121">
        <v>100</v>
      </c>
      <c r="H364" s="109">
        <v>45468</v>
      </c>
      <c r="I364" s="105" t="s">
        <v>623</v>
      </c>
      <c r="J364" s="108">
        <v>777012137405</v>
      </c>
      <c r="K364" s="105" t="s">
        <v>558</v>
      </c>
      <c r="L364" s="109">
        <v>45468</v>
      </c>
      <c r="M364" s="109">
        <v>45471</v>
      </c>
      <c r="N364" s="105" t="s">
        <v>887</v>
      </c>
      <c r="O364" s="105" t="s">
        <v>888</v>
      </c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 spans="1:28" ht="29">
      <c r="A365" s="113">
        <v>115</v>
      </c>
      <c r="B365" s="105" t="s">
        <v>543</v>
      </c>
      <c r="C365" s="106">
        <v>18410</v>
      </c>
      <c r="D365" s="97"/>
      <c r="E365" s="97" t="s">
        <v>659</v>
      </c>
      <c r="F365" s="97" t="s">
        <v>37</v>
      </c>
      <c r="G365" s="121">
        <v>100</v>
      </c>
      <c r="H365" s="109">
        <v>45471</v>
      </c>
      <c r="I365" s="105" t="s">
        <v>623</v>
      </c>
      <c r="J365" s="163">
        <v>777087669001</v>
      </c>
      <c r="K365" s="105" t="s">
        <v>558</v>
      </c>
      <c r="L365" s="109">
        <v>45471</v>
      </c>
      <c r="M365" s="109">
        <v>45476</v>
      </c>
      <c r="N365" s="105" t="s">
        <v>876</v>
      </c>
      <c r="O365" s="105" t="s">
        <v>879</v>
      </c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 spans="1:28" ht="29">
      <c r="A366" s="113">
        <v>116</v>
      </c>
      <c r="B366" s="105" t="s">
        <v>543</v>
      </c>
      <c r="C366" s="106">
        <v>18437</v>
      </c>
      <c r="D366" s="97"/>
      <c r="E366" s="97" t="s">
        <v>797</v>
      </c>
      <c r="F366" s="97" t="s">
        <v>411</v>
      </c>
      <c r="G366" s="121">
        <v>1001</v>
      </c>
      <c r="H366" s="109">
        <v>45489</v>
      </c>
      <c r="I366" s="105" t="s">
        <v>623</v>
      </c>
      <c r="J366" s="108">
        <v>777391436910</v>
      </c>
      <c r="K366" s="105" t="s">
        <v>694</v>
      </c>
      <c r="L366" s="109">
        <v>45489</v>
      </c>
      <c r="M366" s="109">
        <v>45492</v>
      </c>
      <c r="N366" s="105" t="s">
        <v>889</v>
      </c>
      <c r="O366" s="105" t="s">
        <v>890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 spans="1:28" ht="29">
      <c r="A367" s="113">
        <v>89</v>
      </c>
      <c r="B367" s="117" t="s">
        <v>543</v>
      </c>
      <c r="C367" s="106">
        <v>17807</v>
      </c>
      <c r="D367" s="114" t="s">
        <v>891</v>
      </c>
      <c r="E367" s="107" t="s">
        <v>892</v>
      </c>
      <c r="F367" s="131" t="s">
        <v>893</v>
      </c>
      <c r="G367" s="127">
        <v>250</v>
      </c>
      <c r="H367" s="109">
        <v>45468</v>
      </c>
      <c r="I367" s="283" t="s">
        <v>604</v>
      </c>
      <c r="J367" s="105" t="s">
        <v>894</v>
      </c>
      <c r="K367" s="105" t="s">
        <v>558</v>
      </c>
      <c r="L367" s="109">
        <v>45463</v>
      </c>
      <c r="M367" s="109">
        <v>45470</v>
      </c>
      <c r="N367" s="105" t="s">
        <v>887</v>
      </c>
      <c r="O367" s="283" t="s">
        <v>888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 spans="1:28" ht="29">
      <c r="A368" s="113">
        <v>104</v>
      </c>
      <c r="B368" s="105" t="s">
        <v>543</v>
      </c>
      <c r="C368" s="106">
        <v>17966</v>
      </c>
      <c r="D368" s="97"/>
      <c r="E368" s="97" t="s">
        <v>636</v>
      </c>
      <c r="F368" s="97" t="s">
        <v>439</v>
      </c>
      <c r="G368" s="121">
        <v>10</v>
      </c>
      <c r="H368" s="109">
        <v>45468</v>
      </c>
      <c r="I368" s="264"/>
      <c r="J368" s="105" t="s">
        <v>894</v>
      </c>
      <c r="K368" s="97"/>
      <c r="L368" s="109">
        <v>45463</v>
      </c>
      <c r="M368" s="109">
        <v>45470</v>
      </c>
      <c r="N368" s="105" t="s">
        <v>887</v>
      </c>
      <c r="O368" s="264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 spans="1:28" ht="29">
      <c r="A369" s="113">
        <v>117</v>
      </c>
      <c r="B369" s="105" t="s">
        <v>543</v>
      </c>
      <c r="C369" s="106">
        <v>18374</v>
      </c>
      <c r="D369" s="114">
        <v>7540</v>
      </c>
      <c r="E369" s="107" t="s">
        <v>617</v>
      </c>
      <c r="F369" s="131" t="s">
        <v>53</v>
      </c>
      <c r="G369" s="127">
        <v>15</v>
      </c>
      <c r="H369" s="109">
        <v>45468</v>
      </c>
      <c r="I369" s="264"/>
      <c r="J369" s="105" t="s">
        <v>894</v>
      </c>
      <c r="K369" s="105" t="s">
        <v>585</v>
      </c>
      <c r="L369" s="109">
        <v>45463</v>
      </c>
      <c r="M369" s="109">
        <v>45470</v>
      </c>
      <c r="N369" s="105" t="s">
        <v>887</v>
      </c>
      <c r="O369" s="264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 spans="1:28" ht="29">
      <c r="A370" s="280">
        <v>120</v>
      </c>
      <c r="B370" s="283" t="s">
        <v>543</v>
      </c>
      <c r="C370" s="284">
        <v>18461</v>
      </c>
      <c r="D370" s="97"/>
      <c r="E370" s="282" t="s">
        <v>636</v>
      </c>
      <c r="F370" s="97" t="s">
        <v>266</v>
      </c>
      <c r="G370" s="121">
        <v>1500</v>
      </c>
      <c r="H370" s="109">
        <v>45468</v>
      </c>
      <c r="I370" s="264"/>
      <c r="J370" s="105" t="s">
        <v>894</v>
      </c>
      <c r="K370" s="283" t="s">
        <v>669</v>
      </c>
      <c r="L370" s="109">
        <v>45463</v>
      </c>
      <c r="M370" s="109">
        <v>45470</v>
      </c>
      <c r="N370" s="105" t="s">
        <v>887</v>
      </c>
      <c r="O370" s="264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 spans="1:28" ht="29">
      <c r="A371" s="264"/>
      <c r="B371" s="264"/>
      <c r="C371" s="264"/>
      <c r="D371" s="97"/>
      <c r="E371" s="264"/>
      <c r="F371" s="97" t="s">
        <v>268</v>
      </c>
      <c r="G371" s="121">
        <v>1500</v>
      </c>
      <c r="H371" s="109">
        <v>45468</v>
      </c>
      <c r="I371" s="264"/>
      <c r="J371" s="105" t="s">
        <v>894</v>
      </c>
      <c r="K371" s="264"/>
      <c r="L371" s="109">
        <v>45463</v>
      </c>
      <c r="M371" s="109">
        <v>45470</v>
      </c>
      <c r="N371" s="105" t="s">
        <v>887</v>
      </c>
      <c r="O371" s="264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 spans="1:28" ht="29">
      <c r="A372" s="264"/>
      <c r="B372" s="264"/>
      <c r="C372" s="264"/>
      <c r="D372" s="97"/>
      <c r="E372" s="264"/>
      <c r="F372" s="97" t="s">
        <v>270</v>
      </c>
      <c r="G372" s="121">
        <v>9000</v>
      </c>
      <c r="H372" s="109">
        <v>45468</v>
      </c>
      <c r="I372" s="264"/>
      <c r="J372" s="105" t="s">
        <v>894</v>
      </c>
      <c r="K372" s="264"/>
      <c r="L372" s="109">
        <v>45463</v>
      </c>
      <c r="M372" s="109">
        <v>45470</v>
      </c>
      <c r="N372" s="105" t="s">
        <v>887</v>
      </c>
      <c r="O372" s="264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 spans="1:28" ht="29">
      <c r="A373" s="261"/>
      <c r="B373" s="261"/>
      <c r="C373" s="261"/>
      <c r="D373" s="97"/>
      <c r="E373" s="261"/>
      <c r="F373" s="97" t="s">
        <v>191</v>
      </c>
      <c r="G373" s="121">
        <v>9000</v>
      </c>
      <c r="H373" s="109">
        <v>45468</v>
      </c>
      <c r="I373" s="261"/>
      <c r="J373" s="105" t="s">
        <v>894</v>
      </c>
      <c r="K373" s="261"/>
      <c r="L373" s="109">
        <v>45463</v>
      </c>
      <c r="M373" s="109">
        <v>45470</v>
      </c>
      <c r="N373" s="105" t="s">
        <v>887</v>
      </c>
      <c r="O373" s="26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 spans="1:28" ht="29">
      <c r="A374" s="113">
        <v>118</v>
      </c>
      <c r="B374" s="105" t="s">
        <v>543</v>
      </c>
      <c r="C374" s="106">
        <v>18297</v>
      </c>
      <c r="D374" s="114">
        <v>7038</v>
      </c>
      <c r="E374" s="107" t="s">
        <v>625</v>
      </c>
      <c r="F374" s="131" t="s">
        <v>47</v>
      </c>
      <c r="G374" s="127">
        <v>200</v>
      </c>
      <c r="H374" s="109">
        <v>45499</v>
      </c>
      <c r="I374" s="105" t="s">
        <v>604</v>
      </c>
      <c r="J374" s="105" t="s">
        <v>895</v>
      </c>
      <c r="K374" s="105" t="s">
        <v>896</v>
      </c>
      <c r="L374" s="109">
        <v>45495</v>
      </c>
      <c r="M374" s="109">
        <v>45500</v>
      </c>
      <c r="N374" s="105" t="s">
        <v>897</v>
      </c>
      <c r="O374" s="105" t="s">
        <v>898</v>
      </c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 spans="1:28" ht="29">
      <c r="A375" s="280">
        <v>119</v>
      </c>
      <c r="B375" s="283" t="s">
        <v>543</v>
      </c>
      <c r="C375" s="114">
        <v>15874</v>
      </c>
      <c r="D375" s="97"/>
      <c r="E375" s="97" t="s">
        <v>899</v>
      </c>
      <c r="F375" s="97" t="s">
        <v>54</v>
      </c>
      <c r="G375" s="121">
        <v>150</v>
      </c>
      <c r="H375" s="109">
        <v>45512</v>
      </c>
      <c r="I375" s="105" t="s">
        <v>823</v>
      </c>
      <c r="J375" s="105" t="s">
        <v>900</v>
      </c>
      <c r="K375" s="283" t="s">
        <v>558</v>
      </c>
      <c r="L375" s="109">
        <v>45510</v>
      </c>
      <c r="M375" s="109">
        <v>45513</v>
      </c>
      <c r="N375" s="105" t="s">
        <v>901</v>
      </c>
      <c r="O375" s="105" t="s">
        <v>902</v>
      </c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 spans="1:28" ht="29">
      <c r="A376" s="261"/>
      <c r="B376" s="261"/>
      <c r="C376" s="114">
        <v>19261</v>
      </c>
      <c r="D376" s="97"/>
      <c r="E376" s="97" t="s">
        <v>899</v>
      </c>
      <c r="F376" s="97" t="s">
        <v>54</v>
      </c>
      <c r="G376" s="175">
        <v>100</v>
      </c>
      <c r="H376" s="109">
        <v>45512</v>
      </c>
      <c r="I376" s="105" t="s">
        <v>823</v>
      </c>
      <c r="J376" s="105" t="s">
        <v>900</v>
      </c>
      <c r="K376" s="261"/>
      <c r="L376" s="109">
        <v>45510</v>
      </c>
      <c r="M376" s="109">
        <v>45513</v>
      </c>
      <c r="N376" s="105" t="s">
        <v>901</v>
      </c>
      <c r="O376" s="105" t="s">
        <v>902</v>
      </c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 spans="1:28" ht="29">
      <c r="A377" s="113">
        <v>121</v>
      </c>
      <c r="B377" s="105" t="s">
        <v>543</v>
      </c>
      <c r="C377" s="106">
        <v>18486</v>
      </c>
      <c r="D377" s="97"/>
      <c r="E377" s="97" t="s">
        <v>579</v>
      </c>
      <c r="F377" s="97" t="s">
        <v>406</v>
      </c>
      <c r="G377" s="121">
        <v>200</v>
      </c>
      <c r="H377" s="109">
        <v>45464</v>
      </c>
      <c r="I377" s="105" t="s">
        <v>623</v>
      </c>
      <c r="J377" s="108">
        <v>776953752557</v>
      </c>
      <c r="K377" s="105" t="s">
        <v>577</v>
      </c>
      <c r="L377" s="109">
        <v>45464</v>
      </c>
      <c r="M377" s="109">
        <v>45470</v>
      </c>
      <c r="N377" s="105" t="s">
        <v>904</v>
      </c>
      <c r="O377" s="105" t="s">
        <v>888</v>
      </c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 spans="1:28" ht="29">
      <c r="A378" s="113">
        <v>122</v>
      </c>
      <c r="B378" s="105" t="s">
        <v>543</v>
      </c>
      <c r="C378" s="176">
        <v>17891</v>
      </c>
      <c r="D378" s="97"/>
      <c r="E378" s="97" t="s">
        <v>750</v>
      </c>
      <c r="F378" s="97" t="s">
        <v>905</v>
      </c>
      <c r="G378" s="121">
        <v>50</v>
      </c>
      <c r="H378" s="109">
        <v>45495</v>
      </c>
      <c r="I378" s="105" t="s">
        <v>623</v>
      </c>
      <c r="J378" s="108">
        <v>777440533401</v>
      </c>
      <c r="K378" s="105" t="s">
        <v>896</v>
      </c>
      <c r="L378" s="109">
        <v>45492</v>
      </c>
      <c r="M378" s="109">
        <v>45503</v>
      </c>
      <c r="N378" s="105" t="s">
        <v>906</v>
      </c>
      <c r="O378" s="105" t="s">
        <v>890</v>
      </c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 spans="1:28" ht="29">
      <c r="A379" s="280">
        <v>123</v>
      </c>
      <c r="B379" s="283" t="s">
        <v>543</v>
      </c>
      <c r="C379" s="281">
        <v>18292</v>
      </c>
      <c r="D379" s="281">
        <v>7038</v>
      </c>
      <c r="E379" s="282" t="s">
        <v>907</v>
      </c>
      <c r="F379" s="165" t="s">
        <v>6</v>
      </c>
      <c r="G379" s="166">
        <v>200</v>
      </c>
      <c r="H379" s="109">
        <v>45496</v>
      </c>
      <c r="I379" s="283" t="s">
        <v>823</v>
      </c>
      <c r="J379" s="105" t="s">
        <v>908</v>
      </c>
      <c r="K379" s="283" t="s">
        <v>816</v>
      </c>
      <c r="L379" s="109">
        <v>45492</v>
      </c>
      <c r="M379" s="109">
        <v>45498</v>
      </c>
      <c r="N379" s="105" t="s">
        <v>909</v>
      </c>
      <c r="O379" s="283" t="s">
        <v>898</v>
      </c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 spans="1:28" ht="29">
      <c r="A380" s="261"/>
      <c r="B380" s="261"/>
      <c r="C380" s="261"/>
      <c r="D380" s="261"/>
      <c r="E380" s="261"/>
      <c r="F380" s="167" t="s">
        <v>8</v>
      </c>
      <c r="G380" s="155">
        <v>216</v>
      </c>
      <c r="H380" s="109">
        <v>45496</v>
      </c>
      <c r="I380" s="261"/>
      <c r="J380" s="105" t="s">
        <v>908</v>
      </c>
      <c r="K380" s="261"/>
      <c r="L380" s="109">
        <v>45492</v>
      </c>
      <c r="M380" s="109">
        <v>45498</v>
      </c>
      <c r="N380" s="105" t="s">
        <v>909</v>
      </c>
      <c r="O380" s="26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 spans="1:28" ht="29">
      <c r="A381" s="280">
        <v>133</v>
      </c>
      <c r="B381" s="283" t="s">
        <v>543</v>
      </c>
      <c r="C381" s="281">
        <v>18292</v>
      </c>
      <c r="D381" s="281">
        <v>7038</v>
      </c>
      <c r="E381" s="282" t="s">
        <v>907</v>
      </c>
      <c r="F381" s="167" t="s">
        <v>8</v>
      </c>
      <c r="G381" s="155">
        <v>184</v>
      </c>
      <c r="H381" s="109">
        <v>45531</v>
      </c>
      <c r="I381" s="105" t="s">
        <v>823</v>
      </c>
      <c r="J381" s="105" t="s">
        <v>910</v>
      </c>
      <c r="K381" s="283" t="s">
        <v>698</v>
      </c>
      <c r="L381" s="109">
        <v>45527</v>
      </c>
      <c r="M381" s="109">
        <v>45533</v>
      </c>
      <c r="N381" s="105" t="s">
        <v>911</v>
      </c>
      <c r="O381" s="283" t="s">
        <v>912</v>
      </c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 spans="1:28" ht="29">
      <c r="A382" s="264"/>
      <c r="B382" s="264"/>
      <c r="C382" s="264"/>
      <c r="D382" s="264"/>
      <c r="E382" s="264"/>
      <c r="F382" s="167" t="s">
        <v>5</v>
      </c>
      <c r="G382" s="155">
        <v>100</v>
      </c>
      <c r="H382" s="109">
        <v>45531</v>
      </c>
      <c r="I382" s="105" t="s">
        <v>823</v>
      </c>
      <c r="J382" s="105" t="s">
        <v>910</v>
      </c>
      <c r="K382" s="264"/>
      <c r="L382" s="109">
        <v>45527</v>
      </c>
      <c r="M382" s="109">
        <v>45533</v>
      </c>
      <c r="N382" s="105" t="s">
        <v>911</v>
      </c>
      <c r="O382" s="264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 spans="1:28" ht="29">
      <c r="A383" s="261"/>
      <c r="B383" s="261"/>
      <c r="C383" s="261"/>
      <c r="D383" s="261"/>
      <c r="E383" s="261"/>
      <c r="F383" s="167" t="s">
        <v>1</v>
      </c>
      <c r="G383" s="155">
        <v>1</v>
      </c>
      <c r="H383" s="109">
        <v>45531</v>
      </c>
      <c r="I383" s="105" t="s">
        <v>823</v>
      </c>
      <c r="J383" s="105" t="s">
        <v>910</v>
      </c>
      <c r="K383" s="261"/>
      <c r="L383" s="109">
        <v>45527</v>
      </c>
      <c r="M383" s="109">
        <v>45533</v>
      </c>
      <c r="N383" s="105" t="s">
        <v>911</v>
      </c>
      <c r="O383" s="26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 spans="1:28" ht="29">
      <c r="A384" s="113">
        <v>124</v>
      </c>
      <c r="B384" s="105" t="s">
        <v>541</v>
      </c>
      <c r="C384" s="157">
        <v>18427</v>
      </c>
      <c r="D384" s="107"/>
      <c r="E384" s="131" t="s">
        <v>633</v>
      </c>
      <c r="F384" s="125" t="s">
        <v>403</v>
      </c>
      <c r="G384" s="130">
        <v>5000</v>
      </c>
      <c r="H384" s="109">
        <v>45481</v>
      </c>
      <c r="I384" s="105" t="s">
        <v>604</v>
      </c>
      <c r="J384" s="105" t="s">
        <v>913</v>
      </c>
      <c r="K384" s="105" t="s">
        <v>669</v>
      </c>
      <c r="L384" s="97"/>
      <c r="M384" s="109">
        <v>45490</v>
      </c>
      <c r="N384" s="105" t="s">
        <v>914</v>
      </c>
      <c r="O384" s="105" t="s">
        <v>877</v>
      </c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 spans="1:28" ht="29">
      <c r="A385" s="113">
        <v>125</v>
      </c>
      <c r="B385" s="105" t="s">
        <v>541</v>
      </c>
      <c r="C385" s="106">
        <v>18293</v>
      </c>
      <c r="D385" s="114">
        <v>7038</v>
      </c>
      <c r="E385" s="107" t="s">
        <v>617</v>
      </c>
      <c r="F385" s="131" t="s">
        <v>50</v>
      </c>
      <c r="G385" s="127">
        <v>50</v>
      </c>
      <c r="H385" s="109">
        <v>45472</v>
      </c>
      <c r="I385" s="105" t="s">
        <v>786</v>
      </c>
      <c r="J385" s="105" t="s">
        <v>915</v>
      </c>
      <c r="K385" s="105" t="s">
        <v>620</v>
      </c>
      <c r="L385" s="97"/>
      <c r="M385" s="109">
        <v>45483</v>
      </c>
      <c r="N385" s="105" t="s">
        <v>916</v>
      </c>
      <c r="O385" s="105" t="s">
        <v>917</v>
      </c>
      <c r="P385" s="168" t="s">
        <v>918</v>
      </c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 spans="1:28" ht="29">
      <c r="A386" s="113">
        <v>126</v>
      </c>
      <c r="B386" s="105" t="s">
        <v>543</v>
      </c>
      <c r="C386" s="106">
        <v>18293</v>
      </c>
      <c r="D386" s="114">
        <v>7038</v>
      </c>
      <c r="E386" s="107" t="s">
        <v>617</v>
      </c>
      <c r="F386" s="131" t="s">
        <v>50</v>
      </c>
      <c r="G386" s="127">
        <v>50</v>
      </c>
      <c r="H386" s="109">
        <v>45467</v>
      </c>
      <c r="I386" s="105" t="s">
        <v>786</v>
      </c>
      <c r="J386" s="105" t="s">
        <v>919</v>
      </c>
      <c r="K386" s="105" t="s">
        <v>620</v>
      </c>
      <c r="L386" s="109">
        <v>45464</v>
      </c>
      <c r="M386" s="109">
        <v>45469</v>
      </c>
      <c r="N386" s="105" t="s">
        <v>887</v>
      </c>
      <c r="O386" s="105" t="s">
        <v>840</v>
      </c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 spans="1:28" ht="29">
      <c r="A387" s="280">
        <v>127</v>
      </c>
      <c r="B387" s="283" t="s">
        <v>543</v>
      </c>
      <c r="C387" s="157">
        <v>18767</v>
      </c>
      <c r="D387" s="131"/>
      <c r="E387" s="131" t="s">
        <v>818</v>
      </c>
      <c r="F387" s="131" t="s">
        <v>920</v>
      </c>
      <c r="G387" s="127">
        <v>50</v>
      </c>
      <c r="H387" s="109">
        <v>45476</v>
      </c>
      <c r="I387" s="283" t="s">
        <v>623</v>
      </c>
      <c r="J387" s="108">
        <v>777166480520</v>
      </c>
      <c r="K387" s="283" t="s">
        <v>577</v>
      </c>
      <c r="L387" s="109">
        <v>45476</v>
      </c>
      <c r="M387" s="109">
        <v>45482</v>
      </c>
      <c r="N387" s="105" t="s">
        <v>921</v>
      </c>
      <c r="O387" s="105" t="s">
        <v>879</v>
      </c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 spans="1:28" ht="29">
      <c r="A388" s="264"/>
      <c r="B388" s="264"/>
      <c r="C388" s="285">
        <v>18765</v>
      </c>
      <c r="D388" s="286"/>
      <c r="E388" s="297" t="s">
        <v>818</v>
      </c>
      <c r="F388" s="133" t="s">
        <v>923</v>
      </c>
      <c r="G388" s="130">
        <v>40</v>
      </c>
      <c r="H388" s="109">
        <v>45476</v>
      </c>
      <c r="I388" s="264"/>
      <c r="J388" s="108">
        <v>777166480520</v>
      </c>
      <c r="K388" s="264"/>
      <c r="L388" s="109">
        <v>45476</v>
      </c>
      <c r="M388" s="109">
        <v>45482</v>
      </c>
      <c r="N388" s="105" t="s">
        <v>921</v>
      </c>
      <c r="O388" s="105" t="s">
        <v>879</v>
      </c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 spans="1:28" ht="29">
      <c r="A389" s="264"/>
      <c r="B389" s="264"/>
      <c r="C389" s="264"/>
      <c r="D389" s="264"/>
      <c r="E389" s="264"/>
      <c r="F389" s="133" t="s">
        <v>924</v>
      </c>
      <c r="G389" s="130">
        <v>40</v>
      </c>
      <c r="H389" s="109">
        <v>45476</v>
      </c>
      <c r="I389" s="264"/>
      <c r="J389" s="108">
        <v>777166480520</v>
      </c>
      <c r="K389" s="264"/>
      <c r="L389" s="109">
        <v>45476</v>
      </c>
      <c r="M389" s="109">
        <v>45482</v>
      </c>
      <c r="N389" s="105" t="s">
        <v>921</v>
      </c>
      <c r="O389" s="105" t="s">
        <v>879</v>
      </c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 spans="1:28" ht="29">
      <c r="A390" s="264"/>
      <c r="B390" s="264"/>
      <c r="C390" s="264"/>
      <c r="D390" s="264"/>
      <c r="E390" s="264"/>
      <c r="F390" s="133" t="s">
        <v>925</v>
      </c>
      <c r="G390" s="130">
        <v>40</v>
      </c>
      <c r="H390" s="109">
        <v>45476</v>
      </c>
      <c r="I390" s="264"/>
      <c r="J390" s="108">
        <v>777166480520</v>
      </c>
      <c r="K390" s="264"/>
      <c r="L390" s="109">
        <v>45476</v>
      </c>
      <c r="M390" s="109">
        <v>45482</v>
      </c>
      <c r="N390" s="105" t="s">
        <v>921</v>
      </c>
      <c r="O390" s="105" t="s">
        <v>879</v>
      </c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 spans="1:28" ht="29">
      <c r="A391" s="261"/>
      <c r="B391" s="261"/>
      <c r="C391" s="261"/>
      <c r="D391" s="261"/>
      <c r="E391" s="261"/>
      <c r="F391" s="133" t="s">
        <v>926</v>
      </c>
      <c r="G391" s="130">
        <v>40</v>
      </c>
      <c r="H391" s="109">
        <v>45476</v>
      </c>
      <c r="I391" s="261"/>
      <c r="J391" s="108">
        <v>777166480520</v>
      </c>
      <c r="K391" s="261"/>
      <c r="L391" s="109">
        <v>45476</v>
      </c>
      <c r="M391" s="109">
        <v>45482</v>
      </c>
      <c r="N391" s="105" t="s">
        <v>921</v>
      </c>
      <c r="O391" s="105" t="s">
        <v>879</v>
      </c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 spans="1:28" ht="29">
      <c r="A392" s="280">
        <v>128</v>
      </c>
      <c r="B392" s="283" t="s">
        <v>543</v>
      </c>
      <c r="C392" s="284">
        <v>18756</v>
      </c>
      <c r="D392" s="284" t="s">
        <v>927</v>
      </c>
      <c r="E392" s="295" t="s">
        <v>775</v>
      </c>
      <c r="F392" s="131" t="s">
        <v>928</v>
      </c>
      <c r="G392" s="127">
        <v>4</v>
      </c>
      <c r="H392" s="109">
        <v>45477</v>
      </c>
      <c r="I392" s="283" t="s">
        <v>623</v>
      </c>
      <c r="J392" s="108">
        <v>777195674262</v>
      </c>
      <c r="K392" s="283" t="s">
        <v>669</v>
      </c>
      <c r="L392" s="109">
        <v>45477</v>
      </c>
      <c r="M392" s="109">
        <v>45484</v>
      </c>
      <c r="N392" s="105" t="s">
        <v>921</v>
      </c>
      <c r="O392" s="105" t="s">
        <v>879</v>
      </c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 spans="1:28" ht="29">
      <c r="A393" s="264"/>
      <c r="B393" s="264"/>
      <c r="C393" s="261"/>
      <c r="D393" s="261"/>
      <c r="E393" s="261"/>
      <c r="F393" s="133" t="s">
        <v>929</v>
      </c>
      <c r="G393" s="130">
        <v>4</v>
      </c>
      <c r="H393" s="109">
        <v>45477</v>
      </c>
      <c r="I393" s="264"/>
      <c r="J393" s="108">
        <v>777195674262</v>
      </c>
      <c r="K393" s="264"/>
      <c r="L393" s="109">
        <v>45477</v>
      </c>
      <c r="M393" s="109">
        <v>45484</v>
      </c>
      <c r="N393" s="105" t="s">
        <v>921</v>
      </c>
      <c r="O393" s="105" t="s">
        <v>879</v>
      </c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 spans="1:28" ht="29">
      <c r="A394" s="264"/>
      <c r="B394" s="264"/>
      <c r="C394" s="106">
        <v>18696</v>
      </c>
      <c r="D394" s="114">
        <v>7673</v>
      </c>
      <c r="E394" s="107" t="s">
        <v>775</v>
      </c>
      <c r="F394" s="131" t="s">
        <v>880</v>
      </c>
      <c r="G394" s="127">
        <v>15</v>
      </c>
      <c r="H394" s="109">
        <v>45477</v>
      </c>
      <c r="I394" s="264"/>
      <c r="J394" s="108">
        <v>777195674262</v>
      </c>
      <c r="K394" s="264"/>
      <c r="L394" s="109">
        <v>45477</v>
      </c>
      <c r="M394" s="109">
        <v>45484</v>
      </c>
      <c r="N394" s="105" t="s">
        <v>921</v>
      </c>
      <c r="O394" s="105" t="s">
        <v>879</v>
      </c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 spans="1:28" ht="29">
      <c r="A395" s="264"/>
      <c r="B395" s="264"/>
      <c r="C395" s="106">
        <v>18209</v>
      </c>
      <c r="D395" s="114">
        <v>7563</v>
      </c>
      <c r="E395" s="107" t="s">
        <v>554</v>
      </c>
      <c r="F395" s="131" t="s">
        <v>880</v>
      </c>
      <c r="G395" s="127">
        <v>30</v>
      </c>
      <c r="H395" s="109">
        <v>45477</v>
      </c>
      <c r="I395" s="264"/>
      <c r="J395" s="108">
        <v>777195674262</v>
      </c>
      <c r="K395" s="264"/>
      <c r="L395" s="109">
        <v>45477</v>
      </c>
      <c r="M395" s="109">
        <v>45484</v>
      </c>
      <c r="N395" s="105" t="s">
        <v>921</v>
      </c>
      <c r="O395" s="105" t="s">
        <v>879</v>
      </c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 spans="1:28" ht="29">
      <c r="A396" s="264"/>
      <c r="B396" s="264"/>
      <c r="C396" s="106">
        <v>18555</v>
      </c>
      <c r="D396" s="114" t="s">
        <v>930</v>
      </c>
      <c r="E396" s="107" t="s">
        <v>804</v>
      </c>
      <c r="F396" s="131" t="s">
        <v>473</v>
      </c>
      <c r="G396" s="127">
        <v>10</v>
      </c>
      <c r="H396" s="109">
        <v>45477</v>
      </c>
      <c r="I396" s="264"/>
      <c r="J396" s="108">
        <v>777195674262</v>
      </c>
      <c r="K396" s="264"/>
      <c r="L396" s="109">
        <v>45477</v>
      </c>
      <c r="M396" s="109">
        <v>45484</v>
      </c>
      <c r="N396" s="105" t="s">
        <v>921</v>
      </c>
      <c r="O396" s="105" t="s">
        <v>879</v>
      </c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 spans="1:28" ht="29">
      <c r="A397" s="261"/>
      <c r="B397" s="261"/>
      <c r="C397" s="106">
        <v>18757</v>
      </c>
      <c r="D397" s="97"/>
      <c r="E397" s="97" t="s">
        <v>554</v>
      </c>
      <c r="F397" s="97" t="s">
        <v>931</v>
      </c>
      <c r="G397" s="121">
        <v>22</v>
      </c>
      <c r="H397" s="109">
        <v>45477</v>
      </c>
      <c r="I397" s="261"/>
      <c r="J397" s="108">
        <v>777195674262</v>
      </c>
      <c r="K397" s="261"/>
      <c r="L397" s="109">
        <v>45477</v>
      </c>
      <c r="M397" s="109">
        <v>45484</v>
      </c>
      <c r="N397" s="105" t="s">
        <v>921</v>
      </c>
      <c r="O397" s="105" t="s">
        <v>879</v>
      </c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 spans="1:28" ht="29">
      <c r="A398" s="280">
        <v>129</v>
      </c>
      <c r="B398" s="283" t="s">
        <v>543</v>
      </c>
      <c r="C398" s="284">
        <v>18290</v>
      </c>
      <c r="D398" s="281">
        <v>7038</v>
      </c>
      <c r="E398" s="282" t="s">
        <v>631</v>
      </c>
      <c r="F398" s="97" t="s">
        <v>10</v>
      </c>
      <c r="G398" s="121">
        <v>100</v>
      </c>
      <c r="H398" s="109">
        <v>45503</v>
      </c>
      <c r="I398" s="105" t="s">
        <v>823</v>
      </c>
      <c r="J398" s="105" t="s">
        <v>932</v>
      </c>
      <c r="K398" s="283" t="s">
        <v>585</v>
      </c>
      <c r="L398" s="109">
        <v>45502</v>
      </c>
      <c r="M398" s="109">
        <v>45506</v>
      </c>
      <c r="N398" s="105" t="s">
        <v>933</v>
      </c>
      <c r="O398" s="105" t="s">
        <v>917</v>
      </c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 spans="1:28" ht="29">
      <c r="A399" s="261"/>
      <c r="B399" s="261"/>
      <c r="C399" s="261"/>
      <c r="D399" s="261"/>
      <c r="E399" s="261"/>
      <c r="F399" s="97" t="s">
        <v>11</v>
      </c>
      <c r="G399" s="121">
        <v>170</v>
      </c>
      <c r="H399" s="109">
        <v>45503</v>
      </c>
      <c r="I399" s="105" t="s">
        <v>823</v>
      </c>
      <c r="J399" s="105" t="s">
        <v>932</v>
      </c>
      <c r="K399" s="261"/>
      <c r="L399" s="109">
        <v>45502</v>
      </c>
      <c r="M399" s="109">
        <v>45506</v>
      </c>
      <c r="N399" s="105" t="s">
        <v>933</v>
      </c>
      <c r="O399" s="105" t="s">
        <v>917</v>
      </c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 spans="1:28" ht="29">
      <c r="A400" s="113">
        <v>138</v>
      </c>
      <c r="B400" s="105" t="s">
        <v>543</v>
      </c>
      <c r="C400" s="114">
        <v>18794</v>
      </c>
      <c r="D400" s="114">
        <v>7686</v>
      </c>
      <c r="E400" s="105" t="s">
        <v>631</v>
      </c>
      <c r="F400" s="105" t="s">
        <v>25</v>
      </c>
      <c r="G400" s="108">
        <v>60</v>
      </c>
      <c r="H400" s="109">
        <v>45503</v>
      </c>
      <c r="I400" s="105" t="s">
        <v>823</v>
      </c>
      <c r="J400" s="105" t="s">
        <v>932</v>
      </c>
      <c r="K400" s="105" t="s">
        <v>585</v>
      </c>
      <c r="L400" s="109">
        <v>45502</v>
      </c>
      <c r="M400" s="109">
        <v>45506</v>
      </c>
      <c r="N400" s="105" t="s">
        <v>933</v>
      </c>
      <c r="O400" s="105" t="s">
        <v>917</v>
      </c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 spans="1:28" ht="29">
      <c r="A401" s="113">
        <v>130</v>
      </c>
      <c r="B401" s="105" t="s">
        <v>543</v>
      </c>
      <c r="C401" s="106">
        <v>18859</v>
      </c>
      <c r="D401" s="114">
        <v>7697</v>
      </c>
      <c r="E401" s="107" t="s">
        <v>832</v>
      </c>
      <c r="F401" s="131" t="s">
        <v>835</v>
      </c>
      <c r="G401" s="127">
        <v>60</v>
      </c>
      <c r="H401" s="109">
        <v>45492</v>
      </c>
      <c r="I401" s="105" t="s">
        <v>878</v>
      </c>
      <c r="J401" s="108">
        <v>777468192722</v>
      </c>
      <c r="K401" s="105" t="s">
        <v>577</v>
      </c>
      <c r="L401" s="109">
        <v>45492</v>
      </c>
      <c r="M401" s="109">
        <v>45499</v>
      </c>
      <c r="N401" s="105" t="s">
        <v>934</v>
      </c>
      <c r="O401" s="105" t="s">
        <v>917</v>
      </c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 spans="1:28" ht="29">
      <c r="A402" s="280">
        <v>131</v>
      </c>
      <c r="B402" s="283" t="s">
        <v>543</v>
      </c>
      <c r="C402" s="284">
        <v>18871</v>
      </c>
      <c r="D402" s="97"/>
      <c r="E402" s="282" t="s">
        <v>935</v>
      </c>
      <c r="F402" s="131" t="s">
        <v>27</v>
      </c>
      <c r="G402" s="127">
        <v>1</v>
      </c>
      <c r="H402" s="109">
        <v>45497</v>
      </c>
      <c r="I402" s="283" t="s">
        <v>878</v>
      </c>
      <c r="J402" s="108">
        <v>777527730480</v>
      </c>
      <c r="K402" s="283" t="s">
        <v>577</v>
      </c>
      <c r="L402" s="109">
        <v>45497</v>
      </c>
      <c r="M402" s="109">
        <v>45503</v>
      </c>
      <c r="N402" s="105" t="s">
        <v>936</v>
      </c>
      <c r="O402" s="283" t="s">
        <v>917</v>
      </c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 spans="1:28" ht="29">
      <c r="A403" s="264"/>
      <c r="B403" s="264"/>
      <c r="C403" s="264"/>
      <c r="D403" s="97"/>
      <c r="E403" s="264"/>
      <c r="F403" s="133" t="s">
        <v>31</v>
      </c>
      <c r="G403" s="130">
        <v>1</v>
      </c>
      <c r="H403" s="109">
        <v>45497</v>
      </c>
      <c r="I403" s="264"/>
      <c r="J403" s="108">
        <v>777527730480</v>
      </c>
      <c r="K403" s="264"/>
      <c r="L403" s="109">
        <v>45497</v>
      </c>
      <c r="M403" s="109">
        <v>45503</v>
      </c>
      <c r="N403" s="105" t="s">
        <v>936</v>
      </c>
      <c r="O403" s="264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 spans="1:28" ht="29">
      <c r="A404" s="261"/>
      <c r="B404" s="261"/>
      <c r="C404" s="261"/>
      <c r="D404" s="97"/>
      <c r="E404" s="261"/>
      <c r="F404" s="133" t="s">
        <v>937</v>
      </c>
      <c r="G404" s="130">
        <v>1</v>
      </c>
      <c r="H404" s="109">
        <v>45497</v>
      </c>
      <c r="I404" s="261"/>
      <c r="J404" s="108">
        <v>777527730480</v>
      </c>
      <c r="K404" s="261"/>
      <c r="L404" s="109">
        <v>45497</v>
      </c>
      <c r="M404" s="109">
        <v>45503</v>
      </c>
      <c r="N404" s="105" t="s">
        <v>936</v>
      </c>
      <c r="O404" s="26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 spans="1:28" ht="29">
      <c r="A405" s="280">
        <v>132</v>
      </c>
      <c r="B405" s="283" t="s">
        <v>543</v>
      </c>
      <c r="C405" s="285">
        <v>18870</v>
      </c>
      <c r="D405" s="97"/>
      <c r="E405" s="286" t="s">
        <v>938</v>
      </c>
      <c r="F405" s="133" t="s">
        <v>27</v>
      </c>
      <c r="G405" s="130">
        <v>1</v>
      </c>
      <c r="H405" s="109">
        <v>45509</v>
      </c>
      <c r="I405" s="283" t="s">
        <v>878</v>
      </c>
      <c r="J405" s="108">
        <v>777747162649</v>
      </c>
      <c r="K405" s="283" t="s">
        <v>577</v>
      </c>
      <c r="L405" s="109">
        <v>45506</v>
      </c>
      <c r="M405" s="109">
        <v>45511</v>
      </c>
      <c r="N405" s="105" t="s">
        <v>939</v>
      </c>
      <c r="O405" s="283" t="s">
        <v>917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 spans="1:28" ht="29">
      <c r="A406" s="264"/>
      <c r="B406" s="264"/>
      <c r="C406" s="264"/>
      <c r="D406" s="97"/>
      <c r="E406" s="264"/>
      <c r="F406" s="133" t="s">
        <v>31</v>
      </c>
      <c r="G406" s="130">
        <v>1</v>
      </c>
      <c r="H406" s="109">
        <v>45509</v>
      </c>
      <c r="I406" s="264"/>
      <c r="J406" s="108">
        <v>777747162649</v>
      </c>
      <c r="K406" s="264"/>
      <c r="L406" s="109">
        <v>45506</v>
      </c>
      <c r="M406" s="109">
        <v>45511</v>
      </c>
      <c r="N406" s="105" t="s">
        <v>939</v>
      </c>
      <c r="O406" s="264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 spans="1:28" ht="29">
      <c r="A407" s="261"/>
      <c r="B407" s="261"/>
      <c r="C407" s="261"/>
      <c r="D407" s="97"/>
      <c r="E407" s="261"/>
      <c r="F407" s="133" t="s">
        <v>937</v>
      </c>
      <c r="G407" s="130">
        <v>1</v>
      </c>
      <c r="H407" s="109">
        <v>45509</v>
      </c>
      <c r="I407" s="261"/>
      <c r="J407" s="108">
        <v>777747162649</v>
      </c>
      <c r="K407" s="261"/>
      <c r="L407" s="109">
        <v>45506</v>
      </c>
      <c r="M407" s="109">
        <v>45511</v>
      </c>
      <c r="N407" s="105" t="s">
        <v>939</v>
      </c>
      <c r="O407" s="26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 spans="1:28" ht="29">
      <c r="A408" s="280">
        <v>134</v>
      </c>
      <c r="B408" s="283" t="s">
        <v>543</v>
      </c>
      <c r="C408" s="157">
        <v>18953</v>
      </c>
      <c r="D408" s="164">
        <v>7720</v>
      </c>
      <c r="E408" s="283" t="s">
        <v>554</v>
      </c>
      <c r="F408" s="105" t="s">
        <v>708</v>
      </c>
      <c r="G408" s="108">
        <v>10</v>
      </c>
      <c r="H408" s="109">
        <v>45495</v>
      </c>
      <c r="I408" s="283" t="s">
        <v>623</v>
      </c>
      <c r="J408" s="108">
        <v>777498058315</v>
      </c>
      <c r="K408" s="283" t="s">
        <v>558</v>
      </c>
      <c r="L408" s="109">
        <v>45495</v>
      </c>
      <c r="M408" s="109">
        <v>45500</v>
      </c>
      <c r="N408" s="105" t="s">
        <v>941</v>
      </c>
      <c r="O408" s="283" t="s">
        <v>898</v>
      </c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 spans="1:28" ht="29">
      <c r="A409" s="264"/>
      <c r="B409" s="264"/>
      <c r="C409" s="157">
        <v>18864</v>
      </c>
      <c r="D409" s="114">
        <v>7700</v>
      </c>
      <c r="E409" s="264"/>
      <c r="F409" s="105" t="s">
        <v>708</v>
      </c>
      <c r="G409" s="108">
        <v>27</v>
      </c>
      <c r="H409" s="109">
        <v>45495</v>
      </c>
      <c r="I409" s="264"/>
      <c r="J409" s="108">
        <v>777498058315</v>
      </c>
      <c r="K409" s="264"/>
      <c r="L409" s="109">
        <v>45495</v>
      </c>
      <c r="M409" s="109">
        <v>45500</v>
      </c>
      <c r="N409" s="105" t="s">
        <v>941</v>
      </c>
      <c r="O409" s="264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 spans="1:28" ht="29">
      <c r="A410" s="264"/>
      <c r="B410" s="264"/>
      <c r="C410" s="157">
        <v>18929</v>
      </c>
      <c r="D410" s="114">
        <v>7712</v>
      </c>
      <c r="E410" s="264"/>
      <c r="F410" s="105" t="s">
        <v>942</v>
      </c>
      <c r="G410" s="108">
        <v>100</v>
      </c>
      <c r="H410" s="109">
        <v>45495</v>
      </c>
      <c r="I410" s="264"/>
      <c r="J410" s="108">
        <v>777498058315</v>
      </c>
      <c r="K410" s="264"/>
      <c r="L410" s="109">
        <v>45495</v>
      </c>
      <c r="M410" s="109">
        <v>45500</v>
      </c>
      <c r="N410" s="105" t="s">
        <v>941</v>
      </c>
      <c r="O410" s="264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 spans="1:28" ht="29">
      <c r="A411" s="264"/>
      <c r="B411" s="264"/>
      <c r="C411" s="157">
        <v>18865</v>
      </c>
      <c r="D411" s="97"/>
      <c r="E411" s="264"/>
      <c r="F411" s="105" t="s">
        <v>122</v>
      </c>
      <c r="G411" s="108">
        <v>25</v>
      </c>
      <c r="H411" s="109">
        <v>45495</v>
      </c>
      <c r="I411" s="264"/>
      <c r="J411" s="108">
        <v>777498058315</v>
      </c>
      <c r="K411" s="264"/>
      <c r="L411" s="109">
        <v>45495</v>
      </c>
      <c r="M411" s="109">
        <v>45500</v>
      </c>
      <c r="N411" s="105" t="s">
        <v>941</v>
      </c>
      <c r="O411" s="264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 spans="1:28" ht="29">
      <c r="A412" s="261"/>
      <c r="B412" s="261"/>
      <c r="C412" s="157">
        <v>18874</v>
      </c>
      <c r="D412" s="97"/>
      <c r="E412" s="261"/>
      <c r="F412" s="105" t="s">
        <v>122</v>
      </c>
      <c r="G412" s="108">
        <v>25</v>
      </c>
      <c r="H412" s="109">
        <v>45495</v>
      </c>
      <c r="I412" s="261"/>
      <c r="J412" s="108">
        <v>777498058315</v>
      </c>
      <c r="K412" s="261"/>
      <c r="L412" s="109">
        <v>45495</v>
      </c>
      <c r="M412" s="109">
        <v>45500</v>
      </c>
      <c r="N412" s="105" t="s">
        <v>941</v>
      </c>
      <c r="O412" s="26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 spans="1:28" ht="29">
      <c r="A413" s="280">
        <v>135</v>
      </c>
      <c r="B413" s="283" t="s">
        <v>543</v>
      </c>
      <c r="C413" s="157">
        <v>18960</v>
      </c>
      <c r="D413" s="97"/>
      <c r="E413" s="283" t="s">
        <v>554</v>
      </c>
      <c r="F413" s="131" t="s">
        <v>710</v>
      </c>
      <c r="G413" s="127">
        <v>10</v>
      </c>
      <c r="H413" s="109">
        <v>45517</v>
      </c>
      <c r="I413" s="283" t="s">
        <v>623</v>
      </c>
      <c r="J413" s="108">
        <v>777912125932</v>
      </c>
      <c r="K413" s="283" t="s">
        <v>558</v>
      </c>
      <c r="L413" s="109">
        <v>45517</v>
      </c>
      <c r="M413" s="109">
        <v>45524</v>
      </c>
      <c r="N413" s="105" t="s">
        <v>943</v>
      </c>
      <c r="O413" s="283" t="s">
        <v>890</v>
      </c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 spans="1:28" ht="29">
      <c r="A414" s="264"/>
      <c r="B414" s="264"/>
      <c r="C414" s="177">
        <v>18757</v>
      </c>
      <c r="D414" s="97"/>
      <c r="E414" s="264"/>
      <c r="F414" s="131" t="s">
        <v>931</v>
      </c>
      <c r="G414" s="127">
        <v>3</v>
      </c>
      <c r="H414" s="109">
        <v>45517</v>
      </c>
      <c r="I414" s="264"/>
      <c r="J414" s="108">
        <v>777912125932</v>
      </c>
      <c r="K414" s="264"/>
      <c r="L414" s="109">
        <v>45517</v>
      </c>
      <c r="M414" s="109">
        <v>45524</v>
      </c>
      <c r="N414" s="105" t="s">
        <v>943</v>
      </c>
      <c r="O414" s="264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 spans="1:28" ht="29">
      <c r="A415" s="264"/>
      <c r="B415" s="264"/>
      <c r="C415" s="177">
        <v>18876</v>
      </c>
      <c r="D415" s="97"/>
      <c r="E415" s="264"/>
      <c r="F415" s="131" t="s">
        <v>122</v>
      </c>
      <c r="G415" s="127">
        <v>25</v>
      </c>
      <c r="H415" s="109">
        <v>45517</v>
      </c>
      <c r="I415" s="264"/>
      <c r="J415" s="108">
        <v>777912125932</v>
      </c>
      <c r="K415" s="264"/>
      <c r="L415" s="109">
        <v>45517</v>
      </c>
      <c r="M415" s="109">
        <v>45524</v>
      </c>
      <c r="N415" s="105" t="s">
        <v>943</v>
      </c>
      <c r="O415" s="264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 spans="1:28" ht="29">
      <c r="A416" s="264"/>
      <c r="B416" s="264"/>
      <c r="C416" s="177">
        <v>18875</v>
      </c>
      <c r="D416" s="97"/>
      <c r="E416" s="264"/>
      <c r="F416" s="131" t="s">
        <v>122</v>
      </c>
      <c r="G416" s="127">
        <v>25</v>
      </c>
      <c r="H416" s="109">
        <v>45517</v>
      </c>
      <c r="I416" s="264"/>
      <c r="J416" s="108">
        <v>777912125932</v>
      </c>
      <c r="K416" s="264"/>
      <c r="L416" s="109">
        <v>45517</v>
      </c>
      <c r="M416" s="109">
        <v>45524</v>
      </c>
      <c r="N416" s="105" t="s">
        <v>943</v>
      </c>
      <c r="O416" s="264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 spans="1:28" ht="29">
      <c r="A417" s="264"/>
      <c r="B417" s="264"/>
      <c r="C417" s="138">
        <v>19208</v>
      </c>
      <c r="D417" s="97"/>
      <c r="E417" s="264"/>
      <c r="F417" s="131" t="s">
        <v>944</v>
      </c>
      <c r="G417" s="127">
        <v>10</v>
      </c>
      <c r="H417" s="109">
        <v>45517</v>
      </c>
      <c r="I417" s="264"/>
      <c r="J417" s="108">
        <v>777912125932</v>
      </c>
      <c r="K417" s="264"/>
      <c r="L417" s="109">
        <v>45517</v>
      </c>
      <c r="M417" s="109">
        <v>45524</v>
      </c>
      <c r="N417" s="105" t="s">
        <v>943</v>
      </c>
      <c r="O417" s="264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 spans="1:28" ht="29">
      <c r="A418" s="264"/>
      <c r="B418" s="264"/>
      <c r="C418" s="285">
        <v>19132</v>
      </c>
      <c r="D418" s="97"/>
      <c r="E418" s="264"/>
      <c r="F418" s="131" t="s">
        <v>945</v>
      </c>
      <c r="G418" s="127">
        <v>10</v>
      </c>
      <c r="H418" s="109">
        <v>45517</v>
      </c>
      <c r="I418" s="264"/>
      <c r="J418" s="108">
        <v>777912125932</v>
      </c>
      <c r="K418" s="264"/>
      <c r="L418" s="109">
        <v>45517</v>
      </c>
      <c r="M418" s="109">
        <v>45524</v>
      </c>
      <c r="N418" s="105" t="s">
        <v>943</v>
      </c>
      <c r="O418" s="264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 spans="1:28" ht="29">
      <c r="A419" s="264"/>
      <c r="B419" s="264"/>
      <c r="C419" s="264"/>
      <c r="D419" s="97"/>
      <c r="E419" s="264"/>
      <c r="F419" s="131" t="s">
        <v>946</v>
      </c>
      <c r="G419" s="127">
        <v>10</v>
      </c>
      <c r="H419" s="109">
        <v>45517</v>
      </c>
      <c r="I419" s="264"/>
      <c r="J419" s="108">
        <v>777912125932</v>
      </c>
      <c r="K419" s="264"/>
      <c r="L419" s="109">
        <v>45517</v>
      </c>
      <c r="M419" s="109">
        <v>45524</v>
      </c>
      <c r="N419" s="105" t="s">
        <v>943</v>
      </c>
      <c r="O419" s="264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 spans="1:28" ht="29">
      <c r="A420" s="264"/>
      <c r="B420" s="264"/>
      <c r="C420" s="264"/>
      <c r="D420" s="97"/>
      <c r="E420" s="264"/>
      <c r="F420" s="131" t="s">
        <v>947</v>
      </c>
      <c r="G420" s="127">
        <v>10</v>
      </c>
      <c r="H420" s="109">
        <v>45517</v>
      </c>
      <c r="I420" s="264"/>
      <c r="J420" s="108">
        <v>777912125932</v>
      </c>
      <c r="K420" s="264"/>
      <c r="L420" s="109">
        <v>45517</v>
      </c>
      <c r="M420" s="109">
        <v>45524</v>
      </c>
      <c r="N420" s="105" t="s">
        <v>943</v>
      </c>
      <c r="O420" s="264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 spans="1:28" ht="29">
      <c r="A421" s="264"/>
      <c r="B421" s="264"/>
      <c r="C421" s="264"/>
      <c r="D421" s="97"/>
      <c r="E421" s="264"/>
      <c r="F421" s="131" t="s">
        <v>948</v>
      </c>
      <c r="G421" s="127">
        <v>10</v>
      </c>
      <c r="H421" s="109">
        <v>45517</v>
      </c>
      <c r="I421" s="264"/>
      <c r="J421" s="108">
        <v>777912125932</v>
      </c>
      <c r="K421" s="264"/>
      <c r="L421" s="109">
        <v>45517</v>
      </c>
      <c r="M421" s="109">
        <v>45524</v>
      </c>
      <c r="N421" s="105" t="s">
        <v>943</v>
      </c>
      <c r="O421" s="264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 spans="1:28" ht="29">
      <c r="A422" s="261"/>
      <c r="B422" s="261"/>
      <c r="C422" s="261"/>
      <c r="D422" s="97"/>
      <c r="E422" s="261"/>
      <c r="F422" s="131" t="s">
        <v>949</v>
      </c>
      <c r="G422" s="127">
        <v>10</v>
      </c>
      <c r="H422" s="109">
        <v>45517</v>
      </c>
      <c r="I422" s="261"/>
      <c r="J422" s="108">
        <v>777912125932</v>
      </c>
      <c r="K422" s="261"/>
      <c r="L422" s="109">
        <v>45517</v>
      </c>
      <c r="M422" s="109">
        <v>45524</v>
      </c>
      <c r="N422" s="105" t="s">
        <v>943</v>
      </c>
      <c r="O422" s="26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 spans="1:28" ht="29">
      <c r="A423" s="113">
        <v>136</v>
      </c>
      <c r="B423" s="105" t="s">
        <v>541</v>
      </c>
      <c r="C423" s="157">
        <v>18788</v>
      </c>
      <c r="D423" s="114">
        <v>7038</v>
      </c>
      <c r="E423" s="107" t="s">
        <v>617</v>
      </c>
      <c r="F423" s="131" t="s">
        <v>50</v>
      </c>
      <c r="G423" s="127">
        <v>100</v>
      </c>
      <c r="H423" s="136">
        <v>45584</v>
      </c>
      <c r="I423" s="105" t="s">
        <v>823</v>
      </c>
      <c r="J423" s="108">
        <v>241082920069</v>
      </c>
      <c r="K423" s="105" t="s">
        <v>778</v>
      </c>
      <c r="L423" s="136">
        <v>45580</v>
      </c>
      <c r="M423" s="109">
        <v>45600</v>
      </c>
      <c r="N423" s="105" t="s">
        <v>950</v>
      </c>
      <c r="O423" s="105" t="s">
        <v>951</v>
      </c>
      <c r="P423" s="168" t="s">
        <v>918</v>
      </c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 spans="1:28" ht="29">
      <c r="A424" s="113">
        <v>140</v>
      </c>
      <c r="B424" s="105" t="s">
        <v>543</v>
      </c>
      <c r="C424" s="114">
        <v>18417</v>
      </c>
      <c r="D424" s="97"/>
      <c r="E424" s="97" t="s">
        <v>603</v>
      </c>
      <c r="F424" s="97" t="s">
        <v>27</v>
      </c>
      <c r="G424" s="121">
        <v>250</v>
      </c>
      <c r="H424" s="109">
        <v>45512</v>
      </c>
      <c r="I424" s="105" t="s">
        <v>823</v>
      </c>
      <c r="J424" s="105" t="s">
        <v>952</v>
      </c>
      <c r="K424" s="105" t="s">
        <v>663</v>
      </c>
      <c r="L424" s="109">
        <v>45511</v>
      </c>
      <c r="M424" s="109">
        <v>45513</v>
      </c>
      <c r="N424" s="105" t="s">
        <v>953</v>
      </c>
      <c r="O424" s="105" t="s">
        <v>902</v>
      </c>
      <c r="P424" s="168" t="s">
        <v>828</v>
      </c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 spans="1:28" ht="29">
      <c r="A425" s="280">
        <v>141</v>
      </c>
      <c r="B425" s="283" t="s">
        <v>543</v>
      </c>
      <c r="C425" s="284">
        <v>19062</v>
      </c>
      <c r="D425" s="284" t="s">
        <v>954</v>
      </c>
      <c r="E425" s="282" t="s">
        <v>636</v>
      </c>
      <c r="F425" s="131" t="s">
        <v>262</v>
      </c>
      <c r="G425" s="127">
        <v>450</v>
      </c>
      <c r="H425" s="109">
        <v>45523</v>
      </c>
      <c r="I425" s="283" t="s">
        <v>878</v>
      </c>
      <c r="J425" s="108">
        <v>778040666114</v>
      </c>
      <c r="K425" s="283" t="s">
        <v>577</v>
      </c>
      <c r="L425" s="109">
        <v>45523</v>
      </c>
      <c r="M425" s="109">
        <v>45526</v>
      </c>
      <c r="N425" s="105" t="s">
        <v>916</v>
      </c>
      <c r="O425" s="283" t="s">
        <v>955</v>
      </c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 spans="1:28" ht="29">
      <c r="A426" s="264"/>
      <c r="B426" s="264"/>
      <c r="C426" s="264"/>
      <c r="D426" s="264"/>
      <c r="E426" s="264"/>
      <c r="F426" s="133" t="s">
        <v>264</v>
      </c>
      <c r="G426" s="130">
        <v>450</v>
      </c>
      <c r="H426" s="109">
        <v>45523</v>
      </c>
      <c r="I426" s="264"/>
      <c r="J426" s="108">
        <v>778040666114</v>
      </c>
      <c r="K426" s="264"/>
      <c r="L426" s="109">
        <v>45523</v>
      </c>
      <c r="M426" s="109">
        <v>45526</v>
      </c>
      <c r="N426" s="105" t="s">
        <v>916</v>
      </c>
      <c r="O426" s="264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</row>
    <row r="427" spans="1:28" ht="29">
      <c r="A427" s="264"/>
      <c r="B427" s="264"/>
      <c r="C427" s="264"/>
      <c r="D427" s="264"/>
      <c r="E427" s="264"/>
      <c r="F427" s="133" t="s">
        <v>270</v>
      </c>
      <c r="G427" s="130">
        <v>1350</v>
      </c>
      <c r="H427" s="109">
        <v>45523</v>
      </c>
      <c r="I427" s="264"/>
      <c r="J427" s="108">
        <v>778040666114</v>
      </c>
      <c r="K427" s="264"/>
      <c r="L427" s="109">
        <v>45523</v>
      </c>
      <c r="M427" s="109">
        <v>45526</v>
      </c>
      <c r="N427" s="105" t="s">
        <v>916</v>
      </c>
      <c r="O427" s="264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</row>
    <row r="428" spans="1:28" ht="29">
      <c r="A428" s="264"/>
      <c r="B428" s="264"/>
      <c r="C428" s="264"/>
      <c r="D428" s="264"/>
      <c r="E428" s="264"/>
      <c r="F428" s="133" t="s">
        <v>191</v>
      </c>
      <c r="G428" s="130">
        <v>1350</v>
      </c>
      <c r="H428" s="109">
        <v>45523</v>
      </c>
      <c r="I428" s="264"/>
      <c r="J428" s="108">
        <v>778040666114</v>
      </c>
      <c r="K428" s="264"/>
      <c r="L428" s="109">
        <v>45523</v>
      </c>
      <c r="M428" s="109">
        <v>45526</v>
      </c>
      <c r="N428" s="105" t="s">
        <v>916</v>
      </c>
      <c r="O428" s="264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</row>
    <row r="429" spans="1:28" ht="29">
      <c r="A429" s="264"/>
      <c r="B429" s="264"/>
      <c r="C429" s="264"/>
      <c r="D429" s="264"/>
      <c r="E429" s="264"/>
      <c r="F429" s="133" t="s">
        <v>420</v>
      </c>
      <c r="G429" s="130">
        <v>245</v>
      </c>
      <c r="H429" s="109">
        <v>45523</v>
      </c>
      <c r="I429" s="264"/>
      <c r="J429" s="108">
        <v>778040666114</v>
      </c>
      <c r="K429" s="264"/>
      <c r="L429" s="109">
        <v>45523</v>
      </c>
      <c r="M429" s="109">
        <v>45526</v>
      </c>
      <c r="N429" s="105" t="s">
        <v>916</v>
      </c>
      <c r="O429" s="264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</row>
    <row r="430" spans="1:28" ht="29">
      <c r="A430" s="261"/>
      <c r="B430" s="261"/>
      <c r="C430" s="261"/>
      <c r="D430" s="261"/>
      <c r="E430" s="261"/>
      <c r="F430" s="133" t="s">
        <v>191</v>
      </c>
      <c r="G430" s="130">
        <v>1000</v>
      </c>
      <c r="H430" s="109">
        <v>45523</v>
      </c>
      <c r="I430" s="261"/>
      <c r="J430" s="108">
        <v>778040666114</v>
      </c>
      <c r="K430" s="261"/>
      <c r="L430" s="109">
        <v>45523</v>
      </c>
      <c r="M430" s="109">
        <v>45526</v>
      </c>
      <c r="N430" s="105" t="s">
        <v>916</v>
      </c>
      <c r="O430" s="261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</row>
    <row r="431" spans="1:28" ht="29">
      <c r="A431" s="113">
        <v>142</v>
      </c>
      <c r="B431" s="105" t="s">
        <v>541</v>
      </c>
      <c r="C431" s="138">
        <v>19059</v>
      </c>
      <c r="D431" s="138" t="s">
        <v>954</v>
      </c>
      <c r="E431" s="117" t="s">
        <v>633</v>
      </c>
      <c r="F431" s="133" t="s">
        <v>404</v>
      </c>
      <c r="G431" s="130">
        <v>6000</v>
      </c>
      <c r="H431" s="109">
        <v>45530</v>
      </c>
      <c r="I431" s="105" t="s">
        <v>604</v>
      </c>
      <c r="J431" s="105" t="s">
        <v>956</v>
      </c>
      <c r="K431" s="105" t="s">
        <v>666</v>
      </c>
      <c r="L431" s="109">
        <v>45526</v>
      </c>
      <c r="M431" s="109">
        <v>45539</v>
      </c>
      <c r="N431" s="105" t="s">
        <v>957</v>
      </c>
      <c r="O431" s="105" t="s">
        <v>958</v>
      </c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</row>
    <row r="432" spans="1:28" ht="58">
      <c r="A432" s="113">
        <v>144</v>
      </c>
      <c r="B432" s="105" t="s">
        <v>543</v>
      </c>
      <c r="C432" s="114">
        <v>19091</v>
      </c>
      <c r="D432" s="105" t="s">
        <v>959</v>
      </c>
      <c r="E432" s="105" t="s">
        <v>960</v>
      </c>
      <c r="F432" s="105" t="s">
        <v>961</v>
      </c>
      <c r="G432" s="108">
        <v>50</v>
      </c>
      <c r="H432" s="109">
        <v>45514</v>
      </c>
      <c r="I432" s="105" t="s">
        <v>878</v>
      </c>
      <c r="J432" s="108">
        <v>777881245831</v>
      </c>
      <c r="K432" s="105" t="s">
        <v>577</v>
      </c>
      <c r="L432" s="109">
        <v>45514</v>
      </c>
      <c r="M432" s="109">
        <v>45519</v>
      </c>
      <c r="N432" s="105" t="s">
        <v>962</v>
      </c>
      <c r="O432" s="105" t="s">
        <v>902</v>
      </c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</row>
    <row r="433" spans="1:28" ht="29">
      <c r="A433" s="280">
        <v>145</v>
      </c>
      <c r="B433" s="283" t="s">
        <v>543</v>
      </c>
      <c r="C433" s="281">
        <v>19153</v>
      </c>
      <c r="D433" s="97"/>
      <c r="E433" s="282" t="s">
        <v>907</v>
      </c>
      <c r="F433" s="97" t="s">
        <v>3</v>
      </c>
      <c r="G433" s="121">
        <v>200</v>
      </c>
      <c r="H433" s="109">
        <v>45545</v>
      </c>
      <c r="I433" s="105" t="s">
        <v>823</v>
      </c>
      <c r="J433" s="105" t="s">
        <v>963</v>
      </c>
      <c r="K433" s="283" t="s">
        <v>964</v>
      </c>
      <c r="L433" s="109">
        <v>45541</v>
      </c>
      <c r="M433" s="109">
        <v>45547</v>
      </c>
      <c r="N433" s="105" t="s">
        <v>965</v>
      </c>
      <c r="O433" s="105" t="s">
        <v>966</v>
      </c>
      <c r="P433" s="283" t="s">
        <v>918</v>
      </c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</row>
    <row r="434" spans="1:28" ht="29">
      <c r="A434" s="261"/>
      <c r="B434" s="261"/>
      <c r="C434" s="261"/>
      <c r="D434" s="97"/>
      <c r="E434" s="261"/>
      <c r="F434" s="97" t="s">
        <v>9</v>
      </c>
      <c r="G434" s="121">
        <v>100</v>
      </c>
      <c r="H434" s="109">
        <v>45545</v>
      </c>
      <c r="I434" s="105" t="s">
        <v>823</v>
      </c>
      <c r="J434" s="105" t="s">
        <v>963</v>
      </c>
      <c r="K434" s="261"/>
      <c r="L434" s="109">
        <v>45541</v>
      </c>
      <c r="M434" s="109">
        <v>45547</v>
      </c>
      <c r="N434" s="105" t="s">
        <v>965</v>
      </c>
      <c r="O434" s="105" t="s">
        <v>966</v>
      </c>
      <c r="P434" s="261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</row>
    <row r="435" spans="1:28" ht="29">
      <c r="A435" s="113">
        <v>146</v>
      </c>
      <c r="B435" s="105" t="s">
        <v>543</v>
      </c>
      <c r="C435" s="114">
        <v>19213</v>
      </c>
      <c r="D435" s="97"/>
      <c r="E435" s="107" t="s">
        <v>579</v>
      </c>
      <c r="F435" s="131" t="s">
        <v>98</v>
      </c>
      <c r="G435" s="127">
        <v>300</v>
      </c>
      <c r="H435" s="109">
        <v>45532</v>
      </c>
      <c r="I435" s="105" t="s">
        <v>878</v>
      </c>
      <c r="J435" s="108">
        <v>778204657919</v>
      </c>
      <c r="K435" s="105" t="s">
        <v>577</v>
      </c>
      <c r="L435" s="109">
        <v>45532</v>
      </c>
      <c r="M435" s="109">
        <v>45537</v>
      </c>
      <c r="N435" s="105" t="s">
        <v>967</v>
      </c>
      <c r="O435" s="105" t="s">
        <v>968</v>
      </c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</row>
    <row r="436" spans="1:28" ht="29">
      <c r="A436" s="280">
        <v>143</v>
      </c>
      <c r="B436" s="283" t="s">
        <v>543</v>
      </c>
      <c r="C436" s="114">
        <v>18792</v>
      </c>
      <c r="D436" s="114">
        <v>7683</v>
      </c>
      <c r="E436" s="105" t="s">
        <v>683</v>
      </c>
      <c r="F436" s="107" t="s">
        <v>10</v>
      </c>
      <c r="G436" s="123">
        <v>200</v>
      </c>
      <c r="H436" s="109">
        <v>45537</v>
      </c>
      <c r="I436" s="105" t="s">
        <v>823</v>
      </c>
      <c r="J436" s="105" t="s">
        <v>969</v>
      </c>
      <c r="K436" s="283" t="s">
        <v>690</v>
      </c>
      <c r="L436" s="109">
        <v>45534</v>
      </c>
      <c r="M436" s="109">
        <v>45539</v>
      </c>
      <c r="N436" s="105" t="s">
        <v>970</v>
      </c>
      <c r="O436" s="105" t="s">
        <v>968</v>
      </c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</row>
    <row r="437" spans="1:28" ht="29">
      <c r="A437" s="261"/>
      <c r="B437" s="261"/>
      <c r="C437" s="114">
        <v>18860</v>
      </c>
      <c r="D437" s="114">
        <v>7558</v>
      </c>
      <c r="E437" s="105" t="s">
        <v>971</v>
      </c>
      <c r="F437" s="105" t="s">
        <v>17</v>
      </c>
      <c r="G437" s="108">
        <v>300</v>
      </c>
      <c r="H437" s="109">
        <v>45537</v>
      </c>
      <c r="I437" s="105" t="s">
        <v>823</v>
      </c>
      <c r="J437" s="105" t="s">
        <v>969</v>
      </c>
      <c r="K437" s="261"/>
      <c r="L437" s="109">
        <v>45534</v>
      </c>
      <c r="M437" s="109">
        <v>45539</v>
      </c>
      <c r="N437" s="105" t="s">
        <v>970</v>
      </c>
      <c r="O437" s="105" t="s">
        <v>968</v>
      </c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</row>
    <row r="438" spans="1:28" ht="29">
      <c r="A438" s="280">
        <v>147</v>
      </c>
      <c r="B438" s="283" t="s">
        <v>543</v>
      </c>
      <c r="C438" s="281">
        <v>18422</v>
      </c>
      <c r="D438" s="281">
        <v>7540</v>
      </c>
      <c r="E438" s="283" t="s">
        <v>972</v>
      </c>
      <c r="F438" s="105" t="s">
        <v>48</v>
      </c>
      <c r="G438" s="108">
        <v>100</v>
      </c>
      <c r="H438" s="109">
        <v>45538</v>
      </c>
      <c r="I438" s="283" t="s">
        <v>604</v>
      </c>
      <c r="J438" s="105" t="s">
        <v>973</v>
      </c>
      <c r="K438" s="283" t="s">
        <v>558</v>
      </c>
      <c r="L438" s="109">
        <v>45537</v>
      </c>
      <c r="M438" s="109">
        <v>45540</v>
      </c>
      <c r="N438" s="105" t="s">
        <v>974</v>
      </c>
      <c r="O438" s="105" t="s">
        <v>975</v>
      </c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</row>
    <row r="439" spans="1:28" ht="29">
      <c r="A439" s="261"/>
      <c r="B439" s="261"/>
      <c r="C439" s="261"/>
      <c r="D439" s="261"/>
      <c r="E439" s="261"/>
      <c r="F439" s="105" t="s">
        <v>49</v>
      </c>
      <c r="G439" s="108">
        <v>150</v>
      </c>
      <c r="H439" s="109">
        <v>45538</v>
      </c>
      <c r="I439" s="261"/>
      <c r="J439" s="105" t="s">
        <v>973</v>
      </c>
      <c r="K439" s="261"/>
      <c r="L439" s="109">
        <v>45537</v>
      </c>
      <c r="M439" s="109">
        <v>45540</v>
      </c>
      <c r="N439" s="105" t="s">
        <v>974</v>
      </c>
      <c r="O439" s="105" t="s">
        <v>975</v>
      </c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</row>
    <row r="440" spans="1:28" ht="29">
      <c r="A440" s="280">
        <v>148</v>
      </c>
      <c r="B440" s="283" t="s">
        <v>543</v>
      </c>
      <c r="C440" s="114">
        <v>19104</v>
      </c>
      <c r="D440" s="114">
        <v>7737</v>
      </c>
      <c r="E440" s="283" t="s">
        <v>554</v>
      </c>
      <c r="F440" s="105" t="s">
        <v>880</v>
      </c>
      <c r="G440" s="108">
        <v>5</v>
      </c>
      <c r="H440" s="109">
        <v>45531</v>
      </c>
      <c r="I440" s="105" t="s">
        <v>878</v>
      </c>
      <c r="J440" s="108">
        <v>778177598356</v>
      </c>
      <c r="K440" s="283" t="s">
        <v>577</v>
      </c>
      <c r="L440" s="109">
        <v>45531</v>
      </c>
      <c r="M440" s="109">
        <v>45533</v>
      </c>
      <c r="N440" s="105" t="s">
        <v>967</v>
      </c>
      <c r="O440" s="105" t="s">
        <v>968</v>
      </c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</row>
    <row r="441" spans="1:28" ht="29">
      <c r="A441" s="261"/>
      <c r="B441" s="261"/>
      <c r="C441" s="114">
        <v>19142</v>
      </c>
      <c r="D441" s="114">
        <v>7737</v>
      </c>
      <c r="E441" s="261"/>
      <c r="F441" s="105" t="s">
        <v>708</v>
      </c>
      <c r="G441" s="108">
        <v>20</v>
      </c>
      <c r="H441" s="109">
        <v>45531</v>
      </c>
      <c r="I441" s="105" t="s">
        <v>878</v>
      </c>
      <c r="J441" s="108">
        <v>778177598356</v>
      </c>
      <c r="K441" s="261"/>
      <c r="L441" s="109">
        <v>45531</v>
      </c>
      <c r="M441" s="109">
        <v>45533</v>
      </c>
      <c r="N441" s="105" t="s">
        <v>967</v>
      </c>
      <c r="O441" s="105" t="s">
        <v>968</v>
      </c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</row>
    <row r="442" spans="1:28" ht="43.5">
      <c r="A442" s="178">
        <v>149</v>
      </c>
      <c r="B442" s="179"/>
      <c r="C442" s="180">
        <v>18794</v>
      </c>
      <c r="D442" s="180">
        <v>7686</v>
      </c>
      <c r="E442" s="182" t="s">
        <v>683</v>
      </c>
      <c r="F442" s="182" t="s">
        <v>976</v>
      </c>
      <c r="G442" s="183">
        <v>1</v>
      </c>
      <c r="H442" s="179"/>
      <c r="I442" s="182" t="s">
        <v>977</v>
      </c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</row>
    <row r="443" spans="1:28" ht="29">
      <c r="A443" s="280">
        <v>151</v>
      </c>
      <c r="B443" s="283" t="s">
        <v>543</v>
      </c>
      <c r="C443" s="157">
        <v>19457</v>
      </c>
      <c r="D443" s="97"/>
      <c r="E443" s="107" t="s">
        <v>978</v>
      </c>
      <c r="F443" s="131" t="s">
        <v>374</v>
      </c>
      <c r="G443" s="127">
        <v>50</v>
      </c>
      <c r="H443" s="109">
        <v>45601</v>
      </c>
      <c r="I443" s="105" t="s">
        <v>823</v>
      </c>
      <c r="J443" s="105" t="s">
        <v>979</v>
      </c>
      <c r="K443" s="283" t="s">
        <v>980</v>
      </c>
      <c r="L443" s="97"/>
      <c r="M443" s="109">
        <v>45602</v>
      </c>
      <c r="N443" s="105" t="s">
        <v>981</v>
      </c>
      <c r="O443" s="105" t="s">
        <v>982</v>
      </c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</row>
    <row r="444" spans="1:28" ht="29">
      <c r="A444" s="261"/>
      <c r="B444" s="261"/>
      <c r="C444" s="114">
        <v>19573</v>
      </c>
      <c r="D444" s="97"/>
      <c r="E444" s="107" t="s">
        <v>978</v>
      </c>
      <c r="F444" s="171" t="s">
        <v>905</v>
      </c>
      <c r="G444" s="172">
        <v>50</v>
      </c>
      <c r="H444" s="109">
        <v>45601</v>
      </c>
      <c r="I444" s="105" t="s">
        <v>823</v>
      </c>
      <c r="J444" s="105" t="s">
        <v>979</v>
      </c>
      <c r="K444" s="261"/>
      <c r="L444" s="184"/>
      <c r="M444" s="109">
        <v>45602</v>
      </c>
      <c r="N444" s="105" t="s">
        <v>981</v>
      </c>
      <c r="O444" s="105" t="s">
        <v>982</v>
      </c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</row>
    <row r="445" spans="1:28" ht="58">
      <c r="A445" s="113">
        <v>152</v>
      </c>
      <c r="B445" s="105" t="s">
        <v>543</v>
      </c>
      <c r="C445" s="114">
        <v>19182</v>
      </c>
      <c r="D445" s="114" t="s">
        <v>959</v>
      </c>
      <c r="E445" s="105" t="s">
        <v>960</v>
      </c>
      <c r="F445" s="105" t="s">
        <v>983</v>
      </c>
      <c r="G445" s="108">
        <v>100</v>
      </c>
      <c r="H445" s="109">
        <v>45555</v>
      </c>
      <c r="I445" s="105" t="s">
        <v>878</v>
      </c>
      <c r="J445" s="108">
        <v>778709725988</v>
      </c>
      <c r="K445" s="105" t="s">
        <v>577</v>
      </c>
      <c r="L445" s="109">
        <v>45559</v>
      </c>
      <c r="M445" s="109">
        <v>45560</v>
      </c>
      <c r="N445" s="105" t="s">
        <v>984</v>
      </c>
      <c r="O445" s="105" t="s">
        <v>985</v>
      </c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</row>
    <row r="446" spans="1:28" ht="58">
      <c r="A446" s="178">
        <v>150</v>
      </c>
      <c r="B446" s="185" t="s">
        <v>543</v>
      </c>
      <c r="C446" s="180">
        <v>18851</v>
      </c>
      <c r="D446" s="179"/>
      <c r="E446" s="182" t="s">
        <v>971</v>
      </c>
      <c r="F446" s="182" t="s">
        <v>986</v>
      </c>
      <c r="G446" s="183">
        <v>12</v>
      </c>
      <c r="H446" s="186">
        <v>45588</v>
      </c>
      <c r="I446" s="182" t="s">
        <v>823</v>
      </c>
      <c r="J446" s="182" t="s">
        <v>987</v>
      </c>
      <c r="K446" s="185" t="s">
        <v>577</v>
      </c>
      <c r="L446" s="186">
        <v>45586</v>
      </c>
      <c r="M446" s="186">
        <v>45589</v>
      </c>
      <c r="N446" s="182" t="s">
        <v>988</v>
      </c>
      <c r="O446" s="179"/>
      <c r="P446" s="185" t="s">
        <v>918</v>
      </c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</row>
    <row r="447" spans="1:28" ht="29">
      <c r="A447" s="113">
        <v>153</v>
      </c>
      <c r="B447" s="283" t="s">
        <v>543</v>
      </c>
      <c r="C447" s="157">
        <v>19176</v>
      </c>
      <c r="D447" s="97"/>
      <c r="E447" s="107" t="s">
        <v>989</v>
      </c>
      <c r="F447" s="131" t="s">
        <v>10</v>
      </c>
      <c r="G447" s="127">
        <v>200</v>
      </c>
      <c r="H447" s="136">
        <v>45588</v>
      </c>
      <c r="I447" s="105" t="s">
        <v>823</v>
      </c>
      <c r="J447" s="105" t="s">
        <v>987</v>
      </c>
      <c r="K447" s="292" t="s">
        <v>990</v>
      </c>
      <c r="L447" s="136">
        <v>45586</v>
      </c>
      <c r="M447" s="136">
        <v>45589</v>
      </c>
      <c r="N447" s="105" t="s">
        <v>988</v>
      </c>
      <c r="O447" s="105" t="s">
        <v>991</v>
      </c>
      <c r="P447" s="283" t="s">
        <v>918</v>
      </c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</row>
    <row r="448" spans="1:28" ht="29">
      <c r="A448" s="280">
        <v>154</v>
      </c>
      <c r="B448" s="264"/>
      <c r="C448" s="284">
        <v>19152</v>
      </c>
      <c r="D448" s="97"/>
      <c r="E448" s="282" t="s">
        <v>989</v>
      </c>
      <c r="F448" s="131" t="s">
        <v>11</v>
      </c>
      <c r="G448" s="127">
        <v>100</v>
      </c>
      <c r="H448" s="136">
        <v>45588</v>
      </c>
      <c r="I448" s="105" t="s">
        <v>823</v>
      </c>
      <c r="J448" s="105" t="s">
        <v>987</v>
      </c>
      <c r="K448" s="264"/>
      <c r="L448" s="136">
        <v>45586</v>
      </c>
      <c r="M448" s="136">
        <v>45589</v>
      </c>
      <c r="N448" s="105" t="s">
        <v>988</v>
      </c>
      <c r="O448" s="105" t="s">
        <v>991</v>
      </c>
      <c r="P448" s="264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</row>
    <row r="449" spans="1:28" ht="29">
      <c r="A449" s="261"/>
      <c r="B449" s="264"/>
      <c r="C449" s="261"/>
      <c r="D449" s="97"/>
      <c r="E449" s="261"/>
      <c r="F449" s="133" t="s">
        <v>13</v>
      </c>
      <c r="G449" s="130">
        <v>100</v>
      </c>
      <c r="H449" s="136">
        <v>45588</v>
      </c>
      <c r="I449" s="105" t="s">
        <v>823</v>
      </c>
      <c r="J449" s="105" t="s">
        <v>987</v>
      </c>
      <c r="K449" s="264"/>
      <c r="L449" s="136">
        <v>45586</v>
      </c>
      <c r="M449" s="136">
        <v>45589</v>
      </c>
      <c r="N449" s="105" t="s">
        <v>988</v>
      </c>
      <c r="O449" s="105" t="s">
        <v>991</v>
      </c>
      <c r="P449" s="264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</row>
    <row r="450" spans="1:28" ht="29">
      <c r="A450" s="280">
        <v>156</v>
      </c>
      <c r="B450" s="264"/>
      <c r="C450" s="284">
        <v>19266</v>
      </c>
      <c r="D450" s="281">
        <v>7760</v>
      </c>
      <c r="E450" s="282" t="s">
        <v>989</v>
      </c>
      <c r="F450" s="131" t="s">
        <v>17</v>
      </c>
      <c r="G450" s="127">
        <v>200</v>
      </c>
      <c r="H450" s="136">
        <v>45588</v>
      </c>
      <c r="I450" s="105" t="s">
        <v>823</v>
      </c>
      <c r="J450" s="105" t="s">
        <v>987</v>
      </c>
      <c r="K450" s="264"/>
      <c r="L450" s="136">
        <v>45586</v>
      </c>
      <c r="M450" s="136">
        <v>45589</v>
      </c>
      <c r="N450" s="105" t="s">
        <v>988</v>
      </c>
      <c r="O450" s="105" t="s">
        <v>991</v>
      </c>
      <c r="P450" s="264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</row>
    <row r="451" spans="1:28" ht="29">
      <c r="A451" s="261"/>
      <c r="B451" s="264"/>
      <c r="C451" s="261"/>
      <c r="D451" s="261"/>
      <c r="E451" s="261"/>
      <c r="F451" s="131" t="s">
        <v>10</v>
      </c>
      <c r="G451" s="127">
        <v>100</v>
      </c>
      <c r="H451" s="136">
        <v>45588</v>
      </c>
      <c r="I451" s="105" t="s">
        <v>823</v>
      </c>
      <c r="J451" s="105" t="s">
        <v>987</v>
      </c>
      <c r="K451" s="264"/>
      <c r="L451" s="136">
        <v>45586</v>
      </c>
      <c r="M451" s="136">
        <v>45589</v>
      </c>
      <c r="N451" s="105" t="s">
        <v>988</v>
      </c>
      <c r="O451" s="105" t="s">
        <v>991</v>
      </c>
      <c r="P451" s="264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</row>
    <row r="452" spans="1:28" ht="29">
      <c r="A452" s="113">
        <v>157</v>
      </c>
      <c r="B452" s="261"/>
      <c r="C452" s="157">
        <v>19267</v>
      </c>
      <c r="D452" s="114">
        <v>7760</v>
      </c>
      <c r="E452" s="107" t="s">
        <v>907</v>
      </c>
      <c r="F452" s="131" t="s">
        <v>8</v>
      </c>
      <c r="G452" s="127">
        <v>200</v>
      </c>
      <c r="H452" s="136">
        <v>45588</v>
      </c>
      <c r="I452" s="105" t="s">
        <v>823</v>
      </c>
      <c r="J452" s="105" t="s">
        <v>992</v>
      </c>
      <c r="K452" s="261"/>
      <c r="L452" s="136">
        <v>45586</v>
      </c>
      <c r="M452" s="136">
        <v>45589</v>
      </c>
      <c r="N452" s="105" t="s">
        <v>988</v>
      </c>
      <c r="O452" s="105" t="s">
        <v>993</v>
      </c>
      <c r="P452" s="261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</row>
    <row r="453" spans="1:28" ht="29">
      <c r="A453" s="113">
        <v>159</v>
      </c>
      <c r="B453" s="105" t="s">
        <v>541</v>
      </c>
      <c r="C453" s="177">
        <v>19536</v>
      </c>
      <c r="D453" s="114" t="s">
        <v>994</v>
      </c>
      <c r="E453" s="125" t="s">
        <v>633</v>
      </c>
      <c r="F453" s="133" t="s">
        <v>403</v>
      </c>
      <c r="G453" s="130">
        <v>4400</v>
      </c>
      <c r="H453" s="136">
        <v>45593</v>
      </c>
      <c r="I453" s="105" t="s">
        <v>604</v>
      </c>
      <c r="J453" s="105" t="s">
        <v>995</v>
      </c>
      <c r="K453" s="105" t="s">
        <v>669</v>
      </c>
      <c r="L453" s="136">
        <v>45587</v>
      </c>
      <c r="M453" s="109">
        <v>45602</v>
      </c>
      <c r="N453" s="105" t="s">
        <v>996</v>
      </c>
      <c r="O453" s="105" t="s">
        <v>951</v>
      </c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</row>
    <row r="454" spans="1:28" ht="29">
      <c r="A454" s="113">
        <v>160</v>
      </c>
      <c r="B454" s="105" t="s">
        <v>543</v>
      </c>
      <c r="C454" s="114">
        <v>19477</v>
      </c>
      <c r="D454" s="114">
        <v>7777</v>
      </c>
      <c r="E454" s="105" t="s">
        <v>554</v>
      </c>
      <c r="F454" s="105" t="s">
        <v>997</v>
      </c>
      <c r="G454" s="108">
        <v>2</v>
      </c>
      <c r="H454" s="109">
        <v>45567</v>
      </c>
      <c r="I454" s="283" t="s">
        <v>823</v>
      </c>
      <c r="J454" s="105" t="s">
        <v>998</v>
      </c>
      <c r="K454" s="283" t="s">
        <v>654</v>
      </c>
      <c r="L454" s="109">
        <v>45566</v>
      </c>
      <c r="M454" s="109">
        <v>45568</v>
      </c>
      <c r="N454" s="105" t="s">
        <v>999</v>
      </c>
      <c r="O454" s="105" t="s">
        <v>1000</v>
      </c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</row>
    <row r="455" spans="1:28" ht="29">
      <c r="A455" s="113">
        <v>161</v>
      </c>
      <c r="B455" s="105" t="s">
        <v>543</v>
      </c>
      <c r="C455" s="114">
        <v>18877</v>
      </c>
      <c r="D455" s="97"/>
      <c r="E455" s="105" t="s">
        <v>554</v>
      </c>
      <c r="F455" s="105" t="s">
        <v>122</v>
      </c>
      <c r="G455" s="108">
        <v>50</v>
      </c>
      <c r="H455" s="109">
        <v>45567</v>
      </c>
      <c r="I455" s="264"/>
      <c r="J455" s="105" t="s">
        <v>998</v>
      </c>
      <c r="K455" s="264"/>
      <c r="L455" s="109">
        <v>45566</v>
      </c>
      <c r="M455" s="109">
        <v>45568</v>
      </c>
      <c r="N455" s="105" t="s">
        <v>999</v>
      </c>
      <c r="O455" s="105" t="s">
        <v>1000</v>
      </c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</row>
    <row r="456" spans="1:28" ht="29">
      <c r="A456" s="113">
        <v>162</v>
      </c>
      <c r="B456" s="105" t="s">
        <v>543</v>
      </c>
      <c r="C456" s="114">
        <v>18878</v>
      </c>
      <c r="D456" s="97"/>
      <c r="E456" s="105" t="s">
        <v>554</v>
      </c>
      <c r="F456" s="105" t="s">
        <v>122</v>
      </c>
      <c r="G456" s="108">
        <v>50</v>
      </c>
      <c r="H456" s="109">
        <v>45567</v>
      </c>
      <c r="I456" s="261"/>
      <c r="J456" s="105" t="s">
        <v>998</v>
      </c>
      <c r="K456" s="261"/>
      <c r="L456" s="109">
        <v>45566</v>
      </c>
      <c r="M456" s="109">
        <v>45568</v>
      </c>
      <c r="N456" s="105" t="s">
        <v>999</v>
      </c>
      <c r="O456" s="105" t="s">
        <v>1000</v>
      </c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</row>
    <row r="457" spans="1:28" ht="29">
      <c r="A457" s="280">
        <v>155</v>
      </c>
      <c r="B457" s="283" t="s">
        <v>543</v>
      </c>
      <c r="C457" s="114">
        <v>19152</v>
      </c>
      <c r="D457" s="97"/>
      <c r="E457" s="97" t="s">
        <v>989</v>
      </c>
      <c r="F457" s="105" t="s">
        <v>11</v>
      </c>
      <c r="G457" s="108">
        <v>100</v>
      </c>
      <c r="H457" s="109">
        <v>45567</v>
      </c>
      <c r="I457" s="105" t="s">
        <v>823</v>
      </c>
      <c r="J457" s="105" t="s">
        <v>1001</v>
      </c>
      <c r="K457" s="283" t="s">
        <v>729</v>
      </c>
      <c r="L457" s="109">
        <v>45565</v>
      </c>
      <c r="M457" s="109">
        <v>45568</v>
      </c>
      <c r="N457" s="105" t="s">
        <v>1002</v>
      </c>
      <c r="O457" s="105" t="s">
        <v>985</v>
      </c>
      <c r="P457" s="283" t="s">
        <v>918</v>
      </c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</row>
    <row r="458" spans="1:28" ht="29">
      <c r="A458" s="264"/>
      <c r="B458" s="264"/>
      <c r="C458" s="114">
        <v>19344</v>
      </c>
      <c r="D458" s="97"/>
      <c r="E458" s="97" t="s">
        <v>989</v>
      </c>
      <c r="F458" s="105" t="s">
        <v>56</v>
      </c>
      <c r="G458" s="108">
        <v>100</v>
      </c>
      <c r="H458" s="109">
        <v>45567</v>
      </c>
      <c r="I458" s="105" t="s">
        <v>823</v>
      </c>
      <c r="J458" s="105" t="s">
        <v>1001</v>
      </c>
      <c r="K458" s="264"/>
      <c r="L458" s="109">
        <v>45565</v>
      </c>
      <c r="M458" s="109">
        <v>45568</v>
      </c>
      <c r="N458" s="105" t="s">
        <v>1002</v>
      </c>
      <c r="O458" s="105" t="s">
        <v>985</v>
      </c>
      <c r="P458" s="264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</row>
    <row r="459" spans="1:28" ht="29">
      <c r="A459" s="264"/>
      <c r="B459" s="264"/>
      <c r="C459" s="284">
        <v>19266</v>
      </c>
      <c r="D459" s="281">
        <v>7760</v>
      </c>
      <c r="E459" s="282" t="s">
        <v>989</v>
      </c>
      <c r="F459" s="131" t="s">
        <v>17</v>
      </c>
      <c r="G459" s="108">
        <v>100</v>
      </c>
      <c r="H459" s="109">
        <v>45567</v>
      </c>
      <c r="I459" s="105" t="s">
        <v>823</v>
      </c>
      <c r="J459" s="105" t="s">
        <v>1001</v>
      </c>
      <c r="K459" s="264"/>
      <c r="L459" s="109">
        <v>45565</v>
      </c>
      <c r="M459" s="109">
        <v>45568</v>
      </c>
      <c r="N459" s="105" t="s">
        <v>1002</v>
      </c>
      <c r="O459" s="105" t="s">
        <v>985</v>
      </c>
      <c r="P459" s="264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</row>
    <row r="460" spans="1:28" ht="29">
      <c r="A460" s="261"/>
      <c r="B460" s="261"/>
      <c r="C460" s="261"/>
      <c r="D460" s="261"/>
      <c r="E460" s="261"/>
      <c r="F460" s="131" t="s">
        <v>10</v>
      </c>
      <c r="G460" s="108">
        <v>100</v>
      </c>
      <c r="H460" s="109">
        <v>45567</v>
      </c>
      <c r="I460" s="105" t="s">
        <v>823</v>
      </c>
      <c r="J460" s="105" t="s">
        <v>1001</v>
      </c>
      <c r="K460" s="261"/>
      <c r="L460" s="109">
        <v>45565</v>
      </c>
      <c r="M460" s="109">
        <v>45568</v>
      </c>
      <c r="N460" s="105" t="s">
        <v>1002</v>
      </c>
      <c r="O460" s="105" t="s">
        <v>985</v>
      </c>
      <c r="P460" s="261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</row>
    <row r="461" spans="1:28" ht="58">
      <c r="A461" s="113">
        <v>163</v>
      </c>
      <c r="B461" s="105" t="s">
        <v>543</v>
      </c>
      <c r="C461" s="114">
        <v>19182</v>
      </c>
      <c r="D461" s="114" t="s">
        <v>959</v>
      </c>
      <c r="E461" s="105" t="s">
        <v>960</v>
      </c>
      <c r="F461" s="105" t="s">
        <v>983</v>
      </c>
      <c r="G461" s="108">
        <v>100</v>
      </c>
      <c r="H461" s="109">
        <v>45568</v>
      </c>
      <c r="I461" s="105" t="s">
        <v>1003</v>
      </c>
      <c r="J461" s="108">
        <v>778960115377</v>
      </c>
      <c r="K461" s="105" t="s">
        <v>577</v>
      </c>
      <c r="L461" s="109">
        <v>45568</v>
      </c>
      <c r="M461" s="109">
        <v>45569</v>
      </c>
      <c r="N461" s="105" t="s">
        <v>1004</v>
      </c>
      <c r="O461" s="105" t="s">
        <v>1005</v>
      </c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</row>
    <row r="462" spans="1:28" ht="29">
      <c r="A462" s="280">
        <v>164</v>
      </c>
      <c r="B462" s="298" t="s">
        <v>543</v>
      </c>
      <c r="C462" s="284">
        <v>19330</v>
      </c>
      <c r="D462" s="284">
        <v>7760</v>
      </c>
      <c r="E462" s="282" t="s">
        <v>1006</v>
      </c>
      <c r="F462" s="107" t="s">
        <v>27</v>
      </c>
      <c r="G462" s="123">
        <v>100</v>
      </c>
      <c r="H462" s="136">
        <v>45580</v>
      </c>
      <c r="I462" s="105" t="s">
        <v>604</v>
      </c>
      <c r="J462" s="105" t="s">
        <v>1007</v>
      </c>
      <c r="K462" s="283" t="s">
        <v>1008</v>
      </c>
      <c r="L462" s="136">
        <v>45579</v>
      </c>
      <c r="M462" s="136">
        <v>45581</v>
      </c>
      <c r="N462" s="105" t="s">
        <v>1009</v>
      </c>
      <c r="O462" s="105" t="s">
        <v>1010</v>
      </c>
      <c r="P462" s="97"/>
      <c r="Q462" s="283" t="s">
        <v>1011</v>
      </c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</row>
    <row r="463" spans="1:28" ht="29">
      <c r="A463" s="264"/>
      <c r="B463" s="266"/>
      <c r="C463" s="261"/>
      <c r="D463" s="261"/>
      <c r="E463" s="261"/>
      <c r="F463" s="107" t="s">
        <v>29</v>
      </c>
      <c r="G463" s="123">
        <v>300</v>
      </c>
      <c r="H463" s="136">
        <v>45580</v>
      </c>
      <c r="I463" s="105" t="s">
        <v>604</v>
      </c>
      <c r="J463" s="105" t="s">
        <v>1007</v>
      </c>
      <c r="K463" s="264"/>
      <c r="L463" s="136">
        <v>45579</v>
      </c>
      <c r="M463" s="136">
        <v>45581</v>
      </c>
      <c r="N463" s="105" t="s">
        <v>1009</v>
      </c>
      <c r="O463" s="105" t="s">
        <v>1010</v>
      </c>
      <c r="P463" s="97"/>
      <c r="Q463" s="264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</row>
    <row r="464" spans="1:28" ht="29">
      <c r="A464" s="261"/>
      <c r="B464" s="265"/>
      <c r="C464" s="114">
        <v>19338</v>
      </c>
      <c r="D464" s="97"/>
      <c r="E464" s="97" t="s">
        <v>1006</v>
      </c>
      <c r="F464" s="105" t="s">
        <v>27</v>
      </c>
      <c r="G464" s="108">
        <v>200</v>
      </c>
      <c r="H464" s="136">
        <v>45580</v>
      </c>
      <c r="I464" s="105" t="s">
        <v>604</v>
      </c>
      <c r="J464" s="105" t="s">
        <v>1007</v>
      </c>
      <c r="K464" s="261"/>
      <c r="L464" s="136">
        <v>45579</v>
      </c>
      <c r="M464" s="136">
        <v>45581</v>
      </c>
      <c r="N464" s="105" t="s">
        <v>1009</v>
      </c>
      <c r="O464" s="105" t="s">
        <v>1010</v>
      </c>
      <c r="P464" s="97"/>
      <c r="Q464" s="261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</row>
    <row r="465" spans="1:28" ht="29">
      <c r="A465" s="280">
        <v>165</v>
      </c>
      <c r="B465" s="283" t="s">
        <v>543</v>
      </c>
      <c r="C465" s="281">
        <v>18989</v>
      </c>
      <c r="D465" s="97"/>
      <c r="E465" s="282" t="s">
        <v>603</v>
      </c>
      <c r="F465" s="105" t="s">
        <v>33</v>
      </c>
      <c r="G465" s="108">
        <v>200</v>
      </c>
      <c r="H465" s="136">
        <v>45582</v>
      </c>
      <c r="I465" s="105" t="s">
        <v>823</v>
      </c>
      <c r="J465" s="105" t="s">
        <v>1012</v>
      </c>
      <c r="K465" s="283" t="s">
        <v>794</v>
      </c>
      <c r="L465" s="136">
        <v>45578</v>
      </c>
      <c r="M465" s="136">
        <v>45581</v>
      </c>
      <c r="N465" s="105" t="s">
        <v>1013</v>
      </c>
      <c r="O465" s="105" t="s">
        <v>1014</v>
      </c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</row>
    <row r="466" spans="1:28" ht="29">
      <c r="A466" s="261"/>
      <c r="B466" s="261"/>
      <c r="C466" s="261"/>
      <c r="D466" s="97"/>
      <c r="E466" s="261"/>
      <c r="F466" s="105" t="s">
        <v>35</v>
      </c>
      <c r="G466" s="108">
        <v>200</v>
      </c>
      <c r="H466" s="136">
        <v>45582</v>
      </c>
      <c r="I466" s="105" t="s">
        <v>823</v>
      </c>
      <c r="J466" s="105" t="s">
        <v>1012</v>
      </c>
      <c r="K466" s="261"/>
      <c r="L466" s="136">
        <v>45578</v>
      </c>
      <c r="M466" s="136">
        <v>45581</v>
      </c>
      <c r="N466" s="105" t="s">
        <v>1013</v>
      </c>
      <c r="O466" s="105" t="s">
        <v>1014</v>
      </c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</row>
    <row r="467" spans="1:28" ht="29">
      <c r="A467" s="113">
        <v>166</v>
      </c>
      <c r="B467" s="105" t="s">
        <v>543</v>
      </c>
      <c r="C467" s="114">
        <v>19709</v>
      </c>
      <c r="D467" s="114">
        <v>7818</v>
      </c>
      <c r="E467" s="105" t="s">
        <v>554</v>
      </c>
      <c r="F467" s="105" t="s">
        <v>805</v>
      </c>
      <c r="G467" s="108">
        <v>5</v>
      </c>
      <c r="H467" s="136">
        <v>45575</v>
      </c>
      <c r="I467" s="105" t="s">
        <v>623</v>
      </c>
      <c r="J467" s="108">
        <v>779107756561</v>
      </c>
      <c r="K467" s="105" t="s">
        <v>577</v>
      </c>
      <c r="L467" s="136">
        <v>45575</v>
      </c>
      <c r="M467" s="136">
        <v>45582</v>
      </c>
      <c r="N467" s="105" t="s">
        <v>1015</v>
      </c>
      <c r="O467" s="105" t="s">
        <v>1016</v>
      </c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</row>
    <row r="468" spans="1:28" ht="29">
      <c r="A468" s="280">
        <v>158</v>
      </c>
      <c r="B468" s="283" t="s">
        <v>543</v>
      </c>
      <c r="C468" s="114">
        <v>19500</v>
      </c>
      <c r="D468" s="97"/>
      <c r="E468" s="105" t="s">
        <v>636</v>
      </c>
      <c r="F468" s="105" t="s">
        <v>439</v>
      </c>
      <c r="G468" s="108">
        <v>10</v>
      </c>
      <c r="H468" s="136">
        <v>45588</v>
      </c>
      <c r="I468" s="283" t="s">
        <v>623</v>
      </c>
      <c r="J468" s="108">
        <v>779422103629</v>
      </c>
      <c r="K468" s="105" t="s">
        <v>577</v>
      </c>
      <c r="L468" s="136">
        <v>45588</v>
      </c>
      <c r="M468" s="136">
        <v>45591</v>
      </c>
      <c r="N468" s="105" t="s">
        <v>1017</v>
      </c>
      <c r="O468" s="105" t="s">
        <v>1010</v>
      </c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</row>
    <row r="469" spans="1:28" ht="29">
      <c r="A469" s="264"/>
      <c r="B469" s="264"/>
      <c r="C469" s="281">
        <v>19608</v>
      </c>
      <c r="D469" s="97"/>
      <c r="E469" s="283" t="s">
        <v>636</v>
      </c>
      <c r="F469" s="97" t="s">
        <v>412</v>
      </c>
      <c r="G469" s="121">
        <v>5000</v>
      </c>
      <c r="H469" s="136">
        <v>45588</v>
      </c>
      <c r="I469" s="264"/>
      <c r="J469" s="108">
        <v>779422103629</v>
      </c>
      <c r="K469" s="283" t="s">
        <v>736</v>
      </c>
      <c r="L469" s="136">
        <v>45588</v>
      </c>
      <c r="M469" s="136">
        <v>45591</v>
      </c>
      <c r="N469" s="105" t="s">
        <v>1017</v>
      </c>
      <c r="O469" s="105" t="s">
        <v>1010</v>
      </c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</row>
    <row r="470" spans="1:28" ht="29">
      <c r="A470" s="264"/>
      <c r="B470" s="264"/>
      <c r="C470" s="264"/>
      <c r="D470" s="97"/>
      <c r="E470" s="264"/>
      <c r="F470" s="97" t="s">
        <v>414</v>
      </c>
      <c r="G470" s="121">
        <v>5000</v>
      </c>
      <c r="H470" s="136">
        <v>45588</v>
      </c>
      <c r="I470" s="264"/>
      <c r="J470" s="108">
        <v>779422103629</v>
      </c>
      <c r="K470" s="264"/>
      <c r="L470" s="136">
        <v>45588</v>
      </c>
      <c r="M470" s="136">
        <v>45591</v>
      </c>
      <c r="N470" s="105" t="s">
        <v>1017</v>
      </c>
      <c r="O470" s="105" t="s">
        <v>1010</v>
      </c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</row>
    <row r="471" spans="1:28" ht="29">
      <c r="A471" s="264"/>
      <c r="B471" s="264"/>
      <c r="C471" s="264"/>
      <c r="D471" s="97"/>
      <c r="E471" s="264"/>
      <c r="F471" s="97" t="s">
        <v>415</v>
      </c>
      <c r="G471" s="121">
        <v>3000</v>
      </c>
      <c r="H471" s="136">
        <v>45588</v>
      </c>
      <c r="I471" s="264"/>
      <c r="J471" s="108">
        <v>779422103629</v>
      </c>
      <c r="K471" s="264"/>
      <c r="L471" s="136">
        <v>45588</v>
      </c>
      <c r="M471" s="136">
        <v>45591</v>
      </c>
      <c r="N471" s="105" t="s">
        <v>1017</v>
      </c>
      <c r="O471" s="105" t="s">
        <v>1010</v>
      </c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</row>
    <row r="472" spans="1:28" ht="29">
      <c r="A472" s="264"/>
      <c r="B472" s="264"/>
      <c r="C472" s="264"/>
      <c r="D472" s="97"/>
      <c r="E472" s="264"/>
      <c r="F472" s="97" t="s">
        <v>398</v>
      </c>
      <c r="G472" s="121">
        <v>3000</v>
      </c>
      <c r="H472" s="136">
        <v>45588</v>
      </c>
      <c r="I472" s="264"/>
      <c r="J472" s="108">
        <v>779422103629</v>
      </c>
      <c r="K472" s="264"/>
      <c r="L472" s="136">
        <v>45588</v>
      </c>
      <c r="M472" s="136">
        <v>45591</v>
      </c>
      <c r="N472" s="105" t="s">
        <v>1017</v>
      </c>
      <c r="O472" s="105" t="s">
        <v>1010</v>
      </c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</row>
    <row r="473" spans="1:28" ht="29">
      <c r="A473" s="264"/>
      <c r="B473" s="264"/>
      <c r="C473" s="264"/>
      <c r="D473" s="97"/>
      <c r="E473" s="264"/>
      <c r="F473" s="97" t="s">
        <v>266</v>
      </c>
      <c r="G473" s="121">
        <v>100</v>
      </c>
      <c r="H473" s="136">
        <v>45588</v>
      </c>
      <c r="I473" s="264"/>
      <c r="J473" s="108">
        <v>779422103629</v>
      </c>
      <c r="K473" s="264"/>
      <c r="L473" s="136">
        <v>45588</v>
      </c>
      <c r="M473" s="136">
        <v>45591</v>
      </c>
      <c r="N473" s="105" t="s">
        <v>1017</v>
      </c>
      <c r="O473" s="105" t="s">
        <v>1010</v>
      </c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</row>
    <row r="474" spans="1:28" ht="29">
      <c r="A474" s="264"/>
      <c r="B474" s="264"/>
      <c r="C474" s="264"/>
      <c r="D474" s="97"/>
      <c r="E474" s="264"/>
      <c r="F474" s="97" t="s">
        <v>268</v>
      </c>
      <c r="G474" s="121">
        <v>100</v>
      </c>
      <c r="H474" s="136">
        <v>45588</v>
      </c>
      <c r="I474" s="264"/>
      <c r="J474" s="108">
        <v>779422103629</v>
      </c>
      <c r="K474" s="264"/>
      <c r="L474" s="136">
        <v>45588</v>
      </c>
      <c r="M474" s="136">
        <v>45591</v>
      </c>
      <c r="N474" s="105" t="s">
        <v>1017</v>
      </c>
      <c r="O474" s="105" t="s">
        <v>1010</v>
      </c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</row>
    <row r="475" spans="1:28" ht="29">
      <c r="A475" s="264"/>
      <c r="B475" s="264"/>
      <c r="C475" s="264"/>
      <c r="D475" s="97"/>
      <c r="E475" s="264"/>
      <c r="F475" s="97" t="s">
        <v>416</v>
      </c>
      <c r="G475" s="121">
        <v>100</v>
      </c>
      <c r="H475" s="136">
        <v>45588</v>
      </c>
      <c r="I475" s="264"/>
      <c r="J475" s="108">
        <v>779422103629</v>
      </c>
      <c r="K475" s="264"/>
      <c r="L475" s="136">
        <v>45588</v>
      </c>
      <c r="M475" s="136">
        <v>45591</v>
      </c>
      <c r="N475" s="105" t="s">
        <v>1017</v>
      </c>
      <c r="O475" s="105" t="s">
        <v>1010</v>
      </c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</row>
    <row r="476" spans="1:28" ht="29">
      <c r="A476" s="264"/>
      <c r="B476" s="264"/>
      <c r="C476" s="264"/>
      <c r="D476" s="97"/>
      <c r="E476" s="264"/>
      <c r="F476" s="97" t="s">
        <v>417</v>
      </c>
      <c r="G476" s="121">
        <v>100</v>
      </c>
      <c r="H476" s="136">
        <v>45588</v>
      </c>
      <c r="I476" s="264"/>
      <c r="J476" s="108">
        <v>779422103629</v>
      </c>
      <c r="K476" s="264"/>
      <c r="L476" s="136">
        <v>45588</v>
      </c>
      <c r="M476" s="136">
        <v>45591</v>
      </c>
      <c r="N476" s="105" t="s">
        <v>1017</v>
      </c>
      <c r="O476" s="105" t="s">
        <v>1010</v>
      </c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</row>
    <row r="477" spans="1:28" ht="29">
      <c r="A477" s="261"/>
      <c r="B477" s="261"/>
      <c r="C477" s="261"/>
      <c r="D477" s="97"/>
      <c r="E477" s="261"/>
      <c r="F477" s="97" t="s">
        <v>1018</v>
      </c>
      <c r="G477" s="121">
        <v>500</v>
      </c>
      <c r="H477" s="136">
        <v>45588</v>
      </c>
      <c r="I477" s="261"/>
      <c r="J477" s="108">
        <v>779422103629</v>
      </c>
      <c r="K477" s="261"/>
      <c r="L477" s="136">
        <v>45588</v>
      </c>
      <c r="M477" s="136">
        <v>45591</v>
      </c>
      <c r="N477" s="105" t="s">
        <v>1017</v>
      </c>
      <c r="O477" s="105" t="s">
        <v>1010</v>
      </c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</row>
    <row r="478" spans="1:28" ht="29">
      <c r="A478" s="280">
        <v>159</v>
      </c>
      <c r="B478" s="283" t="s">
        <v>543</v>
      </c>
      <c r="C478" s="281">
        <v>19820</v>
      </c>
      <c r="D478" s="97"/>
      <c r="E478" s="283" t="s">
        <v>1019</v>
      </c>
      <c r="F478" s="105" t="s">
        <v>53</v>
      </c>
      <c r="G478" s="108">
        <v>5</v>
      </c>
      <c r="H478" s="136">
        <v>45610</v>
      </c>
      <c r="I478" s="105" t="s">
        <v>623</v>
      </c>
      <c r="J478" s="108">
        <v>779921172361</v>
      </c>
      <c r="K478" s="283" t="s">
        <v>644</v>
      </c>
      <c r="L478" s="136">
        <v>45610</v>
      </c>
      <c r="M478" s="136">
        <v>45615</v>
      </c>
      <c r="N478" s="105" t="s">
        <v>1020</v>
      </c>
      <c r="O478" s="105" t="s">
        <v>1021</v>
      </c>
      <c r="P478" s="283" t="s">
        <v>1022</v>
      </c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</row>
    <row r="479" spans="1:28" ht="29">
      <c r="A479" s="261"/>
      <c r="B479" s="261"/>
      <c r="C479" s="261"/>
      <c r="D479" s="97"/>
      <c r="E479" s="261"/>
      <c r="F479" s="105" t="s">
        <v>50</v>
      </c>
      <c r="G479" s="108">
        <v>5</v>
      </c>
      <c r="H479" s="136">
        <v>45610</v>
      </c>
      <c r="I479" s="105" t="s">
        <v>623</v>
      </c>
      <c r="J479" s="108">
        <v>779921172361</v>
      </c>
      <c r="K479" s="261"/>
      <c r="L479" s="136">
        <v>45610</v>
      </c>
      <c r="M479" s="136">
        <v>45615</v>
      </c>
      <c r="N479" s="105" t="s">
        <v>1020</v>
      </c>
      <c r="O479" s="105" t="s">
        <v>1021</v>
      </c>
      <c r="P479" s="264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</row>
    <row r="480" spans="1:28" ht="29">
      <c r="A480" s="280">
        <v>167</v>
      </c>
      <c r="B480" s="283" t="s">
        <v>543</v>
      </c>
      <c r="C480" s="281">
        <v>19821</v>
      </c>
      <c r="D480" s="97"/>
      <c r="E480" s="283" t="s">
        <v>907</v>
      </c>
      <c r="F480" s="105" t="s">
        <v>9</v>
      </c>
      <c r="G480" s="108">
        <v>4</v>
      </c>
      <c r="H480" s="136">
        <v>45608</v>
      </c>
      <c r="I480" s="105" t="s">
        <v>623</v>
      </c>
      <c r="J480" s="108">
        <v>779886119722</v>
      </c>
      <c r="K480" s="283" t="s">
        <v>577</v>
      </c>
      <c r="L480" s="136">
        <v>45608</v>
      </c>
      <c r="M480" s="136">
        <v>45610</v>
      </c>
      <c r="N480" s="105" t="s">
        <v>1023</v>
      </c>
      <c r="O480" s="97"/>
      <c r="P480" s="264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</row>
    <row r="481" spans="1:28" ht="29">
      <c r="A481" s="261"/>
      <c r="B481" s="261"/>
      <c r="C481" s="261"/>
      <c r="D481" s="97"/>
      <c r="E481" s="261"/>
      <c r="F481" s="105" t="s">
        <v>3</v>
      </c>
      <c r="G481" s="108">
        <v>4</v>
      </c>
      <c r="H481" s="136">
        <v>45608</v>
      </c>
      <c r="I481" s="105" t="s">
        <v>623</v>
      </c>
      <c r="J481" s="108">
        <v>779886119722</v>
      </c>
      <c r="K481" s="261"/>
      <c r="L481" s="136">
        <v>45608</v>
      </c>
      <c r="M481" s="136">
        <v>45610</v>
      </c>
      <c r="N481" s="105" t="s">
        <v>1023</v>
      </c>
      <c r="O481" s="97"/>
      <c r="P481" s="264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</row>
    <row r="482" spans="1:28" ht="29">
      <c r="A482" s="280">
        <v>168</v>
      </c>
      <c r="B482" s="283" t="s">
        <v>543</v>
      </c>
      <c r="C482" s="281">
        <v>19885</v>
      </c>
      <c r="D482" s="97"/>
      <c r="E482" s="283" t="s">
        <v>1024</v>
      </c>
      <c r="F482" s="105" t="s">
        <v>12</v>
      </c>
      <c r="G482" s="108">
        <v>6</v>
      </c>
      <c r="H482" s="136">
        <v>45608</v>
      </c>
      <c r="I482" s="105" t="s">
        <v>623</v>
      </c>
      <c r="J482" s="108">
        <v>779868234336</v>
      </c>
      <c r="K482" s="283" t="s">
        <v>1025</v>
      </c>
      <c r="L482" s="136">
        <v>45608</v>
      </c>
      <c r="M482" s="136">
        <v>45610</v>
      </c>
      <c r="N482" s="105" t="s">
        <v>1026</v>
      </c>
      <c r="O482" s="97"/>
      <c r="P482" s="264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</row>
    <row r="483" spans="1:28" ht="29">
      <c r="A483" s="264"/>
      <c r="B483" s="264"/>
      <c r="C483" s="264"/>
      <c r="D483" s="97"/>
      <c r="E483" s="264"/>
      <c r="F483" s="105" t="s">
        <v>56</v>
      </c>
      <c r="G483" s="108">
        <v>6</v>
      </c>
      <c r="H483" s="136">
        <v>45608</v>
      </c>
      <c r="I483" s="105" t="s">
        <v>623</v>
      </c>
      <c r="J483" s="108">
        <v>779868234336</v>
      </c>
      <c r="K483" s="264"/>
      <c r="L483" s="136">
        <v>45608</v>
      </c>
      <c r="M483" s="136">
        <v>45610</v>
      </c>
      <c r="N483" s="105" t="s">
        <v>1026</v>
      </c>
      <c r="O483" s="97"/>
      <c r="P483" s="264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</row>
    <row r="484" spans="1:28" ht="29">
      <c r="A484" s="264"/>
      <c r="B484" s="264"/>
      <c r="C484" s="264"/>
      <c r="D484" s="97"/>
      <c r="E484" s="264"/>
      <c r="F484" s="105" t="s">
        <v>23</v>
      </c>
      <c r="G484" s="108">
        <v>6</v>
      </c>
      <c r="H484" s="136">
        <v>45608</v>
      </c>
      <c r="I484" s="105" t="s">
        <v>623</v>
      </c>
      <c r="J484" s="108">
        <v>779868234336</v>
      </c>
      <c r="K484" s="264"/>
      <c r="L484" s="136">
        <v>45608</v>
      </c>
      <c r="M484" s="136">
        <v>45610</v>
      </c>
      <c r="N484" s="105" t="s">
        <v>1026</v>
      </c>
      <c r="O484" s="97"/>
      <c r="P484" s="264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</row>
    <row r="485" spans="1:28" ht="29">
      <c r="A485" s="261"/>
      <c r="B485" s="261"/>
      <c r="C485" s="261"/>
      <c r="D485" s="97"/>
      <c r="E485" s="261"/>
      <c r="F485" s="105" t="s">
        <v>14</v>
      </c>
      <c r="G485" s="108">
        <v>6</v>
      </c>
      <c r="H485" s="136">
        <v>45608</v>
      </c>
      <c r="I485" s="105" t="s">
        <v>623</v>
      </c>
      <c r="J485" s="108">
        <v>779868234336</v>
      </c>
      <c r="K485" s="261"/>
      <c r="L485" s="136">
        <v>45608</v>
      </c>
      <c r="M485" s="136">
        <v>45610</v>
      </c>
      <c r="N485" s="105" t="s">
        <v>1026</v>
      </c>
      <c r="O485" s="97"/>
      <c r="P485" s="261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</row>
    <row r="486" spans="1:28" ht="14.5">
      <c r="A486" s="299">
        <v>169</v>
      </c>
      <c r="B486" s="290" t="s">
        <v>543</v>
      </c>
      <c r="C486" s="300">
        <v>19811</v>
      </c>
      <c r="D486" s="179"/>
      <c r="E486" s="290" t="s">
        <v>1006</v>
      </c>
      <c r="F486" s="182" t="s">
        <v>152</v>
      </c>
      <c r="G486" s="183">
        <v>1</v>
      </c>
      <c r="H486" s="179"/>
      <c r="I486" s="182" t="s">
        <v>1027</v>
      </c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</row>
    <row r="487" spans="1:28" ht="14.5">
      <c r="A487" s="261"/>
      <c r="B487" s="261"/>
      <c r="C487" s="261"/>
      <c r="D487" s="179"/>
      <c r="E487" s="261"/>
      <c r="F487" s="182" t="s">
        <v>1028</v>
      </c>
      <c r="G487" s="183">
        <v>1</v>
      </c>
      <c r="H487" s="179"/>
      <c r="I487" s="182" t="s">
        <v>1027</v>
      </c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</row>
    <row r="488" spans="1:28" ht="29">
      <c r="A488" s="113">
        <v>170</v>
      </c>
      <c r="B488" s="105" t="s">
        <v>543</v>
      </c>
      <c r="C488" s="116">
        <v>19536</v>
      </c>
      <c r="D488" s="114" t="s">
        <v>994</v>
      </c>
      <c r="E488" s="125" t="s">
        <v>633</v>
      </c>
      <c r="F488" s="133" t="s">
        <v>403</v>
      </c>
      <c r="G488" s="130">
        <v>600</v>
      </c>
      <c r="H488" s="136">
        <v>45588</v>
      </c>
      <c r="I488" s="105" t="s">
        <v>623</v>
      </c>
      <c r="J488" s="108">
        <v>779423875760</v>
      </c>
      <c r="K488" s="105" t="s">
        <v>577</v>
      </c>
      <c r="L488" s="136">
        <v>45588</v>
      </c>
      <c r="M488" s="136">
        <v>45591</v>
      </c>
      <c r="N488" s="105" t="s">
        <v>1017</v>
      </c>
      <c r="O488" s="105" t="s">
        <v>1010</v>
      </c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</row>
    <row r="489" spans="1:28" ht="29">
      <c r="A489" s="113">
        <v>171</v>
      </c>
      <c r="B489" s="105" t="s">
        <v>543</v>
      </c>
      <c r="C489" s="114">
        <v>19826</v>
      </c>
      <c r="D489" s="114">
        <v>7844</v>
      </c>
      <c r="E489" s="105" t="s">
        <v>1030</v>
      </c>
      <c r="F489" s="105" t="s">
        <v>1031</v>
      </c>
      <c r="G489" s="108">
        <v>15</v>
      </c>
      <c r="H489" s="136">
        <v>45588</v>
      </c>
      <c r="I489" s="105" t="s">
        <v>623</v>
      </c>
      <c r="J489" s="108">
        <v>779427419250</v>
      </c>
      <c r="K489" s="105" t="s">
        <v>577</v>
      </c>
      <c r="L489" s="136">
        <v>45588</v>
      </c>
      <c r="M489" s="136">
        <v>45591</v>
      </c>
      <c r="N489" s="105" t="s">
        <v>1017</v>
      </c>
      <c r="O489" s="105" t="s">
        <v>985</v>
      </c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</row>
    <row r="490" spans="1:28" ht="29">
      <c r="A490" s="113">
        <v>173</v>
      </c>
      <c r="B490" s="105" t="s">
        <v>543</v>
      </c>
      <c r="C490" s="114">
        <v>19822</v>
      </c>
      <c r="D490" s="97"/>
      <c r="E490" s="105" t="s">
        <v>1032</v>
      </c>
      <c r="F490" s="105" t="s">
        <v>1033</v>
      </c>
      <c r="G490" s="108">
        <v>2</v>
      </c>
      <c r="H490" s="109">
        <v>45709</v>
      </c>
      <c r="I490" s="105" t="s">
        <v>623</v>
      </c>
      <c r="J490" s="108">
        <v>772197889868</v>
      </c>
      <c r="K490" s="105" t="s">
        <v>577</v>
      </c>
      <c r="L490" s="109">
        <v>45709</v>
      </c>
      <c r="M490" s="109">
        <v>45713</v>
      </c>
      <c r="N490" s="105" t="s">
        <v>1034</v>
      </c>
      <c r="O490" s="105" t="s">
        <v>1035</v>
      </c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</row>
    <row r="491" spans="1:28" ht="29">
      <c r="A491" s="113">
        <v>174</v>
      </c>
      <c r="B491" s="105" t="s">
        <v>543</v>
      </c>
      <c r="C491" s="114">
        <v>19892</v>
      </c>
      <c r="D491" s="97"/>
      <c r="E491" s="105" t="s">
        <v>797</v>
      </c>
      <c r="F491" s="105" t="s">
        <v>411</v>
      </c>
      <c r="G491" s="108">
        <v>500</v>
      </c>
      <c r="H491" s="136">
        <v>45614</v>
      </c>
      <c r="I491" s="105" t="s">
        <v>623</v>
      </c>
      <c r="J491" s="108">
        <v>779973767907</v>
      </c>
      <c r="K491" s="105" t="s">
        <v>558</v>
      </c>
      <c r="L491" s="136">
        <v>45614</v>
      </c>
      <c r="M491" s="136">
        <v>45616</v>
      </c>
      <c r="N491" s="105" t="s">
        <v>1036</v>
      </c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</row>
    <row r="492" spans="1:28" ht="29">
      <c r="A492" s="113">
        <v>175</v>
      </c>
      <c r="B492" s="105" t="s">
        <v>543</v>
      </c>
      <c r="C492" s="114">
        <v>19927</v>
      </c>
      <c r="D492" s="114">
        <v>7860</v>
      </c>
      <c r="E492" s="105" t="s">
        <v>554</v>
      </c>
      <c r="F492" s="105" t="s">
        <v>1037</v>
      </c>
      <c r="G492" s="108">
        <v>10</v>
      </c>
      <c r="H492" s="109">
        <v>45604</v>
      </c>
      <c r="I492" s="105" t="s">
        <v>623</v>
      </c>
      <c r="J492" s="108">
        <v>779816378890</v>
      </c>
      <c r="K492" s="105" t="s">
        <v>577</v>
      </c>
      <c r="L492" s="109">
        <v>45604</v>
      </c>
      <c r="M492" s="136">
        <v>45610</v>
      </c>
      <c r="N492" s="105" t="s">
        <v>1038</v>
      </c>
      <c r="O492" s="105" t="s">
        <v>993</v>
      </c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</row>
    <row r="493" spans="1:28" ht="29">
      <c r="A493" s="113">
        <v>176</v>
      </c>
      <c r="B493" s="105" t="s">
        <v>543</v>
      </c>
      <c r="C493" s="157">
        <v>19267</v>
      </c>
      <c r="D493" s="114">
        <v>7760</v>
      </c>
      <c r="E493" s="107" t="s">
        <v>907</v>
      </c>
      <c r="F493" s="131" t="s">
        <v>8</v>
      </c>
      <c r="G493" s="127">
        <v>1</v>
      </c>
      <c r="H493" s="136">
        <v>45640</v>
      </c>
      <c r="I493" s="105" t="s">
        <v>823</v>
      </c>
      <c r="J493" s="105" t="s">
        <v>1039</v>
      </c>
      <c r="K493" s="97"/>
      <c r="L493" s="136">
        <v>45638</v>
      </c>
      <c r="M493" s="136">
        <v>45642</v>
      </c>
      <c r="N493" s="105" t="s">
        <v>1040</v>
      </c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</row>
    <row r="494" spans="1:28" ht="29">
      <c r="A494" s="280">
        <v>177</v>
      </c>
      <c r="B494" s="283" t="s">
        <v>543</v>
      </c>
      <c r="C494" s="114">
        <v>19812</v>
      </c>
      <c r="D494" s="97"/>
      <c r="E494" s="105" t="s">
        <v>554</v>
      </c>
      <c r="F494" s="105" t="s">
        <v>122</v>
      </c>
      <c r="G494" s="108">
        <v>50</v>
      </c>
      <c r="H494" s="136">
        <v>45614</v>
      </c>
      <c r="I494" s="105" t="s">
        <v>623</v>
      </c>
      <c r="J494" s="108">
        <v>779975046578</v>
      </c>
      <c r="K494" s="283" t="s">
        <v>1025</v>
      </c>
      <c r="L494" s="136">
        <v>45614</v>
      </c>
      <c r="M494" s="136">
        <v>45618</v>
      </c>
      <c r="N494" s="105" t="s">
        <v>1041</v>
      </c>
      <c r="O494" s="97"/>
      <c r="P494" s="97"/>
      <c r="Q494" s="283" t="s">
        <v>1042</v>
      </c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</row>
    <row r="495" spans="1:28" ht="29">
      <c r="A495" s="264"/>
      <c r="B495" s="264"/>
      <c r="C495" s="116">
        <v>19813</v>
      </c>
      <c r="D495" s="97"/>
      <c r="E495" s="115" t="s">
        <v>554</v>
      </c>
      <c r="F495" s="105" t="s">
        <v>122</v>
      </c>
      <c r="G495" s="108">
        <v>50</v>
      </c>
      <c r="H495" s="136">
        <v>45614</v>
      </c>
      <c r="I495" s="105" t="s">
        <v>623</v>
      </c>
      <c r="J495" s="108">
        <v>779975046578</v>
      </c>
      <c r="K495" s="264"/>
      <c r="L495" s="136">
        <v>45614</v>
      </c>
      <c r="M495" s="136">
        <v>45618</v>
      </c>
      <c r="N495" s="105" t="s">
        <v>1041</v>
      </c>
      <c r="O495" s="97"/>
      <c r="P495" s="97"/>
      <c r="Q495" s="264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</row>
    <row r="496" spans="1:28" ht="29">
      <c r="A496" s="264"/>
      <c r="B496" s="264"/>
      <c r="C496" s="281">
        <v>20130</v>
      </c>
      <c r="D496" s="97"/>
      <c r="E496" s="115" t="s">
        <v>554</v>
      </c>
      <c r="F496" s="105" t="s">
        <v>1043</v>
      </c>
      <c r="G496" s="108">
        <v>2</v>
      </c>
      <c r="H496" s="136">
        <v>45614</v>
      </c>
      <c r="I496" s="105" t="s">
        <v>623</v>
      </c>
      <c r="J496" s="108">
        <v>779975046578</v>
      </c>
      <c r="K496" s="264"/>
      <c r="L496" s="136">
        <v>45614</v>
      </c>
      <c r="M496" s="136">
        <v>45618</v>
      </c>
      <c r="N496" s="105" t="s">
        <v>1041</v>
      </c>
      <c r="O496" s="97"/>
      <c r="P496" s="97"/>
      <c r="Q496" s="264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</row>
    <row r="497" spans="1:28" ht="29">
      <c r="A497" s="261"/>
      <c r="B497" s="261"/>
      <c r="C497" s="261"/>
      <c r="D497" s="97"/>
      <c r="E497" s="115" t="s">
        <v>554</v>
      </c>
      <c r="F497" s="105" t="s">
        <v>1044</v>
      </c>
      <c r="G497" s="108">
        <v>2</v>
      </c>
      <c r="H497" s="136">
        <v>45614</v>
      </c>
      <c r="I497" s="105" t="s">
        <v>623</v>
      </c>
      <c r="J497" s="108">
        <v>779975046578</v>
      </c>
      <c r="K497" s="261"/>
      <c r="L497" s="136">
        <v>45614</v>
      </c>
      <c r="M497" s="136">
        <v>45618</v>
      </c>
      <c r="N497" s="105" t="s">
        <v>1041</v>
      </c>
      <c r="O497" s="97"/>
      <c r="P497" s="97"/>
      <c r="Q497" s="261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</row>
    <row r="498" spans="1:28" ht="29">
      <c r="A498" s="113">
        <v>178</v>
      </c>
      <c r="B498" s="105" t="s">
        <v>543</v>
      </c>
      <c r="C498" s="114">
        <v>19893</v>
      </c>
      <c r="D498" s="97"/>
      <c r="E498" s="97" t="s">
        <v>797</v>
      </c>
      <c r="F498" s="97" t="s">
        <v>411</v>
      </c>
      <c r="G498" s="121">
        <v>500</v>
      </c>
      <c r="H498" s="136">
        <v>45625</v>
      </c>
      <c r="I498" s="105" t="s">
        <v>623</v>
      </c>
      <c r="J498" s="108">
        <v>770309643261</v>
      </c>
      <c r="K498" s="105" t="s">
        <v>558</v>
      </c>
      <c r="L498" s="136">
        <v>45625</v>
      </c>
      <c r="M498" s="154" t="s">
        <v>1045</v>
      </c>
      <c r="N498" s="105" t="s">
        <v>1046</v>
      </c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</row>
    <row r="499" spans="1:28" ht="29">
      <c r="A499" s="280">
        <v>179</v>
      </c>
      <c r="B499" s="283" t="s">
        <v>543</v>
      </c>
      <c r="C499" s="114">
        <v>19933</v>
      </c>
      <c r="D499" s="97"/>
      <c r="E499" s="97" t="s">
        <v>651</v>
      </c>
      <c r="F499" s="97" t="s">
        <v>37</v>
      </c>
      <c r="G499" s="121">
        <v>200</v>
      </c>
      <c r="H499" s="136">
        <v>45621</v>
      </c>
      <c r="I499" s="105" t="s">
        <v>604</v>
      </c>
      <c r="J499" s="105" t="s">
        <v>1048</v>
      </c>
      <c r="K499" s="283" t="s">
        <v>585</v>
      </c>
      <c r="L499" s="136">
        <v>45618</v>
      </c>
      <c r="M499" s="136">
        <v>45622</v>
      </c>
      <c r="N499" s="105" t="s">
        <v>1049</v>
      </c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</row>
    <row r="500" spans="1:28" ht="29">
      <c r="A500" s="261"/>
      <c r="B500" s="261"/>
      <c r="C500" s="114">
        <v>19576</v>
      </c>
      <c r="D500" s="114">
        <v>7788</v>
      </c>
      <c r="E500" s="97" t="s">
        <v>651</v>
      </c>
      <c r="F500" s="97" t="s">
        <v>37</v>
      </c>
      <c r="G500" s="121">
        <v>100</v>
      </c>
      <c r="H500" s="136">
        <v>45621</v>
      </c>
      <c r="I500" s="105" t="s">
        <v>604</v>
      </c>
      <c r="J500" s="105" t="s">
        <v>1048</v>
      </c>
      <c r="K500" s="261"/>
      <c r="L500" s="136">
        <v>45618</v>
      </c>
      <c r="M500" s="136">
        <v>45622</v>
      </c>
      <c r="N500" s="105" t="s">
        <v>1049</v>
      </c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</row>
    <row r="501" spans="1:28" ht="29">
      <c r="A501" s="113">
        <v>180</v>
      </c>
      <c r="B501" s="105" t="s">
        <v>543</v>
      </c>
      <c r="C501" s="114">
        <v>19895</v>
      </c>
      <c r="D501" s="97"/>
      <c r="E501" s="97" t="s">
        <v>899</v>
      </c>
      <c r="F501" s="97" t="s">
        <v>169</v>
      </c>
      <c r="G501" s="121">
        <v>200</v>
      </c>
      <c r="H501" s="109">
        <v>45707</v>
      </c>
      <c r="I501" s="105" t="s">
        <v>623</v>
      </c>
      <c r="J501" s="108">
        <v>772138937670</v>
      </c>
      <c r="K501" s="105" t="s">
        <v>1025</v>
      </c>
      <c r="L501" s="109">
        <v>45707</v>
      </c>
      <c r="M501" s="109">
        <v>45712</v>
      </c>
      <c r="N501" s="105" t="s">
        <v>1050</v>
      </c>
      <c r="O501" s="105" t="s">
        <v>1051</v>
      </c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</row>
    <row r="502" spans="1:28" ht="29">
      <c r="A502" s="280">
        <v>181</v>
      </c>
      <c r="B502" s="283" t="s">
        <v>543</v>
      </c>
      <c r="C502" s="114">
        <v>18851</v>
      </c>
      <c r="D502" s="97"/>
      <c r="E502" s="105" t="s">
        <v>971</v>
      </c>
      <c r="F502" s="105" t="s">
        <v>21</v>
      </c>
      <c r="G502" s="108">
        <v>16</v>
      </c>
      <c r="H502" s="136">
        <v>45617</v>
      </c>
      <c r="I502" s="105" t="s">
        <v>823</v>
      </c>
      <c r="J502" s="105" t="s">
        <v>1052</v>
      </c>
      <c r="K502" s="283" t="s">
        <v>666</v>
      </c>
      <c r="L502" s="136">
        <v>45616</v>
      </c>
      <c r="M502" s="136">
        <v>45618</v>
      </c>
      <c r="N502" s="105" t="s">
        <v>1053</v>
      </c>
      <c r="O502" s="105" t="s">
        <v>991</v>
      </c>
      <c r="P502" s="283" t="s">
        <v>918</v>
      </c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</row>
    <row r="503" spans="1:28" ht="29">
      <c r="A503" s="261"/>
      <c r="B503" s="261"/>
      <c r="C503" s="114">
        <v>19779</v>
      </c>
      <c r="D503" s="114">
        <v>7836</v>
      </c>
      <c r="E503" s="105" t="s">
        <v>971</v>
      </c>
      <c r="F503" s="105" t="s">
        <v>21</v>
      </c>
      <c r="G503" s="108">
        <v>32</v>
      </c>
      <c r="H503" s="136">
        <v>45617</v>
      </c>
      <c r="I503" s="105" t="s">
        <v>823</v>
      </c>
      <c r="J503" s="105" t="s">
        <v>1052</v>
      </c>
      <c r="K503" s="261"/>
      <c r="L503" s="136">
        <v>45616</v>
      </c>
      <c r="M503" s="136">
        <v>45618</v>
      </c>
      <c r="N503" s="105" t="s">
        <v>1053</v>
      </c>
      <c r="O503" s="97"/>
      <c r="P503" s="261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</row>
    <row r="504" spans="1:28" ht="29">
      <c r="A504" s="113">
        <v>182</v>
      </c>
      <c r="B504" s="105" t="s">
        <v>541</v>
      </c>
      <c r="C504" s="114">
        <v>19031</v>
      </c>
      <c r="D504" s="114">
        <v>7723</v>
      </c>
      <c r="E504" s="107" t="s">
        <v>617</v>
      </c>
      <c r="F504" s="107" t="s">
        <v>50</v>
      </c>
      <c r="G504" s="123">
        <v>100</v>
      </c>
      <c r="H504" s="154" t="s">
        <v>1054</v>
      </c>
      <c r="I504" s="105" t="s">
        <v>823</v>
      </c>
      <c r="J504" s="108">
        <v>241282920044</v>
      </c>
      <c r="K504" s="105" t="s">
        <v>778</v>
      </c>
      <c r="L504" s="136">
        <v>45621</v>
      </c>
      <c r="M504" s="187" t="s">
        <v>1055</v>
      </c>
      <c r="N504" s="105" t="s">
        <v>1056</v>
      </c>
      <c r="O504" s="97"/>
      <c r="P504" s="283" t="s">
        <v>918</v>
      </c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</row>
    <row r="505" spans="1:28" ht="29">
      <c r="A505" s="113">
        <v>183</v>
      </c>
      <c r="B505" s="105" t="s">
        <v>541</v>
      </c>
      <c r="C505" s="114">
        <v>19658</v>
      </c>
      <c r="D505" s="114">
        <v>7810</v>
      </c>
      <c r="E505" s="107" t="s">
        <v>617</v>
      </c>
      <c r="F505" s="107" t="s">
        <v>53</v>
      </c>
      <c r="G505" s="123">
        <v>10</v>
      </c>
      <c r="H505" s="154" t="s">
        <v>1054</v>
      </c>
      <c r="I505" s="105" t="s">
        <v>823</v>
      </c>
      <c r="J505" s="108">
        <v>241282920044</v>
      </c>
      <c r="K505" s="105" t="s">
        <v>694</v>
      </c>
      <c r="L505" s="136">
        <v>45621</v>
      </c>
      <c r="M505" s="187" t="s">
        <v>1055</v>
      </c>
      <c r="N505" s="105" t="s">
        <v>1056</v>
      </c>
      <c r="O505" s="97"/>
      <c r="P505" s="261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</row>
    <row r="506" spans="1:28" ht="29">
      <c r="A506" s="280">
        <v>184</v>
      </c>
      <c r="B506" s="283" t="s">
        <v>543</v>
      </c>
      <c r="C506" s="281">
        <v>19574</v>
      </c>
      <c r="D506" s="281">
        <v>7788</v>
      </c>
      <c r="E506" s="282" t="s">
        <v>1057</v>
      </c>
      <c r="F506" s="107" t="s">
        <v>6</v>
      </c>
      <c r="G506" s="123">
        <v>200</v>
      </c>
      <c r="H506" s="136">
        <v>45640</v>
      </c>
      <c r="I506" s="105" t="s">
        <v>823</v>
      </c>
      <c r="J506" s="105" t="s">
        <v>1039</v>
      </c>
      <c r="K506" s="283" t="s">
        <v>606</v>
      </c>
      <c r="L506" s="136">
        <v>45638</v>
      </c>
      <c r="M506" s="136">
        <v>45642</v>
      </c>
      <c r="N506" s="105" t="s">
        <v>1040</v>
      </c>
      <c r="O506" s="97"/>
      <c r="P506" s="283" t="s">
        <v>918</v>
      </c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</row>
    <row r="507" spans="1:28" ht="29">
      <c r="A507" s="264"/>
      <c r="B507" s="264"/>
      <c r="C507" s="264"/>
      <c r="D507" s="264"/>
      <c r="E507" s="264"/>
      <c r="F507" s="107" t="s">
        <v>5</v>
      </c>
      <c r="G507" s="123">
        <v>150</v>
      </c>
      <c r="H507" s="136">
        <v>45640</v>
      </c>
      <c r="I507" s="105" t="s">
        <v>823</v>
      </c>
      <c r="J507" s="105" t="s">
        <v>1039</v>
      </c>
      <c r="K507" s="264"/>
      <c r="L507" s="136">
        <v>45638</v>
      </c>
      <c r="M507" s="136">
        <v>45642</v>
      </c>
      <c r="N507" s="105" t="s">
        <v>1040</v>
      </c>
      <c r="O507" s="97"/>
      <c r="P507" s="264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</row>
    <row r="508" spans="1:28" ht="29">
      <c r="A508" s="261"/>
      <c r="B508" s="261"/>
      <c r="C508" s="261"/>
      <c r="D508" s="261"/>
      <c r="E508" s="261"/>
      <c r="F508" s="107" t="s">
        <v>3</v>
      </c>
      <c r="G508" s="123">
        <v>50</v>
      </c>
      <c r="H508" s="136">
        <v>45640</v>
      </c>
      <c r="I508" s="105" t="s">
        <v>823</v>
      </c>
      <c r="J508" s="105" t="s">
        <v>1039</v>
      </c>
      <c r="K508" s="261"/>
      <c r="L508" s="136">
        <v>45638</v>
      </c>
      <c r="M508" s="136">
        <v>45642</v>
      </c>
      <c r="N508" s="105" t="s">
        <v>1040</v>
      </c>
      <c r="O508" s="97"/>
      <c r="P508" s="264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</row>
    <row r="509" spans="1:28" ht="29">
      <c r="A509" s="113">
        <v>185</v>
      </c>
      <c r="B509" s="188" t="s">
        <v>543</v>
      </c>
      <c r="C509" s="114">
        <v>19575</v>
      </c>
      <c r="D509" s="114">
        <v>7788</v>
      </c>
      <c r="E509" s="107" t="s">
        <v>989</v>
      </c>
      <c r="F509" s="107" t="s">
        <v>17</v>
      </c>
      <c r="G509" s="123">
        <v>460</v>
      </c>
      <c r="H509" s="136">
        <v>45640</v>
      </c>
      <c r="I509" s="105" t="s">
        <v>823</v>
      </c>
      <c r="J509" s="105" t="s">
        <v>1058</v>
      </c>
      <c r="K509" s="105" t="s">
        <v>1059</v>
      </c>
      <c r="L509" s="136">
        <v>45638</v>
      </c>
      <c r="M509" s="136">
        <v>45642</v>
      </c>
      <c r="N509" s="105" t="s">
        <v>1040</v>
      </c>
      <c r="O509" s="97"/>
      <c r="P509" s="261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</row>
    <row r="510" spans="1:28" ht="29">
      <c r="A510" s="113">
        <v>186</v>
      </c>
      <c r="B510" s="105" t="s">
        <v>543</v>
      </c>
      <c r="C510" s="114">
        <v>19577</v>
      </c>
      <c r="D510" s="114">
        <v>7788</v>
      </c>
      <c r="E510" s="107" t="s">
        <v>625</v>
      </c>
      <c r="F510" s="107" t="s">
        <v>47</v>
      </c>
      <c r="G510" s="123">
        <v>100</v>
      </c>
      <c r="H510" s="109">
        <v>45638</v>
      </c>
      <c r="I510" s="105" t="s">
        <v>623</v>
      </c>
      <c r="J510" s="108">
        <v>770587049789</v>
      </c>
      <c r="K510" s="105" t="s">
        <v>896</v>
      </c>
      <c r="L510" s="109">
        <v>45638</v>
      </c>
      <c r="M510" s="136">
        <v>45642</v>
      </c>
      <c r="N510" s="105" t="s">
        <v>1056</v>
      </c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</row>
    <row r="511" spans="1:28" ht="29">
      <c r="A511" s="113">
        <v>187</v>
      </c>
      <c r="B511" s="105" t="s">
        <v>543</v>
      </c>
      <c r="C511" s="114">
        <v>19894</v>
      </c>
      <c r="D511" s="97"/>
      <c r="E511" s="105" t="s">
        <v>1060</v>
      </c>
      <c r="F511" s="105" t="s">
        <v>422</v>
      </c>
      <c r="G511" s="108">
        <v>10000</v>
      </c>
      <c r="H511" s="109">
        <v>45636</v>
      </c>
      <c r="I511" s="105" t="s">
        <v>623</v>
      </c>
      <c r="J511" s="108">
        <v>770587977809</v>
      </c>
      <c r="K511" s="105" t="s">
        <v>577</v>
      </c>
      <c r="L511" s="109">
        <v>45636</v>
      </c>
      <c r="M511" s="136">
        <v>45639</v>
      </c>
      <c r="N511" s="105" t="s">
        <v>1061</v>
      </c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</row>
    <row r="512" spans="1:28" ht="29">
      <c r="A512" s="280">
        <v>188</v>
      </c>
      <c r="B512" s="283" t="s">
        <v>543</v>
      </c>
      <c r="C512" s="114">
        <v>20067</v>
      </c>
      <c r="D512" s="97"/>
      <c r="E512" s="105" t="s">
        <v>818</v>
      </c>
      <c r="F512" s="105" t="s">
        <v>1062</v>
      </c>
      <c r="G512" s="108">
        <v>200</v>
      </c>
      <c r="H512" s="109">
        <v>45636</v>
      </c>
      <c r="I512" s="105" t="s">
        <v>623</v>
      </c>
      <c r="J512" s="108">
        <v>770594788375</v>
      </c>
      <c r="K512" s="283" t="s">
        <v>577</v>
      </c>
      <c r="L512" s="109">
        <v>45636</v>
      </c>
      <c r="M512" s="136">
        <v>45639</v>
      </c>
      <c r="N512" s="105" t="s">
        <v>1061</v>
      </c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</row>
    <row r="513" spans="1:28" ht="29">
      <c r="A513" s="261"/>
      <c r="B513" s="261"/>
      <c r="C513" s="114">
        <v>20224</v>
      </c>
      <c r="D513" s="114">
        <v>7892</v>
      </c>
      <c r="E513" s="105" t="s">
        <v>818</v>
      </c>
      <c r="F513" s="105" t="s">
        <v>1063</v>
      </c>
      <c r="G513" s="108">
        <v>20</v>
      </c>
      <c r="H513" s="109">
        <v>45636</v>
      </c>
      <c r="I513" s="105" t="s">
        <v>623</v>
      </c>
      <c r="J513" s="108">
        <v>770594788375</v>
      </c>
      <c r="K513" s="261"/>
      <c r="L513" s="109">
        <v>45636</v>
      </c>
      <c r="M513" s="136">
        <v>45639</v>
      </c>
      <c r="N513" s="105" t="s">
        <v>1061</v>
      </c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</row>
    <row r="514" spans="1:28" ht="29">
      <c r="A514" s="280">
        <v>189</v>
      </c>
      <c r="B514" s="283" t="s">
        <v>543</v>
      </c>
      <c r="C514" s="157">
        <v>20257</v>
      </c>
      <c r="D514" s="169" t="s">
        <v>1064</v>
      </c>
      <c r="E514" s="131" t="s">
        <v>554</v>
      </c>
      <c r="F514" s="131" t="s">
        <v>1065</v>
      </c>
      <c r="G514" s="123" t="s">
        <v>1066</v>
      </c>
      <c r="H514" s="109">
        <v>45629</v>
      </c>
      <c r="I514" s="105" t="s">
        <v>623</v>
      </c>
      <c r="J514" s="108">
        <v>770429374602</v>
      </c>
      <c r="K514" s="283" t="s">
        <v>610</v>
      </c>
      <c r="L514" s="109">
        <v>45629</v>
      </c>
      <c r="M514" s="109">
        <v>45635</v>
      </c>
      <c r="N514" s="105" t="s">
        <v>1067</v>
      </c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</row>
    <row r="515" spans="1:28" ht="29">
      <c r="A515" s="261"/>
      <c r="B515" s="261"/>
      <c r="C515" s="177">
        <v>20207</v>
      </c>
      <c r="D515" s="159" t="s">
        <v>1068</v>
      </c>
      <c r="E515" s="133" t="s">
        <v>554</v>
      </c>
      <c r="F515" s="133" t="s">
        <v>1069</v>
      </c>
      <c r="G515" s="146" t="s">
        <v>1070</v>
      </c>
      <c r="H515" s="109">
        <v>45629</v>
      </c>
      <c r="I515" s="105" t="s">
        <v>623</v>
      </c>
      <c r="J515" s="108">
        <v>770429374602</v>
      </c>
      <c r="K515" s="261"/>
      <c r="L515" s="109">
        <v>45629</v>
      </c>
      <c r="M515" s="109">
        <v>45635</v>
      </c>
      <c r="N515" s="105" t="s">
        <v>1067</v>
      </c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</row>
    <row r="516" spans="1:28" ht="29">
      <c r="A516" s="113">
        <v>191</v>
      </c>
      <c r="B516" s="105" t="s">
        <v>543</v>
      </c>
      <c r="C516" s="114">
        <v>20264</v>
      </c>
      <c r="D516" s="97"/>
      <c r="E516" s="105" t="s">
        <v>579</v>
      </c>
      <c r="F516" s="105" t="s">
        <v>98</v>
      </c>
      <c r="G516" s="108">
        <v>600</v>
      </c>
      <c r="H516" s="136">
        <v>45650</v>
      </c>
      <c r="I516" s="105" t="s">
        <v>623</v>
      </c>
      <c r="J516" s="108">
        <v>770982880466</v>
      </c>
      <c r="K516" s="105" t="s">
        <v>577</v>
      </c>
      <c r="L516" s="136">
        <v>45650</v>
      </c>
      <c r="M516" s="136">
        <v>45653</v>
      </c>
      <c r="N516" s="105" t="s">
        <v>1071</v>
      </c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</row>
    <row r="517" spans="1:28" ht="29">
      <c r="A517" s="280">
        <v>193</v>
      </c>
      <c r="B517" s="283" t="s">
        <v>543</v>
      </c>
      <c r="C517" s="307">
        <v>19696</v>
      </c>
      <c r="D517" s="97"/>
      <c r="E517" s="282" t="s">
        <v>1006</v>
      </c>
      <c r="F517" s="165" t="s">
        <v>27</v>
      </c>
      <c r="G517" s="166">
        <v>300</v>
      </c>
      <c r="H517" s="136">
        <v>45653</v>
      </c>
      <c r="I517" s="105" t="s">
        <v>1072</v>
      </c>
      <c r="J517" s="105" t="s">
        <v>1073</v>
      </c>
      <c r="K517" s="283" t="s">
        <v>1074</v>
      </c>
      <c r="L517" s="136">
        <v>45649</v>
      </c>
      <c r="M517" s="136">
        <v>45655</v>
      </c>
      <c r="N517" s="105" t="s">
        <v>1075</v>
      </c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</row>
    <row r="518" spans="1:28" ht="29">
      <c r="A518" s="261"/>
      <c r="B518" s="261"/>
      <c r="C518" s="262"/>
      <c r="D518" s="97"/>
      <c r="E518" s="261"/>
      <c r="F518" s="167" t="s">
        <v>29</v>
      </c>
      <c r="G518" s="155">
        <v>500</v>
      </c>
      <c r="H518" s="136">
        <v>45653</v>
      </c>
      <c r="I518" s="105" t="s">
        <v>1072</v>
      </c>
      <c r="J518" s="105" t="s">
        <v>1073</v>
      </c>
      <c r="K518" s="261"/>
      <c r="L518" s="136">
        <v>45649</v>
      </c>
      <c r="M518" s="136">
        <v>45655</v>
      </c>
      <c r="N518" s="105" t="s">
        <v>1075</v>
      </c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</row>
    <row r="519" spans="1:28" ht="29">
      <c r="A519" s="113">
        <v>194</v>
      </c>
      <c r="B519" s="105" t="s">
        <v>543</v>
      </c>
      <c r="C519" s="114">
        <v>20223</v>
      </c>
      <c r="D519" s="97"/>
      <c r="E519" s="107" t="s">
        <v>1006</v>
      </c>
      <c r="F519" s="131" t="s">
        <v>152</v>
      </c>
      <c r="G519" s="127">
        <v>50</v>
      </c>
      <c r="H519" s="136">
        <v>45653</v>
      </c>
      <c r="I519" s="105" t="s">
        <v>1072</v>
      </c>
      <c r="J519" s="105" t="s">
        <v>1073</v>
      </c>
      <c r="K519" s="105" t="s">
        <v>577</v>
      </c>
      <c r="L519" s="136">
        <v>45649</v>
      </c>
      <c r="M519" s="136">
        <v>45655</v>
      </c>
      <c r="N519" s="105" t="s">
        <v>1075</v>
      </c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</row>
    <row r="520" spans="1:28" ht="15.5">
      <c r="A520" s="301" t="s">
        <v>1076</v>
      </c>
      <c r="B520" s="260"/>
      <c r="C520" s="260"/>
      <c r="D520" s="260"/>
      <c r="E520" s="260"/>
      <c r="F520" s="260"/>
      <c r="G520" s="260"/>
      <c r="H520" s="260"/>
      <c r="I520" s="260"/>
      <c r="J520" s="260"/>
      <c r="K520" s="260"/>
      <c r="L520" s="260"/>
      <c r="M520" s="260"/>
      <c r="N520" s="260"/>
      <c r="O520" s="263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  <c r="AA520" s="151"/>
      <c r="AB520" s="151"/>
    </row>
    <row r="521" spans="1:28" ht="29">
      <c r="A521" s="113">
        <v>172</v>
      </c>
      <c r="B521" s="105" t="s">
        <v>543</v>
      </c>
      <c r="C521" s="114">
        <v>19578</v>
      </c>
      <c r="D521" s="97"/>
      <c r="E521" s="105" t="s">
        <v>771</v>
      </c>
      <c r="F521" s="105" t="s">
        <v>60</v>
      </c>
      <c r="G521" s="108">
        <v>100</v>
      </c>
      <c r="H521" s="109">
        <v>45667</v>
      </c>
      <c r="I521" s="105" t="s">
        <v>623</v>
      </c>
      <c r="J521" s="108">
        <v>771306918715</v>
      </c>
      <c r="K521" s="105" t="s">
        <v>694</v>
      </c>
      <c r="L521" s="109">
        <v>45667</v>
      </c>
      <c r="M521" s="109">
        <v>45671</v>
      </c>
      <c r="N521" s="105" t="s">
        <v>1077</v>
      </c>
      <c r="O521" s="105" t="s">
        <v>1078</v>
      </c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</row>
    <row r="522" spans="1:28" ht="29">
      <c r="A522" s="280">
        <v>192</v>
      </c>
      <c r="B522" s="283" t="s">
        <v>543</v>
      </c>
      <c r="C522" s="114">
        <v>20427</v>
      </c>
      <c r="D522" s="114" t="s">
        <v>1079</v>
      </c>
      <c r="E522" s="105" t="s">
        <v>625</v>
      </c>
      <c r="F522" s="105" t="s">
        <v>47</v>
      </c>
      <c r="G522" s="108">
        <v>130</v>
      </c>
      <c r="H522" s="109">
        <v>45667</v>
      </c>
      <c r="I522" s="283" t="s">
        <v>1080</v>
      </c>
      <c r="J522" s="108">
        <v>771303418252</v>
      </c>
      <c r="K522" s="283" t="s">
        <v>1081</v>
      </c>
      <c r="L522" s="109">
        <v>45667</v>
      </c>
      <c r="M522" s="109">
        <v>45674</v>
      </c>
      <c r="N522" s="105" t="s">
        <v>1082</v>
      </c>
      <c r="O522" s="105" t="s">
        <v>1078</v>
      </c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</row>
    <row r="523" spans="1:28" ht="29">
      <c r="A523" s="261"/>
      <c r="B523" s="261"/>
      <c r="C523" s="114">
        <v>19979</v>
      </c>
      <c r="D523" s="97"/>
      <c r="E523" s="105" t="s">
        <v>625</v>
      </c>
      <c r="F523" s="105" t="s">
        <v>47</v>
      </c>
      <c r="G523" s="108">
        <v>30</v>
      </c>
      <c r="H523" s="109">
        <v>45667</v>
      </c>
      <c r="I523" s="261"/>
      <c r="J523" s="108">
        <v>771303418252</v>
      </c>
      <c r="K523" s="261"/>
      <c r="L523" s="109">
        <v>45667</v>
      </c>
      <c r="M523" s="109">
        <v>45674</v>
      </c>
      <c r="N523" s="105" t="s">
        <v>1082</v>
      </c>
      <c r="O523" s="105" t="s">
        <v>1078</v>
      </c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</row>
    <row r="524" spans="1:28" ht="29">
      <c r="A524" s="280">
        <v>190</v>
      </c>
      <c r="B524" s="283" t="s">
        <v>543</v>
      </c>
      <c r="C524" s="281">
        <v>20325</v>
      </c>
      <c r="D524" s="281" t="s">
        <v>1083</v>
      </c>
      <c r="E524" s="295" t="s">
        <v>554</v>
      </c>
      <c r="F524" s="107" t="s">
        <v>1084</v>
      </c>
      <c r="G524" s="123">
        <v>50</v>
      </c>
      <c r="H524" s="109">
        <v>45667</v>
      </c>
      <c r="I524" s="105" t="s">
        <v>623</v>
      </c>
      <c r="J524" s="108">
        <v>771307284838</v>
      </c>
      <c r="K524" s="283" t="s">
        <v>577</v>
      </c>
      <c r="L524" s="109">
        <v>45667</v>
      </c>
      <c r="M524" s="109">
        <v>45673</v>
      </c>
      <c r="N524" s="105" t="s">
        <v>1077</v>
      </c>
      <c r="O524" s="105" t="s">
        <v>1078</v>
      </c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</row>
    <row r="525" spans="1:28" ht="29">
      <c r="A525" s="261"/>
      <c r="B525" s="261"/>
      <c r="C525" s="261"/>
      <c r="D525" s="261"/>
      <c r="E525" s="261"/>
      <c r="F525" s="107" t="s">
        <v>1085</v>
      </c>
      <c r="G525" s="123">
        <v>50</v>
      </c>
      <c r="H525" s="109">
        <v>45667</v>
      </c>
      <c r="I525" s="105" t="s">
        <v>623</v>
      </c>
      <c r="J525" s="108">
        <v>771307284838</v>
      </c>
      <c r="K525" s="261"/>
      <c r="L525" s="109">
        <v>45667</v>
      </c>
      <c r="M525" s="109">
        <v>45673</v>
      </c>
      <c r="N525" s="105" t="s">
        <v>1077</v>
      </c>
      <c r="O525" s="105" t="s">
        <v>1078</v>
      </c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</row>
    <row r="526" spans="1:28" ht="43.5">
      <c r="A526" s="113">
        <v>197</v>
      </c>
      <c r="B526" s="105" t="s">
        <v>543</v>
      </c>
      <c r="C526" s="114">
        <v>20687</v>
      </c>
      <c r="D526" s="114" t="s">
        <v>1086</v>
      </c>
      <c r="E526" s="97" t="s">
        <v>836</v>
      </c>
      <c r="F526" s="107" t="s">
        <v>1087</v>
      </c>
      <c r="G526" s="123" t="s">
        <v>1088</v>
      </c>
      <c r="H526" s="109">
        <v>45665</v>
      </c>
      <c r="I526" s="105" t="s">
        <v>1080</v>
      </c>
      <c r="J526" s="108">
        <v>435919012470</v>
      </c>
      <c r="K526" s="105" t="s">
        <v>577</v>
      </c>
      <c r="L526" s="109">
        <v>45665</v>
      </c>
      <c r="M526" s="109">
        <v>45672</v>
      </c>
      <c r="N526" s="105" t="s">
        <v>1089</v>
      </c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</row>
    <row r="527" spans="1:28" ht="29">
      <c r="A527" s="280">
        <v>198</v>
      </c>
      <c r="B527" s="283" t="s">
        <v>543</v>
      </c>
      <c r="C527" s="281">
        <v>19914</v>
      </c>
      <c r="D527" s="282"/>
      <c r="E527" s="282" t="s">
        <v>603</v>
      </c>
      <c r="F527" s="97" t="s">
        <v>33</v>
      </c>
      <c r="G527" s="121">
        <v>100</v>
      </c>
      <c r="H527" s="109">
        <v>45677</v>
      </c>
      <c r="I527" s="105" t="s">
        <v>823</v>
      </c>
      <c r="J527" s="105" t="s">
        <v>1090</v>
      </c>
      <c r="K527" s="283" t="s">
        <v>736</v>
      </c>
      <c r="L527" s="109">
        <v>45675</v>
      </c>
      <c r="M527" s="109">
        <v>45679</v>
      </c>
      <c r="N527" s="105" t="s">
        <v>1091</v>
      </c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</row>
    <row r="528" spans="1:28" ht="29">
      <c r="A528" s="261"/>
      <c r="B528" s="261"/>
      <c r="C528" s="261"/>
      <c r="D528" s="261"/>
      <c r="E528" s="261"/>
      <c r="F528" s="97" t="s">
        <v>35</v>
      </c>
      <c r="G528" s="121">
        <v>100</v>
      </c>
      <c r="H528" s="109">
        <v>45677</v>
      </c>
      <c r="I528" s="105" t="s">
        <v>823</v>
      </c>
      <c r="J528" s="105" t="s">
        <v>1090</v>
      </c>
      <c r="K528" s="261"/>
      <c r="L528" s="109">
        <v>45675</v>
      </c>
      <c r="M528" s="109">
        <v>45679</v>
      </c>
      <c r="N528" s="105" t="s">
        <v>1091</v>
      </c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</row>
    <row r="529" spans="1:28" ht="29">
      <c r="A529" s="280">
        <v>199</v>
      </c>
      <c r="B529" s="283" t="s">
        <v>543</v>
      </c>
      <c r="C529" s="114">
        <v>19944</v>
      </c>
      <c r="D529" s="106" t="s">
        <v>1092</v>
      </c>
      <c r="E529" s="107" t="s">
        <v>659</v>
      </c>
      <c r="F529" s="107" t="s">
        <v>37</v>
      </c>
      <c r="G529" s="123">
        <v>40</v>
      </c>
      <c r="H529" s="109">
        <v>45678</v>
      </c>
      <c r="I529" s="105" t="s">
        <v>604</v>
      </c>
      <c r="J529" s="105" t="s">
        <v>1093</v>
      </c>
      <c r="K529" s="283" t="s">
        <v>663</v>
      </c>
      <c r="L529" s="109">
        <v>45677</v>
      </c>
      <c r="M529" s="109">
        <v>45680</v>
      </c>
      <c r="N529" s="105" t="s">
        <v>1094</v>
      </c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</row>
    <row r="530" spans="1:28" ht="29">
      <c r="A530" s="261"/>
      <c r="B530" s="261"/>
      <c r="C530" s="114">
        <v>20428</v>
      </c>
      <c r="D530" s="106" t="s">
        <v>1079</v>
      </c>
      <c r="E530" s="107" t="s">
        <v>659</v>
      </c>
      <c r="F530" s="107" t="s">
        <v>37</v>
      </c>
      <c r="G530" s="123">
        <v>220</v>
      </c>
      <c r="H530" s="109">
        <v>45678</v>
      </c>
      <c r="I530" s="105" t="s">
        <v>604</v>
      </c>
      <c r="J530" s="105" t="s">
        <v>1093</v>
      </c>
      <c r="K530" s="261"/>
      <c r="L530" s="109">
        <v>45677</v>
      </c>
      <c r="M530" s="109">
        <v>45680</v>
      </c>
      <c r="N530" s="105" t="s">
        <v>1094</v>
      </c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</row>
    <row r="531" spans="1:28" ht="29">
      <c r="A531" s="113">
        <v>200</v>
      </c>
      <c r="B531" s="105" t="s">
        <v>543</v>
      </c>
      <c r="C531" s="114">
        <v>20376</v>
      </c>
      <c r="D531" s="97"/>
      <c r="E531" s="97" t="s">
        <v>1095</v>
      </c>
      <c r="F531" s="97" t="s">
        <v>1096</v>
      </c>
      <c r="G531" s="121" t="s">
        <v>1097</v>
      </c>
      <c r="H531" s="109">
        <v>45678</v>
      </c>
      <c r="I531" s="105" t="s">
        <v>623</v>
      </c>
      <c r="J531" s="108">
        <v>771539065621</v>
      </c>
      <c r="K531" s="105" t="s">
        <v>694</v>
      </c>
      <c r="L531" s="109">
        <v>45677</v>
      </c>
      <c r="M531" s="109">
        <v>45682</v>
      </c>
      <c r="N531" s="105" t="s">
        <v>1098</v>
      </c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</row>
    <row r="532" spans="1:28" ht="29">
      <c r="A532" s="280">
        <v>201</v>
      </c>
      <c r="B532" s="283" t="s">
        <v>543</v>
      </c>
      <c r="C532" s="281">
        <v>20406</v>
      </c>
      <c r="D532" s="282"/>
      <c r="E532" s="282" t="s">
        <v>907</v>
      </c>
      <c r="F532" s="97" t="s">
        <v>3</v>
      </c>
      <c r="G532" s="121">
        <v>50</v>
      </c>
      <c r="H532" s="109">
        <v>45685</v>
      </c>
      <c r="I532" s="105" t="s">
        <v>1072</v>
      </c>
      <c r="J532" s="105" t="s">
        <v>1099</v>
      </c>
      <c r="K532" s="283" t="s">
        <v>729</v>
      </c>
      <c r="L532" s="109">
        <v>45679</v>
      </c>
      <c r="M532" s="109">
        <v>45686</v>
      </c>
      <c r="N532" s="105" t="s">
        <v>1100</v>
      </c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</row>
    <row r="533" spans="1:28" ht="29">
      <c r="A533" s="264"/>
      <c r="B533" s="264"/>
      <c r="C533" s="264"/>
      <c r="D533" s="264"/>
      <c r="E533" s="264"/>
      <c r="F533" s="97" t="s">
        <v>1</v>
      </c>
      <c r="G533" s="121">
        <v>50</v>
      </c>
      <c r="H533" s="109">
        <v>45685</v>
      </c>
      <c r="I533" s="105" t="s">
        <v>1072</v>
      </c>
      <c r="J533" s="105" t="s">
        <v>1099</v>
      </c>
      <c r="K533" s="264"/>
      <c r="L533" s="109">
        <v>45679</v>
      </c>
      <c r="M533" s="109">
        <v>45686</v>
      </c>
      <c r="N533" s="105" t="s">
        <v>1100</v>
      </c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</row>
    <row r="534" spans="1:28" ht="29">
      <c r="A534" s="264"/>
      <c r="B534" s="264"/>
      <c r="C534" s="264"/>
      <c r="D534" s="264"/>
      <c r="E534" s="264"/>
      <c r="F534" s="97" t="s">
        <v>9</v>
      </c>
      <c r="G534" s="121">
        <v>50</v>
      </c>
      <c r="H534" s="109">
        <v>45685</v>
      </c>
      <c r="I534" s="105" t="s">
        <v>1072</v>
      </c>
      <c r="J534" s="105" t="s">
        <v>1099</v>
      </c>
      <c r="K534" s="264"/>
      <c r="L534" s="109">
        <v>45679</v>
      </c>
      <c r="M534" s="109">
        <v>45686</v>
      </c>
      <c r="N534" s="105" t="s">
        <v>1100</v>
      </c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</row>
    <row r="535" spans="1:28" ht="29">
      <c r="A535" s="261"/>
      <c r="B535" s="261"/>
      <c r="C535" s="261"/>
      <c r="D535" s="261"/>
      <c r="E535" s="261"/>
      <c r="F535" s="97" t="s">
        <v>8</v>
      </c>
      <c r="G535" s="121">
        <v>50</v>
      </c>
      <c r="H535" s="109">
        <v>45685</v>
      </c>
      <c r="I535" s="105" t="s">
        <v>1072</v>
      </c>
      <c r="J535" s="105" t="s">
        <v>1099</v>
      </c>
      <c r="K535" s="261"/>
      <c r="L535" s="109">
        <v>45679</v>
      </c>
      <c r="M535" s="109">
        <v>45686</v>
      </c>
      <c r="N535" s="105" t="s">
        <v>1100</v>
      </c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</row>
    <row r="536" spans="1:28" ht="29">
      <c r="A536" s="113">
        <v>195</v>
      </c>
      <c r="B536" s="105" t="s">
        <v>541</v>
      </c>
      <c r="C536" s="114">
        <v>19032</v>
      </c>
      <c r="D536" s="106" t="s">
        <v>1101</v>
      </c>
      <c r="E536" s="107" t="s">
        <v>617</v>
      </c>
      <c r="F536" s="107" t="s">
        <v>50</v>
      </c>
      <c r="G536" s="123">
        <v>100</v>
      </c>
      <c r="H536" s="109">
        <v>45686</v>
      </c>
      <c r="I536" s="105" t="s">
        <v>823</v>
      </c>
      <c r="J536" s="108">
        <v>250282920010</v>
      </c>
      <c r="K536" s="105" t="s">
        <v>778</v>
      </c>
      <c r="L536" s="109">
        <v>45677</v>
      </c>
      <c r="M536" s="109">
        <v>45693</v>
      </c>
      <c r="N536" s="105" t="s">
        <v>1102</v>
      </c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</row>
    <row r="537" spans="1:28" ht="29">
      <c r="A537" s="280">
        <v>196</v>
      </c>
      <c r="B537" s="283" t="s">
        <v>541</v>
      </c>
      <c r="C537" s="114">
        <v>19578</v>
      </c>
      <c r="D537" s="97"/>
      <c r="E537" s="105" t="s">
        <v>771</v>
      </c>
      <c r="F537" s="105" t="s">
        <v>60</v>
      </c>
      <c r="G537" s="108">
        <v>250</v>
      </c>
      <c r="H537" s="109">
        <v>45707</v>
      </c>
      <c r="I537" s="105" t="s">
        <v>604</v>
      </c>
      <c r="J537" s="105" t="s">
        <v>1103</v>
      </c>
      <c r="K537" s="283" t="s">
        <v>1104</v>
      </c>
      <c r="L537" s="109">
        <v>45695</v>
      </c>
      <c r="M537" s="109">
        <v>45713</v>
      </c>
      <c r="N537" s="105" t="s">
        <v>1105</v>
      </c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</row>
    <row r="538" spans="1:28" ht="29">
      <c r="A538" s="264"/>
      <c r="B538" s="264"/>
      <c r="C538" s="281">
        <v>19914</v>
      </c>
      <c r="D538" s="282"/>
      <c r="E538" s="282" t="s">
        <v>603</v>
      </c>
      <c r="F538" s="97" t="s">
        <v>33</v>
      </c>
      <c r="G538" s="121">
        <v>200</v>
      </c>
      <c r="H538" s="109">
        <v>45707</v>
      </c>
      <c r="I538" s="105" t="s">
        <v>604</v>
      </c>
      <c r="J538" s="105" t="s">
        <v>1103</v>
      </c>
      <c r="K538" s="264"/>
      <c r="L538" s="109">
        <v>45695</v>
      </c>
      <c r="M538" s="109">
        <v>45713</v>
      </c>
      <c r="N538" s="105" t="s">
        <v>1105</v>
      </c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</row>
    <row r="539" spans="1:28" ht="29">
      <c r="A539" s="264"/>
      <c r="B539" s="264"/>
      <c r="C539" s="261"/>
      <c r="D539" s="261"/>
      <c r="E539" s="261"/>
      <c r="F539" s="97" t="s">
        <v>35</v>
      </c>
      <c r="G539" s="121">
        <v>200</v>
      </c>
      <c r="H539" s="109">
        <v>45707</v>
      </c>
      <c r="I539" s="105" t="s">
        <v>604</v>
      </c>
      <c r="J539" s="105" t="s">
        <v>1103</v>
      </c>
      <c r="K539" s="264"/>
      <c r="L539" s="109">
        <v>45695</v>
      </c>
      <c r="M539" s="109">
        <v>45713</v>
      </c>
      <c r="N539" s="105" t="s">
        <v>1105</v>
      </c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</row>
    <row r="540" spans="1:28" ht="29">
      <c r="A540" s="264"/>
      <c r="B540" s="264"/>
      <c r="C540" s="114">
        <v>20170</v>
      </c>
      <c r="D540" s="97"/>
      <c r="E540" s="97" t="s">
        <v>1106</v>
      </c>
      <c r="F540" s="97" t="s">
        <v>56</v>
      </c>
      <c r="G540" s="121">
        <v>50</v>
      </c>
      <c r="H540" s="109">
        <v>45707</v>
      </c>
      <c r="I540" s="105" t="s">
        <v>604</v>
      </c>
      <c r="J540" s="105" t="s">
        <v>1103</v>
      </c>
      <c r="K540" s="264"/>
      <c r="L540" s="109">
        <v>45695</v>
      </c>
      <c r="M540" s="109">
        <v>45713</v>
      </c>
      <c r="N540" s="105" t="s">
        <v>1105</v>
      </c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</row>
    <row r="541" spans="1:28" ht="29">
      <c r="A541" s="264"/>
      <c r="B541" s="264"/>
      <c r="C541" s="281">
        <v>20406</v>
      </c>
      <c r="D541" s="282"/>
      <c r="E541" s="282" t="s">
        <v>907</v>
      </c>
      <c r="F541" s="97" t="s">
        <v>3</v>
      </c>
      <c r="G541" s="121">
        <v>250</v>
      </c>
      <c r="H541" s="109">
        <v>45707</v>
      </c>
      <c r="I541" s="105" t="s">
        <v>604</v>
      </c>
      <c r="J541" s="105" t="s">
        <v>1103</v>
      </c>
      <c r="K541" s="264"/>
      <c r="L541" s="109">
        <v>45695</v>
      </c>
      <c r="M541" s="109">
        <v>45713</v>
      </c>
      <c r="N541" s="105" t="s">
        <v>1105</v>
      </c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</row>
    <row r="542" spans="1:28" ht="29">
      <c r="A542" s="264"/>
      <c r="B542" s="264"/>
      <c r="C542" s="264"/>
      <c r="D542" s="264"/>
      <c r="E542" s="264"/>
      <c r="F542" s="97" t="s">
        <v>1</v>
      </c>
      <c r="G542" s="121">
        <v>150</v>
      </c>
      <c r="H542" s="109">
        <v>45707</v>
      </c>
      <c r="I542" s="105" t="s">
        <v>604</v>
      </c>
      <c r="J542" s="105" t="s">
        <v>1103</v>
      </c>
      <c r="K542" s="264"/>
      <c r="L542" s="109">
        <v>45695</v>
      </c>
      <c r="M542" s="109">
        <v>45713</v>
      </c>
      <c r="N542" s="105" t="s">
        <v>1105</v>
      </c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</row>
    <row r="543" spans="1:28" ht="29">
      <c r="A543" s="264"/>
      <c r="B543" s="264"/>
      <c r="C543" s="264"/>
      <c r="D543" s="264"/>
      <c r="E543" s="264"/>
      <c r="F543" s="97" t="s">
        <v>9</v>
      </c>
      <c r="G543" s="121">
        <v>150</v>
      </c>
      <c r="H543" s="109">
        <v>45707</v>
      </c>
      <c r="I543" s="105" t="s">
        <v>604</v>
      </c>
      <c r="J543" s="105" t="s">
        <v>1103</v>
      </c>
      <c r="K543" s="264"/>
      <c r="L543" s="109">
        <v>45695</v>
      </c>
      <c r="M543" s="109">
        <v>45713</v>
      </c>
      <c r="N543" s="105" t="s">
        <v>1105</v>
      </c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</row>
    <row r="544" spans="1:28" ht="29">
      <c r="A544" s="264"/>
      <c r="B544" s="264"/>
      <c r="C544" s="264"/>
      <c r="D544" s="264"/>
      <c r="E544" s="264"/>
      <c r="F544" s="97" t="s">
        <v>8</v>
      </c>
      <c r="G544" s="121">
        <v>150</v>
      </c>
      <c r="H544" s="109">
        <v>45707</v>
      </c>
      <c r="I544" s="105" t="s">
        <v>604</v>
      </c>
      <c r="J544" s="105" t="s">
        <v>1103</v>
      </c>
      <c r="K544" s="264"/>
      <c r="L544" s="109">
        <v>45695</v>
      </c>
      <c r="M544" s="109">
        <v>45713</v>
      </c>
      <c r="N544" s="105" t="s">
        <v>1105</v>
      </c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</row>
    <row r="545" spans="1:28" ht="29">
      <c r="A545" s="264"/>
      <c r="B545" s="264"/>
      <c r="C545" s="264"/>
      <c r="D545" s="264"/>
      <c r="E545" s="264"/>
      <c r="F545" s="97" t="s">
        <v>6</v>
      </c>
      <c r="G545" s="121">
        <v>200</v>
      </c>
      <c r="H545" s="109">
        <v>45707</v>
      </c>
      <c r="I545" s="105" t="s">
        <v>604</v>
      </c>
      <c r="J545" s="105" t="s">
        <v>1103</v>
      </c>
      <c r="K545" s="264"/>
      <c r="L545" s="109">
        <v>45695</v>
      </c>
      <c r="M545" s="109">
        <v>45713</v>
      </c>
      <c r="N545" s="105" t="s">
        <v>1105</v>
      </c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</row>
    <row r="546" spans="1:28" ht="29">
      <c r="A546" s="264"/>
      <c r="B546" s="264"/>
      <c r="C546" s="261"/>
      <c r="D546" s="261"/>
      <c r="E546" s="261"/>
      <c r="F546" s="97" t="s">
        <v>5</v>
      </c>
      <c r="G546" s="121">
        <v>150</v>
      </c>
      <c r="H546" s="109">
        <v>45707</v>
      </c>
      <c r="I546" s="105" t="s">
        <v>604</v>
      </c>
      <c r="J546" s="105" t="s">
        <v>1103</v>
      </c>
      <c r="K546" s="264"/>
      <c r="L546" s="109">
        <v>45695</v>
      </c>
      <c r="M546" s="109">
        <v>45713</v>
      </c>
      <c r="N546" s="105" t="s">
        <v>1105</v>
      </c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</row>
    <row r="547" spans="1:28" ht="29">
      <c r="A547" s="264"/>
      <c r="B547" s="264"/>
      <c r="C547" s="135">
        <v>20208</v>
      </c>
      <c r="D547" s="140" t="s">
        <v>1107</v>
      </c>
      <c r="E547" s="134" t="s">
        <v>1106</v>
      </c>
      <c r="F547" s="107" t="s">
        <v>17</v>
      </c>
      <c r="G547" s="123">
        <v>400</v>
      </c>
      <c r="H547" s="109">
        <v>45707</v>
      </c>
      <c r="I547" s="105" t="s">
        <v>604</v>
      </c>
      <c r="J547" s="105" t="s">
        <v>1103</v>
      </c>
      <c r="K547" s="264"/>
      <c r="L547" s="109">
        <v>45695</v>
      </c>
      <c r="M547" s="109">
        <v>45713</v>
      </c>
      <c r="N547" s="105" t="s">
        <v>1105</v>
      </c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</row>
    <row r="548" spans="1:28" ht="29">
      <c r="A548" s="264"/>
      <c r="B548" s="264"/>
      <c r="C548" s="281">
        <v>20209</v>
      </c>
      <c r="D548" s="284" t="s">
        <v>1107</v>
      </c>
      <c r="E548" s="282" t="s">
        <v>630</v>
      </c>
      <c r="F548" s="97" t="s">
        <v>3</v>
      </c>
      <c r="G548" s="121">
        <v>50</v>
      </c>
      <c r="H548" s="109">
        <v>45707</v>
      </c>
      <c r="I548" s="105" t="s">
        <v>604</v>
      </c>
      <c r="J548" s="105" t="s">
        <v>1103</v>
      </c>
      <c r="K548" s="264"/>
      <c r="L548" s="109">
        <v>45695</v>
      </c>
      <c r="M548" s="109">
        <v>45713</v>
      </c>
      <c r="N548" s="105" t="s">
        <v>1105</v>
      </c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</row>
    <row r="549" spans="1:28" ht="29">
      <c r="A549" s="264"/>
      <c r="B549" s="264"/>
      <c r="C549" s="264"/>
      <c r="D549" s="264"/>
      <c r="E549" s="264"/>
      <c r="F549" s="97" t="s">
        <v>6</v>
      </c>
      <c r="G549" s="121">
        <v>150</v>
      </c>
      <c r="H549" s="109">
        <v>45707</v>
      </c>
      <c r="I549" s="105" t="s">
        <v>604</v>
      </c>
      <c r="J549" s="105" t="s">
        <v>1103</v>
      </c>
      <c r="K549" s="264"/>
      <c r="L549" s="109">
        <v>45695</v>
      </c>
      <c r="M549" s="109">
        <v>45713</v>
      </c>
      <c r="N549" s="105" t="s">
        <v>1105</v>
      </c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</row>
    <row r="550" spans="1:28" ht="29">
      <c r="A550" s="264"/>
      <c r="B550" s="264"/>
      <c r="C550" s="264"/>
      <c r="D550" s="264"/>
      <c r="E550" s="264"/>
      <c r="F550" s="97" t="s">
        <v>5</v>
      </c>
      <c r="G550" s="121">
        <v>50</v>
      </c>
      <c r="H550" s="109">
        <v>45707</v>
      </c>
      <c r="I550" s="105" t="s">
        <v>604</v>
      </c>
      <c r="J550" s="105" t="s">
        <v>1103</v>
      </c>
      <c r="K550" s="264"/>
      <c r="L550" s="109">
        <v>45695</v>
      </c>
      <c r="M550" s="109">
        <v>45713</v>
      </c>
      <c r="N550" s="105" t="s">
        <v>1105</v>
      </c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</row>
    <row r="551" spans="1:28" ht="29">
      <c r="A551" s="261"/>
      <c r="B551" s="261"/>
      <c r="C551" s="261"/>
      <c r="D551" s="261"/>
      <c r="E551" s="261"/>
      <c r="F551" s="97" t="s">
        <v>8</v>
      </c>
      <c r="G551" s="121">
        <v>200</v>
      </c>
      <c r="H551" s="109">
        <v>45707</v>
      </c>
      <c r="I551" s="105" t="s">
        <v>604</v>
      </c>
      <c r="J551" s="105" t="s">
        <v>1103</v>
      </c>
      <c r="K551" s="261"/>
      <c r="L551" s="109">
        <v>45695</v>
      </c>
      <c r="M551" s="109">
        <v>45713</v>
      </c>
      <c r="N551" s="105" t="s">
        <v>1105</v>
      </c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</row>
    <row r="552" spans="1:28" ht="29">
      <c r="A552" s="113">
        <v>202</v>
      </c>
      <c r="B552" s="105" t="s">
        <v>543</v>
      </c>
      <c r="C552" s="114">
        <v>20740</v>
      </c>
      <c r="D552" s="97"/>
      <c r="E552" s="97" t="s">
        <v>554</v>
      </c>
      <c r="F552" s="97" t="s">
        <v>169</v>
      </c>
      <c r="G552" s="121">
        <v>50</v>
      </c>
      <c r="H552" s="109">
        <v>45685</v>
      </c>
      <c r="I552" s="105" t="s">
        <v>623</v>
      </c>
      <c r="J552" s="108">
        <v>771465231082</v>
      </c>
      <c r="K552" s="105" t="s">
        <v>577</v>
      </c>
      <c r="L552" s="109">
        <v>45685</v>
      </c>
      <c r="M552" s="109">
        <v>45693</v>
      </c>
      <c r="N552" s="105" t="s">
        <v>1108</v>
      </c>
      <c r="O552" s="105" t="s">
        <v>1109</v>
      </c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</row>
    <row r="553" spans="1:28" ht="29">
      <c r="A553" s="280">
        <v>204</v>
      </c>
      <c r="B553" s="105" t="s">
        <v>543</v>
      </c>
      <c r="C553" s="114">
        <v>19605</v>
      </c>
      <c r="D553" s="97"/>
      <c r="E553" s="97" t="s">
        <v>681</v>
      </c>
      <c r="F553" s="97" t="s">
        <v>45</v>
      </c>
      <c r="G553" s="121">
        <v>10</v>
      </c>
      <c r="H553" s="109">
        <v>45678</v>
      </c>
      <c r="I553" s="105" t="s">
        <v>623</v>
      </c>
      <c r="J553" s="108">
        <v>771564954928</v>
      </c>
      <c r="K553" s="283" t="s">
        <v>577</v>
      </c>
      <c r="L553" s="109">
        <v>45678</v>
      </c>
      <c r="M553" s="109">
        <v>45682</v>
      </c>
      <c r="N553" s="105" t="s">
        <v>1110</v>
      </c>
      <c r="O553" s="105" t="s">
        <v>1111</v>
      </c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</row>
    <row r="554" spans="1:28" ht="29">
      <c r="A554" s="261"/>
      <c r="B554" s="105" t="s">
        <v>543</v>
      </c>
      <c r="C554" s="114">
        <v>20265</v>
      </c>
      <c r="D554" s="97"/>
      <c r="E554" s="97" t="s">
        <v>1112</v>
      </c>
      <c r="F554" s="97" t="s">
        <v>45</v>
      </c>
      <c r="G554" s="121">
        <v>20</v>
      </c>
      <c r="H554" s="109">
        <v>45678</v>
      </c>
      <c r="I554" s="105" t="s">
        <v>623</v>
      </c>
      <c r="J554" s="108">
        <v>771564954928</v>
      </c>
      <c r="K554" s="261"/>
      <c r="L554" s="109">
        <v>45678</v>
      </c>
      <c r="M554" s="109">
        <v>45682</v>
      </c>
      <c r="N554" s="105" t="s">
        <v>1110</v>
      </c>
      <c r="O554" s="105" t="s">
        <v>1111</v>
      </c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</row>
    <row r="555" spans="1:28" ht="29">
      <c r="A555" s="113">
        <v>205</v>
      </c>
      <c r="B555" s="105" t="s">
        <v>543</v>
      </c>
      <c r="C555" s="114">
        <v>20840</v>
      </c>
      <c r="D555" s="97"/>
      <c r="E555" s="97" t="s">
        <v>1113</v>
      </c>
      <c r="F555" s="97" t="s">
        <v>411</v>
      </c>
      <c r="G555" s="121">
        <v>298</v>
      </c>
      <c r="H555" s="109">
        <v>45680</v>
      </c>
      <c r="I555" s="105" t="s">
        <v>623</v>
      </c>
      <c r="J555" s="108">
        <v>771591623085</v>
      </c>
      <c r="K555" s="105" t="s">
        <v>669</v>
      </c>
      <c r="L555" s="109">
        <v>45679</v>
      </c>
      <c r="M555" s="109">
        <v>45688</v>
      </c>
      <c r="N555" s="105" t="s">
        <v>1100</v>
      </c>
      <c r="O555" s="105" t="s">
        <v>1109</v>
      </c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</row>
    <row r="556" spans="1:28" ht="29">
      <c r="A556" s="113">
        <v>206</v>
      </c>
      <c r="B556" s="105" t="s">
        <v>543</v>
      </c>
      <c r="C556" s="114">
        <v>21159</v>
      </c>
      <c r="D556" s="106" t="s">
        <v>1114</v>
      </c>
      <c r="E556" s="97" t="s">
        <v>818</v>
      </c>
      <c r="F556" s="107" t="s">
        <v>1115</v>
      </c>
      <c r="G556" s="123">
        <v>10</v>
      </c>
      <c r="H556" s="109">
        <v>45712</v>
      </c>
      <c r="I556" s="105" t="s">
        <v>623</v>
      </c>
      <c r="J556" s="108">
        <v>772258810171</v>
      </c>
      <c r="K556" s="105" t="s">
        <v>577</v>
      </c>
      <c r="L556" s="109">
        <v>45712</v>
      </c>
      <c r="M556" s="109">
        <v>45715</v>
      </c>
      <c r="N556" s="105" t="s">
        <v>1116</v>
      </c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</row>
    <row r="557" spans="1:28" ht="29">
      <c r="A557" s="280">
        <v>207</v>
      </c>
      <c r="B557" s="283" t="s">
        <v>543</v>
      </c>
      <c r="C557" s="281">
        <v>19580</v>
      </c>
      <c r="D557" s="282"/>
      <c r="E557" s="295" t="s">
        <v>989</v>
      </c>
      <c r="F557" s="97" t="s">
        <v>1117</v>
      </c>
      <c r="G557" s="121">
        <v>3</v>
      </c>
      <c r="H557" s="109">
        <v>45716</v>
      </c>
      <c r="I557" s="105" t="s">
        <v>1118</v>
      </c>
      <c r="J557" s="97"/>
      <c r="K557" s="283" t="s">
        <v>610</v>
      </c>
      <c r="L557" s="109">
        <v>45716</v>
      </c>
      <c r="M557" s="109">
        <v>45722</v>
      </c>
      <c r="N557" s="105" t="s">
        <v>1119</v>
      </c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</row>
    <row r="558" spans="1:28" ht="29">
      <c r="A558" s="264"/>
      <c r="B558" s="264"/>
      <c r="C558" s="264"/>
      <c r="D558" s="264"/>
      <c r="E558" s="264"/>
      <c r="F558" s="97" t="s">
        <v>1120</v>
      </c>
      <c r="G558" s="121">
        <v>3</v>
      </c>
      <c r="H558" s="109">
        <v>45716</v>
      </c>
      <c r="I558" s="105" t="s">
        <v>1118</v>
      </c>
      <c r="J558" s="97"/>
      <c r="K558" s="264"/>
      <c r="L558" s="109">
        <v>45716</v>
      </c>
      <c r="M558" s="109">
        <v>45722</v>
      </c>
      <c r="N558" s="105" t="s">
        <v>1119</v>
      </c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</row>
    <row r="559" spans="1:28" ht="29">
      <c r="A559" s="264"/>
      <c r="B559" s="264"/>
      <c r="C559" s="264"/>
      <c r="D559" s="264"/>
      <c r="E559" s="264"/>
      <c r="F559" s="97" t="s">
        <v>1121</v>
      </c>
      <c r="G559" s="121">
        <v>3</v>
      </c>
      <c r="H559" s="109">
        <v>45716</v>
      </c>
      <c r="I559" s="105" t="s">
        <v>1118</v>
      </c>
      <c r="J559" s="97"/>
      <c r="K559" s="264"/>
      <c r="L559" s="109">
        <v>45716</v>
      </c>
      <c r="M559" s="109">
        <v>45722</v>
      </c>
      <c r="N559" s="105" t="s">
        <v>1119</v>
      </c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</row>
    <row r="560" spans="1:28" ht="29">
      <c r="A560" s="264"/>
      <c r="B560" s="264"/>
      <c r="C560" s="264"/>
      <c r="D560" s="264"/>
      <c r="E560" s="264"/>
      <c r="F560" s="97" t="s">
        <v>1122</v>
      </c>
      <c r="G560" s="121">
        <v>3</v>
      </c>
      <c r="H560" s="109">
        <v>45716</v>
      </c>
      <c r="I560" s="105" t="s">
        <v>1118</v>
      </c>
      <c r="J560" s="97"/>
      <c r="K560" s="264"/>
      <c r="L560" s="109">
        <v>45716</v>
      </c>
      <c r="M560" s="109">
        <v>45722</v>
      </c>
      <c r="N560" s="105" t="s">
        <v>1119</v>
      </c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</row>
    <row r="561" spans="1:28" ht="29">
      <c r="A561" s="261"/>
      <c r="B561" s="261"/>
      <c r="C561" s="261"/>
      <c r="D561" s="261"/>
      <c r="E561" s="261"/>
      <c r="F561" s="97" t="s">
        <v>1123</v>
      </c>
      <c r="G561" s="121">
        <v>3</v>
      </c>
      <c r="H561" s="109">
        <v>45716</v>
      </c>
      <c r="I561" s="105" t="s">
        <v>1118</v>
      </c>
      <c r="J561" s="97"/>
      <c r="K561" s="261"/>
      <c r="L561" s="109">
        <v>45716</v>
      </c>
      <c r="M561" s="109">
        <v>45722</v>
      </c>
      <c r="N561" s="105" t="s">
        <v>1119</v>
      </c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</row>
    <row r="562" spans="1:28" ht="29">
      <c r="A562" s="280">
        <v>208</v>
      </c>
      <c r="B562" s="283" t="s">
        <v>543</v>
      </c>
      <c r="C562" s="281">
        <v>20376</v>
      </c>
      <c r="D562" s="282"/>
      <c r="E562" s="282" t="s">
        <v>1095</v>
      </c>
      <c r="F562" s="97" t="s">
        <v>11</v>
      </c>
      <c r="G562" s="121">
        <v>200</v>
      </c>
      <c r="H562" s="109">
        <v>45697</v>
      </c>
      <c r="I562" s="105" t="s">
        <v>604</v>
      </c>
      <c r="J562" s="105" t="s">
        <v>1124</v>
      </c>
      <c r="K562" s="283" t="s">
        <v>964</v>
      </c>
      <c r="L562" s="109">
        <v>45696</v>
      </c>
      <c r="M562" s="109">
        <v>45698</v>
      </c>
      <c r="N562" s="105" t="s">
        <v>1125</v>
      </c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</row>
    <row r="563" spans="1:28" ht="29">
      <c r="A563" s="264"/>
      <c r="B563" s="264"/>
      <c r="C563" s="261"/>
      <c r="D563" s="261"/>
      <c r="E563" s="261"/>
      <c r="F563" s="107" t="s">
        <v>10</v>
      </c>
      <c r="G563" s="123">
        <v>200</v>
      </c>
      <c r="H563" s="109">
        <v>45697</v>
      </c>
      <c r="I563" s="105" t="s">
        <v>604</v>
      </c>
      <c r="J563" s="105" t="s">
        <v>1124</v>
      </c>
      <c r="K563" s="264"/>
      <c r="L563" s="109">
        <v>45696</v>
      </c>
      <c r="M563" s="109">
        <v>45698</v>
      </c>
      <c r="N563" s="105" t="s">
        <v>1125</v>
      </c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</row>
    <row r="564" spans="1:28" ht="29">
      <c r="A564" s="261"/>
      <c r="B564" s="261"/>
      <c r="C564" s="114">
        <v>20208</v>
      </c>
      <c r="D564" s="106" t="s">
        <v>1107</v>
      </c>
      <c r="E564" s="97" t="s">
        <v>1106</v>
      </c>
      <c r="F564" s="107" t="s">
        <v>10</v>
      </c>
      <c r="G564" s="123">
        <v>200</v>
      </c>
      <c r="H564" s="109">
        <v>45697</v>
      </c>
      <c r="I564" s="105" t="s">
        <v>604</v>
      </c>
      <c r="J564" s="105" t="s">
        <v>1124</v>
      </c>
      <c r="K564" s="261"/>
      <c r="L564" s="109">
        <v>45696</v>
      </c>
      <c r="M564" s="109">
        <v>45698</v>
      </c>
      <c r="N564" s="105" t="s">
        <v>1125</v>
      </c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</row>
    <row r="565" spans="1:28" ht="29">
      <c r="A565" s="280">
        <v>209</v>
      </c>
      <c r="B565" s="105" t="s">
        <v>543</v>
      </c>
      <c r="C565" s="114">
        <v>20965</v>
      </c>
      <c r="D565" s="106" t="s">
        <v>1126</v>
      </c>
      <c r="E565" s="97" t="s">
        <v>554</v>
      </c>
      <c r="F565" s="107" t="s">
        <v>1127</v>
      </c>
      <c r="G565" s="123">
        <v>5</v>
      </c>
      <c r="H565" s="109">
        <v>45695</v>
      </c>
      <c r="I565" s="105" t="s">
        <v>623</v>
      </c>
      <c r="J565" s="108">
        <v>771905588629</v>
      </c>
      <c r="K565" s="283" t="s">
        <v>736</v>
      </c>
      <c r="L565" s="109">
        <v>45695</v>
      </c>
      <c r="M565" s="109">
        <v>45701</v>
      </c>
      <c r="N565" s="105" t="s">
        <v>1125</v>
      </c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</row>
    <row r="566" spans="1:28" ht="29">
      <c r="A566" s="264"/>
      <c r="B566" s="283" t="s">
        <v>543</v>
      </c>
      <c r="C566" s="106">
        <v>20555</v>
      </c>
      <c r="D566" s="97"/>
      <c r="E566" s="105" t="s">
        <v>554</v>
      </c>
      <c r="F566" s="97" t="s">
        <v>122</v>
      </c>
      <c r="G566" s="121">
        <v>50</v>
      </c>
      <c r="H566" s="109">
        <v>45695</v>
      </c>
      <c r="I566" s="105" t="s">
        <v>623</v>
      </c>
      <c r="J566" s="108">
        <v>771905588629</v>
      </c>
      <c r="K566" s="264"/>
      <c r="L566" s="109">
        <v>45695</v>
      </c>
      <c r="M566" s="109">
        <v>45701</v>
      </c>
      <c r="N566" s="105" t="s">
        <v>1125</v>
      </c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</row>
    <row r="567" spans="1:28" ht="29">
      <c r="A567" s="261"/>
      <c r="B567" s="261"/>
      <c r="C567" s="106">
        <v>20556</v>
      </c>
      <c r="D567" s="97"/>
      <c r="E567" s="105" t="s">
        <v>554</v>
      </c>
      <c r="F567" s="97" t="s">
        <v>122</v>
      </c>
      <c r="G567" s="121">
        <v>50</v>
      </c>
      <c r="H567" s="109">
        <v>45695</v>
      </c>
      <c r="I567" s="105" t="s">
        <v>623</v>
      </c>
      <c r="J567" s="108">
        <v>771905588629</v>
      </c>
      <c r="K567" s="264"/>
      <c r="L567" s="109">
        <v>45695</v>
      </c>
      <c r="M567" s="109">
        <v>45701</v>
      </c>
      <c r="N567" s="105" t="s">
        <v>1125</v>
      </c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</row>
    <row r="568" spans="1:28" ht="29">
      <c r="A568" s="291">
        <v>210</v>
      </c>
      <c r="B568" s="283" t="s">
        <v>543</v>
      </c>
      <c r="C568" s="106">
        <v>20617</v>
      </c>
      <c r="D568" s="97"/>
      <c r="E568" s="105" t="s">
        <v>554</v>
      </c>
      <c r="F568" s="97" t="s">
        <v>122</v>
      </c>
      <c r="G568" s="121">
        <v>50</v>
      </c>
      <c r="H568" s="109">
        <v>45717</v>
      </c>
      <c r="I568" s="105" t="s">
        <v>1072</v>
      </c>
      <c r="J568" s="105" t="s">
        <v>1128</v>
      </c>
      <c r="K568" s="283" t="s">
        <v>896</v>
      </c>
      <c r="L568" s="109">
        <v>45707</v>
      </c>
      <c r="M568" s="109">
        <v>45719</v>
      </c>
      <c r="N568" s="105" t="s">
        <v>1129</v>
      </c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</row>
    <row r="569" spans="1:28" ht="29">
      <c r="A569" s="264"/>
      <c r="B569" s="264"/>
      <c r="C569" s="106">
        <v>20618</v>
      </c>
      <c r="D569" s="97"/>
      <c r="E569" s="105" t="s">
        <v>554</v>
      </c>
      <c r="F569" s="97" t="s">
        <v>122</v>
      </c>
      <c r="G569" s="121">
        <v>50</v>
      </c>
      <c r="H569" s="109">
        <v>45717</v>
      </c>
      <c r="I569" s="105" t="s">
        <v>1072</v>
      </c>
      <c r="J569" s="105" t="s">
        <v>1128</v>
      </c>
      <c r="K569" s="264"/>
      <c r="L569" s="109">
        <v>45707</v>
      </c>
      <c r="M569" s="109">
        <v>45719</v>
      </c>
      <c r="N569" s="105" t="s">
        <v>1129</v>
      </c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</row>
    <row r="570" spans="1:28" ht="29">
      <c r="A570" s="264"/>
      <c r="B570" s="264"/>
      <c r="C570" s="106">
        <v>20619</v>
      </c>
      <c r="D570" s="97"/>
      <c r="E570" s="105" t="s">
        <v>554</v>
      </c>
      <c r="F570" s="97" t="s">
        <v>122</v>
      </c>
      <c r="G570" s="121">
        <v>50</v>
      </c>
      <c r="H570" s="109">
        <v>45717</v>
      </c>
      <c r="I570" s="105" t="s">
        <v>1072</v>
      </c>
      <c r="J570" s="105" t="s">
        <v>1128</v>
      </c>
      <c r="K570" s="264"/>
      <c r="L570" s="109">
        <v>45707</v>
      </c>
      <c r="M570" s="109">
        <v>45719</v>
      </c>
      <c r="N570" s="105" t="s">
        <v>1129</v>
      </c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</row>
    <row r="571" spans="1:28" ht="29">
      <c r="A571" s="261"/>
      <c r="B571" s="261"/>
      <c r="C571" s="106">
        <v>20620</v>
      </c>
      <c r="D571" s="97"/>
      <c r="E571" s="105" t="s">
        <v>554</v>
      </c>
      <c r="F571" s="97" t="s">
        <v>122</v>
      </c>
      <c r="G571" s="121">
        <v>50</v>
      </c>
      <c r="H571" s="109">
        <v>45717</v>
      </c>
      <c r="I571" s="105" t="s">
        <v>1072</v>
      </c>
      <c r="J571" s="105" t="s">
        <v>1128</v>
      </c>
      <c r="K571" s="264"/>
      <c r="L571" s="109">
        <v>45707</v>
      </c>
      <c r="M571" s="109">
        <v>45719</v>
      </c>
      <c r="N571" s="105" t="s">
        <v>1129</v>
      </c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</row>
    <row r="572" spans="1:28" ht="29">
      <c r="A572" s="280">
        <v>211</v>
      </c>
      <c r="B572" s="283" t="s">
        <v>543</v>
      </c>
      <c r="C572" s="114">
        <v>20380</v>
      </c>
      <c r="D572" s="97"/>
      <c r="E572" s="97" t="s">
        <v>687</v>
      </c>
      <c r="F572" s="97" t="s">
        <v>1131</v>
      </c>
      <c r="G572" s="121" t="s">
        <v>1132</v>
      </c>
      <c r="H572" s="109">
        <v>45702</v>
      </c>
      <c r="I572" s="283" t="s">
        <v>623</v>
      </c>
      <c r="J572" s="108">
        <v>772052905984</v>
      </c>
      <c r="K572" s="105" t="s">
        <v>558</v>
      </c>
      <c r="L572" s="109">
        <v>45702</v>
      </c>
      <c r="M572" s="109">
        <v>45706</v>
      </c>
      <c r="N572" s="105" t="s">
        <v>1133</v>
      </c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</row>
    <row r="573" spans="1:28" ht="29">
      <c r="A573" s="261"/>
      <c r="B573" s="261"/>
      <c r="C573" s="114">
        <v>20793</v>
      </c>
      <c r="D573" s="97"/>
      <c r="E573" s="97" t="s">
        <v>687</v>
      </c>
      <c r="F573" s="97" t="s">
        <v>439</v>
      </c>
      <c r="G573" s="121">
        <v>50</v>
      </c>
      <c r="H573" s="109">
        <v>45702</v>
      </c>
      <c r="I573" s="261"/>
      <c r="J573" s="108">
        <v>772052905984</v>
      </c>
      <c r="K573" s="105" t="s">
        <v>577</v>
      </c>
      <c r="L573" s="109">
        <v>45702</v>
      </c>
      <c r="M573" s="109">
        <v>45706</v>
      </c>
      <c r="N573" s="105" t="s">
        <v>1133</v>
      </c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</row>
    <row r="574" spans="1:28" ht="29">
      <c r="A574" s="113">
        <v>212</v>
      </c>
      <c r="B574" s="105" t="s">
        <v>543</v>
      </c>
      <c r="C574" s="114">
        <v>20841</v>
      </c>
      <c r="D574" s="97"/>
      <c r="E574" s="97" t="s">
        <v>1113</v>
      </c>
      <c r="F574" s="97" t="s">
        <v>411</v>
      </c>
      <c r="G574" s="121">
        <v>702</v>
      </c>
      <c r="H574" s="109">
        <v>45716</v>
      </c>
      <c r="I574" s="105" t="s">
        <v>623</v>
      </c>
      <c r="J574" s="108">
        <v>772350485891</v>
      </c>
      <c r="K574" s="105" t="s">
        <v>736</v>
      </c>
      <c r="L574" s="109">
        <v>45716</v>
      </c>
      <c r="M574" s="109">
        <v>45720</v>
      </c>
      <c r="N574" s="105" t="s">
        <v>1134</v>
      </c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</row>
    <row r="575" spans="1:28" ht="29">
      <c r="A575" s="280">
        <v>213</v>
      </c>
      <c r="B575" s="283" t="s">
        <v>543</v>
      </c>
      <c r="C575" s="281">
        <v>20843</v>
      </c>
      <c r="D575" s="284" t="s">
        <v>1135</v>
      </c>
      <c r="E575" s="295" t="s">
        <v>832</v>
      </c>
      <c r="F575" s="107" t="s">
        <v>833</v>
      </c>
      <c r="G575" s="123">
        <v>50</v>
      </c>
      <c r="H575" s="109">
        <v>45706</v>
      </c>
      <c r="I575" s="105" t="s">
        <v>623</v>
      </c>
      <c r="J575" s="108">
        <v>772138351200</v>
      </c>
      <c r="K575" s="283" t="s">
        <v>610</v>
      </c>
      <c r="L575" s="109">
        <v>45706</v>
      </c>
      <c r="M575" s="109">
        <v>45712</v>
      </c>
      <c r="N575" s="105" t="s">
        <v>1050</v>
      </c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</row>
    <row r="576" spans="1:28" ht="29">
      <c r="A576" s="261"/>
      <c r="B576" s="261"/>
      <c r="C576" s="261"/>
      <c r="D576" s="261"/>
      <c r="E576" s="261"/>
      <c r="F576" s="107" t="s">
        <v>835</v>
      </c>
      <c r="G576" s="123">
        <v>40</v>
      </c>
      <c r="H576" s="109">
        <v>45706</v>
      </c>
      <c r="I576" s="105" t="s">
        <v>623</v>
      </c>
      <c r="J576" s="108">
        <v>772138351200</v>
      </c>
      <c r="K576" s="261"/>
      <c r="L576" s="109">
        <v>45706</v>
      </c>
      <c r="M576" s="109">
        <v>45712</v>
      </c>
      <c r="N576" s="105" t="s">
        <v>1050</v>
      </c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</row>
    <row r="577" spans="1:28" ht="28">
      <c r="A577" s="113">
        <v>214</v>
      </c>
      <c r="B577" s="105" t="s">
        <v>543</v>
      </c>
      <c r="C577" s="114">
        <v>21192</v>
      </c>
      <c r="D577" s="106" t="s">
        <v>1136</v>
      </c>
      <c r="E577" s="107" t="s">
        <v>554</v>
      </c>
      <c r="F577" s="107" t="s">
        <v>1137</v>
      </c>
      <c r="G577" s="123">
        <v>3</v>
      </c>
      <c r="H577" s="109">
        <v>45714</v>
      </c>
      <c r="I577" s="105" t="s">
        <v>623</v>
      </c>
      <c r="J577" s="108">
        <v>772299519549</v>
      </c>
      <c r="K577" s="105" t="s">
        <v>577</v>
      </c>
      <c r="L577" s="109">
        <v>45714</v>
      </c>
      <c r="M577" s="109">
        <v>45721</v>
      </c>
      <c r="N577" s="191" t="s">
        <v>1138</v>
      </c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</row>
    <row r="578" spans="1:28" ht="29">
      <c r="A578" s="113">
        <v>173</v>
      </c>
      <c r="B578" s="105" t="s">
        <v>543</v>
      </c>
      <c r="C578" s="114">
        <v>19822</v>
      </c>
      <c r="D578" s="97"/>
      <c r="E578" s="105" t="s">
        <v>1032</v>
      </c>
      <c r="F578" s="105" t="s">
        <v>1033</v>
      </c>
      <c r="G578" s="108">
        <v>2</v>
      </c>
      <c r="H578" s="109">
        <v>45709</v>
      </c>
      <c r="I578" s="105" t="s">
        <v>623</v>
      </c>
      <c r="J578" s="108">
        <v>772197889868</v>
      </c>
      <c r="K578" s="105" t="s">
        <v>577</v>
      </c>
      <c r="L578" s="109">
        <v>45709</v>
      </c>
      <c r="M578" s="109">
        <v>45713</v>
      </c>
      <c r="N578" s="105" t="s">
        <v>1034</v>
      </c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</row>
    <row r="579" spans="1:28" ht="29">
      <c r="A579" s="113">
        <v>180</v>
      </c>
      <c r="B579" s="105" t="s">
        <v>543</v>
      </c>
      <c r="C579" s="114">
        <v>19895</v>
      </c>
      <c r="D579" s="97"/>
      <c r="E579" s="97" t="s">
        <v>899</v>
      </c>
      <c r="F579" s="97" t="s">
        <v>169</v>
      </c>
      <c r="G579" s="121">
        <v>200</v>
      </c>
      <c r="H579" s="109">
        <v>45707</v>
      </c>
      <c r="I579" s="105" t="s">
        <v>623</v>
      </c>
      <c r="J579" s="108">
        <v>772138937670</v>
      </c>
      <c r="K579" s="105" t="s">
        <v>1025</v>
      </c>
      <c r="L579" s="109">
        <v>45707</v>
      </c>
      <c r="M579" s="109">
        <v>45712</v>
      </c>
      <c r="N579" s="105" t="s">
        <v>1050</v>
      </c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</row>
    <row r="580" spans="1:28" ht="29">
      <c r="A580" s="113">
        <v>215</v>
      </c>
      <c r="B580" s="192" t="s">
        <v>541</v>
      </c>
      <c r="C580" s="157">
        <v>21126</v>
      </c>
      <c r="D580" s="157" t="s">
        <v>1139</v>
      </c>
      <c r="E580" s="107" t="s">
        <v>1140</v>
      </c>
      <c r="F580" s="107" t="s">
        <v>403</v>
      </c>
      <c r="G580" s="123">
        <v>4400</v>
      </c>
      <c r="H580" s="193">
        <v>45747</v>
      </c>
      <c r="I580" s="194" t="s">
        <v>604</v>
      </c>
      <c r="J580" s="192" t="s">
        <v>1141</v>
      </c>
      <c r="K580" s="192" t="s">
        <v>669</v>
      </c>
      <c r="L580" s="193">
        <v>45741</v>
      </c>
      <c r="M580" s="193">
        <v>45756</v>
      </c>
      <c r="N580" s="105" t="s">
        <v>1142</v>
      </c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</row>
    <row r="581" spans="1:28" ht="29">
      <c r="A581" s="280">
        <v>216</v>
      </c>
      <c r="B581" s="283" t="s">
        <v>543</v>
      </c>
      <c r="C581" s="284">
        <v>21253</v>
      </c>
      <c r="D581" s="284" t="s">
        <v>1143</v>
      </c>
      <c r="E581" s="282" t="s">
        <v>636</v>
      </c>
      <c r="F581" s="97" t="s">
        <v>1144</v>
      </c>
      <c r="G581" s="121">
        <v>100</v>
      </c>
      <c r="H581" s="109">
        <v>45722</v>
      </c>
      <c r="I581" s="105" t="s">
        <v>623</v>
      </c>
      <c r="J581" s="108">
        <v>772488909455</v>
      </c>
      <c r="K581" s="283" t="s">
        <v>577</v>
      </c>
      <c r="L581" s="109">
        <v>45722</v>
      </c>
      <c r="M581" s="109">
        <v>45726</v>
      </c>
      <c r="N581" s="105" t="s">
        <v>1145</v>
      </c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</row>
    <row r="582" spans="1:28" ht="29">
      <c r="A582" s="264"/>
      <c r="B582" s="264"/>
      <c r="C582" s="264"/>
      <c r="D582" s="264"/>
      <c r="E582" s="264"/>
      <c r="F582" s="97" t="s">
        <v>1146</v>
      </c>
      <c r="G582" s="121">
        <v>100</v>
      </c>
      <c r="H582" s="109">
        <v>45722</v>
      </c>
      <c r="I582" s="105" t="s">
        <v>623</v>
      </c>
      <c r="J582" s="108">
        <v>772488909455</v>
      </c>
      <c r="K582" s="264"/>
      <c r="L582" s="109">
        <v>45722</v>
      </c>
      <c r="M582" s="109">
        <v>45726</v>
      </c>
      <c r="N582" s="105" t="s">
        <v>1145</v>
      </c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</row>
    <row r="583" spans="1:28" ht="29">
      <c r="A583" s="264"/>
      <c r="B583" s="264"/>
      <c r="C583" s="264"/>
      <c r="D583" s="264"/>
      <c r="E583" s="264"/>
      <c r="F583" s="97" t="s">
        <v>1147</v>
      </c>
      <c r="G583" s="121">
        <v>100</v>
      </c>
      <c r="H583" s="109">
        <v>45722</v>
      </c>
      <c r="I583" s="105" t="s">
        <v>623</v>
      </c>
      <c r="J583" s="108">
        <v>772488909455</v>
      </c>
      <c r="K583" s="264"/>
      <c r="L583" s="109">
        <v>45722</v>
      </c>
      <c r="M583" s="109">
        <v>45726</v>
      </c>
      <c r="N583" s="105" t="s">
        <v>1145</v>
      </c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</row>
    <row r="584" spans="1:28" ht="29">
      <c r="A584" s="261"/>
      <c r="B584" s="261"/>
      <c r="C584" s="261"/>
      <c r="D584" s="261"/>
      <c r="E584" s="261"/>
      <c r="F584" s="97" t="s">
        <v>1148</v>
      </c>
      <c r="G584" s="121">
        <v>100</v>
      </c>
      <c r="H584" s="109">
        <v>45722</v>
      </c>
      <c r="I584" s="105" t="s">
        <v>623</v>
      </c>
      <c r="J584" s="108">
        <v>772488909455</v>
      </c>
      <c r="K584" s="261"/>
      <c r="L584" s="109">
        <v>45722</v>
      </c>
      <c r="M584" s="109">
        <v>45726</v>
      </c>
      <c r="N584" s="105" t="s">
        <v>1145</v>
      </c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</row>
    <row r="585" spans="1:28" ht="29">
      <c r="A585" s="113">
        <v>217</v>
      </c>
      <c r="B585" s="105" t="s">
        <v>543</v>
      </c>
      <c r="C585" s="106">
        <v>21279</v>
      </c>
      <c r="D585" s="97"/>
      <c r="E585" s="97" t="s">
        <v>1149</v>
      </c>
      <c r="F585" s="97" t="s">
        <v>1150</v>
      </c>
      <c r="G585" s="121">
        <v>20</v>
      </c>
      <c r="H585" s="109">
        <v>45723</v>
      </c>
      <c r="I585" s="105" t="s">
        <v>623</v>
      </c>
      <c r="J585" s="108">
        <v>772516628397</v>
      </c>
      <c r="K585" s="105" t="s">
        <v>577</v>
      </c>
      <c r="L585" s="109">
        <v>45723</v>
      </c>
      <c r="M585" s="109">
        <v>45727</v>
      </c>
      <c r="N585" s="105" t="s">
        <v>1151</v>
      </c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</row>
    <row r="586" spans="1:28" ht="29">
      <c r="A586" s="113">
        <v>218</v>
      </c>
      <c r="B586" s="105" t="s">
        <v>543</v>
      </c>
      <c r="C586" s="114">
        <v>21274</v>
      </c>
      <c r="D586" s="106" t="s">
        <v>1152</v>
      </c>
      <c r="E586" s="107" t="s">
        <v>1153</v>
      </c>
      <c r="F586" s="107" t="s">
        <v>48</v>
      </c>
      <c r="G586" s="123">
        <v>10</v>
      </c>
      <c r="H586" s="109">
        <v>45726</v>
      </c>
      <c r="I586" s="105" t="s">
        <v>623</v>
      </c>
      <c r="J586" s="108">
        <v>772517162568</v>
      </c>
      <c r="K586" s="105" t="s">
        <v>577</v>
      </c>
      <c r="L586" s="109">
        <v>45726</v>
      </c>
      <c r="M586" s="109">
        <v>45733</v>
      </c>
      <c r="N586" s="105" t="s">
        <v>1154</v>
      </c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</row>
    <row r="587" spans="1:28" ht="29">
      <c r="A587" s="113">
        <v>219</v>
      </c>
      <c r="B587" s="105" t="s">
        <v>543</v>
      </c>
      <c r="C587" s="114">
        <v>20102</v>
      </c>
      <c r="D587" s="97"/>
      <c r="E587" s="97" t="s">
        <v>603</v>
      </c>
      <c r="F587" s="97" t="s">
        <v>35</v>
      </c>
      <c r="G587" s="121">
        <v>300</v>
      </c>
      <c r="H587" s="109">
        <v>45726</v>
      </c>
      <c r="I587" s="105" t="s">
        <v>623</v>
      </c>
      <c r="J587" s="108">
        <v>772546057871</v>
      </c>
      <c r="K587" s="105" t="s">
        <v>666</v>
      </c>
      <c r="L587" s="109">
        <v>45726</v>
      </c>
      <c r="M587" s="109">
        <v>45728</v>
      </c>
      <c r="N587" s="105" t="s">
        <v>1119</v>
      </c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</row>
    <row r="588" spans="1:28" ht="29">
      <c r="A588" s="113">
        <v>220</v>
      </c>
      <c r="B588" s="105" t="s">
        <v>543</v>
      </c>
      <c r="C588" s="106">
        <v>21126</v>
      </c>
      <c r="D588" s="106" t="s">
        <v>1139</v>
      </c>
      <c r="E588" s="107" t="s">
        <v>1140</v>
      </c>
      <c r="F588" s="107" t="s">
        <v>403</v>
      </c>
      <c r="G588" s="123">
        <v>600</v>
      </c>
      <c r="H588" s="109">
        <v>45733</v>
      </c>
      <c r="I588" s="105" t="s">
        <v>623</v>
      </c>
      <c r="J588" s="108">
        <v>772710549297</v>
      </c>
      <c r="K588" s="105" t="s">
        <v>610</v>
      </c>
      <c r="L588" s="109">
        <v>45733</v>
      </c>
      <c r="M588" s="109">
        <v>45735</v>
      </c>
      <c r="N588" s="105" t="s">
        <v>1155</v>
      </c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</row>
    <row r="589" spans="1:28" ht="29">
      <c r="A589" s="280">
        <v>221</v>
      </c>
      <c r="B589" s="283" t="s">
        <v>543</v>
      </c>
      <c r="C589" s="106">
        <v>21444</v>
      </c>
      <c r="D589" s="97"/>
      <c r="E589" s="97" t="s">
        <v>554</v>
      </c>
      <c r="F589" s="97" t="s">
        <v>1156</v>
      </c>
      <c r="G589" s="121">
        <v>15</v>
      </c>
      <c r="H589" s="109">
        <v>45735</v>
      </c>
      <c r="I589" s="105" t="s">
        <v>623</v>
      </c>
      <c r="J589" s="108">
        <v>772787415860</v>
      </c>
      <c r="K589" s="283" t="s">
        <v>577</v>
      </c>
      <c r="L589" s="109">
        <v>45735</v>
      </c>
      <c r="M589" s="109">
        <v>45742</v>
      </c>
      <c r="N589" s="105" t="s">
        <v>1157</v>
      </c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</row>
    <row r="590" spans="1:28" ht="29">
      <c r="A590" s="261"/>
      <c r="B590" s="261"/>
      <c r="C590" s="106">
        <v>21428</v>
      </c>
      <c r="D590" s="97"/>
      <c r="E590" s="97" t="s">
        <v>554</v>
      </c>
      <c r="F590" s="97" t="s">
        <v>1158</v>
      </c>
      <c r="G590" s="121">
        <v>5</v>
      </c>
      <c r="H590" s="109">
        <v>45735</v>
      </c>
      <c r="I590" s="105" t="s">
        <v>623</v>
      </c>
      <c r="J590" s="108">
        <v>772787415860</v>
      </c>
      <c r="K590" s="261"/>
      <c r="L590" s="109">
        <v>45735</v>
      </c>
      <c r="M590" s="109">
        <v>45742</v>
      </c>
      <c r="N590" s="105" t="s">
        <v>1157</v>
      </c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</row>
    <row r="591" spans="1:28" ht="29">
      <c r="A591" s="113">
        <v>222</v>
      </c>
      <c r="B591" s="105" t="s">
        <v>543</v>
      </c>
      <c r="C591" s="114">
        <v>21274</v>
      </c>
      <c r="D591" s="106" t="s">
        <v>1152</v>
      </c>
      <c r="E591" s="107" t="s">
        <v>1153</v>
      </c>
      <c r="F591" s="107" t="s">
        <v>48</v>
      </c>
      <c r="G591" s="123">
        <v>90</v>
      </c>
      <c r="H591" s="109">
        <v>45796</v>
      </c>
      <c r="I591" s="105" t="s">
        <v>623</v>
      </c>
      <c r="J591" s="108">
        <v>881303106265</v>
      </c>
      <c r="K591" s="105" t="s">
        <v>654</v>
      </c>
      <c r="L591" s="109">
        <v>45796</v>
      </c>
      <c r="M591" s="109">
        <v>45803</v>
      </c>
      <c r="N591" s="105" t="s">
        <v>1159</v>
      </c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</row>
    <row r="592" spans="1:28" ht="29">
      <c r="A592" s="113">
        <v>223</v>
      </c>
      <c r="B592" s="105" t="s">
        <v>543</v>
      </c>
      <c r="C592" s="106">
        <v>21396</v>
      </c>
      <c r="D592" s="97"/>
      <c r="E592" s="97" t="s">
        <v>1160</v>
      </c>
      <c r="F592" s="97" t="s">
        <v>437</v>
      </c>
      <c r="G592" s="121">
        <v>50</v>
      </c>
      <c r="H592" s="109">
        <v>45734</v>
      </c>
      <c r="I592" s="105" t="s">
        <v>623</v>
      </c>
      <c r="J592" s="108">
        <v>772755661035</v>
      </c>
      <c r="K592" s="105" t="s">
        <v>610</v>
      </c>
      <c r="L592" s="109">
        <v>45734</v>
      </c>
      <c r="M592" s="109">
        <v>45736</v>
      </c>
      <c r="N592" s="105" t="s">
        <v>1157</v>
      </c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</row>
    <row r="593" spans="1:28" ht="29">
      <c r="A593" s="113">
        <v>224</v>
      </c>
      <c r="B593" s="105" t="s">
        <v>543</v>
      </c>
      <c r="C593" s="106">
        <v>21390</v>
      </c>
      <c r="D593" s="106" t="s">
        <v>1161</v>
      </c>
      <c r="E593" s="107" t="s">
        <v>1162</v>
      </c>
      <c r="F593" s="107" t="s">
        <v>1163</v>
      </c>
      <c r="G593" s="123">
        <v>100</v>
      </c>
      <c r="H593" s="109">
        <v>45736</v>
      </c>
      <c r="I593" s="105" t="s">
        <v>623</v>
      </c>
      <c r="J593" s="108">
        <v>772816568308</v>
      </c>
      <c r="K593" s="105" t="s">
        <v>577</v>
      </c>
      <c r="L593" s="109">
        <v>45736</v>
      </c>
      <c r="M593" s="109">
        <v>45741</v>
      </c>
      <c r="N593" s="105" t="s">
        <v>1164</v>
      </c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</row>
    <row r="594" spans="1:28" ht="29">
      <c r="A594" s="113">
        <v>225</v>
      </c>
      <c r="B594" s="105" t="s">
        <v>543</v>
      </c>
      <c r="C594" s="114">
        <v>21618</v>
      </c>
      <c r="D594" s="97"/>
      <c r="E594" s="97" t="s">
        <v>554</v>
      </c>
      <c r="F594" s="97" t="s">
        <v>1165</v>
      </c>
      <c r="G594" s="121">
        <v>2</v>
      </c>
      <c r="H594" s="109">
        <v>45755</v>
      </c>
      <c r="I594" s="105" t="s">
        <v>623</v>
      </c>
      <c r="J594" s="108">
        <v>880344587035</v>
      </c>
      <c r="K594" s="105" t="s">
        <v>577</v>
      </c>
      <c r="L594" s="109">
        <v>45755</v>
      </c>
      <c r="M594" s="109">
        <v>45761</v>
      </c>
      <c r="N594" s="105" t="s">
        <v>1166</v>
      </c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</row>
    <row r="595" spans="1:28" ht="29">
      <c r="A595" s="280">
        <v>226</v>
      </c>
      <c r="B595" s="283" t="s">
        <v>543</v>
      </c>
      <c r="C595" s="284">
        <v>21564</v>
      </c>
      <c r="D595" s="284" t="s">
        <v>1167</v>
      </c>
      <c r="E595" s="282" t="s">
        <v>818</v>
      </c>
      <c r="F595" s="107" t="s">
        <v>266</v>
      </c>
      <c r="G595" s="123">
        <v>750</v>
      </c>
      <c r="H595" s="109">
        <v>45755</v>
      </c>
      <c r="I595" s="105" t="s">
        <v>623</v>
      </c>
      <c r="J595" s="108">
        <v>880344951631</v>
      </c>
      <c r="K595" s="283" t="s">
        <v>577</v>
      </c>
      <c r="L595" s="109">
        <v>45755</v>
      </c>
      <c r="M595" s="109">
        <v>45758</v>
      </c>
      <c r="N595" s="105" t="s">
        <v>1168</v>
      </c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</row>
    <row r="596" spans="1:28" ht="29">
      <c r="A596" s="264"/>
      <c r="B596" s="264"/>
      <c r="C596" s="264"/>
      <c r="D596" s="264"/>
      <c r="E596" s="264"/>
      <c r="F596" s="107" t="s">
        <v>268</v>
      </c>
      <c r="G596" s="123">
        <v>250</v>
      </c>
      <c r="H596" s="109">
        <v>45755</v>
      </c>
      <c r="I596" s="105" t="s">
        <v>623</v>
      </c>
      <c r="J596" s="108">
        <v>880344951631</v>
      </c>
      <c r="K596" s="264"/>
      <c r="L596" s="109">
        <v>45755</v>
      </c>
      <c r="M596" s="109">
        <v>45758</v>
      </c>
      <c r="N596" s="105" t="s">
        <v>1168</v>
      </c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</row>
    <row r="597" spans="1:28" ht="29">
      <c r="A597" s="264"/>
      <c r="B597" s="264"/>
      <c r="C597" s="264"/>
      <c r="D597" s="264"/>
      <c r="E597" s="264"/>
      <c r="F597" s="107" t="s">
        <v>270</v>
      </c>
      <c r="G597" s="123">
        <v>1500</v>
      </c>
      <c r="H597" s="109">
        <v>45755</v>
      </c>
      <c r="I597" s="105" t="s">
        <v>623</v>
      </c>
      <c r="J597" s="108">
        <v>880344951631</v>
      </c>
      <c r="K597" s="264"/>
      <c r="L597" s="109">
        <v>45755</v>
      </c>
      <c r="M597" s="109">
        <v>45758</v>
      </c>
      <c r="N597" s="105" t="s">
        <v>1168</v>
      </c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</row>
    <row r="598" spans="1:28" ht="29">
      <c r="A598" s="261"/>
      <c r="B598" s="261"/>
      <c r="C598" s="261"/>
      <c r="D598" s="261"/>
      <c r="E598" s="261"/>
      <c r="F598" s="107" t="s">
        <v>191</v>
      </c>
      <c r="G598" s="123">
        <v>1500</v>
      </c>
      <c r="H598" s="109">
        <v>45755</v>
      </c>
      <c r="I598" s="105" t="s">
        <v>623</v>
      </c>
      <c r="J598" s="108">
        <v>880344951631</v>
      </c>
      <c r="K598" s="261"/>
      <c r="L598" s="109">
        <v>45755</v>
      </c>
      <c r="M598" s="109">
        <v>45758</v>
      </c>
      <c r="N598" s="105" t="s">
        <v>1168</v>
      </c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</row>
    <row r="599" spans="1:28" ht="29">
      <c r="A599" s="113">
        <v>227</v>
      </c>
      <c r="B599" s="105" t="s">
        <v>543</v>
      </c>
      <c r="C599" s="106">
        <v>21542</v>
      </c>
      <c r="D599" s="97"/>
      <c r="E599" s="97" t="s">
        <v>797</v>
      </c>
      <c r="F599" s="97" t="s">
        <v>411</v>
      </c>
      <c r="G599" s="121">
        <v>1500</v>
      </c>
      <c r="H599" s="109">
        <v>45760</v>
      </c>
      <c r="I599" s="105" t="s">
        <v>1072</v>
      </c>
      <c r="J599" s="105" t="s">
        <v>1169</v>
      </c>
      <c r="K599" s="105" t="s">
        <v>585</v>
      </c>
      <c r="L599" s="109">
        <v>45758</v>
      </c>
      <c r="M599" s="109">
        <v>45761</v>
      </c>
      <c r="N599" s="105" t="s">
        <v>1166</v>
      </c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</row>
    <row r="600" spans="1:28" ht="29">
      <c r="A600" s="113">
        <v>228</v>
      </c>
      <c r="B600" s="105" t="s">
        <v>543</v>
      </c>
      <c r="C600" s="106">
        <v>21652</v>
      </c>
      <c r="D600" s="97"/>
      <c r="E600" s="97" t="s">
        <v>1170</v>
      </c>
      <c r="F600" s="97" t="s">
        <v>1171</v>
      </c>
      <c r="G600" s="121">
        <v>10</v>
      </c>
      <c r="H600" s="109">
        <v>45755</v>
      </c>
      <c r="I600" s="188" t="s">
        <v>623</v>
      </c>
      <c r="J600" s="108">
        <v>880344745825</v>
      </c>
      <c r="K600" s="188" t="s">
        <v>577</v>
      </c>
      <c r="L600" s="109">
        <v>45755</v>
      </c>
      <c r="M600" s="109">
        <v>45757</v>
      </c>
      <c r="N600" s="105" t="s">
        <v>1172</v>
      </c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</row>
    <row r="601" spans="1:28" ht="29">
      <c r="A601" s="113">
        <v>229</v>
      </c>
      <c r="B601" s="105" t="s">
        <v>543</v>
      </c>
      <c r="C601" s="114">
        <v>21649</v>
      </c>
      <c r="D601" s="106" t="s">
        <v>1114</v>
      </c>
      <c r="E601" s="107" t="s">
        <v>1173</v>
      </c>
      <c r="F601" s="107" t="s">
        <v>1115</v>
      </c>
      <c r="G601" s="123">
        <v>10</v>
      </c>
      <c r="H601" s="109">
        <v>45764</v>
      </c>
      <c r="I601" s="105" t="s">
        <v>1174</v>
      </c>
      <c r="J601" s="108">
        <v>880587147131</v>
      </c>
      <c r="K601" s="105" t="s">
        <v>577</v>
      </c>
      <c r="L601" s="109">
        <v>45763</v>
      </c>
      <c r="M601" s="109">
        <v>45770</v>
      </c>
      <c r="N601" s="105" t="s">
        <v>1175</v>
      </c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</row>
    <row r="602" spans="1:28" ht="29">
      <c r="A602" s="280">
        <v>230</v>
      </c>
      <c r="B602" s="283" t="s">
        <v>543</v>
      </c>
      <c r="C602" s="284">
        <v>21694</v>
      </c>
      <c r="D602" s="282"/>
      <c r="E602" s="282" t="s">
        <v>655</v>
      </c>
      <c r="F602" s="97" t="s">
        <v>44</v>
      </c>
      <c r="G602" s="121">
        <v>50</v>
      </c>
      <c r="H602" s="109">
        <v>45785</v>
      </c>
      <c r="I602" s="105" t="s">
        <v>623</v>
      </c>
      <c r="J602" s="108">
        <v>881073018768</v>
      </c>
      <c r="K602" s="283" t="s">
        <v>652</v>
      </c>
      <c r="L602" s="109">
        <v>45785</v>
      </c>
      <c r="M602" s="109">
        <v>45790</v>
      </c>
      <c r="N602" s="105" t="s">
        <v>1176</v>
      </c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</row>
    <row r="603" spans="1:28" ht="29">
      <c r="A603" s="264"/>
      <c r="B603" s="264"/>
      <c r="C603" s="264"/>
      <c r="D603" s="264"/>
      <c r="E603" s="264"/>
      <c r="F603" s="97" t="s">
        <v>43</v>
      </c>
      <c r="G603" s="121">
        <v>60</v>
      </c>
      <c r="H603" s="109">
        <v>45785</v>
      </c>
      <c r="I603" s="105" t="s">
        <v>623</v>
      </c>
      <c r="J603" s="108">
        <v>881073018768</v>
      </c>
      <c r="K603" s="264"/>
      <c r="L603" s="109">
        <v>45785</v>
      </c>
      <c r="M603" s="109">
        <v>45790</v>
      </c>
      <c r="N603" s="105" t="s">
        <v>1176</v>
      </c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</row>
    <row r="604" spans="1:28" ht="29">
      <c r="A604" s="261"/>
      <c r="B604" s="261"/>
      <c r="C604" s="261"/>
      <c r="D604" s="261"/>
      <c r="E604" s="261"/>
      <c r="F604" s="97" t="s">
        <v>45</v>
      </c>
      <c r="G604" s="121">
        <v>65</v>
      </c>
      <c r="H604" s="109">
        <v>45785</v>
      </c>
      <c r="I604" s="105" t="s">
        <v>623</v>
      </c>
      <c r="J604" s="108">
        <v>881073018768</v>
      </c>
      <c r="K604" s="261"/>
      <c r="L604" s="109">
        <v>45785</v>
      </c>
      <c r="M604" s="109">
        <v>45790</v>
      </c>
      <c r="N604" s="105" t="s">
        <v>1176</v>
      </c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</row>
    <row r="605" spans="1:28" ht="29">
      <c r="A605" s="280">
        <v>231</v>
      </c>
      <c r="B605" s="283" t="s">
        <v>543</v>
      </c>
      <c r="C605" s="281">
        <v>21586</v>
      </c>
      <c r="D605" s="284" t="s">
        <v>1177</v>
      </c>
      <c r="E605" s="282" t="s">
        <v>836</v>
      </c>
      <c r="F605" s="107" t="s">
        <v>1178</v>
      </c>
      <c r="G605" s="123">
        <v>8</v>
      </c>
      <c r="H605" s="109">
        <v>45758</v>
      </c>
      <c r="I605" s="105" t="s">
        <v>1174</v>
      </c>
      <c r="J605" s="108">
        <v>453093930661</v>
      </c>
      <c r="K605" s="283" t="s">
        <v>577</v>
      </c>
      <c r="L605" s="109">
        <v>45758</v>
      </c>
      <c r="M605" s="109">
        <v>45764</v>
      </c>
      <c r="N605" s="105" t="s">
        <v>1166</v>
      </c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</row>
    <row r="606" spans="1:28" ht="29">
      <c r="A606" s="264"/>
      <c r="B606" s="264"/>
      <c r="C606" s="264"/>
      <c r="D606" s="264"/>
      <c r="E606" s="264"/>
      <c r="F606" s="107" t="s">
        <v>1179</v>
      </c>
      <c r="G606" s="123">
        <v>1500</v>
      </c>
      <c r="H606" s="109">
        <v>45758</v>
      </c>
      <c r="I606" s="105" t="s">
        <v>1174</v>
      </c>
      <c r="J606" s="108">
        <v>453093930661</v>
      </c>
      <c r="K606" s="264"/>
      <c r="L606" s="109">
        <v>45758</v>
      </c>
      <c r="M606" s="109">
        <v>45764</v>
      </c>
      <c r="N606" s="105" t="s">
        <v>1166</v>
      </c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</row>
    <row r="607" spans="1:28" ht="29">
      <c r="A607" s="264"/>
      <c r="B607" s="264"/>
      <c r="C607" s="264"/>
      <c r="D607" s="264"/>
      <c r="E607" s="264"/>
      <c r="F607" s="107" t="s">
        <v>1180</v>
      </c>
      <c r="G607" s="123">
        <v>15</v>
      </c>
      <c r="H607" s="109">
        <v>45758</v>
      </c>
      <c r="I607" s="105" t="s">
        <v>1174</v>
      </c>
      <c r="J607" s="108">
        <v>453093930661</v>
      </c>
      <c r="K607" s="264"/>
      <c r="L607" s="109">
        <v>45758</v>
      </c>
      <c r="M607" s="109">
        <v>45764</v>
      </c>
      <c r="N607" s="105" t="s">
        <v>1166</v>
      </c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</row>
    <row r="608" spans="1:28" ht="29">
      <c r="A608" s="264"/>
      <c r="B608" s="264"/>
      <c r="C608" s="264"/>
      <c r="D608" s="264"/>
      <c r="E608" s="264"/>
      <c r="F608" s="107" t="s">
        <v>1181</v>
      </c>
      <c r="G608" s="123">
        <v>33</v>
      </c>
      <c r="H608" s="109">
        <v>45758</v>
      </c>
      <c r="I608" s="105" t="s">
        <v>1174</v>
      </c>
      <c r="J608" s="108">
        <v>453093930661</v>
      </c>
      <c r="K608" s="264"/>
      <c r="L608" s="109">
        <v>45758</v>
      </c>
      <c r="M608" s="109">
        <v>45764</v>
      </c>
      <c r="N608" s="105" t="s">
        <v>1166</v>
      </c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</row>
    <row r="609" spans="1:28" ht="29">
      <c r="A609" s="261"/>
      <c r="B609" s="261"/>
      <c r="C609" s="261"/>
      <c r="D609" s="261"/>
      <c r="E609" s="261"/>
      <c r="F609" s="107" t="s">
        <v>1182</v>
      </c>
      <c r="G609" s="123">
        <v>36</v>
      </c>
      <c r="H609" s="109">
        <v>45758</v>
      </c>
      <c r="I609" s="105" t="s">
        <v>1174</v>
      </c>
      <c r="J609" s="108">
        <v>453093930661</v>
      </c>
      <c r="K609" s="261"/>
      <c r="L609" s="109">
        <v>45758</v>
      </c>
      <c r="M609" s="109">
        <v>45764</v>
      </c>
      <c r="N609" s="105" t="s">
        <v>1166</v>
      </c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</row>
    <row r="610" spans="1:28" ht="29">
      <c r="A610" s="113">
        <v>232</v>
      </c>
      <c r="B610" s="105" t="s">
        <v>543</v>
      </c>
      <c r="C610" s="114">
        <v>20881</v>
      </c>
      <c r="D610" s="97"/>
      <c r="E610" s="97" t="s">
        <v>1006</v>
      </c>
      <c r="F610" s="97" t="s">
        <v>27</v>
      </c>
      <c r="G610" s="121">
        <v>300</v>
      </c>
      <c r="H610" s="109">
        <v>45774</v>
      </c>
      <c r="I610" s="105" t="s">
        <v>1072</v>
      </c>
      <c r="J610" s="105" t="s">
        <v>1183</v>
      </c>
      <c r="K610" s="105" t="s">
        <v>685</v>
      </c>
      <c r="L610" s="109">
        <v>45772</v>
      </c>
      <c r="M610" s="109">
        <v>45775</v>
      </c>
      <c r="N610" s="105" t="s">
        <v>1184</v>
      </c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</row>
    <row r="611" spans="1:28" ht="29">
      <c r="A611" s="113">
        <v>233</v>
      </c>
      <c r="B611" s="105" t="s">
        <v>541</v>
      </c>
      <c r="C611" s="114">
        <v>20881</v>
      </c>
      <c r="D611" s="97"/>
      <c r="E611" s="97" t="s">
        <v>1006</v>
      </c>
      <c r="F611" s="97" t="s">
        <v>27</v>
      </c>
      <c r="G611" s="121">
        <v>500</v>
      </c>
      <c r="H611" s="109">
        <v>45797</v>
      </c>
      <c r="I611" s="105" t="s">
        <v>823</v>
      </c>
      <c r="J611" s="108">
        <v>250583040019</v>
      </c>
      <c r="K611" s="105" t="s">
        <v>690</v>
      </c>
      <c r="L611" s="109">
        <v>45783</v>
      </c>
      <c r="M611" s="109">
        <v>45804</v>
      </c>
      <c r="N611" s="105" t="s">
        <v>1185</v>
      </c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</row>
    <row r="612" spans="1:28" ht="29">
      <c r="A612" s="280">
        <v>234</v>
      </c>
      <c r="B612" s="283" t="s">
        <v>541</v>
      </c>
      <c r="C612" s="281">
        <v>20210</v>
      </c>
      <c r="D612" s="284" t="s">
        <v>1107</v>
      </c>
      <c r="E612" s="282" t="s">
        <v>1186</v>
      </c>
      <c r="F612" s="107" t="s">
        <v>53</v>
      </c>
      <c r="G612" s="123">
        <v>23</v>
      </c>
      <c r="H612" s="109">
        <v>45786</v>
      </c>
      <c r="I612" s="105" t="s">
        <v>1187</v>
      </c>
      <c r="J612" s="105" t="s">
        <v>1188</v>
      </c>
      <c r="K612" s="283" t="s">
        <v>1189</v>
      </c>
      <c r="L612" s="109">
        <v>45784</v>
      </c>
      <c r="M612" s="109">
        <v>45793</v>
      </c>
      <c r="N612" s="105" t="s">
        <v>1190</v>
      </c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</row>
    <row r="613" spans="1:28" ht="29">
      <c r="A613" s="261"/>
      <c r="B613" s="261"/>
      <c r="C613" s="261"/>
      <c r="D613" s="261"/>
      <c r="E613" s="261"/>
      <c r="F613" s="107" t="s">
        <v>50</v>
      </c>
      <c r="G613" s="123">
        <v>150</v>
      </c>
      <c r="H613" s="109">
        <v>45786</v>
      </c>
      <c r="I613" s="105" t="s">
        <v>1187</v>
      </c>
      <c r="J613" s="105" t="s">
        <v>1188</v>
      </c>
      <c r="K613" s="261"/>
      <c r="L613" s="109">
        <v>45784</v>
      </c>
      <c r="M613" s="109">
        <v>45793</v>
      </c>
      <c r="N613" s="105" t="s">
        <v>1190</v>
      </c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</row>
    <row r="614" spans="1:28" ht="29">
      <c r="A614" s="113">
        <v>235</v>
      </c>
      <c r="B614" s="105" t="s">
        <v>541</v>
      </c>
      <c r="C614" s="114">
        <v>20429</v>
      </c>
      <c r="D614" s="106" t="s">
        <v>1079</v>
      </c>
      <c r="E614" s="107" t="s">
        <v>630</v>
      </c>
      <c r="F614" s="107" t="s">
        <v>6</v>
      </c>
      <c r="G614" s="123">
        <v>175</v>
      </c>
      <c r="H614" s="109">
        <v>45790</v>
      </c>
      <c r="I614" s="105" t="s">
        <v>604</v>
      </c>
      <c r="J614" s="105" t="s">
        <v>1191</v>
      </c>
      <c r="K614" s="105" t="s">
        <v>694</v>
      </c>
      <c r="L614" s="109">
        <v>45783</v>
      </c>
      <c r="M614" s="109">
        <v>45796</v>
      </c>
      <c r="N614" s="105" t="s">
        <v>1190</v>
      </c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</row>
    <row r="615" spans="1:28" ht="29">
      <c r="A615" s="113">
        <v>236</v>
      </c>
      <c r="B615" s="105" t="s">
        <v>543</v>
      </c>
      <c r="C615" s="106">
        <v>21594</v>
      </c>
      <c r="D615" s="106" t="s">
        <v>1192</v>
      </c>
      <c r="E615" s="107" t="s">
        <v>636</v>
      </c>
      <c r="F615" s="107" t="s">
        <v>1193</v>
      </c>
      <c r="G615" s="123">
        <v>24</v>
      </c>
      <c r="H615" s="109">
        <v>45777</v>
      </c>
      <c r="I615" s="105" t="s">
        <v>623</v>
      </c>
      <c r="J615" s="108">
        <v>880909329156</v>
      </c>
      <c r="K615" s="105" t="s">
        <v>577</v>
      </c>
      <c r="L615" s="109">
        <v>45777</v>
      </c>
      <c r="M615" s="109">
        <v>45782</v>
      </c>
      <c r="N615" s="105" t="s">
        <v>1194</v>
      </c>
      <c r="O615" s="105" t="s">
        <v>1195</v>
      </c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</row>
    <row r="616" spans="1:28" ht="29">
      <c r="A616" s="280">
        <v>237</v>
      </c>
      <c r="B616" s="283" t="s">
        <v>543</v>
      </c>
      <c r="C616" s="281">
        <v>20937</v>
      </c>
      <c r="D616" s="282"/>
      <c r="E616" s="282" t="s">
        <v>1106</v>
      </c>
      <c r="F616" s="97" t="s">
        <v>11</v>
      </c>
      <c r="G616" s="121">
        <v>100</v>
      </c>
      <c r="H616" s="109">
        <v>45791</v>
      </c>
      <c r="I616" s="105" t="s">
        <v>604</v>
      </c>
      <c r="J616" s="105" t="s">
        <v>1196</v>
      </c>
      <c r="K616" s="283" t="s">
        <v>685</v>
      </c>
      <c r="L616" s="109">
        <v>45786</v>
      </c>
      <c r="M616" s="109">
        <v>45792</v>
      </c>
      <c r="N616" s="105" t="s">
        <v>1197</v>
      </c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</row>
    <row r="617" spans="1:28" ht="29">
      <c r="A617" s="264"/>
      <c r="B617" s="264"/>
      <c r="C617" s="261"/>
      <c r="D617" s="261"/>
      <c r="E617" s="261"/>
      <c r="F617" s="97" t="s">
        <v>10</v>
      </c>
      <c r="G617" s="121">
        <v>100</v>
      </c>
      <c r="H617" s="109">
        <v>45791</v>
      </c>
      <c r="I617" s="105" t="s">
        <v>604</v>
      </c>
      <c r="J617" s="105" t="s">
        <v>1196</v>
      </c>
      <c r="K617" s="264"/>
      <c r="L617" s="109">
        <v>45786</v>
      </c>
      <c r="M617" s="109">
        <v>45792</v>
      </c>
      <c r="N617" s="105" t="s">
        <v>1197</v>
      </c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</row>
    <row r="618" spans="1:28" ht="29">
      <c r="A618" s="264"/>
      <c r="B618" s="264"/>
      <c r="C618" s="114">
        <v>20581</v>
      </c>
      <c r="D618" s="114" t="s">
        <v>1198</v>
      </c>
      <c r="E618" s="107" t="s">
        <v>1106</v>
      </c>
      <c r="F618" s="107" t="s">
        <v>21</v>
      </c>
      <c r="G618" s="123">
        <v>8</v>
      </c>
      <c r="H618" s="109">
        <v>45791</v>
      </c>
      <c r="I618" s="105" t="s">
        <v>604</v>
      </c>
      <c r="J618" s="105" t="s">
        <v>1196</v>
      </c>
      <c r="K618" s="264"/>
      <c r="L618" s="109">
        <v>45786</v>
      </c>
      <c r="M618" s="109">
        <v>45792</v>
      </c>
      <c r="N618" s="105" t="s">
        <v>1197</v>
      </c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</row>
    <row r="619" spans="1:28" ht="29">
      <c r="A619" s="261"/>
      <c r="B619" s="261"/>
      <c r="C619" s="106">
        <v>20430</v>
      </c>
      <c r="D619" s="106" t="s">
        <v>1079</v>
      </c>
      <c r="E619" s="107" t="s">
        <v>1106</v>
      </c>
      <c r="F619" s="107" t="s">
        <v>10</v>
      </c>
      <c r="G619" s="123">
        <v>90</v>
      </c>
      <c r="H619" s="109">
        <v>45791</v>
      </c>
      <c r="I619" s="105" t="s">
        <v>604</v>
      </c>
      <c r="J619" s="105" t="s">
        <v>1196</v>
      </c>
      <c r="K619" s="261"/>
      <c r="L619" s="109">
        <v>45786</v>
      </c>
      <c r="M619" s="109">
        <v>45792</v>
      </c>
      <c r="N619" s="105" t="s">
        <v>1197</v>
      </c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</row>
    <row r="620" spans="1:28" ht="29">
      <c r="A620" s="280">
        <v>237</v>
      </c>
      <c r="B620" s="283" t="s">
        <v>543</v>
      </c>
      <c r="C620" s="281">
        <v>20937</v>
      </c>
      <c r="D620" s="282"/>
      <c r="E620" s="282" t="s">
        <v>1106</v>
      </c>
      <c r="F620" s="97" t="s">
        <v>11</v>
      </c>
      <c r="G620" s="121">
        <v>100</v>
      </c>
      <c r="H620" s="109">
        <v>45791</v>
      </c>
      <c r="I620" s="105" t="s">
        <v>604</v>
      </c>
      <c r="J620" s="105" t="s">
        <v>1196</v>
      </c>
      <c r="K620" s="283" t="s">
        <v>685</v>
      </c>
      <c r="L620" s="109">
        <v>45786</v>
      </c>
      <c r="M620" s="109">
        <v>45792</v>
      </c>
      <c r="N620" s="105" t="s">
        <v>1197</v>
      </c>
      <c r="O620" s="105" t="s">
        <v>1199</v>
      </c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</row>
    <row r="621" spans="1:28" ht="29">
      <c r="A621" s="264"/>
      <c r="B621" s="264"/>
      <c r="C621" s="261"/>
      <c r="D621" s="261"/>
      <c r="E621" s="261"/>
      <c r="F621" s="97" t="s">
        <v>10</v>
      </c>
      <c r="G621" s="121">
        <v>100</v>
      </c>
      <c r="H621" s="109">
        <v>45791</v>
      </c>
      <c r="I621" s="105" t="s">
        <v>604</v>
      </c>
      <c r="J621" s="105" t="s">
        <v>1196</v>
      </c>
      <c r="K621" s="264"/>
      <c r="L621" s="109">
        <v>45786</v>
      </c>
      <c r="M621" s="109">
        <v>45792</v>
      </c>
      <c r="N621" s="105" t="s">
        <v>1197</v>
      </c>
      <c r="O621" s="105" t="s">
        <v>1199</v>
      </c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</row>
    <row r="622" spans="1:28" ht="29">
      <c r="A622" s="264"/>
      <c r="B622" s="264"/>
      <c r="C622" s="114">
        <v>20581</v>
      </c>
      <c r="D622" s="114" t="s">
        <v>1198</v>
      </c>
      <c r="E622" s="107" t="s">
        <v>1106</v>
      </c>
      <c r="F622" s="107" t="s">
        <v>21</v>
      </c>
      <c r="G622" s="123">
        <v>8</v>
      </c>
      <c r="H622" s="109">
        <v>45791</v>
      </c>
      <c r="I622" s="105" t="s">
        <v>604</v>
      </c>
      <c r="J622" s="105" t="s">
        <v>1196</v>
      </c>
      <c r="K622" s="264"/>
      <c r="L622" s="109">
        <v>45786</v>
      </c>
      <c r="M622" s="109">
        <v>45792</v>
      </c>
      <c r="N622" s="105" t="s">
        <v>1197</v>
      </c>
      <c r="O622" s="105" t="s">
        <v>1199</v>
      </c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</row>
    <row r="623" spans="1:28" ht="29">
      <c r="A623" s="261"/>
      <c r="B623" s="261"/>
      <c r="C623" s="106">
        <v>20430</v>
      </c>
      <c r="D623" s="106" t="s">
        <v>1079</v>
      </c>
      <c r="E623" s="107" t="s">
        <v>1106</v>
      </c>
      <c r="F623" s="107" t="s">
        <v>10</v>
      </c>
      <c r="G623" s="123">
        <v>90</v>
      </c>
      <c r="H623" s="109">
        <v>45791</v>
      </c>
      <c r="I623" s="105" t="s">
        <v>604</v>
      </c>
      <c r="J623" s="105" t="s">
        <v>1196</v>
      </c>
      <c r="K623" s="261"/>
      <c r="L623" s="109">
        <v>45786</v>
      </c>
      <c r="M623" s="109">
        <v>45792</v>
      </c>
      <c r="N623" s="105" t="s">
        <v>1197</v>
      </c>
      <c r="O623" s="105" t="s">
        <v>1199</v>
      </c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</row>
    <row r="624" spans="1:28" ht="29">
      <c r="A624" s="113">
        <v>240</v>
      </c>
      <c r="B624" s="105" t="s">
        <v>543</v>
      </c>
      <c r="C624" s="106">
        <v>21859</v>
      </c>
      <c r="D624" s="106" t="s">
        <v>1200</v>
      </c>
      <c r="E624" s="107" t="s">
        <v>1162</v>
      </c>
      <c r="F624" s="107" t="s">
        <v>1163</v>
      </c>
      <c r="G624" s="123">
        <v>100</v>
      </c>
      <c r="H624" s="109">
        <v>45792</v>
      </c>
      <c r="I624" s="105" t="s">
        <v>623</v>
      </c>
      <c r="J624" s="108">
        <v>881246283645</v>
      </c>
      <c r="K624" s="105" t="s">
        <v>577</v>
      </c>
      <c r="L624" s="109">
        <v>45792</v>
      </c>
      <c r="M624" s="109">
        <v>45797</v>
      </c>
      <c r="N624" s="105" t="s">
        <v>1201</v>
      </c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</row>
    <row r="625" spans="1:28" ht="29">
      <c r="A625" s="113">
        <v>241</v>
      </c>
      <c r="B625" s="105" t="s">
        <v>543</v>
      </c>
      <c r="C625" s="106">
        <v>21984</v>
      </c>
      <c r="D625" s="97"/>
      <c r="E625" s="97" t="s">
        <v>554</v>
      </c>
      <c r="F625" s="97" t="s">
        <v>122</v>
      </c>
      <c r="G625" s="121">
        <v>50</v>
      </c>
      <c r="H625" s="109">
        <v>45786</v>
      </c>
      <c r="I625" s="105" t="s">
        <v>623</v>
      </c>
      <c r="J625" s="108">
        <v>881103382565</v>
      </c>
      <c r="K625" s="105" t="s">
        <v>1025</v>
      </c>
      <c r="L625" s="109">
        <v>45786</v>
      </c>
      <c r="M625" s="109">
        <v>45792</v>
      </c>
      <c r="N625" s="105" t="s">
        <v>1197</v>
      </c>
      <c r="O625" s="105" t="s">
        <v>1202</v>
      </c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</row>
    <row r="626" spans="1:28" ht="29">
      <c r="A626" s="280">
        <v>242</v>
      </c>
      <c r="B626" s="283" t="s">
        <v>541</v>
      </c>
      <c r="C626" s="106">
        <v>21981</v>
      </c>
      <c r="D626" s="97"/>
      <c r="E626" s="97" t="s">
        <v>554</v>
      </c>
      <c r="F626" s="97" t="s">
        <v>122</v>
      </c>
      <c r="G626" s="121">
        <v>50</v>
      </c>
      <c r="H626" s="109">
        <v>45816</v>
      </c>
      <c r="I626" s="105" t="s">
        <v>604</v>
      </c>
      <c r="J626" s="105" t="s">
        <v>1203</v>
      </c>
      <c r="K626" s="283" t="s">
        <v>896</v>
      </c>
      <c r="L626" s="109">
        <v>45803</v>
      </c>
      <c r="M626" s="109">
        <v>45841</v>
      </c>
      <c r="N626" s="105" t="s">
        <v>1204</v>
      </c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</row>
    <row r="627" spans="1:28" ht="29">
      <c r="A627" s="264"/>
      <c r="B627" s="264"/>
      <c r="C627" s="106">
        <v>21982</v>
      </c>
      <c r="D627" s="97"/>
      <c r="E627" s="97" t="s">
        <v>554</v>
      </c>
      <c r="F627" s="97" t="s">
        <v>122</v>
      </c>
      <c r="G627" s="121">
        <v>50</v>
      </c>
      <c r="H627" s="109">
        <v>45816</v>
      </c>
      <c r="I627" s="105" t="s">
        <v>604</v>
      </c>
      <c r="J627" s="105" t="s">
        <v>1203</v>
      </c>
      <c r="K627" s="264"/>
      <c r="L627" s="109">
        <v>45803</v>
      </c>
      <c r="M627" s="109">
        <v>45841</v>
      </c>
      <c r="N627" s="105" t="s">
        <v>1204</v>
      </c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</row>
    <row r="628" spans="1:28" ht="29">
      <c r="A628" s="264"/>
      <c r="B628" s="264"/>
      <c r="C628" s="106">
        <v>21983</v>
      </c>
      <c r="D628" s="97"/>
      <c r="E628" s="97" t="s">
        <v>554</v>
      </c>
      <c r="F628" s="97" t="s">
        <v>122</v>
      </c>
      <c r="G628" s="121">
        <v>50</v>
      </c>
      <c r="H628" s="109">
        <v>45816</v>
      </c>
      <c r="I628" s="105" t="s">
        <v>604</v>
      </c>
      <c r="J628" s="105" t="s">
        <v>1203</v>
      </c>
      <c r="K628" s="264"/>
      <c r="L628" s="109">
        <v>45803</v>
      </c>
      <c r="M628" s="109">
        <v>45841</v>
      </c>
      <c r="N628" s="105" t="s">
        <v>1204</v>
      </c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</row>
    <row r="629" spans="1:28" ht="29">
      <c r="A629" s="264"/>
      <c r="B629" s="264"/>
      <c r="C629" s="106">
        <v>21985</v>
      </c>
      <c r="D629" s="97"/>
      <c r="E629" s="97" t="s">
        <v>554</v>
      </c>
      <c r="F629" s="97" t="s">
        <v>122</v>
      </c>
      <c r="G629" s="121">
        <v>50</v>
      </c>
      <c r="H629" s="109">
        <v>45816</v>
      </c>
      <c r="I629" s="105" t="s">
        <v>604</v>
      </c>
      <c r="J629" s="105" t="s">
        <v>1203</v>
      </c>
      <c r="K629" s="264"/>
      <c r="L629" s="109">
        <v>45803</v>
      </c>
      <c r="M629" s="109">
        <v>45841</v>
      </c>
      <c r="N629" s="105" t="s">
        <v>1204</v>
      </c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</row>
    <row r="630" spans="1:28" ht="29">
      <c r="A630" s="261"/>
      <c r="B630" s="261"/>
      <c r="C630" s="106">
        <v>21986</v>
      </c>
      <c r="D630" s="97"/>
      <c r="E630" s="97" t="s">
        <v>554</v>
      </c>
      <c r="F630" s="97" t="s">
        <v>122</v>
      </c>
      <c r="G630" s="121">
        <v>19</v>
      </c>
      <c r="H630" s="109">
        <v>45816</v>
      </c>
      <c r="I630" s="105" t="s">
        <v>604</v>
      </c>
      <c r="J630" s="105" t="s">
        <v>1203</v>
      </c>
      <c r="K630" s="261"/>
      <c r="L630" s="109">
        <v>45803</v>
      </c>
      <c r="M630" s="109">
        <v>45841</v>
      </c>
      <c r="N630" s="105" t="s">
        <v>1204</v>
      </c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</row>
    <row r="631" spans="1:28" ht="29">
      <c r="A631" s="113">
        <v>243</v>
      </c>
      <c r="B631" s="105" t="s">
        <v>543</v>
      </c>
      <c r="C631" s="114">
        <v>21784</v>
      </c>
      <c r="D631" s="97"/>
      <c r="E631" s="97" t="s">
        <v>978</v>
      </c>
      <c r="F631" s="97" t="s">
        <v>374</v>
      </c>
      <c r="G631" s="121">
        <v>50</v>
      </c>
      <c r="H631" s="109">
        <v>45805</v>
      </c>
      <c r="I631" s="105" t="s">
        <v>604</v>
      </c>
      <c r="J631" s="105" t="s">
        <v>1205</v>
      </c>
      <c r="K631" s="105" t="s">
        <v>896</v>
      </c>
      <c r="L631" s="109">
        <v>45803</v>
      </c>
      <c r="M631" s="109">
        <v>45807</v>
      </c>
      <c r="N631" s="105" t="s">
        <v>1206</v>
      </c>
      <c r="O631" s="97"/>
      <c r="P631" s="105" t="s">
        <v>828</v>
      </c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</row>
    <row r="632" spans="1:28" ht="29">
      <c r="A632" s="280">
        <v>244</v>
      </c>
      <c r="B632" s="283" t="s">
        <v>543</v>
      </c>
      <c r="C632" s="281">
        <v>21825</v>
      </c>
      <c r="D632" s="97"/>
      <c r="E632" s="282" t="s">
        <v>1060</v>
      </c>
      <c r="F632" s="97" t="s">
        <v>450</v>
      </c>
      <c r="G632" s="121">
        <v>5000</v>
      </c>
      <c r="H632" s="109">
        <v>45803</v>
      </c>
      <c r="I632" s="105" t="s">
        <v>623</v>
      </c>
      <c r="J632" s="108">
        <v>881481667577</v>
      </c>
      <c r="K632" s="283" t="s">
        <v>577</v>
      </c>
      <c r="L632" s="109">
        <v>45803</v>
      </c>
      <c r="M632" s="109">
        <v>45805</v>
      </c>
      <c r="N632" s="105" t="s">
        <v>1207</v>
      </c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</row>
    <row r="633" spans="1:28" ht="29">
      <c r="A633" s="264"/>
      <c r="B633" s="264"/>
      <c r="C633" s="264"/>
      <c r="D633" s="97"/>
      <c r="E633" s="264"/>
      <c r="F633" s="97" t="s">
        <v>424</v>
      </c>
      <c r="G633" s="121">
        <v>5000</v>
      </c>
      <c r="H633" s="109">
        <v>45803</v>
      </c>
      <c r="I633" s="105" t="s">
        <v>623</v>
      </c>
      <c r="J633" s="108">
        <v>881481667577</v>
      </c>
      <c r="K633" s="264"/>
      <c r="L633" s="109">
        <v>45803</v>
      </c>
      <c r="M633" s="109">
        <v>45805</v>
      </c>
      <c r="N633" s="105" t="s">
        <v>1207</v>
      </c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</row>
    <row r="634" spans="1:28" ht="29">
      <c r="A634" s="264"/>
      <c r="B634" s="264"/>
      <c r="C634" s="261"/>
      <c r="D634" s="97"/>
      <c r="E634" s="261"/>
      <c r="F634" s="97" t="s">
        <v>423</v>
      </c>
      <c r="G634" s="121">
        <v>5000</v>
      </c>
      <c r="H634" s="109">
        <v>45803</v>
      </c>
      <c r="I634" s="105" t="s">
        <v>623</v>
      </c>
      <c r="J634" s="108">
        <v>881481667577</v>
      </c>
      <c r="K634" s="264"/>
      <c r="L634" s="109">
        <v>45803</v>
      </c>
      <c r="M634" s="109">
        <v>45805</v>
      </c>
      <c r="N634" s="105" t="s">
        <v>1207</v>
      </c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</row>
    <row r="635" spans="1:28" ht="29">
      <c r="A635" s="261"/>
      <c r="B635" s="261"/>
      <c r="C635" s="114">
        <v>22010</v>
      </c>
      <c r="D635" s="97"/>
      <c r="E635" s="97" t="s">
        <v>1060</v>
      </c>
      <c r="F635" s="97" t="s">
        <v>423</v>
      </c>
      <c r="G635" s="121">
        <v>1500</v>
      </c>
      <c r="H635" s="109">
        <v>45803</v>
      </c>
      <c r="I635" s="105" t="s">
        <v>623</v>
      </c>
      <c r="J635" s="108">
        <v>881481667577</v>
      </c>
      <c r="K635" s="261"/>
      <c r="L635" s="109">
        <v>45803</v>
      </c>
      <c r="M635" s="109">
        <v>45805</v>
      </c>
      <c r="N635" s="105" t="s">
        <v>1207</v>
      </c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</row>
    <row r="636" spans="1:28" ht="29">
      <c r="A636" s="280">
        <v>245</v>
      </c>
      <c r="B636" s="283" t="s">
        <v>543</v>
      </c>
      <c r="C636" s="281">
        <v>21806</v>
      </c>
      <c r="D636" s="97"/>
      <c r="E636" s="282" t="s">
        <v>818</v>
      </c>
      <c r="F636" s="97" t="s">
        <v>925</v>
      </c>
      <c r="G636" s="121">
        <v>100</v>
      </c>
      <c r="H636" s="109">
        <v>45797</v>
      </c>
      <c r="I636" s="105" t="s">
        <v>623</v>
      </c>
      <c r="J636" s="108">
        <v>881347360598</v>
      </c>
      <c r="K636" s="283" t="s">
        <v>577</v>
      </c>
      <c r="L636" s="109">
        <v>45797</v>
      </c>
      <c r="M636" s="109">
        <v>45800</v>
      </c>
      <c r="N636" s="105" t="s">
        <v>1159</v>
      </c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</row>
    <row r="637" spans="1:28" ht="29">
      <c r="A637" s="264"/>
      <c r="B637" s="264"/>
      <c r="C637" s="264"/>
      <c r="D637" s="97"/>
      <c r="E637" s="264"/>
      <c r="F637" s="97" t="s">
        <v>926</v>
      </c>
      <c r="G637" s="121">
        <v>100</v>
      </c>
      <c r="H637" s="109">
        <v>45797</v>
      </c>
      <c r="I637" s="105" t="s">
        <v>623</v>
      </c>
      <c r="J637" s="108">
        <v>881347360598</v>
      </c>
      <c r="K637" s="264"/>
      <c r="L637" s="109">
        <v>45797</v>
      </c>
      <c r="M637" s="109">
        <v>45800</v>
      </c>
      <c r="N637" s="105" t="s">
        <v>1159</v>
      </c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</row>
    <row r="638" spans="1:28" ht="29">
      <c r="A638" s="264"/>
      <c r="B638" s="264"/>
      <c r="C638" s="264"/>
      <c r="D638" s="97"/>
      <c r="E638" s="264"/>
      <c r="F638" s="97" t="s">
        <v>923</v>
      </c>
      <c r="G638" s="121">
        <v>100</v>
      </c>
      <c r="H638" s="109">
        <v>45797</v>
      </c>
      <c r="I638" s="105" t="s">
        <v>623</v>
      </c>
      <c r="J638" s="108">
        <v>881347360598</v>
      </c>
      <c r="K638" s="264"/>
      <c r="L638" s="109">
        <v>45797</v>
      </c>
      <c r="M638" s="109">
        <v>45800</v>
      </c>
      <c r="N638" s="105" t="s">
        <v>1159</v>
      </c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</row>
    <row r="639" spans="1:28" ht="29">
      <c r="A639" s="261"/>
      <c r="B639" s="261"/>
      <c r="C639" s="261"/>
      <c r="D639" s="97"/>
      <c r="E639" s="261"/>
      <c r="F639" s="97" t="s">
        <v>924</v>
      </c>
      <c r="G639" s="121">
        <v>100</v>
      </c>
      <c r="H639" s="109">
        <v>45797</v>
      </c>
      <c r="I639" s="105" t="s">
        <v>623</v>
      </c>
      <c r="J639" s="108">
        <v>881347360598</v>
      </c>
      <c r="K639" s="261"/>
      <c r="L639" s="109">
        <v>45797</v>
      </c>
      <c r="M639" s="109">
        <v>45800</v>
      </c>
      <c r="N639" s="105" t="s">
        <v>1159</v>
      </c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</row>
    <row r="640" spans="1:28" ht="29">
      <c r="A640" s="280">
        <v>246</v>
      </c>
      <c r="B640" s="283" t="s">
        <v>543</v>
      </c>
      <c r="C640" s="114">
        <v>21432</v>
      </c>
      <c r="D640" s="97"/>
      <c r="E640" s="97" t="s">
        <v>1106</v>
      </c>
      <c r="F640" s="97" t="s">
        <v>21</v>
      </c>
      <c r="G640" s="121">
        <v>12</v>
      </c>
      <c r="H640" s="109">
        <v>45807</v>
      </c>
      <c r="I640" s="105" t="s">
        <v>623</v>
      </c>
      <c r="J640" s="108">
        <v>881580420710</v>
      </c>
      <c r="K640" s="283" t="s">
        <v>736</v>
      </c>
      <c r="L640" s="109">
        <v>45807</v>
      </c>
      <c r="M640" s="109">
        <v>45811</v>
      </c>
      <c r="N640" s="105" t="s">
        <v>1208</v>
      </c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</row>
    <row r="641" spans="1:28" ht="29">
      <c r="A641" s="261"/>
      <c r="B641" s="261"/>
      <c r="C641" s="106">
        <v>21548</v>
      </c>
      <c r="D641" s="97"/>
      <c r="E641" s="97" t="s">
        <v>1106</v>
      </c>
      <c r="F641" s="97" t="s">
        <v>56</v>
      </c>
      <c r="G641" s="121">
        <v>100</v>
      </c>
      <c r="H641" s="109">
        <v>45807</v>
      </c>
      <c r="I641" s="105" t="s">
        <v>623</v>
      </c>
      <c r="J641" s="108">
        <v>881580420710</v>
      </c>
      <c r="K641" s="261"/>
      <c r="L641" s="109">
        <v>45807</v>
      </c>
      <c r="M641" s="109">
        <v>45811</v>
      </c>
      <c r="N641" s="105" t="s">
        <v>1208</v>
      </c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</row>
    <row r="642" spans="1:28" ht="29">
      <c r="A642" s="113">
        <v>247</v>
      </c>
      <c r="B642" s="105" t="s">
        <v>543</v>
      </c>
      <c r="C642" s="106">
        <v>22162</v>
      </c>
      <c r="D642" s="97"/>
      <c r="E642" s="97" t="s">
        <v>554</v>
      </c>
      <c r="F642" s="97" t="s">
        <v>1209</v>
      </c>
      <c r="G642" s="121">
        <v>10</v>
      </c>
      <c r="H642" s="109">
        <v>45800</v>
      </c>
      <c r="I642" s="105" t="s">
        <v>623</v>
      </c>
      <c r="J642" s="108">
        <v>881445965449</v>
      </c>
      <c r="K642" s="105" t="s">
        <v>577</v>
      </c>
      <c r="L642" s="109">
        <v>45800</v>
      </c>
      <c r="M642" s="109">
        <v>45807</v>
      </c>
      <c r="N642" s="105" t="s">
        <v>1210</v>
      </c>
      <c r="O642" s="105" t="s">
        <v>1211</v>
      </c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</row>
    <row r="643" spans="1:28" ht="14.5">
      <c r="A643" s="178">
        <v>248</v>
      </c>
      <c r="B643" s="182" t="s">
        <v>543</v>
      </c>
      <c r="C643" s="196">
        <v>22161</v>
      </c>
      <c r="D643" s="179"/>
      <c r="E643" s="179" t="s">
        <v>899</v>
      </c>
      <c r="F643" s="179" t="s">
        <v>54</v>
      </c>
      <c r="G643" s="197">
        <v>250</v>
      </c>
      <c r="H643" s="179"/>
      <c r="I643" s="182" t="s">
        <v>1212</v>
      </c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</row>
    <row r="644" spans="1:28" ht="29">
      <c r="A644" s="113">
        <v>249</v>
      </c>
      <c r="B644" s="105" t="s">
        <v>543</v>
      </c>
      <c r="C644" s="106">
        <v>22336</v>
      </c>
      <c r="D644" s="106" t="s">
        <v>1213</v>
      </c>
      <c r="E644" s="107" t="s">
        <v>554</v>
      </c>
      <c r="F644" s="107" t="s">
        <v>1214</v>
      </c>
      <c r="G644" s="123">
        <v>2</v>
      </c>
      <c r="H644" s="109">
        <v>45813</v>
      </c>
      <c r="I644" s="105" t="s">
        <v>623</v>
      </c>
      <c r="J644" s="108">
        <v>881763465361</v>
      </c>
      <c r="K644" s="105" t="s">
        <v>577</v>
      </c>
      <c r="L644" s="109">
        <v>45813</v>
      </c>
      <c r="M644" s="109">
        <v>45819</v>
      </c>
      <c r="N644" s="105" t="s">
        <v>1215</v>
      </c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</row>
    <row r="645" spans="1:28" ht="29">
      <c r="A645" s="280">
        <v>250</v>
      </c>
      <c r="B645" s="283" t="s">
        <v>543</v>
      </c>
      <c r="C645" s="106">
        <v>22411</v>
      </c>
      <c r="D645" s="106" t="s">
        <v>1216</v>
      </c>
      <c r="E645" s="107" t="s">
        <v>554</v>
      </c>
      <c r="F645" s="107" t="s">
        <v>1217</v>
      </c>
      <c r="G645" s="123">
        <v>10</v>
      </c>
      <c r="H645" s="109">
        <v>45825</v>
      </c>
      <c r="I645" s="105" t="s">
        <v>623</v>
      </c>
      <c r="J645" s="108">
        <v>882045196290</v>
      </c>
      <c r="K645" s="283" t="s">
        <v>610</v>
      </c>
      <c r="L645" s="109">
        <v>45825</v>
      </c>
      <c r="M645" s="109">
        <v>45831</v>
      </c>
      <c r="N645" s="105" t="s">
        <v>1218</v>
      </c>
      <c r="O645" s="97"/>
      <c r="P645" s="105" t="s">
        <v>1219</v>
      </c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</row>
    <row r="646" spans="1:28" ht="29">
      <c r="A646" s="264"/>
      <c r="B646" s="264"/>
      <c r="C646" s="157">
        <v>22435</v>
      </c>
      <c r="D646" s="157" t="s">
        <v>1220</v>
      </c>
      <c r="E646" s="107" t="s">
        <v>554</v>
      </c>
      <c r="F646" s="107" t="s">
        <v>1221</v>
      </c>
      <c r="G646" s="123">
        <v>10</v>
      </c>
      <c r="H646" s="109">
        <v>45825</v>
      </c>
      <c r="I646" s="105" t="s">
        <v>623</v>
      </c>
      <c r="J646" s="108">
        <v>882045196290</v>
      </c>
      <c r="K646" s="264"/>
      <c r="L646" s="109">
        <v>45825</v>
      </c>
      <c r="M646" s="109">
        <v>45831</v>
      </c>
      <c r="N646" s="105" t="s">
        <v>1218</v>
      </c>
      <c r="O646" s="97"/>
      <c r="P646" s="105" t="s">
        <v>1219</v>
      </c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</row>
    <row r="647" spans="1:28" ht="29">
      <c r="A647" s="264"/>
      <c r="B647" s="264"/>
      <c r="C647" s="157">
        <v>22435</v>
      </c>
      <c r="D647" s="157" t="s">
        <v>1220</v>
      </c>
      <c r="E647" s="107" t="s">
        <v>554</v>
      </c>
      <c r="F647" s="107" t="s">
        <v>455</v>
      </c>
      <c r="G647" s="123">
        <v>10</v>
      </c>
      <c r="H647" s="109">
        <v>45825</v>
      </c>
      <c r="I647" s="105" t="s">
        <v>623</v>
      </c>
      <c r="J647" s="108">
        <v>882045196290</v>
      </c>
      <c r="K647" s="264"/>
      <c r="L647" s="109">
        <v>45825</v>
      </c>
      <c r="M647" s="109">
        <v>45831</v>
      </c>
      <c r="N647" s="105" t="s">
        <v>1218</v>
      </c>
      <c r="O647" s="97"/>
      <c r="P647" s="105" t="s">
        <v>1219</v>
      </c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</row>
    <row r="648" spans="1:28" ht="29">
      <c r="A648" s="261"/>
      <c r="B648" s="261"/>
      <c r="C648" s="157">
        <v>22435</v>
      </c>
      <c r="D648" s="157" t="s">
        <v>1220</v>
      </c>
      <c r="E648" s="107" t="s">
        <v>554</v>
      </c>
      <c r="F648" s="107" t="s">
        <v>1222</v>
      </c>
      <c r="G648" s="123">
        <v>10</v>
      </c>
      <c r="H648" s="109">
        <v>45825</v>
      </c>
      <c r="I648" s="105" t="s">
        <v>623</v>
      </c>
      <c r="J648" s="108">
        <v>882045196290</v>
      </c>
      <c r="K648" s="261"/>
      <c r="L648" s="109">
        <v>45825</v>
      </c>
      <c r="M648" s="109">
        <v>45831</v>
      </c>
      <c r="N648" s="105" t="s">
        <v>1218</v>
      </c>
      <c r="O648" s="97"/>
      <c r="P648" s="105" t="s">
        <v>1219</v>
      </c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</row>
    <row r="649" spans="1:28" ht="29">
      <c r="A649" s="113">
        <v>251</v>
      </c>
      <c r="B649" s="105" t="s">
        <v>543</v>
      </c>
      <c r="C649" s="106">
        <v>22343</v>
      </c>
      <c r="D649" s="97"/>
      <c r="E649" s="97" t="s">
        <v>1223</v>
      </c>
      <c r="F649" s="97" t="s">
        <v>1224</v>
      </c>
      <c r="G649" s="121">
        <v>2</v>
      </c>
      <c r="H649" s="109">
        <v>45833</v>
      </c>
      <c r="I649" s="105" t="s">
        <v>623</v>
      </c>
      <c r="J649" s="108">
        <v>882258955026</v>
      </c>
      <c r="K649" s="105" t="s">
        <v>577</v>
      </c>
      <c r="L649" s="109">
        <v>45833</v>
      </c>
      <c r="M649" s="109">
        <v>45838</v>
      </c>
      <c r="N649" s="105" t="s">
        <v>1225</v>
      </c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</row>
    <row r="650" spans="1:28" ht="29">
      <c r="A650" s="280">
        <v>252</v>
      </c>
      <c r="B650" s="283" t="s">
        <v>543</v>
      </c>
      <c r="C650" s="284">
        <v>22294</v>
      </c>
      <c r="D650" s="284" t="s">
        <v>1226</v>
      </c>
      <c r="E650" s="282" t="s">
        <v>1227</v>
      </c>
      <c r="F650" s="107" t="s">
        <v>1228</v>
      </c>
      <c r="G650" s="123">
        <v>10</v>
      </c>
      <c r="H650" s="109">
        <v>45847</v>
      </c>
      <c r="I650" s="105" t="s">
        <v>623</v>
      </c>
      <c r="J650" s="108">
        <v>882585456877</v>
      </c>
      <c r="K650" s="283" t="s">
        <v>577</v>
      </c>
      <c r="L650" s="109">
        <v>45847</v>
      </c>
      <c r="M650" s="109">
        <v>45849</v>
      </c>
      <c r="N650" s="105" t="s">
        <v>1229</v>
      </c>
      <c r="O650" s="105" t="s">
        <v>1230</v>
      </c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</row>
    <row r="651" spans="1:28" ht="29">
      <c r="A651" s="264"/>
      <c r="B651" s="264"/>
      <c r="C651" s="264"/>
      <c r="D651" s="264"/>
      <c r="E651" s="264"/>
      <c r="F651" s="107" t="s">
        <v>1231</v>
      </c>
      <c r="G651" s="123">
        <v>10</v>
      </c>
      <c r="H651" s="109">
        <v>45847</v>
      </c>
      <c r="I651" s="105" t="s">
        <v>623</v>
      </c>
      <c r="J651" s="108">
        <v>882585456877</v>
      </c>
      <c r="K651" s="264"/>
      <c r="L651" s="109">
        <v>45847</v>
      </c>
      <c r="M651" s="109">
        <v>45849</v>
      </c>
      <c r="N651" s="105" t="s">
        <v>1229</v>
      </c>
      <c r="O651" s="105" t="s">
        <v>1230</v>
      </c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</row>
    <row r="652" spans="1:28" ht="29">
      <c r="A652" s="261"/>
      <c r="B652" s="261"/>
      <c r="C652" s="261"/>
      <c r="D652" s="261"/>
      <c r="E652" s="261"/>
      <c r="F652" s="107" t="s">
        <v>1232</v>
      </c>
      <c r="G652" s="123">
        <v>10</v>
      </c>
      <c r="H652" s="109">
        <v>45847</v>
      </c>
      <c r="I652" s="105" t="s">
        <v>623</v>
      </c>
      <c r="J652" s="108">
        <v>882585456877</v>
      </c>
      <c r="K652" s="261"/>
      <c r="L652" s="109">
        <v>45847</v>
      </c>
      <c r="M652" s="109">
        <v>45849</v>
      </c>
      <c r="N652" s="105" t="s">
        <v>1229</v>
      </c>
      <c r="O652" s="105" t="s">
        <v>1230</v>
      </c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</row>
    <row r="653" spans="1:28" ht="29">
      <c r="A653" s="280">
        <v>253</v>
      </c>
      <c r="B653" s="283" t="s">
        <v>543</v>
      </c>
      <c r="C653" s="284">
        <v>21794</v>
      </c>
      <c r="D653" s="97"/>
      <c r="E653" s="282" t="s">
        <v>818</v>
      </c>
      <c r="F653" s="107" t="s">
        <v>266</v>
      </c>
      <c r="G653" s="121">
        <v>1000</v>
      </c>
      <c r="H653" s="109">
        <v>45826</v>
      </c>
      <c r="I653" s="105" t="s">
        <v>623</v>
      </c>
      <c r="J653" s="198">
        <v>882084623929</v>
      </c>
      <c r="K653" s="283" t="s">
        <v>669</v>
      </c>
      <c r="L653" s="109">
        <v>45826</v>
      </c>
      <c r="M653" s="109">
        <v>45831</v>
      </c>
      <c r="N653" s="105" t="s">
        <v>1218</v>
      </c>
      <c r="O653" s="105" t="s">
        <v>1234</v>
      </c>
      <c r="P653" s="105" t="s">
        <v>1219</v>
      </c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</row>
    <row r="654" spans="1:28" ht="29">
      <c r="A654" s="264"/>
      <c r="B654" s="264"/>
      <c r="C654" s="264"/>
      <c r="D654" s="97"/>
      <c r="E654" s="264"/>
      <c r="F654" s="107" t="s">
        <v>268</v>
      </c>
      <c r="G654" s="121">
        <v>1000</v>
      </c>
      <c r="H654" s="109">
        <v>45826</v>
      </c>
      <c r="I654" s="105" t="s">
        <v>623</v>
      </c>
      <c r="J654" s="108">
        <v>882084623929</v>
      </c>
      <c r="K654" s="264"/>
      <c r="L654" s="109">
        <v>45826</v>
      </c>
      <c r="M654" s="109">
        <v>45831</v>
      </c>
      <c r="N654" s="105" t="s">
        <v>1218</v>
      </c>
      <c r="O654" s="105" t="s">
        <v>1234</v>
      </c>
      <c r="P654" s="105" t="s">
        <v>1219</v>
      </c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</row>
    <row r="655" spans="1:28" ht="29">
      <c r="A655" s="264"/>
      <c r="B655" s="264"/>
      <c r="C655" s="264"/>
      <c r="D655" s="97"/>
      <c r="E655" s="264"/>
      <c r="F655" s="107" t="s">
        <v>270</v>
      </c>
      <c r="G655" s="121">
        <v>6000</v>
      </c>
      <c r="H655" s="109">
        <v>45826</v>
      </c>
      <c r="I655" s="105" t="s">
        <v>623</v>
      </c>
      <c r="J655" s="108">
        <v>882084623929</v>
      </c>
      <c r="K655" s="264"/>
      <c r="L655" s="109">
        <v>45826</v>
      </c>
      <c r="M655" s="109">
        <v>45831</v>
      </c>
      <c r="N655" s="105" t="s">
        <v>1218</v>
      </c>
      <c r="O655" s="105" t="s">
        <v>1234</v>
      </c>
      <c r="P655" s="105" t="s">
        <v>1219</v>
      </c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</row>
    <row r="656" spans="1:28" ht="29">
      <c r="A656" s="264"/>
      <c r="B656" s="264"/>
      <c r="C656" s="264"/>
      <c r="D656" s="97"/>
      <c r="E656" s="264"/>
      <c r="F656" s="107" t="s">
        <v>191</v>
      </c>
      <c r="G656" s="121">
        <v>6000</v>
      </c>
      <c r="H656" s="109">
        <v>45826</v>
      </c>
      <c r="I656" s="105" t="s">
        <v>623</v>
      </c>
      <c r="J656" s="108">
        <v>882084623929</v>
      </c>
      <c r="K656" s="264"/>
      <c r="L656" s="109">
        <v>45826</v>
      </c>
      <c r="M656" s="109">
        <v>45831</v>
      </c>
      <c r="N656" s="105" t="s">
        <v>1218</v>
      </c>
      <c r="O656" s="105" t="s">
        <v>1234</v>
      </c>
      <c r="P656" s="105" t="s">
        <v>1219</v>
      </c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</row>
    <row r="657" spans="1:28" ht="29">
      <c r="A657" s="264"/>
      <c r="B657" s="264"/>
      <c r="C657" s="264"/>
      <c r="D657" s="97"/>
      <c r="E657" s="264"/>
      <c r="F657" s="107" t="s">
        <v>415</v>
      </c>
      <c r="G657" s="121">
        <v>1000</v>
      </c>
      <c r="H657" s="109">
        <v>45826</v>
      </c>
      <c r="I657" s="105" t="s">
        <v>623</v>
      </c>
      <c r="J657" s="108">
        <v>882084623929</v>
      </c>
      <c r="K657" s="264"/>
      <c r="L657" s="109">
        <v>45826</v>
      </c>
      <c r="M657" s="109">
        <v>45831</v>
      </c>
      <c r="N657" s="105" t="s">
        <v>1218</v>
      </c>
      <c r="O657" s="105" t="s">
        <v>1234</v>
      </c>
      <c r="P657" s="105" t="s">
        <v>1219</v>
      </c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</row>
    <row r="658" spans="1:28" ht="29">
      <c r="A658" s="264"/>
      <c r="B658" s="264"/>
      <c r="C658" s="264"/>
      <c r="D658" s="97"/>
      <c r="E658" s="264"/>
      <c r="F658" s="107" t="s">
        <v>398</v>
      </c>
      <c r="G658" s="121">
        <v>1000</v>
      </c>
      <c r="H658" s="109">
        <v>45826</v>
      </c>
      <c r="I658" s="105" t="s">
        <v>623</v>
      </c>
      <c r="J658" s="108">
        <v>882084623929</v>
      </c>
      <c r="K658" s="264"/>
      <c r="L658" s="109">
        <v>45826</v>
      </c>
      <c r="M658" s="109">
        <v>45831</v>
      </c>
      <c r="N658" s="105" t="s">
        <v>1218</v>
      </c>
      <c r="O658" s="105" t="s">
        <v>1234</v>
      </c>
      <c r="P658" s="105" t="s">
        <v>1219</v>
      </c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</row>
    <row r="659" spans="1:28" ht="29">
      <c r="A659" s="264"/>
      <c r="B659" s="264"/>
      <c r="C659" s="264"/>
      <c r="D659" s="97"/>
      <c r="E659" s="264"/>
      <c r="F659" s="107" t="s">
        <v>270</v>
      </c>
      <c r="G659" s="121">
        <v>4000</v>
      </c>
      <c r="H659" s="109">
        <v>45826</v>
      </c>
      <c r="I659" s="105" t="s">
        <v>623</v>
      </c>
      <c r="J659" s="108">
        <v>882084623929</v>
      </c>
      <c r="K659" s="264"/>
      <c r="L659" s="109">
        <v>45826</v>
      </c>
      <c r="M659" s="109">
        <v>45831</v>
      </c>
      <c r="N659" s="105" t="s">
        <v>1218</v>
      </c>
      <c r="O659" s="105" t="s">
        <v>1234</v>
      </c>
      <c r="P659" s="105" t="s">
        <v>1219</v>
      </c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</row>
    <row r="660" spans="1:28" ht="29">
      <c r="A660" s="261"/>
      <c r="B660" s="261"/>
      <c r="C660" s="261"/>
      <c r="D660" s="97"/>
      <c r="E660" s="261"/>
      <c r="F660" s="107" t="s">
        <v>191</v>
      </c>
      <c r="G660" s="121">
        <v>4000</v>
      </c>
      <c r="H660" s="109">
        <v>45826</v>
      </c>
      <c r="I660" s="105" t="s">
        <v>623</v>
      </c>
      <c r="J660" s="108">
        <v>882084623929</v>
      </c>
      <c r="K660" s="261"/>
      <c r="L660" s="109">
        <v>45826</v>
      </c>
      <c r="M660" s="109">
        <v>45831</v>
      </c>
      <c r="N660" s="105" t="s">
        <v>1218</v>
      </c>
      <c r="O660" s="105" t="s">
        <v>1234</v>
      </c>
      <c r="P660" s="105" t="s">
        <v>1219</v>
      </c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</row>
    <row r="661" spans="1:28" ht="29">
      <c r="A661" s="280">
        <v>254</v>
      </c>
      <c r="B661" s="283" t="s">
        <v>541</v>
      </c>
      <c r="C661" s="281">
        <v>21446</v>
      </c>
      <c r="D661" s="97"/>
      <c r="E661" s="282" t="s">
        <v>1106</v>
      </c>
      <c r="F661" s="97" t="s">
        <v>10</v>
      </c>
      <c r="G661" s="121">
        <v>250</v>
      </c>
      <c r="H661" s="109">
        <v>45834</v>
      </c>
      <c r="I661" s="105" t="s">
        <v>823</v>
      </c>
      <c r="J661" s="108">
        <v>250683040054</v>
      </c>
      <c r="K661" s="283" t="s">
        <v>729</v>
      </c>
      <c r="L661" s="109">
        <v>45831</v>
      </c>
      <c r="M661" s="109">
        <v>45840</v>
      </c>
      <c r="N661" s="105" t="s">
        <v>1235</v>
      </c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</row>
    <row r="662" spans="1:28" ht="29">
      <c r="A662" s="261"/>
      <c r="B662" s="261"/>
      <c r="C662" s="261"/>
      <c r="D662" s="97"/>
      <c r="E662" s="261"/>
      <c r="F662" s="97" t="s">
        <v>11</v>
      </c>
      <c r="G662" s="121">
        <v>150</v>
      </c>
      <c r="H662" s="109">
        <v>45834</v>
      </c>
      <c r="I662" s="105" t="s">
        <v>823</v>
      </c>
      <c r="J662" s="108">
        <v>250683040054</v>
      </c>
      <c r="K662" s="261"/>
      <c r="L662" s="109">
        <v>45831</v>
      </c>
      <c r="M662" s="109">
        <v>45840</v>
      </c>
      <c r="N662" s="105" t="s">
        <v>1235</v>
      </c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</row>
    <row r="663" spans="1:28" ht="29">
      <c r="A663" s="113">
        <v>255</v>
      </c>
      <c r="B663" s="105" t="s">
        <v>541</v>
      </c>
      <c r="C663" s="106">
        <v>21378</v>
      </c>
      <c r="D663" s="106" t="s">
        <v>1236</v>
      </c>
      <c r="E663" s="107" t="s">
        <v>1237</v>
      </c>
      <c r="F663" s="107" t="s">
        <v>47</v>
      </c>
      <c r="G663" s="123">
        <v>100</v>
      </c>
      <c r="H663" s="109">
        <v>45852</v>
      </c>
      <c r="I663" s="105" t="s">
        <v>823</v>
      </c>
      <c r="J663" s="105" t="s">
        <v>1238</v>
      </c>
      <c r="K663" s="105" t="s">
        <v>896</v>
      </c>
      <c r="L663" s="109">
        <v>45847</v>
      </c>
      <c r="M663" s="109">
        <v>45874</v>
      </c>
      <c r="N663" s="105" t="s">
        <v>1239</v>
      </c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</row>
    <row r="664" spans="1:28" ht="29">
      <c r="A664" s="280">
        <v>256</v>
      </c>
      <c r="B664" s="283" t="s">
        <v>543</v>
      </c>
      <c r="C664" s="106">
        <v>22607</v>
      </c>
      <c r="D664" s="97"/>
      <c r="E664" s="97" t="s">
        <v>554</v>
      </c>
      <c r="F664" s="97" t="s">
        <v>122</v>
      </c>
      <c r="G664" s="121">
        <v>50</v>
      </c>
      <c r="H664" s="109">
        <v>45845</v>
      </c>
      <c r="I664" s="105" t="s">
        <v>623</v>
      </c>
      <c r="J664" s="108">
        <v>882524195543</v>
      </c>
      <c r="K664" s="283" t="s">
        <v>1025</v>
      </c>
      <c r="L664" s="109">
        <v>45845</v>
      </c>
      <c r="M664" s="109">
        <v>45849</v>
      </c>
      <c r="N664" s="105" t="s">
        <v>1229</v>
      </c>
      <c r="O664" s="105" t="s">
        <v>1230</v>
      </c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</row>
    <row r="665" spans="1:28" ht="29">
      <c r="A665" s="261"/>
      <c r="B665" s="261"/>
      <c r="C665" s="106">
        <v>22486</v>
      </c>
      <c r="D665" s="97"/>
      <c r="E665" s="97" t="s">
        <v>554</v>
      </c>
      <c r="F665" s="97" t="s">
        <v>1209</v>
      </c>
      <c r="G665" s="121">
        <v>50</v>
      </c>
      <c r="H665" s="109">
        <v>45845</v>
      </c>
      <c r="I665" s="105" t="s">
        <v>623</v>
      </c>
      <c r="J665" s="108">
        <v>882524195543</v>
      </c>
      <c r="K665" s="261"/>
      <c r="L665" s="109">
        <v>45845</v>
      </c>
      <c r="M665" s="109">
        <v>45849</v>
      </c>
      <c r="N665" s="105" t="s">
        <v>1229</v>
      </c>
      <c r="O665" s="105" t="s">
        <v>1230</v>
      </c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</row>
    <row r="666" spans="1:28" ht="29">
      <c r="A666" s="113">
        <v>257</v>
      </c>
      <c r="B666" s="105" t="s">
        <v>543</v>
      </c>
      <c r="C666" s="106">
        <v>22317</v>
      </c>
      <c r="D666" s="97"/>
      <c r="E666" s="97" t="s">
        <v>1227</v>
      </c>
      <c r="F666" s="97" t="s">
        <v>1150</v>
      </c>
      <c r="G666" s="121">
        <v>20</v>
      </c>
      <c r="H666" s="109">
        <v>45841</v>
      </c>
      <c r="I666" s="105" t="s">
        <v>623</v>
      </c>
      <c r="J666" s="108">
        <v>882463879562</v>
      </c>
      <c r="K666" s="105" t="s">
        <v>577</v>
      </c>
      <c r="L666" s="109">
        <v>45841</v>
      </c>
      <c r="M666" s="109">
        <v>45845</v>
      </c>
      <c r="N666" s="105" t="s">
        <v>1235</v>
      </c>
      <c r="O666" s="105" t="s">
        <v>1230</v>
      </c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</row>
    <row r="667" spans="1:28" ht="29">
      <c r="A667" s="280">
        <v>258</v>
      </c>
      <c r="B667" s="283" t="s">
        <v>543</v>
      </c>
      <c r="C667" s="106">
        <v>21355</v>
      </c>
      <c r="D667" s="106" t="s">
        <v>1240</v>
      </c>
      <c r="E667" s="97" t="s">
        <v>1241</v>
      </c>
      <c r="F667" s="97" t="s">
        <v>17</v>
      </c>
      <c r="G667" s="121">
        <v>140</v>
      </c>
      <c r="H667" s="109">
        <v>45859</v>
      </c>
      <c r="I667" s="105" t="s">
        <v>604</v>
      </c>
      <c r="J667" s="105" t="s">
        <v>1242</v>
      </c>
      <c r="K667" s="283" t="s">
        <v>663</v>
      </c>
      <c r="L667" s="109">
        <v>45855</v>
      </c>
      <c r="M667" s="109">
        <v>45861</v>
      </c>
      <c r="N667" s="105" t="s">
        <v>1243</v>
      </c>
      <c r="O667" s="105" t="s">
        <v>1244</v>
      </c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</row>
    <row r="668" spans="1:28" ht="29">
      <c r="A668" s="264"/>
      <c r="B668" s="264"/>
      <c r="C668" s="284">
        <v>21752</v>
      </c>
      <c r="D668" s="282"/>
      <c r="E668" s="282" t="s">
        <v>1241</v>
      </c>
      <c r="F668" s="97" t="s">
        <v>26</v>
      </c>
      <c r="G668" s="121">
        <v>12</v>
      </c>
      <c r="H668" s="109">
        <v>45859</v>
      </c>
      <c r="I668" s="105" t="s">
        <v>604</v>
      </c>
      <c r="J668" s="105" t="s">
        <v>1242</v>
      </c>
      <c r="K668" s="264"/>
      <c r="L668" s="109">
        <v>45855</v>
      </c>
      <c r="M668" s="109">
        <v>45861</v>
      </c>
      <c r="N668" s="105" t="s">
        <v>1243</v>
      </c>
      <c r="O668" s="105" t="s">
        <v>1244</v>
      </c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</row>
    <row r="669" spans="1:28" ht="29">
      <c r="A669" s="261"/>
      <c r="B669" s="261"/>
      <c r="C669" s="261"/>
      <c r="D669" s="261"/>
      <c r="E669" s="261"/>
      <c r="F669" s="97" t="s">
        <v>25</v>
      </c>
      <c r="G669" s="121">
        <v>12</v>
      </c>
      <c r="H669" s="109">
        <v>45859</v>
      </c>
      <c r="I669" s="105" t="s">
        <v>604</v>
      </c>
      <c r="J669" s="105" t="s">
        <v>1242</v>
      </c>
      <c r="K669" s="261"/>
      <c r="L669" s="109">
        <v>45855</v>
      </c>
      <c r="M669" s="109">
        <v>45861</v>
      </c>
      <c r="N669" s="105" t="s">
        <v>1243</v>
      </c>
      <c r="O669" s="105" t="s">
        <v>1244</v>
      </c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</row>
    <row r="670" spans="1:28" ht="29">
      <c r="A670" s="280">
        <v>259</v>
      </c>
      <c r="B670" s="283" t="s">
        <v>541</v>
      </c>
      <c r="C670" s="284">
        <v>21355</v>
      </c>
      <c r="D670" s="284" t="s">
        <v>1240</v>
      </c>
      <c r="E670" s="282" t="s">
        <v>1241</v>
      </c>
      <c r="F670" s="97" t="s">
        <v>17</v>
      </c>
      <c r="G670" s="121">
        <v>260</v>
      </c>
      <c r="H670" s="109">
        <v>45863</v>
      </c>
      <c r="I670" s="105" t="s">
        <v>604</v>
      </c>
      <c r="J670" s="105" t="s">
        <v>1245</v>
      </c>
      <c r="K670" s="283" t="s">
        <v>1246</v>
      </c>
      <c r="L670" s="109">
        <v>45854</v>
      </c>
      <c r="M670" s="109">
        <v>45868</v>
      </c>
      <c r="N670" s="105" t="s">
        <v>1247</v>
      </c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</row>
    <row r="671" spans="1:28" ht="29">
      <c r="A671" s="264"/>
      <c r="B671" s="264"/>
      <c r="C671" s="261"/>
      <c r="D671" s="261"/>
      <c r="E671" s="261"/>
      <c r="F671" s="97" t="s">
        <v>10</v>
      </c>
      <c r="G671" s="121">
        <v>300</v>
      </c>
      <c r="H671" s="109">
        <v>45863</v>
      </c>
      <c r="I671" s="105" t="s">
        <v>604</v>
      </c>
      <c r="J671" s="105" t="s">
        <v>1245</v>
      </c>
      <c r="K671" s="264"/>
      <c r="L671" s="109">
        <v>45854</v>
      </c>
      <c r="M671" s="109">
        <v>45868</v>
      </c>
      <c r="N671" s="105" t="s">
        <v>1247</v>
      </c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</row>
    <row r="672" spans="1:28" ht="29">
      <c r="A672" s="264"/>
      <c r="B672" s="264"/>
      <c r="C672" s="284">
        <v>21752</v>
      </c>
      <c r="D672" s="282"/>
      <c r="E672" s="282" t="s">
        <v>1241</v>
      </c>
      <c r="F672" s="97" t="s">
        <v>26</v>
      </c>
      <c r="G672" s="121">
        <v>40</v>
      </c>
      <c r="H672" s="109">
        <v>45863</v>
      </c>
      <c r="I672" s="105" t="s">
        <v>604</v>
      </c>
      <c r="J672" s="105" t="s">
        <v>1245</v>
      </c>
      <c r="K672" s="264"/>
      <c r="L672" s="109">
        <v>45854</v>
      </c>
      <c r="M672" s="109">
        <v>45868</v>
      </c>
      <c r="N672" s="105" t="s">
        <v>1247</v>
      </c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</row>
    <row r="673" spans="1:28" ht="29">
      <c r="A673" s="261"/>
      <c r="B673" s="261"/>
      <c r="C673" s="261"/>
      <c r="D673" s="261"/>
      <c r="E673" s="261"/>
      <c r="F673" s="97" t="s">
        <v>25</v>
      </c>
      <c r="G673" s="121">
        <v>40</v>
      </c>
      <c r="H673" s="109">
        <v>45863</v>
      </c>
      <c r="I673" s="105" t="s">
        <v>604</v>
      </c>
      <c r="J673" s="105" t="s">
        <v>1245</v>
      </c>
      <c r="K673" s="261"/>
      <c r="L673" s="109">
        <v>45854</v>
      </c>
      <c r="M673" s="109">
        <v>45868</v>
      </c>
      <c r="N673" s="105" t="s">
        <v>1247</v>
      </c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</row>
    <row r="674" spans="1:28" ht="14.5">
      <c r="A674" s="178">
        <v>260</v>
      </c>
      <c r="B674" s="182" t="s">
        <v>543</v>
      </c>
      <c r="C674" s="180">
        <v>22573</v>
      </c>
      <c r="D674" s="179"/>
      <c r="E674" s="179" t="s">
        <v>1248</v>
      </c>
      <c r="F674" s="179" t="s">
        <v>41</v>
      </c>
      <c r="G674" s="197">
        <v>350</v>
      </c>
      <c r="H674" s="179"/>
      <c r="I674" s="182" t="s">
        <v>1249</v>
      </c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</row>
    <row r="675" spans="1:28" ht="29">
      <c r="A675" s="280">
        <v>261</v>
      </c>
      <c r="B675" s="283" t="s">
        <v>543</v>
      </c>
      <c r="C675" s="106">
        <v>22659</v>
      </c>
      <c r="D675" s="97"/>
      <c r="E675" s="97" t="s">
        <v>1250</v>
      </c>
      <c r="F675" s="97" t="s">
        <v>1062</v>
      </c>
      <c r="G675" s="121">
        <v>1000</v>
      </c>
      <c r="H675" s="109">
        <v>45854</v>
      </c>
      <c r="I675" s="105" t="s">
        <v>623</v>
      </c>
      <c r="J675" s="108">
        <v>882788770634</v>
      </c>
      <c r="K675" s="283" t="s">
        <v>577</v>
      </c>
      <c r="L675" s="109">
        <v>45854</v>
      </c>
      <c r="M675" s="109">
        <v>45859</v>
      </c>
      <c r="N675" s="105" t="s">
        <v>1251</v>
      </c>
      <c r="O675" s="105" t="s">
        <v>1244</v>
      </c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</row>
    <row r="676" spans="1:28" ht="29">
      <c r="A676" s="261"/>
      <c r="B676" s="261"/>
      <c r="C676" s="106">
        <v>22675</v>
      </c>
      <c r="D676" s="97"/>
      <c r="E676" s="97" t="s">
        <v>1250</v>
      </c>
      <c r="F676" s="97" t="s">
        <v>920</v>
      </c>
      <c r="G676" s="121">
        <v>30</v>
      </c>
      <c r="H676" s="109">
        <v>45854</v>
      </c>
      <c r="I676" s="105" t="s">
        <v>623</v>
      </c>
      <c r="J676" s="108">
        <v>882788770634</v>
      </c>
      <c r="K676" s="261"/>
      <c r="L676" s="109">
        <v>45854</v>
      </c>
      <c r="M676" s="109">
        <v>45859</v>
      </c>
      <c r="N676" s="105" t="s">
        <v>1251</v>
      </c>
      <c r="O676" s="105" t="s">
        <v>1244</v>
      </c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</row>
    <row r="677" spans="1:28" ht="29">
      <c r="A677" s="178">
        <v>262</v>
      </c>
      <c r="B677" s="182" t="s">
        <v>543</v>
      </c>
      <c r="C677" s="196">
        <v>22606</v>
      </c>
      <c r="D677" s="179"/>
      <c r="E677" s="179" t="s">
        <v>899</v>
      </c>
      <c r="F677" s="179" t="s">
        <v>54</v>
      </c>
      <c r="G677" s="197">
        <v>250</v>
      </c>
      <c r="H677" s="179"/>
      <c r="I677" s="182" t="s">
        <v>1252</v>
      </c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</row>
    <row r="678" spans="1:28" ht="29">
      <c r="A678" s="280">
        <v>263</v>
      </c>
      <c r="B678" s="283" t="s">
        <v>543</v>
      </c>
      <c r="C678" s="284">
        <v>21807</v>
      </c>
      <c r="D678" s="97"/>
      <c r="E678" s="282" t="s">
        <v>1106</v>
      </c>
      <c r="F678" s="97" t="s">
        <v>21</v>
      </c>
      <c r="G678" s="121">
        <v>8</v>
      </c>
      <c r="H678" s="109">
        <v>45866</v>
      </c>
      <c r="I678" s="105" t="s">
        <v>823</v>
      </c>
      <c r="J678" s="105" t="s">
        <v>1253</v>
      </c>
      <c r="K678" s="283" t="s">
        <v>685</v>
      </c>
      <c r="L678" s="109">
        <v>45864</v>
      </c>
      <c r="M678" s="109">
        <v>45868</v>
      </c>
      <c r="N678" s="105" t="s">
        <v>1254</v>
      </c>
      <c r="O678" s="105" t="s">
        <v>1255</v>
      </c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</row>
    <row r="679" spans="1:28" ht="29">
      <c r="A679" s="264"/>
      <c r="B679" s="264"/>
      <c r="C679" s="261"/>
      <c r="D679" s="97"/>
      <c r="E679" s="261"/>
      <c r="F679" s="97" t="s">
        <v>13</v>
      </c>
      <c r="G679" s="121">
        <v>100</v>
      </c>
      <c r="H679" s="109">
        <v>45866</v>
      </c>
      <c r="I679" s="105" t="s">
        <v>823</v>
      </c>
      <c r="J679" s="105" t="s">
        <v>1253</v>
      </c>
      <c r="K679" s="264"/>
      <c r="L679" s="109">
        <v>45864</v>
      </c>
      <c r="M679" s="109">
        <v>45868</v>
      </c>
      <c r="N679" s="105" t="s">
        <v>1254</v>
      </c>
      <c r="O679" s="105" t="s">
        <v>1255</v>
      </c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</row>
    <row r="680" spans="1:28" ht="29">
      <c r="A680" s="264"/>
      <c r="B680" s="264"/>
      <c r="C680" s="284">
        <v>21932</v>
      </c>
      <c r="D680" s="97"/>
      <c r="E680" s="282" t="s">
        <v>1106</v>
      </c>
      <c r="F680" s="97" t="s">
        <v>56</v>
      </c>
      <c r="G680" s="121">
        <v>100</v>
      </c>
      <c r="H680" s="109">
        <v>45866</v>
      </c>
      <c r="I680" s="105" t="s">
        <v>823</v>
      </c>
      <c r="J680" s="105" t="s">
        <v>1253</v>
      </c>
      <c r="K680" s="264"/>
      <c r="L680" s="109">
        <v>45864</v>
      </c>
      <c r="M680" s="109">
        <v>45868</v>
      </c>
      <c r="N680" s="105" t="s">
        <v>1254</v>
      </c>
      <c r="O680" s="105" t="s">
        <v>1255</v>
      </c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</row>
    <row r="681" spans="1:28" ht="29">
      <c r="A681" s="261"/>
      <c r="B681" s="261"/>
      <c r="C681" s="261"/>
      <c r="D681" s="97"/>
      <c r="E681" s="261"/>
      <c r="F681" s="97" t="s">
        <v>15</v>
      </c>
      <c r="G681" s="121">
        <v>100</v>
      </c>
      <c r="H681" s="109">
        <v>45866</v>
      </c>
      <c r="I681" s="105" t="s">
        <v>823</v>
      </c>
      <c r="J681" s="105" t="s">
        <v>1253</v>
      </c>
      <c r="K681" s="261"/>
      <c r="L681" s="109">
        <v>45864</v>
      </c>
      <c r="M681" s="109">
        <v>45868</v>
      </c>
      <c r="N681" s="105" t="s">
        <v>1254</v>
      </c>
      <c r="O681" s="105" t="s">
        <v>1255</v>
      </c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</row>
    <row r="682" spans="1:28" ht="14.5">
      <c r="A682" s="302">
        <v>264</v>
      </c>
      <c r="B682" s="289" t="s">
        <v>541</v>
      </c>
      <c r="C682" s="303">
        <v>21807</v>
      </c>
      <c r="D682" s="94"/>
      <c r="E682" s="304" t="s">
        <v>1106</v>
      </c>
      <c r="F682" s="94" t="s">
        <v>21</v>
      </c>
      <c r="G682" s="201">
        <v>48</v>
      </c>
      <c r="H682" s="202">
        <v>45879</v>
      </c>
      <c r="I682" s="203" t="s">
        <v>823</v>
      </c>
      <c r="J682" s="204">
        <v>250883040018</v>
      </c>
      <c r="K682" s="289" t="s">
        <v>685</v>
      </c>
      <c r="L682" s="202">
        <v>45867</v>
      </c>
      <c r="M682" s="202">
        <v>45886</v>
      </c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</row>
    <row r="683" spans="1:28" ht="14.5">
      <c r="A683" s="264"/>
      <c r="B683" s="264"/>
      <c r="C683" s="261"/>
      <c r="D683" s="94"/>
      <c r="E683" s="261"/>
      <c r="F683" s="94" t="s">
        <v>13</v>
      </c>
      <c r="G683" s="201">
        <v>100</v>
      </c>
      <c r="H683" s="202">
        <v>45879</v>
      </c>
      <c r="I683" s="203" t="s">
        <v>823</v>
      </c>
      <c r="J683" s="204">
        <v>250883040018</v>
      </c>
      <c r="K683" s="264"/>
      <c r="L683" s="202">
        <v>45867</v>
      </c>
      <c r="M683" s="202">
        <v>45886</v>
      </c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</row>
    <row r="684" spans="1:28" ht="14.5">
      <c r="A684" s="261"/>
      <c r="B684" s="261"/>
      <c r="C684" s="199">
        <v>21932</v>
      </c>
      <c r="D684" s="94"/>
      <c r="E684" s="200" t="s">
        <v>1106</v>
      </c>
      <c r="F684" s="94" t="s">
        <v>15</v>
      </c>
      <c r="G684" s="201">
        <v>100</v>
      </c>
      <c r="H684" s="202">
        <v>45879</v>
      </c>
      <c r="I684" s="203" t="s">
        <v>823</v>
      </c>
      <c r="J684" s="204">
        <v>250883040018</v>
      </c>
      <c r="K684" s="261"/>
      <c r="L684" s="202">
        <v>45867</v>
      </c>
      <c r="M684" s="202">
        <v>45886</v>
      </c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</row>
    <row r="685" spans="1:28" ht="29">
      <c r="A685" s="302">
        <v>265</v>
      </c>
      <c r="B685" s="289" t="s">
        <v>541</v>
      </c>
      <c r="C685" s="303">
        <v>21447</v>
      </c>
      <c r="D685" s="94"/>
      <c r="E685" s="304" t="s">
        <v>1106</v>
      </c>
      <c r="F685" s="94" t="s">
        <v>10</v>
      </c>
      <c r="G685" s="201">
        <v>250</v>
      </c>
      <c r="H685" s="202">
        <v>45889</v>
      </c>
      <c r="I685" s="203" t="s">
        <v>604</v>
      </c>
      <c r="J685" s="203" t="s">
        <v>1256</v>
      </c>
      <c r="K685" s="289" t="s">
        <v>729</v>
      </c>
      <c r="L685" s="202">
        <v>45880</v>
      </c>
      <c r="M685" s="202">
        <v>45894</v>
      </c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</row>
    <row r="686" spans="1:28" ht="29">
      <c r="A686" s="261"/>
      <c r="B686" s="261"/>
      <c r="C686" s="264"/>
      <c r="D686" s="94"/>
      <c r="E686" s="261"/>
      <c r="F686" s="94" t="s">
        <v>11</v>
      </c>
      <c r="G686" s="201">
        <v>150</v>
      </c>
      <c r="H686" s="202">
        <v>45889</v>
      </c>
      <c r="I686" s="203" t="s">
        <v>604</v>
      </c>
      <c r="J686" s="203" t="s">
        <v>1256</v>
      </c>
      <c r="K686" s="261"/>
      <c r="L686" s="202">
        <v>45880</v>
      </c>
      <c r="M686" s="202">
        <v>45894</v>
      </c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</row>
    <row r="687" spans="1:28" ht="29">
      <c r="A687" s="299">
        <v>266</v>
      </c>
      <c r="B687" s="290" t="s">
        <v>543</v>
      </c>
      <c r="C687" s="196">
        <v>22478</v>
      </c>
      <c r="D687" s="179"/>
      <c r="E687" s="179" t="s">
        <v>1006</v>
      </c>
      <c r="F687" s="179" t="s">
        <v>27</v>
      </c>
      <c r="G687" s="197">
        <v>400</v>
      </c>
      <c r="H687" s="179"/>
      <c r="I687" s="182" t="s">
        <v>1257</v>
      </c>
      <c r="J687" s="179"/>
      <c r="K687" s="290" t="s">
        <v>690</v>
      </c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</row>
    <row r="688" spans="1:28" ht="29">
      <c r="A688" s="264"/>
      <c r="B688" s="264"/>
      <c r="C688" s="205">
        <v>22484</v>
      </c>
      <c r="D688" s="205" t="s">
        <v>1258</v>
      </c>
      <c r="E688" s="206" t="s">
        <v>1006</v>
      </c>
      <c r="F688" s="206" t="s">
        <v>27</v>
      </c>
      <c r="G688" s="207">
        <v>47</v>
      </c>
      <c r="H688" s="179"/>
      <c r="I688" s="182" t="s">
        <v>1257</v>
      </c>
      <c r="J688" s="179"/>
      <c r="K688" s="264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</row>
    <row r="689" spans="1:28" ht="29">
      <c r="A689" s="261"/>
      <c r="B689" s="261"/>
      <c r="C689" s="205">
        <v>22484</v>
      </c>
      <c r="D689" s="205" t="s">
        <v>1258</v>
      </c>
      <c r="E689" s="206" t="s">
        <v>1006</v>
      </c>
      <c r="F689" s="206" t="s">
        <v>29</v>
      </c>
      <c r="G689" s="207">
        <v>50</v>
      </c>
      <c r="H689" s="179"/>
      <c r="I689" s="182" t="s">
        <v>1257</v>
      </c>
      <c r="J689" s="179"/>
      <c r="K689" s="261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</row>
    <row r="690" spans="1:28" ht="29">
      <c r="A690" s="178">
        <v>267</v>
      </c>
      <c r="B690" s="182" t="s">
        <v>543</v>
      </c>
      <c r="C690" s="196">
        <v>22479</v>
      </c>
      <c r="D690" s="179"/>
      <c r="E690" s="179" t="s">
        <v>1006</v>
      </c>
      <c r="F690" s="179" t="s">
        <v>27</v>
      </c>
      <c r="G690" s="197">
        <v>400</v>
      </c>
      <c r="H690" s="179"/>
      <c r="I690" s="182" t="s">
        <v>1259</v>
      </c>
      <c r="J690" s="179"/>
      <c r="K690" s="182" t="s">
        <v>729</v>
      </c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</row>
    <row r="691" spans="1:28" ht="29">
      <c r="A691" s="280">
        <v>268</v>
      </c>
      <c r="B691" s="283" t="s">
        <v>543</v>
      </c>
      <c r="C691" s="114">
        <v>20794</v>
      </c>
      <c r="D691" s="97"/>
      <c r="E691" s="282" t="s">
        <v>603</v>
      </c>
      <c r="F691" s="97" t="s">
        <v>33</v>
      </c>
      <c r="G691" s="121">
        <v>200</v>
      </c>
      <c r="H691" s="109">
        <v>45867</v>
      </c>
      <c r="I691" s="105" t="s">
        <v>1072</v>
      </c>
      <c r="J691" s="105" t="s">
        <v>1260</v>
      </c>
      <c r="K691" s="283" t="s">
        <v>709</v>
      </c>
      <c r="L691" s="109">
        <v>45866</v>
      </c>
      <c r="M691" s="109">
        <v>45868</v>
      </c>
      <c r="N691" s="105" t="s">
        <v>1261</v>
      </c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</row>
    <row r="692" spans="1:28" ht="29">
      <c r="A692" s="261"/>
      <c r="B692" s="261"/>
      <c r="C692" s="114">
        <v>21699</v>
      </c>
      <c r="D692" s="97"/>
      <c r="E692" s="261"/>
      <c r="F692" s="97" t="s">
        <v>447</v>
      </c>
      <c r="G692" s="121">
        <v>20</v>
      </c>
      <c r="H692" s="109">
        <v>45867</v>
      </c>
      <c r="I692" s="105" t="s">
        <v>1072</v>
      </c>
      <c r="J692" s="105" t="s">
        <v>1260</v>
      </c>
      <c r="K692" s="261"/>
      <c r="L692" s="109">
        <v>45866</v>
      </c>
      <c r="M692" s="109">
        <v>45868</v>
      </c>
      <c r="N692" s="105" t="s">
        <v>1261</v>
      </c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</row>
    <row r="693" spans="1:28" ht="29">
      <c r="A693" s="113">
        <v>269</v>
      </c>
      <c r="B693" s="110" t="s">
        <v>543</v>
      </c>
      <c r="C693" s="114">
        <v>22173</v>
      </c>
      <c r="D693" s="97"/>
      <c r="E693" s="97" t="s">
        <v>1006</v>
      </c>
      <c r="F693" s="97" t="s">
        <v>152</v>
      </c>
      <c r="G693" s="121">
        <v>100</v>
      </c>
      <c r="H693" s="109">
        <v>45860</v>
      </c>
      <c r="I693" s="105" t="s">
        <v>623</v>
      </c>
      <c r="J693" s="108">
        <v>882924446967</v>
      </c>
      <c r="K693" s="105" t="s">
        <v>558</v>
      </c>
      <c r="L693" s="109">
        <v>45860</v>
      </c>
      <c r="M693" s="109">
        <v>45862</v>
      </c>
      <c r="N693" s="105" t="s">
        <v>1254</v>
      </c>
      <c r="O693" s="105" t="s">
        <v>1255</v>
      </c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</row>
    <row r="694" spans="1:28" ht="29">
      <c r="A694" s="280">
        <v>270</v>
      </c>
      <c r="B694" s="283" t="s">
        <v>543</v>
      </c>
      <c r="C694" s="284">
        <v>22846</v>
      </c>
      <c r="D694" s="97"/>
      <c r="E694" s="282" t="s">
        <v>1006</v>
      </c>
      <c r="F694" s="97" t="s">
        <v>1262</v>
      </c>
      <c r="G694" s="121">
        <v>1</v>
      </c>
      <c r="H694" s="109">
        <v>45860</v>
      </c>
      <c r="I694" s="105" t="s">
        <v>623</v>
      </c>
      <c r="J694" s="108">
        <v>882925004900</v>
      </c>
      <c r="K694" s="283" t="s">
        <v>577</v>
      </c>
      <c r="L694" s="109">
        <v>45860</v>
      </c>
      <c r="M694" s="109">
        <v>45862</v>
      </c>
      <c r="N694" s="105" t="s">
        <v>1263</v>
      </c>
      <c r="O694" s="105" t="s">
        <v>1255</v>
      </c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</row>
    <row r="695" spans="1:28" ht="29">
      <c r="A695" s="261"/>
      <c r="B695" s="261"/>
      <c r="C695" s="261"/>
      <c r="D695" s="97"/>
      <c r="E695" s="261"/>
      <c r="F695" s="97" t="s">
        <v>438</v>
      </c>
      <c r="G695" s="121">
        <v>1</v>
      </c>
      <c r="H695" s="109">
        <v>45860</v>
      </c>
      <c r="I695" s="105" t="s">
        <v>623</v>
      </c>
      <c r="J695" s="108">
        <v>882925004900</v>
      </c>
      <c r="K695" s="261"/>
      <c r="L695" s="109">
        <v>45860</v>
      </c>
      <c r="M695" s="109">
        <v>45862</v>
      </c>
      <c r="N695" s="105" t="s">
        <v>1263</v>
      </c>
      <c r="O695" s="105" t="s">
        <v>1255</v>
      </c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</row>
    <row r="696" spans="1:28" ht="29">
      <c r="A696" s="104">
        <v>271</v>
      </c>
      <c r="B696" s="110" t="s">
        <v>543</v>
      </c>
      <c r="C696" s="106">
        <v>22847</v>
      </c>
      <c r="D696" s="97"/>
      <c r="E696" s="97" t="s">
        <v>1227</v>
      </c>
      <c r="F696" s="97" t="s">
        <v>1264</v>
      </c>
      <c r="G696" s="121">
        <v>14</v>
      </c>
      <c r="H696" s="109">
        <v>45868</v>
      </c>
      <c r="I696" s="105" t="s">
        <v>623</v>
      </c>
      <c r="J696" s="108">
        <v>883133892153</v>
      </c>
      <c r="K696" s="105" t="s">
        <v>577</v>
      </c>
      <c r="L696" s="109">
        <v>45868</v>
      </c>
      <c r="M696" s="109">
        <v>45870</v>
      </c>
      <c r="N696" s="105" t="s">
        <v>1265</v>
      </c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</row>
    <row r="697" spans="1:28" ht="29">
      <c r="A697" s="280">
        <v>272</v>
      </c>
      <c r="B697" s="283" t="s">
        <v>543</v>
      </c>
      <c r="C697" s="114">
        <v>22841</v>
      </c>
      <c r="D697" s="97"/>
      <c r="E697" s="97" t="s">
        <v>554</v>
      </c>
      <c r="F697" s="97" t="s">
        <v>1266</v>
      </c>
      <c r="G697" s="121">
        <v>1</v>
      </c>
      <c r="H697" s="109">
        <v>45873</v>
      </c>
      <c r="I697" s="105" t="s">
        <v>623</v>
      </c>
      <c r="J697" s="108">
        <v>883232612250</v>
      </c>
      <c r="K697" s="283" t="s">
        <v>610</v>
      </c>
      <c r="L697" s="109">
        <v>45873</v>
      </c>
      <c r="M697" s="109">
        <v>45877</v>
      </c>
      <c r="N697" s="105" t="s">
        <v>1267</v>
      </c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</row>
    <row r="698" spans="1:28" ht="29">
      <c r="A698" s="264"/>
      <c r="B698" s="264"/>
      <c r="C698" s="284">
        <v>22826</v>
      </c>
      <c r="D698" s="284" t="s">
        <v>1268</v>
      </c>
      <c r="E698" s="282" t="s">
        <v>554</v>
      </c>
      <c r="F698" s="97" t="s">
        <v>1269</v>
      </c>
      <c r="G698" s="121">
        <v>3</v>
      </c>
      <c r="H698" s="109">
        <v>45873</v>
      </c>
      <c r="I698" s="105" t="s">
        <v>623</v>
      </c>
      <c r="J698" s="108">
        <v>883232612250</v>
      </c>
      <c r="K698" s="264"/>
      <c r="L698" s="109">
        <v>45873</v>
      </c>
      <c r="M698" s="109">
        <v>45877</v>
      </c>
      <c r="N698" s="105" t="s">
        <v>1267</v>
      </c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</row>
    <row r="699" spans="1:28" ht="29">
      <c r="A699" s="264"/>
      <c r="B699" s="264"/>
      <c r="C699" s="261"/>
      <c r="D699" s="261"/>
      <c r="E699" s="261"/>
      <c r="F699" s="97" t="s">
        <v>1270</v>
      </c>
      <c r="G699" s="121">
        <v>2</v>
      </c>
      <c r="H699" s="109">
        <v>45873</v>
      </c>
      <c r="I699" s="105" t="s">
        <v>623</v>
      </c>
      <c r="J699" s="108">
        <v>883232612250</v>
      </c>
      <c r="K699" s="264"/>
      <c r="L699" s="109">
        <v>45873</v>
      </c>
      <c r="M699" s="109">
        <v>45877</v>
      </c>
      <c r="N699" s="105" t="s">
        <v>1267</v>
      </c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</row>
    <row r="700" spans="1:28" ht="29">
      <c r="A700" s="264"/>
      <c r="B700" s="264"/>
      <c r="C700" s="284">
        <v>22917</v>
      </c>
      <c r="D700" s="284" t="s">
        <v>1271</v>
      </c>
      <c r="E700" s="282" t="s">
        <v>554</v>
      </c>
      <c r="F700" s="97" t="s">
        <v>445</v>
      </c>
      <c r="G700" s="121">
        <v>10</v>
      </c>
      <c r="H700" s="109">
        <v>45873</v>
      </c>
      <c r="I700" s="105" t="s">
        <v>623</v>
      </c>
      <c r="J700" s="108">
        <v>883232612250</v>
      </c>
      <c r="K700" s="264"/>
      <c r="L700" s="109">
        <v>45873</v>
      </c>
      <c r="M700" s="109">
        <v>45877</v>
      </c>
      <c r="N700" s="105" t="s">
        <v>1267</v>
      </c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</row>
    <row r="701" spans="1:28" ht="29">
      <c r="A701" s="264"/>
      <c r="B701" s="264"/>
      <c r="C701" s="264"/>
      <c r="D701" s="264"/>
      <c r="E701" s="264"/>
      <c r="F701" s="97" t="s">
        <v>455</v>
      </c>
      <c r="G701" s="121">
        <v>10</v>
      </c>
      <c r="H701" s="109">
        <v>45873</v>
      </c>
      <c r="I701" s="105" t="s">
        <v>623</v>
      </c>
      <c r="J701" s="108">
        <v>883232612250</v>
      </c>
      <c r="K701" s="264"/>
      <c r="L701" s="109">
        <v>45873</v>
      </c>
      <c r="M701" s="109">
        <v>45877</v>
      </c>
      <c r="N701" s="105" t="s">
        <v>1267</v>
      </c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</row>
    <row r="702" spans="1:28" ht="29">
      <c r="A702" s="261"/>
      <c r="B702" s="261"/>
      <c r="C702" s="261"/>
      <c r="D702" s="261"/>
      <c r="E702" s="261"/>
      <c r="F702" s="97" t="s">
        <v>1222</v>
      </c>
      <c r="G702" s="121">
        <v>10</v>
      </c>
      <c r="H702" s="109">
        <v>45873</v>
      </c>
      <c r="I702" s="105" t="s">
        <v>623</v>
      </c>
      <c r="J702" s="108">
        <v>883232612250</v>
      </c>
      <c r="K702" s="261"/>
      <c r="L702" s="109">
        <v>45873</v>
      </c>
      <c r="M702" s="109">
        <v>45877</v>
      </c>
      <c r="N702" s="105" t="s">
        <v>1267</v>
      </c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</row>
    <row r="703" spans="1:28" ht="29">
      <c r="A703" s="178">
        <v>273</v>
      </c>
      <c r="B703" s="182" t="s">
        <v>543</v>
      </c>
      <c r="C703" s="196">
        <v>22725</v>
      </c>
      <c r="D703" s="179"/>
      <c r="E703" s="179" t="s">
        <v>797</v>
      </c>
      <c r="F703" s="179" t="s">
        <v>411</v>
      </c>
      <c r="G703" s="197">
        <v>1000</v>
      </c>
      <c r="H703" s="179"/>
      <c r="I703" s="182" t="s">
        <v>1272</v>
      </c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</row>
    <row r="704" spans="1:28" ht="29">
      <c r="A704" s="280">
        <v>274</v>
      </c>
      <c r="B704" s="283" t="s">
        <v>543</v>
      </c>
      <c r="C704" s="284">
        <v>22487</v>
      </c>
      <c r="D704" s="97"/>
      <c r="E704" s="282" t="s">
        <v>1273</v>
      </c>
      <c r="F704" s="97" t="s">
        <v>450</v>
      </c>
      <c r="G704" s="121">
        <v>1000</v>
      </c>
      <c r="H704" s="109">
        <v>45869</v>
      </c>
      <c r="I704" s="105" t="s">
        <v>623</v>
      </c>
      <c r="J704" s="108">
        <v>883169221020</v>
      </c>
      <c r="K704" s="283" t="s">
        <v>577</v>
      </c>
      <c r="L704" s="109">
        <v>45869</v>
      </c>
      <c r="M704" s="109">
        <v>45873</v>
      </c>
      <c r="N704" s="105" t="s">
        <v>1265</v>
      </c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</row>
    <row r="705" spans="1:28" ht="29">
      <c r="A705" s="261"/>
      <c r="B705" s="261"/>
      <c r="C705" s="261"/>
      <c r="D705" s="97"/>
      <c r="E705" s="261"/>
      <c r="F705" s="97" t="s">
        <v>456</v>
      </c>
      <c r="G705" s="121">
        <v>5000</v>
      </c>
      <c r="H705" s="109">
        <v>45869</v>
      </c>
      <c r="I705" s="105" t="s">
        <v>623</v>
      </c>
      <c r="J705" s="108">
        <v>883169221020</v>
      </c>
      <c r="K705" s="261"/>
      <c r="L705" s="109">
        <v>45869</v>
      </c>
      <c r="M705" s="109">
        <v>45873</v>
      </c>
      <c r="N705" s="105" t="s">
        <v>1265</v>
      </c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</row>
    <row r="706" spans="1:28" ht="29">
      <c r="A706" s="280">
        <v>275</v>
      </c>
      <c r="B706" s="283" t="s">
        <v>543</v>
      </c>
      <c r="C706" s="284">
        <v>22857</v>
      </c>
      <c r="D706" s="97"/>
      <c r="E706" s="282" t="s">
        <v>1274</v>
      </c>
      <c r="F706" s="97" t="s">
        <v>412</v>
      </c>
      <c r="G706" s="121">
        <v>10000</v>
      </c>
      <c r="H706" s="109">
        <v>45869</v>
      </c>
      <c r="I706" s="105" t="s">
        <v>623</v>
      </c>
      <c r="J706" s="108">
        <v>883170194427</v>
      </c>
      <c r="K706" s="283" t="s">
        <v>666</v>
      </c>
      <c r="L706" s="109">
        <v>45869</v>
      </c>
      <c r="M706" s="109">
        <v>45874</v>
      </c>
      <c r="N706" s="105" t="s">
        <v>1275</v>
      </c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</row>
    <row r="707" spans="1:28" ht="29">
      <c r="A707" s="264"/>
      <c r="B707" s="264"/>
      <c r="C707" s="264"/>
      <c r="D707" s="97"/>
      <c r="E707" s="264"/>
      <c r="F707" s="97" t="s">
        <v>414</v>
      </c>
      <c r="G707" s="121">
        <v>10000</v>
      </c>
      <c r="H707" s="109">
        <v>45869</v>
      </c>
      <c r="I707" s="105" t="s">
        <v>623</v>
      </c>
      <c r="J707" s="108">
        <v>883170194427</v>
      </c>
      <c r="K707" s="264"/>
      <c r="L707" s="109">
        <v>45869</v>
      </c>
      <c r="M707" s="109">
        <v>45874</v>
      </c>
      <c r="N707" s="105" t="s">
        <v>1275</v>
      </c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</row>
    <row r="708" spans="1:28" ht="29">
      <c r="A708" s="264"/>
      <c r="B708" s="264"/>
      <c r="C708" s="264"/>
      <c r="D708" s="97"/>
      <c r="E708" s="264"/>
      <c r="F708" s="97" t="s">
        <v>270</v>
      </c>
      <c r="G708" s="121">
        <v>10000</v>
      </c>
      <c r="H708" s="109">
        <v>45869</v>
      </c>
      <c r="I708" s="105" t="s">
        <v>623</v>
      </c>
      <c r="J708" s="108">
        <v>883170194427</v>
      </c>
      <c r="K708" s="264"/>
      <c r="L708" s="109">
        <v>45869</v>
      </c>
      <c r="M708" s="109">
        <v>45874</v>
      </c>
      <c r="N708" s="105" t="s">
        <v>1275</v>
      </c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</row>
    <row r="709" spans="1:28" ht="29">
      <c r="A709" s="261"/>
      <c r="B709" s="261"/>
      <c r="C709" s="261"/>
      <c r="D709" s="97"/>
      <c r="E709" s="261"/>
      <c r="F709" s="97" t="s">
        <v>191</v>
      </c>
      <c r="G709" s="121">
        <v>10000</v>
      </c>
      <c r="H709" s="109">
        <v>45869</v>
      </c>
      <c r="I709" s="105" t="s">
        <v>623</v>
      </c>
      <c r="J709" s="108">
        <v>883170194427</v>
      </c>
      <c r="K709" s="261"/>
      <c r="L709" s="109">
        <v>45869</v>
      </c>
      <c r="M709" s="109">
        <v>45874</v>
      </c>
      <c r="N709" s="105" t="s">
        <v>1275</v>
      </c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</row>
    <row r="710" spans="1:28" ht="29">
      <c r="A710" s="299">
        <v>276</v>
      </c>
      <c r="B710" s="290" t="s">
        <v>543</v>
      </c>
      <c r="C710" s="305">
        <v>22879</v>
      </c>
      <c r="D710" s="179"/>
      <c r="E710" s="306" t="s">
        <v>1106</v>
      </c>
      <c r="F710" s="179" t="s">
        <v>14</v>
      </c>
      <c r="G710" s="197">
        <v>200</v>
      </c>
      <c r="H710" s="179"/>
      <c r="I710" s="182" t="s">
        <v>1276</v>
      </c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</row>
    <row r="711" spans="1:28" ht="29">
      <c r="A711" s="264"/>
      <c r="B711" s="264"/>
      <c r="C711" s="261"/>
      <c r="D711" s="179"/>
      <c r="E711" s="261"/>
      <c r="F711" s="179" t="s">
        <v>16</v>
      </c>
      <c r="G711" s="197">
        <v>200</v>
      </c>
      <c r="H711" s="179"/>
      <c r="I711" s="182" t="s">
        <v>1276</v>
      </c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</row>
    <row r="712" spans="1:28" ht="29">
      <c r="A712" s="261"/>
      <c r="B712" s="261"/>
      <c r="C712" s="196">
        <v>20455</v>
      </c>
      <c r="D712" s="179"/>
      <c r="E712" s="179" t="s">
        <v>1106</v>
      </c>
      <c r="F712" s="179" t="s">
        <v>17</v>
      </c>
      <c r="G712" s="197">
        <v>200</v>
      </c>
      <c r="H712" s="179"/>
      <c r="I712" s="182" t="s">
        <v>1276</v>
      </c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</row>
    <row r="713" spans="1:28" ht="29">
      <c r="A713" s="208">
        <v>277</v>
      </c>
      <c r="B713" s="209" t="s">
        <v>543</v>
      </c>
      <c r="C713" s="196">
        <v>22848</v>
      </c>
      <c r="D713" s="179"/>
      <c r="E713" s="179" t="s">
        <v>1227</v>
      </c>
      <c r="F713" s="179" t="s">
        <v>1264</v>
      </c>
      <c r="G713" s="197">
        <v>6</v>
      </c>
      <c r="H713" s="179"/>
      <c r="I713" s="182" t="s">
        <v>1277</v>
      </c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</row>
    <row r="714" spans="1:28" ht="29">
      <c r="A714" s="280">
        <v>278</v>
      </c>
      <c r="B714" s="283" t="s">
        <v>543</v>
      </c>
      <c r="C714" s="281">
        <v>21795</v>
      </c>
      <c r="D714" s="97"/>
      <c r="E714" s="282" t="s">
        <v>636</v>
      </c>
      <c r="F714" s="107" t="s">
        <v>266</v>
      </c>
      <c r="G714" s="121">
        <v>500</v>
      </c>
      <c r="H714" s="109">
        <v>45873</v>
      </c>
      <c r="I714" s="105" t="s">
        <v>623</v>
      </c>
      <c r="J714" s="108">
        <v>883234684137</v>
      </c>
      <c r="K714" s="283" t="s">
        <v>610</v>
      </c>
      <c r="L714" s="109">
        <v>45873</v>
      </c>
      <c r="M714" s="109">
        <v>45875</v>
      </c>
      <c r="N714" s="105" t="s">
        <v>1278</v>
      </c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</row>
    <row r="715" spans="1:28" ht="29">
      <c r="A715" s="264"/>
      <c r="B715" s="264"/>
      <c r="C715" s="264"/>
      <c r="D715" s="97"/>
      <c r="E715" s="264"/>
      <c r="F715" s="107" t="s">
        <v>268</v>
      </c>
      <c r="G715" s="121">
        <v>500</v>
      </c>
      <c r="H715" s="109">
        <v>45873</v>
      </c>
      <c r="I715" s="105" t="s">
        <v>623</v>
      </c>
      <c r="J715" s="108">
        <v>883234684137</v>
      </c>
      <c r="K715" s="264"/>
      <c r="L715" s="109">
        <v>45873</v>
      </c>
      <c r="M715" s="109">
        <v>45875</v>
      </c>
      <c r="N715" s="105" t="s">
        <v>1278</v>
      </c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</row>
    <row r="716" spans="1:28" ht="29">
      <c r="A716" s="264"/>
      <c r="B716" s="264"/>
      <c r="C716" s="264"/>
      <c r="D716" s="97"/>
      <c r="E716" s="264"/>
      <c r="F716" s="107" t="s">
        <v>270</v>
      </c>
      <c r="G716" s="121">
        <v>3000</v>
      </c>
      <c r="H716" s="109">
        <v>45873</v>
      </c>
      <c r="I716" s="105" t="s">
        <v>623</v>
      </c>
      <c r="J716" s="108">
        <v>883234684137</v>
      </c>
      <c r="K716" s="264"/>
      <c r="L716" s="109">
        <v>45873</v>
      </c>
      <c r="M716" s="109">
        <v>45875</v>
      </c>
      <c r="N716" s="105" t="s">
        <v>1278</v>
      </c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</row>
    <row r="717" spans="1:28" ht="29">
      <c r="A717" s="264"/>
      <c r="B717" s="264"/>
      <c r="C717" s="264"/>
      <c r="D717" s="97"/>
      <c r="E717" s="264"/>
      <c r="F717" s="107" t="s">
        <v>191</v>
      </c>
      <c r="G717" s="121">
        <v>3000</v>
      </c>
      <c r="H717" s="109">
        <v>45873</v>
      </c>
      <c r="I717" s="105" t="s">
        <v>623</v>
      </c>
      <c r="J717" s="108">
        <v>883234684137</v>
      </c>
      <c r="K717" s="264"/>
      <c r="L717" s="109">
        <v>45873</v>
      </c>
      <c r="M717" s="109">
        <v>45875</v>
      </c>
      <c r="N717" s="105" t="s">
        <v>1278</v>
      </c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</row>
    <row r="718" spans="1:28" ht="29">
      <c r="A718" s="264"/>
      <c r="B718" s="264"/>
      <c r="C718" s="264"/>
      <c r="D718" s="97"/>
      <c r="E718" s="264"/>
      <c r="F718" s="107" t="s">
        <v>415</v>
      </c>
      <c r="G718" s="121">
        <v>1000</v>
      </c>
      <c r="H718" s="109">
        <v>45873</v>
      </c>
      <c r="I718" s="105" t="s">
        <v>623</v>
      </c>
      <c r="J718" s="108">
        <v>883234684137</v>
      </c>
      <c r="K718" s="264"/>
      <c r="L718" s="109">
        <v>45873</v>
      </c>
      <c r="M718" s="109">
        <v>45875</v>
      </c>
      <c r="N718" s="105" t="s">
        <v>1278</v>
      </c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</row>
    <row r="719" spans="1:28" ht="29">
      <c r="A719" s="264"/>
      <c r="B719" s="264"/>
      <c r="C719" s="264"/>
      <c r="D719" s="97"/>
      <c r="E719" s="264"/>
      <c r="F719" s="107" t="s">
        <v>398</v>
      </c>
      <c r="G719" s="121">
        <v>1000</v>
      </c>
      <c r="H719" s="109">
        <v>45873</v>
      </c>
      <c r="I719" s="105" t="s">
        <v>623</v>
      </c>
      <c r="J719" s="108">
        <v>883234684137</v>
      </c>
      <c r="K719" s="264"/>
      <c r="L719" s="109">
        <v>45873</v>
      </c>
      <c r="M719" s="109">
        <v>45875</v>
      </c>
      <c r="N719" s="105" t="s">
        <v>1278</v>
      </c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</row>
    <row r="720" spans="1:28" ht="29">
      <c r="A720" s="264"/>
      <c r="B720" s="264"/>
      <c r="C720" s="264"/>
      <c r="D720" s="97"/>
      <c r="E720" s="264"/>
      <c r="F720" s="107" t="s">
        <v>270</v>
      </c>
      <c r="G720" s="121">
        <v>4000</v>
      </c>
      <c r="H720" s="109">
        <v>45873</v>
      </c>
      <c r="I720" s="105" t="s">
        <v>623</v>
      </c>
      <c r="J720" s="108">
        <v>883234684137</v>
      </c>
      <c r="K720" s="264"/>
      <c r="L720" s="109">
        <v>45873</v>
      </c>
      <c r="M720" s="109">
        <v>45875</v>
      </c>
      <c r="N720" s="105" t="s">
        <v>1278</v>
      </c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</row>
    <row r="721" spans="1:28" ht="29">
      <c r="A721" s="261"/>
      <c r="B721" s="261"/>
      <c r="C721" s="261"/>
      <c r="D721" s="97"/>
      <c r="E721" s="261"/>
      <c r="F721" s="107" t="s">
        <v>191</v>
      </c>
      <c r="G721" s="121">
        <v>4000</v>
      </c>
      <c r="H721" s="109">
        <v>45873</v>
      </c>
      <c r="I721" s="105" t="s">
        <v>623</v>
      </c>
      <c r="J721" s="108">
        <v>883234684137</v>
      </c>
      <c r="K721" s="261"/>
      <c r="L721" s="109">
        <v>45873</v>
      </c>
      <c r="M721" s="109">
        <v>45875</v>
      </c>
      <c r="N721" s="105" t="s">
        <v>1278</v>
      </c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</row>
    <row r="722" spans="1:28" ht="29">
      <c r="A722" s="178">
        <v>279</v>
      </c>
      <c r="B722" s="182" t="s">
        <v>543</v>
      </c>
      <c r="C722" s="196">
        <v>21826</v>
      </c>
      <c r="D722" s="179"/>
      <c r="E722" s="179" t="s">
        <v>579</v>
      </c>
      <c r="F722" s="179" t="s">
        <v>292</v>
      </c>
      <c r="G722" s="197">
        <v>2000</v>
      </c>
      <c r="H722" s="179"/>
      <c r="I722" s="182" t="s">
        <v>1279</v>
      </c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</row>
    <row r="723" spans="1:28" ht="29">
      <c r="A723" s="299">
        <v>280</v>
      </c>
      <c r="B723" s="290" t="s">
        <v>543</v>
      </c>
      <c r="C723" s="305">
        <v>22890</v>
      </c>
      <c r="D723" s="179"/>
      <c r="E723" s="306" t="s">
        <v>1106</v>
      </c>
      <c r="F723" s="179" t="s">
        <v>13</v>
      </c>
      <c r="G723" s="197">
        <v>200</v>
      </c>
      <c r="H723" s="179"/>
      <c r="I723" s="182" t="s">
        <v>1280</v>
      </c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</row>
    <row r="724" spans="1:28" ht="29">
      <c r="A724" s="261"/>
      <c r="B724" s="261"/>
      <c r="C724" s="261"/>
      <c r="D724" s="179"/>
      <c r="E724" s="261"/>
      <c r="F724" s="179" t="s">
        <v>15</v>
      </c>
      <c r="G724" s="197">
        <v>200</v>
      </c>
      <c r="H724" s="179"/>
      <c r="I724" s="182" t="s">
        <v>1280</v>
      </c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</row>
    <row r="725" spans="1:28" ht="14.5">
      <c r="A725" s="178">
        <v>281</v>
      </c>
      <c r="B725" s="182" t="s">
        <v>541</v>
      </c>
      <c r="C725" s="196">
        <v>22726</v>
      </c>
      <c r="D725" s="179"/>
      <c r="E725" s="179" t="s">
        <v>625</v>
      </c>
      <c r="F725" s="179" t="s">
        <v>47</v>
      </c>
      <c r="G725" s="197">
        <v>100</v>
      </c>
      <c r="H725" s="179"/>
      <c r="I725" s="182" t="s">
        <v>1281</v>
      </c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</row>
    <row r="726" spans="1:28" ht="14.5">
      <c r="A726" s="210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</row>
    <row r="727" spans="1:28" ht="14.5">
      <c r="A727" s="210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</row>
    <row r="728" spans="1:28" ht="14.5">
      <c r="A728" s="210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</row>
    <row r="729" spans="1:28" ht="14.5">
      <c r="A729" s="210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</row>
    <row r="730" spans="1:28" ht="14.5">
      <c r="A730" s="210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</row>
    <row r="731" spans="1:28" ht="14.5">
      <c r="A731" s="210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</row>
    <row r="732" spans="1:28" ht="14.5">
      <c r="A732" s="210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</row>
    <row r="733" spans="1:28" ht="14.5">
      <c r="A733" s="210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</row>
    <row r="734" spans="1:28" ht="14.5">
      <c r="A734" s="210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</row>
    <row r="735" spans="1:28" ht="14.5">
      <c r="A735" s="210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</row>
    <row r="736" spans="1:28" ht="14.5">
      <c r="A736" s="210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</row>
    <row r="737" spans="1:28" ht="14.5">
      <c r="A737" s="210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</row>
    <row r="738" spans="1:28" ht="14.5">
      <c r="A738" s="210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</row>
    <row r="739" spans="1:28" ht="14.5">
      <c r="A739" s="210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</row>
    <row r="740" spans="1:28" ht="14.5">
      <c r="A740" s="210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</row>
    <row r="741" spans="1:28" ht="14.5">
      <c r="A741" s="210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</row>
    <row r="742" spans="1:28" ht="14.5">
      <c r="A742" s="210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</row>
    <row r="743" spans="1:28" ht="14.5">
      <c r="A743" s="210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</row>
    <row r="744" spans="1:28" ht="14.5">
      <c r="A744" s="210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</row>
    <row r="745" spans="1:28" ht="14.5">
      <c r="A745" s="210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</row>
    <row r="746" spans="1:28" ht="14.5">
      <c r="A746" s="210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</row>
    <row r="747" spans="1:28" ht="14.5">
      <c r="A747" s="210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</row>
    <row r="748" spans="1:28" ht="14.5">
      <c r="A748" s="210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</row>
    <row r="749" spans="1:28" ht="14.5">
      <c r="A749" s="210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</row>
    <row r="750" spans="1:28" ht="14.5">
      <c r="A750" s="210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</row>
    <row r="751" spans="1:28" ht="14.5">
      <c r="A751" s="210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</row>
    <row r="752" spans="1:28" ht="14.5">
      <c r="A752" s="210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</row>
    <row r="753" spans="1:28" ht="14.5">
      <c r="A753" s="210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</row>
    <row r="754" spans="1:28" ht="14.5">
      <c r="A754" s="210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</row>
    <row r="755" spans="1:28" ht="14.5">
      <c r="A755" s="210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</row>
    <row r="756" spans="1:28" ht="14.5">
      <c r="A756" s="210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</row>
    <row r="757" spans="1:28" ht="14.5">
      <c r="A757" s="210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</row>
    <row r="758" spans="1:28" ht="14.5">
      <c r="A758" s="210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</row>
    <row r="759" spans="1:28" ht="14.5">
      <c r="A759" s="210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</row>
    <row r="760" spans="1:28" ht="14.5">
      <c r="A760" s="210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</row>
    <row r="761" spans="1:28" ht="14.5">
      <c r="A761" s="210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</row>
    <row r="762" spans="1:28" ht="14.5">
      <c r="A762" s="210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</row>
    <row r="763" spans="1:28" ht="14.5">
      <c r="A763" s="210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</row>
    <row r="764" spans="1:28" ht="14.5">
      <c r="A764" s="210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</row>
    <row r="765" spans="1:28" ht="14.5">
      <c r="A765" s="210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</row>
    <row r="766" spans="1:28" ht="14.5">
      <c r="A766" s="210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</row>
    <row r="767" spans="1:28" ht="14.5">
      <c r="A767" s="210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</row>
    <row r="768" spans="1:28" ht="14.5">
      <c r="A768" s="210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</row>
    <row r="769" spans="1:28" ht="14.5">
      <c r="A769" s="210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</row>
    <row r="770" spans="1:28" ht="14.5">
      <c r="A770" s="210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</row>
    <row r="771" spans="1:28" ht="14.5">
      <c r="A771" s="210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</row>
    <row r="772" spans="1:28" ht="14.5">
      <c r="A772" s="210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</row>
    <row r="773" spans="1:28" ht="14.5">
      <c r="A773" s="210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</row>
    <row r="774" spans="1:28" ht="14.5">
      <c r="A774" s="210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</row>
    <row r="775" spans="1:28" ht="14.5">
      <c r="A775" s="210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</row>
    <row r="776" spans="1:28" ht="14.5">
      <c r="A776" s="210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</row>
    <row r="777" spans="1:28" ht="14.5">
      <c r="A777" s="210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</row>
    <row r="778" spans="1:28" ht="14.5">
      <c r="A778" s="210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</row>
    <row r="779" spans="1:28" ht="14.5">
      <c r="A779" s="210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</row>
    <row r="780" spans="1:28" ht="14.5">
      <c r="A780" s="210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</row>
    <row r="781" spans="1:28" ht="14.5">
      <c r="A781" s="210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</row>
    <row r="782" spans="1:28" ht="14.5">
      <c r="A782" s="210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</row>
    <row r="783" spans="1:28" ht="14.5">
      <c r="A783" s="210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</row>
    <row r="784" spans="1:28" ht="14.5">
      <c r="A784" s="210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</row>
    <row r="785" spans="1:28" ht="14.5">
      <c r="A785" s="210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</row>
    <row r="786" spans="1:28" ht="14.5">
      <c r="A786" s="210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</row>
    <row r="787" spans="1:28" ht="14.5">
      <c r="A787" s="210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</row>
    <row r="788" spans="1:28" ht="14.5">
      <c r="A788" s="210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</row>
    <row r="789" spans="1:28" ht="14.5">
      <c r="A789" s="210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</row>
    <row r="790" spans="1:28" ht="14.5">
      <c r="A790" s="210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</row>
    <row r="791" spans="1:28" ht="14.5">
      <c r="A791" s="210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</row>
    <row r="792" spans="1:28" ht="14.5">
      <c r="A792" s="210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</row>
    <row r="793" spans="1:28" ht="14.5">
      <c r="A793" s="210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</row>
    <row r="794" spans="1:28" ht="14.5">
      <c r="A794" s="210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</row>
    <row r="795" spans="1:28" ht="14.5">
      <c r="A795" s="210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</row>
    <row r="796" spans="1:28" ht="14.5">
      <c r="A796" s="210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</row>
    <row r="797" spans="1:28" ht="14.5">
      <c r="A797" s="210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</row>
    <row r="798" spans="1:28" ht="14.5">
      <c r="A798" s="210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</row>
    <row r="799" spans="1:28" ht="14.5">
      <c r="A799" s="210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</row>
    <row r="800" spans="1:28" ht="14.5">
      <c r="A800" s="210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</row>
    <row r="801" spans="1:28" ht="14.5">
      <c r="A801" s="210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</row>
    <row r="802" spans="1:28" ht="14.5">
      <c r="A802" s="210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</row>
    <row r="803" spans="1:28" ht="14.5">
      <c r="A803" s="210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</row>
    <row r="804" spans="1:28" ht="14.5">
      <c r="A804" s="210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</row>
    <row r="805" spans="1:28" ht="14.5">
      <c r="A805" s="210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</row>
    <row r="806" spans="1:28" ht="14.5">
      <c r="A806" s="210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</row>
    <row r="807" spans="1:28" ht="14.5">
      <c r="A807" s="210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</row>
    <row r="808" spans="1:28" ht="14.5">
      <c r="A808" s="210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</row>
    <row r="809" spans="1:28" ht="14.5">
      <c r="A809" s="210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</row>
    <row r="810" spans="1:28" ht="14.5">
      <c r="A810" s="210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</row>
    <row r="811" spans="1:28" ht="14.5">
      <c r="A811" s="210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</row>
    <row r="812" spans="1:28" ht="14.5">
      <c r="A812" s="210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</row>
    <row r="813" spans="1:28" ht="14.5">
      <c r="A813" s="210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</row>
    <row r="814" spans="1:28" ht="14.5">
      <c r="A814" s="210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</row>
    <row r="815" spans="1:28" ht="14.5">
      <c r="A815" s="210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</row>
    <row r="816" spans="1:28" ht="14.5">
      <c r="A816" s="210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</row>
    <row r="817" spans="1:28" ht="14.5">
      <c r="A817" s="210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</row>
    <row r="818" spans="1:28" ht="14.5">
      <c r="A818" s="210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</row>
    <row r="819" spans="1:28" ht="14.5">
      <c r="A819" s="210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</row>
    <row r="820" spans="1:28" ht="14.5">
      <c r="A820" s="210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</row>
    <row r="821" spans="1:28" ht="14.5">
      <c r="A821" s="210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</row>
    <row r="822" spans="1:28" ht="14.5">
      <c r="A822" s="210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</row>
    <row r="823" spans="1:28" ht="14.5">
      <c r="A823" s="210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</row>
    <row r="824" spans="1:28" ht="14.5">
      <c r="A824" s="210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</row>
    <row r="825" spans="1:28" ht="14.5">
      <c r="A825" s="210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</row>
    <row r="826" spans="1:28" ht="14.5">
      <c r="A826" s="210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</row>
    <row r="827" spans="1:28" ht="14.5">
      <c r="A827" s="210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</row>
    <row r="828" spans="1:28" ht="14.5">
      <c r="A828" s="210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</row>
    <row r="829" spans="1:28" ht="14.5">
      <c r="A829" s="210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</row>
    <row r="830" spans="1:28" ht="14.5">
      <c r="A830" s="210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</row>
    <row r="831" spans="1:28" ht="14.5">
      <c r="A831" s="210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</row>
    <row r="832" spans="1:28" ht="14.5">
      <c r="A832" s="210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</row>
    <row r="833" spans="1:28" ht="14.5">
      <c r="A833" s="210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</row>
    <row r="834" spans="1:28" ht="14.5">
      <c r="A834" s="210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</row>
    <row r="835" spans="1:28" ht="14.5">
      <c r="A835" s="210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</row>
    <row r="836" spans="1:28" ht="14.5">
      <c r="A836" s="210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</row>
    <row r="837" spans="1:28" ht="14.5">
      <c r="A837" s="210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</row>
    <row r="838" spans="1:28" ht="14.5">
      <c r="A838" s="210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</row>
    <row r="839" spans="1:28" ht="14.5">
      <c r="A839" s="210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</row>
    <row r="840" spans="1:28" ht="14.5">
      <c r="A840" s="210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</row>
    <row r="841" spans="1:28" ht="14.5">
      <c r="A841" s="210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</row>
    <row r="842" spans="1:28" ht="14.5">
      <c r="A842" s="210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</row>
    <row r="843" spans="1:28" ht="14.5">
      <c r="A843" s="210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</row>
    <row r="844" spans="1:28" ht="14.5">
      <c r="A844" s="210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</row>
    <row r="845" spans="1:28" ht="14.5">
      <c r="A845" s="210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</row>
    <row r="846" spans="1:28" ht="14.5">
      <c r="A846" s="210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</row>
  </sheetData>
  <mergeCells count="700">
    <mergeCell ref="A605:A609"/>
    <mergeCell ref="A612:A613"/>
    <mergeCell ref="B612:B613"/>
    <mergeCell ref="A616:A619"/>
    <mergeCell ref="B616:B619"/>
    <mergeCell ref="A620:A623"/>
    <mergeCell ref="B620:B623"/>
    <mergeCell ref="C680:C681"/>
    <mergeCell ref="C682:C683"/>
    <mergeCell ref="A675:A676"/>
    <mergeCell ref="B675:B676"/>
    <mergeCell ref="A678:A681"/>
    <mergeCell ref="B678:B681"/>
    <mergeCell ref="C678:C679"/>
    <mergeCell ref="A682:A684"/>
    <mergeCell ref="B682:B684"/>
    <mergeCell ref="B605:B609"/>
    <mergeCell ref="E605:E609"/>
    <mergeCell ref="C616:C617"/>
    <mergeCell ref="C620:C621"/>
    <mergeCell ref="D620:D621"/>
    <mergeCell ref="E620:E621"/>
    <mergeCell ref="C605:C609"/>
    <mergeCell ref="D605:D609"/>
    <mergeCell ref="C612:C613"/>
    <mergeCell ref="D612:D613"/>
    <mergeCell ref="E612:E613"/>
    <mergeCell ref="D616:D617"/>
    <mergeCell ref="E616:E617"/>
    <mergeCell ref="A589:A590"/>
    <mergeCell ref="B589:B590"/>
    <mergeCell ref="A595:A598"/>
    <mergeCell ref="B595:B598"/>
    <mergeCell ref="C595:C598"/>
    <mergeCell ref="D595:D598"/>
    <mergeCell ref="E595:E598"/>
    <mergeCell ref="A602:A604"/>
    <mergeCell ref="B602:B604"/>
    <mergeCell ref="C602:C604"/>
    <mergeCell ref="D602:D604"/>
    <mergeCell ref="E602:E604"/>
    <mergeCell ref="B575:B576"/>
    <mergeCell ref="C575:C576"/>
    <mergeCell ref="D575:D576"/>
    <mergeCell ref="E575:E576"/>
    <mergeCell ref="A581:A584"/>
    <mergeCell ref="B581:B584"/>
    <mergeCell ref="C581:C584"/>
    <mergeCell ref="D581:D584"/>
    <mergeCell ref="E581:E584"/>
    <mergeCell ref="A575:A576"/>
    <mergeCell ref="C562:C563"/>
    <mergeCell ref="I572:I573"/>
    <mergeCell ref="A553:A554"/>
    <mergeCell ref="A557:A561"/>
    <mergeCell ref="B557:B561"/>
    <mergeCell ref="D557:D561"/>
    <mergeCell ref="E557:E561"/>
    <mergeCell ref="A562:A564"/>
    <mergeCell ref="B562:B564"/>
    <mergeCell ref="D562:D563"/>
    <mergeCell ref="E562:E563"/>
    <mergeCell ref="A565:A567"/>
    <mergeCell ref="B566:B567"/>
    <mergeCell ref="A568:A571"/>
    <mergeCell ref="B568:B571"/>
    <mergeCell ref="A572:A573"/>
    <mergeCell ref="B572:B573"/>
    <mergeCell ref="A514:A515"/>
    <mergeCell ref="B514:B515"/>
    <mergeCell ref="A517:A518"/>
    <mergeCell ref="B517:B518"/>
    <mergeCell ref="C517:C518"/>
    <mergeCell ref="E517:E518"/>
    <mergeCell ref="D538:D539"/>
    <mergeCell ref="E538:E539"/>
    <mergeCell ref="C557:C561"/>
    <mergeCell ref="C532:C535"/>
    <mergeCell ref="C538:C539"/>
    <mergeCell ref="C541:C546"/>
    <mergeCell ref="D541:D546"/>
    <mergeCell ref="B537:B551"/>
    <mergeCell ref="C548:C551"/>
    <mergeCell ref="D548:D551"/>
    <mergeCell ref="E548:E551"/>
    <mergeCell ref="A529:A530"/>
    <mergeCell ref="A532:A535"/>
    <mergeCell ref="B532:B535"/>
    <mergeCell ref="D532:D535"/>
    <mergeCell ref="E532:E535"/>
    <mergeCell ref="A537:A551"/>
    <mergeCell ref="E541:E546"/>
    <mergeCell ref="A468:A477"/>
    <mergeCell ref="B468:B477"/>
    <mergeCell ref="C469:C477"/>
    <mergeCell ref="E469:E477"/>
    <mergeCell ref="B478:B479"/>
    <mergeCell ref="C478:C479"/>
    <mergeCell ref="E478:E479"/>
    <mergeCell ref="A478:A479"/>
    <mergeCell ref="A494:A497"/>
    <mergeCell ref="B494:B497"/>
    <mergeCell ref="C496:C497"/>
    <mergeCell ref="I522:I523"/>
    <mergeCell ref="B524:B525"/>
    <mergeCell ref="C524:C525"/>
    <mergeCell ref="D524:D525"/>
    <mergeCell ref="E524:E525"/>
    <mergeCell ref="A524:A525"/>
    <mergeCell ref="A527:A528"/>
    <mergeCell ref="B527:B528"/>
    <mergeCell ref="C527:C528"/>
    <mergeCell ref="D527:D528"/>
    <mergeCell ref="E527:E528"/>
    <mergeCell ref="I438:I439"/>
    <mergeCell ref="C448:C449"/>
    <mergeCell ref="E448:E449"/>
    <mergeCell ref="A450:A451"/>
    <mergeCell ref="C450:C451"/>
    <mergeCell ref="D450:D451"/>
    <mergeCell ref="E450:E451"/>
    <mergeCell ref="I454:I456"/>
    <mergeCell ref="I468:I477"/>
    <mergeCell ref="A443:A444"/>
    <mergeCell ref="A448:A449"/>
    <mergeCell ref="A457:A460"/>
    <mergeCell ref="B457:B460"/>
    <mergeCell ref="C459:C460"/>
    <mergeCell ref="D459:D460"/>
    <mergeCell ref="E459:E460"/>
    <mergeCell ref="A438:A439"/>
    <mergeCell ref="B438:B439"/>
    <mergeCell ref="C438:C439"/>
    <mergeCell ref="A440:A441"/>
    <mergeCell ref="B440:B441"/>
    <mergeCell ref="E440:E441"/>
    <mergeCell ref="B443:B444"/>
    <mergeCell ref="B447:B452"/>
    <mergeCell ref="E678:E679"/>
    <mergeCell ref="E680:E681"/>
    <mergeCell ref="E682:E683"/>
    <mergeCell ref="D698:D699"/>
    <mergeCell ref="E698:E699"/>
    <mergeCell ref="B405:B407"/>
    <mergeCell ref="C405:C407"/>
    <mergeCell ref="A408:A412"/>
    <mergeCell ref="B408:B412"/>
    <mergeCell ref="E408:E412"/>
    <mergeCell ref="A413:A422"/>
    <mergeCell ref="E413:E422"/>
    <mergeCell ref="B413:B422"/>
    <mergeCell ref="C418:C422"/>
    <mergeCell ref="A425:A430"/>
    <mergeCell ref="B425:B430"/>
    <mergeCell ref="C425:C430"/>
    <mergeCell ref="D425:D430"/>
    <mergeCell ref="E425:E430"/>
    <mergeCell ref="D438:D439"/>
    <mergeCell ref="E438:E439"/>
    <mergeCell ref="A522:A523"/>
    <mergeCell ref="B522:B523"/>
    <mergeCell ref="B529:B530"/>
    <mergeCell ref="A653:A660"/>
    <mergeCell ref="B653:B660"/>
    <mergeCell ref="C653:C660"/>
    <mergeCell ref="E653:E660"/>
    <mergeCell ref="B661:B662"/>
    <mergeCell ref="C661:C662"/>
    <mergeCell ref="E661:E662"/>
    <mergeCell ref="D672:D673"/>
    <mergeCell ref="E672:E673"/>
    <mergeCell ref="D650:D652"/>
    <mergeCell ref="E650:E652"/>
    <mergeCell ref="A636:A639"/>
    <mergeCell ref="A640:A641"/>
    <mergeCell ref="A645:A648"/>
    <mergeCell ref="B645:B648"/>
    <mergeCell ref="A650:A652"/>
    <mergeCell ref="B650:B652"/>
    <mergeCell ref="C650:C652"/>
    <mergeCell ref="B636:B639"/>
    <mergeCell ref="C636:C639"/>
    <mergeCell ref="B640:B641"/>
    <mergeCell ref="A626:A630"/>
    <mergeCell ref="B626:B630"/>
    <mergeCell ref="A632:A635"/>
    <mergeCell ref="B632:B635"/>
    <mergeCell ref="C632:C634"/>
    <mergeCell ref="E632:E634"/>
    <mergeCell ref="E636:E639"/>
    <mergeCell ref="A714:A721"/>
    <mergeCell ref="B714:B721"/>
    <mergeCell ref="C714:C721"/>
    <mergeCell ref="E714:E721"/>
    <mergeCell ref="A723:A724"/>
    <mergeCell ref="B723:B724"/>
    <mergeCell ref="C723:C724"/>
    <mergeCell ref="E723:E724"/>
    <mergeCell ref="A697:A702"/>
    <mergeCell ref="A704:A705"/>
    <mergeCell ref="B704:B705"/>
    <mergeCell ref="A706:A709"/>
    <mergeCell ref="B706:B709"/>
    <mergeCell ref="A710:A712"/>
    <mergeCell ref="B710:B712"/>
    <mergeCell ref="C700:C702"/>
    <mergeCell ref="D700:D702"/>
    <mergeCell ref="C704:C705"/>
    <mergeCell ref="E704:E705"/>
    <mergeCell ref="C706:C709"/>
    <mergeCell ref="E706:E709"/>
    <mergeCell ref="C710:C711"/>
    <mergeCell ref="E710:E711"/>
    <mergeCell ref="A694:A695"/>
    <mergeCell ref="B694:B695"/>
    <mergeCell ref="C694:C695"/>
    <mergeCell ref="E694:E695"/>
    <mergeCell ref="B697:B702"/>
    <mergeCell ref="C698:C699"/>
    <mergeCell ref="E700:E702"/>
    <mergeCell ref="B691:B692"/>
    <mergeCell ref="E691:E692"/>
    <mergeCell ref="A685:A686"/>
    <mergeCell ref="B685:B686"/>
    <mergeCell ref="C685:C686"/>
    <mergeCell ref="E685:E686"/>
    <mergeCell ref="A687:A689"/>
    <mergeCell ref="B687:B689"/>
    <mergeCell ref="A691:A692"/>
    <mergeCell ref="A661:A662"/>
    <mergeCell ref="A664:A665"/>
    <mergeCell ref="B664:B665"/>
    <mergeCell ref="B667:B669"/>
    <mergeCell ref="C668:C669"/>
    <mergeCell ref="D668:D669"/>
    <mergeCell ref="E668:E669"/>
    <mergeCell ref="A667:A669"/>
    <mergeCell ref="A670:A673"/>
    <mergeCell ref="B670:B673"/>
    <mergeCell ref="C670:C671"/>
    <mergeCell ref="D670:D671"/>
    <mergeCell ref="E670:E671"/>
    <mergeCell ref="C672:C673"/>
    <mergeCell ref="A482:A485"/>
    <mergeCell ref="A486:A487"/>
    <mergeCell ref="B486:B487"/>
    <mergeCell ref="C486:C487"/>
    <mergeCell ref="A520:O520"/>
    <mergeCell ref="A480:A481"/>
    <mergeCell ref="B480:B481"/>
    <mergeCell ref="C480:C481"/>
    <mergeCell ref="E480:E481"/>
    <mergeCell ref="B482:B485"/>
    <mergeCell ref="C482:C485"/>
    <mergeCell ref="E482:E485"/>
    <mergeCell ref="E486:E487"/>
    <mergeCell ref="A499:A500"/>
    <mergeCell ref="B499:B500"/>
    <mergeCell ref="B502:B503"/>
    <mergeCell ref="A502:A503"/>
    <mergeCell ref="A506:A508"/>
    <mergeCell ref="B506:B508"/>
    <mergeCell ref="C506:C508"/>
    <mergeCell ref="D506:D508"/>
    <mergeCell ref="E506:E508"/>
    <mergeCell ref="B512:B513"/>
    <mergeCell ref="A512:A513"/>
    <mergeCell ref="A405:A407"/>
    <mergeCell ref="E405:E407"/>
    <mergeCell ref="E462:E463"/>
    <mergeCell ref="E465:E466"/>
    <mergeCell ref="A462:A464"/>
    <mergeCell ref="B462:B464"/>
    <mergeCell ref="C462:C463"/>
    <mergeCell ref="D462:D463"/>
    <mergeCell ref="A465:A466"/>
    <mergeCell ref="B465:B466"/>
    <mergeCell ref="C465:C466"/>
    <mergeCell ref="A433:A434"/>
    <mergeCell ref="B433:B434"/>
    <mergeCell ref="C433:C434"/>
    <mergeCell ref="E433:E434"/>
    <mergeCell ref="A436:A437"/>
    <mergeCell ref="B436:B437"/>
    <mergeCell ref="A398:A399"/>
    <mergeCell ref="B398:B399"/>
    <mergeCell ref="E398:E399"/>
    <mergeCell ref="C398:C399"/>
    <mergeCell ref="D398:D399"/>
    <mergeCell ref="A402:A404"/>
    <mergeCell ref="B402:B404"/>
    <mergeCell ref="C402:C404"/>
    <mergeCell ref="E402:E404"/>
    <mergeCell ref="A387:A391"/>
    <mergeCell ref="B387:B391"/>
    <mergeCell ref="C388:C391"/>
    <mergeCell ref="D388:D391"/>
    <mergeCell ref="E388:E391"/>
    <mergeCell ref="A392:A397"/>
    <mergeCell ref="B392:B397"/>
    <mergeCell ref="C392:C393"/>
    <mergeCell ref="D392:D393"/>
    <mergeCell ref="E392:E393"/>
    <mergeCell ref="A370:A373"/>
    <mergeCell ref="B370:B373"/>
    <mergeCell ref="C370:C373"/>
    <mergeCell ref="E370:E373"/>
    <mergeCell ref="B375:B376"/>
    <mergeCell ref="D381:D383"/>
    <mergeCell ref="E381:E383"/>
    <mergeCell ref="A375:A376"/>
    <mergeCell ref="A379:A380"/>
    <mergeCell ref="B379:B380"/>
    <mergeCell ref="C379:C380"/>
    <mergeCell ref="D379:D380"/>
    <mergeCell ref="E379:E380"/>
    <mergeCell ref="A381:A383"/>
    <mergeCell ref="B381:B383"/>
    <mergeCell ref="C381:C383"/>
    <mergeCell ref="I324:I325"/>
    <mergeCell ref="K324:K325"/>
    <mergeCell ref="A346:A347"/>
    <mergeCell ref="B346:B347"/>
    <mergeCell ref="C346:C347"/>
    <mergeCell ref="D346:D347"/>
    <mergeCell ref="E346:E347"/>
    <mergeCell ref="B348:B351"/>
    <mergeCell ref="E348:E351"/>
    <mergeCell ref="C348:C351"/>
    <mergeCell ref="D348:D351"/>
    <mergeCell ref="E306:E307"/>
    <mergeCell ref="E254:E255"/>
    <mergeCell ref="E259:E274"/>
    <mergeCell ref="I259:I274"/>
    <mergeCell ref="I276:I280"/>
    <mergeCell ref="I283:I286"/>
    <mergeCell ref="I287:I289"/>
    <mergeCell ref="I292:I294"/>
    <mergeCell ref="O297:O299"/>
    <mergeCell ref="K208:K213"/>
    <mergeCell ref="K216:K221"/>
    <mergeCell ref="K225:K226"/>
    <mergeCell ref="K228:K229"/>
    <mergeCell ref="E238:E239"/>
    <mergeCell ref="E240:E253"/>
    <mergeCell ref="I240:I255"/>
    <mergeCell ref="E276:E280"/>
    <mergeCell ref="E295:E296"/>
    <mergeCell ref="K175:K180"/>
    <mergeCell ref="K182:K183"/>
    <mergeCell ref="K184:K185"/>
    <mergeCell ref="E186:E187"/>
    <mergeCell ref="I186:I187"/>
    <mergeCell ref="K186:K187"/>
    <mergeCell ref="K188:K189"/>
    <mergeCell ref="I162:I164"/>
    <mergeCell ref="I165:I166"/>
    <mergeCell ref="I167:I170"/>
    <mergeCell ref="K167:K170"/>
    <mergeCell ref="I172:I173"/>
    <mergeCell ref="K172:K173"/>
    <mergeCell ref="I175:I180"/>
    <mergeCell ref="P478:P485"/>
    <mergeCell ref="Q494:Q497"/>
    <mergeCell ref="P502:P503"/>
    <mergeCell ref="P504:P505"/>
    <mergeCell ref="P506:P509"/>
    <mergeCell ref="O381:O383"/>
    <mergeCell ref="O402:O404"/>
    <mergeCell ref="O405:O407"/>
    <mergeCell ref="O408:O412"/>
    <mergeCell ref="O413:O422"/>
    <mergeCell ref="O425:O430"/>
    <mergeCell ref="P433:P434"/>
    <mergeCell ref="O359:O361"/>
    <mergeCell ref="P359:P361"/>
    <mergeCell ref="O362:O363"/>
    <mergeCell ref="O367:O373"/>
    <mergeCell ref="K370:K373"/>
    <mergeCell ref="O379:O380"/>
    <mergeCell ref="P447:P452"/>
    <mergeCell ref="P457:P460"/>
    <mergeCell ref="Q462:Q464"/>
    <mergeCell ref="K457:K460"/>
    <mergeCell ref="K462:K464"/>
    <mergeCell ref="K433:K434"/>
    <mergeCell ref="K436:K437"/>
    <mergeCell ref="K438:K439"/>
    <mergeCell ref="K440:K441"/>
    <mergeCell ref="K443:K444"/>
    <mergeCell ref="K447:K452"/>
    <mergeCell ref="K454:K456"/>
    <mergeCell ref="O292:O294"/>
    <mergeCell ref="K292:K294"/>
    <mergeCell ref="K295:K296"/>
    <mergeCell ref="K297:K299"/>
    <mergeCell ref="K304:K305"/>
    <mergeCell ref="K306:K308"/>
    <mergeCell ref="O339:O342"/>
    <mergeCell ref="O346:O347"/>
    <mergeCell ref="O348:O351"/>
    <mergeCell ref="O309:O312"/>
    <mergeCell ref="O313:O314"/>
    <mergeCell ref="A287:A289"/>
    <mergeCell ref="B287:B289"/>
    <mergeCell ref="A292:A293"/>
    <mergeCell ref="B292:B293"/>
    <mergeCell ref="K237:K239"/>
    <mergeCell ref="K240:K255"/>
    <mergeCell ref="K259:K274"/>
    <mergeCell ref="K276:K280"/>
    <mergeCell ref="K283:K286"/>
    <mergeCell ref="K287:K289"/>
    <mergeCell ref="A259:A274"/>
    <mergeCell ref="B259:B274"/>
    <mergeCell ref="C259:C274"/>
    <mergeCell ref="D259:D274"/>
    <mergeCell ref="B276:B280"/>
    <mergeCell ref="C276:C280"/>
    <mergeCell ref="D276:D280"/>
    <mergeCell ref="A276:A280"/>
    <mergeCell ref="A283:A286"/>
    <mergeCell ref="B283:B286"/>
    <mergeCell ref="A216:A221"/>
    <mergeCell ref="A225:A227"/>
    <mergeCell ref="B225:B227"/>
    <mergeCell ref="A237:A239"/>
    <mergeCell ref="A240:A255"/>
    <mergeCell ref="B240:B255"/>
    <mergeCell ref="C240:C253"/>
    <mergeCell ref="D240:D253"/>
    <mergeCell ref="C254:C255"/>
    <mergeCell ref="D254:D255"/>
    <mergeCell ref="A228:A229"/>
    <mergeCell ref="B228:B229"/>
    <mergeCell ref="A230:A231"/>
    <mergeCell ref="B230:B231"/>
    <mergeCell ref="A233:A236"/>
    <mergeCell ref="B233:B236"/>
    <mergeCell ref="B237:B239"/>
    <mergeCell ref="A172:A173"/>
    <mergeCell ref="A175:A180"/>
    <mergeCell ref="A182:A183"/>
    <mergeCell ref="A184:A185"/>
    <mergeCell ref="A186:A187"/>
    <mergeCell ref="A188:A189"/>
    <mergeCell ref="A192:A197"/>
    <mergeCell ref="A198:A207"/>
    <mergeCell ref="A208:A213"/>
    <mergeCell ref="I155:I161"/>
    <mergeCell ref="C165:C166"/>
    <mergeCell ref="C167:C168"/>
    <mergeCell ref="A111:A112"/>
    <mergeCell ref="A113:A136"/>
    <mergeCell ref="A137:A149"/>
    <mergeCell ref="A151:A152"/>
    <mergeCell ref="A153:A154"/>
    <mergeCell ref="A155:A161"/>
    <mergeCell ref="A162:A164"/>
    <mergeCell ref="A165:A166"/>
    <mergeCell ref="A167:A170"/>
    <mergeCell ref="E165:E166"/>
    <mergeCell ref="E167:E170"/>
    <mergeCell ref="C172:C173"/>
    <mergeCell ref="D172:D173"/>
    <mergeCell ref="E172:E173"/>
    <mergeCell ref="C175:C180"/>
    <mergeCell ref="D175:D180"/>
    <mergeCell ref="E175:E180"/>
    <mergeCell ref="C105:D105"/>
    <mergeCell ref="C106:D106"/>
    <mergeCell ref="C107:D107"/>
    <mergeCell ref="C108:D108"/>
    <mergeCell ref="O80:O97"/>
    <mergeCell ref="P80:P97"/>
    <mergeCell ref="I31:I36"/>
    <mergeCell ref="I37:I41"/>
    <mergeCell ref="I42:I46"/>
    <mergeCell ref="I47:I48"/>
    <mergeCell ref="I49:I52"/>
    <mergeCell ref="I63:I64"/>
    <mergeCell ref="P77:P79"/>
    <mergeCell ref="I188:I189"/>
    <mergeCell ref="I192:I197"/>
    <mergeCell ref="I198:I207"/>
    <mergeCell ref="A4:A17"/>
    <mergeCell ref="I4:I17"/>
    <mergeCell ref="A19:A22"/>
    <mergeCell ref="I19:I22"/>
    <mergeCell ref="A24:A27"/>
    <mergeCell ref="I24:I27"/>
    <mergeCell ref="I28:I29"/>
    <mergeCell ref="A28:A29"/>
    <mergeCell ref="A31:A36"/>
    <mergeCell ref="A37:A41"/>
    <mergeCell ref="A42:A46"/>
    <mergeCell ref="C44:D44"/>
    <mergeCell ref="C45:D45"/>
    <mergeCell ref="A47:A48"/>
    <mergeCell ref="A49:A52"/>
    <mergeCell ref="A53:A62"/>
    <mergeCell ref="A63:A64"/>
    <mergeCell ref="A67:A79"/>
    <mergeCell ref="A80:A97"/>
    <mergeCell ref="A98:A101"/>
    <mergeCell ref="A103:A110"/>
    <mergeCell ref="K650:K652"/>
    <mergeCell ref="K653:K660"/>
    <mergeCell ref="K661:K662"/>
    <mergeCell ref="K664:K665"/>
    <mergeCell ref="K667:K669"/>
    <mergeCell ref="K670:K673"/>
    <mergeCell ref="I67:I79"/>
    <mergeCell ref="I80:I97"/>
    <mergeCell ref="I98:I101"/>
    <mergeCell ref="I103:I110"/>
    <mergeCell ref="I111:I112"/>
    <mergeCell ref="I113:I136"/>
    <mergeCell ref="I137:I149"/>
    <mergeCell ref="I208:I213"/>
    <mergeCell ref="I216:I221"/>
    <mergeCell ref="I225:I227"/>
    <mergeCell ref="I228:I229"/>
    <mergeCell ref="I230:I231"/>
    <mergeCell ref="I233:I236"/>
    <mergeCell ref="I237:I239"/>
    <mergeCell ref="I151:I152"/>
    <mergeCell ref="I153:I154"/>
    <mergeCell ref="I182:I183"/>
    <mergeCell ref="I184:I185"/>
    <mergeCell ref="K605:K609"/>
    <mergeCell ref="K612:K613"/>
    <mergeCell ref="K616:K619"/>
    <mergeCell ref="K620:K623"/>
    <mergeCell ref="K626:K630"/>
    <mergeCell ref="K632:K635"/>
    <mergeCell ref="K636:K639"/>
    <mergeCell ref="K640:K641"/>
    <mergeCell ref="K645:K648"/>
    <mergeCell ref="K557:K561"/>
    <mergeCell ref="K562:K564"/>
    <mergeCell ref="K565:K567"/>
    <mergeCell ref="K568:K571"/>
    <mergeCell ref="K575:K576"/>
    <mergeCell ref="K581:K584"/>
    <mergeCell ref="K589:K590"/>
    <mergeCell ref="K595:K598"/>
    <mergeCell ref="K602:K604"/>
    <mergeCell ref="K514:K515"/>
    <mergeCell ref="K517:K518"/>
    <mergeCell ref="K522:K523"/>
    <mergeCell ref="K524:K525"/>
    <mergeCell ref="K527:K528"/>
    <mergeCell ref="K529:K530"/>
    <mergeCell ref="K532:K535"/>
    <mergeCell ref="K537:K551"/>
    <mergeCell ref="K553:K554"/>
    <mergeCell ref="K413:K422"/>
    <mergeCell ref="K425:K430"/>
    <mergeCell ref="K469:K477"/>
    <mergeCell ref="K478:K479"/>
    <mergeCell ref="K494:K497"/>
    <mergeCell ref="K499:K500"/>
    <mergeCell ref="K502:K503"/>
    <mergeCell ref="K506:K508"/>
    <mergeCell ref="K512:K513"/>
    <mergeCell ref="K465:K466"/>
    <mergeCell ref="K480:K481"/>
    <mergeCell ref="K482:K485"/>
    <mergeCell ref="K697:K702"/>
    <mergeCell ref="K704:K705"/>
    <mergeCell ref="K706:K709"/>
    <mergeCell ref="K714:K721"/>
    <mergeCell ref="K675:K676"/>
    <mergeCell ref="K678:K681"/>
    <mergeCell ref="K682:K684"/>
    <mergeCell ref="K685:K686"/>
    <mergeCell ref="K687:K689"/>
    <mergeCell ref="K691:K692"/>
    <mergeCell ref="K694:K695"/>
    <mergeCell ref="I413:I422"/>
    <mergeCell ref="I425:I430"/>
    <mergeCell ref="I362:I363"/>
    <mergeCell ref="I367:I373"/>
    <mergeCell ref="I379:I380"/>
    <mergeCell ref="I387:I391"/>
    <mergeCell ref="I392:I397"/>
    <mergeCell ref="I402:I404"/>
    <mergeCell ref="I405:I407"/>
    <mergeCell ref="I359:I361"/>
    <mergeCell ref="K346:K347"/>
    <mergeCell ref="K354:K355"/>
    <mergeCell ref="K356:K358"/>
    <mergeCell ref="K359:K361"/>
    <mergeCell ref="K362:K363"/>
    <mergeCell ref="K375:K376"/>
    <mergeCell ref="K379:K380"/>
    <mergeCell ref="I408:I412"/>
    <mergeCell ref="K381:K383"/>
    <mergeCell ref="K387:K391"/>
    <mergeCell ref="K392:K397"/>
    <mergeCell ref="K398:K399"/>
    <mergeCell ref="K402:K404"/>
    <mergeCell ref="K405:K407"/>
    <mergeCell ref="K408:K412"/>
    <mergeCell ref="E356:E358"/>
    <mergeCell ref="K318:K319"/>
    <mergeCell ref="K320:K323"/>
    <mergeCell ref="I295:I296"/>
    <mergeCell ref="I297:I299"/>
    <mergeCell ref="I309:I312"/>
    <mergeCell ref="I313:I314"/>
    <mergeCell ref="K313:K314"/>
    <mergeCell ref="I318:I319"/>
    <mergeCell ref="I320:I323"/>
    <mergeCell ref="I326:I327"/>
    <mergeCell ref="K326:K327"/>
    <mergeCell ref="I328:I329"/>
    <mergeCell ref="K328:K329"/>
    <mergeCell ref="I332:I337"/>
    <mergeCell ref="K332:K337"/>
    <mergeCell ref="K339:K342"/>
    <mergeCell ref="I339:I342"/>
    <mergeCell ref="I343:I344"/>
    <mergeCell ref="I346:I347"/>
    <mergeCell ref="I348:I351"/>
    <mergeCell ref="I353:I355"/>
    <mergeCell ref="I356:I358"/>
    <mergeCell ref="E298:E299"/>
    <mergeCell ref="D339:D340"/>
    <mergeCell ref="E339:E340"/>
    <mergeCell ref="D341:D342"/>
    <mergeCell ref="E341:E342"/>
    <mergeCell ref="B343:B344"/>
    <mergeCell ref="C343:C344"/>
    <mergeCell ref="D343:D344"/>
    <mergeCell ref="E343:E344"/>
    <mergeCell ref="E354:E355"/>
    <mergeCell ref="D320:D321"/>
    <mergeCell ref="E320:E323"/>
    <mergeCell ref="A324:A325"/>
    <mergeCell ref="B324:B325"/>
    <mergeCell ref="E324:E325"/>
    <mergeCell ref="B326:B327"/>
    <mergeCell ref="C326:C327"/>
    <mergeCell ref="D326:D327"/>
    <mergeCell ref="E326:E327"/>
    <mergeCell ref="E359:E361"/>
    <mergeCell ref="A362:A363"/>
    <mergeCell ref="B362:B363"/>
    <mergeCell ref="E362:E363"/>
    <mergeCell ref="A295:A296"/>
    <mergeCell ref="B295:B296"/>
    <mergeCell ref="A298:A299"/>
    <mergeCell ref="B298:B299"/>
    <mergeCell ref="B306:B307"/>
    <mergeCell ref="C306:C307"/>
    <mergeCell ref="D306:D307"/>
    <mergeCell ref="A306:A307"/>
    <mergeCell ref="A309:A312"/>
    <mergeCell ref="B309:B312"/>
    <mergeCell ref="C309:C312"/>
    <mergeCell ref="E309:E312"/>
    <mergeCell ref="A313:A314"/>
    <mergeCell ref="B313:B314"/>
    <mergeCell ref="E313:E314"/>
    <mergeCell ref="C313:C314"/>
    <mergeCell ref="D313:D314"/>
    <mergeCell ref="A320:A323"/>
    <mergeCell ref="B320:B323"/>
    <mergeCell ref="C320:C321"/>
    <mergeCell ref="D354:D355"/>
    <mergeCell ref="A356:A358"/>
    <mergeCell ref="B356:B358"/>
    <mergeCell ref="C362:C363"/>
    <mergeCell ref="D362:D363"/>
    <mergeCell ref="A359:A361"/>
    <mergeCell ref="B359:B361"/>
    <mergeCell ref="C359:C361"/>
    <mergeCell ref="D359:D361"/>
    <mergeCell ref="A339:A342"/>
    <mergeCell ref="B339:B342"/>
    <mergeCell ref="C339:C340"/>
    <mergeCell ref="C341:C342"/>
    <mergeCell ref="A343:A344"/>
    <mergeCell ref="A348:A351"/>
    <mergeCell ref="A353:A355"/>
    <mergeCell ref="B353:B355"/>
    <mergeCell ref="C354:C355"/>
    <mergeCell ref="A326:A327"/>
    <mergeCell ref="A328:A329"/>
    <mergeCell ref="B328:B329"/>
    <mergeCell ref="C328:C329"/>
    <mergeCell ref="D328:D329"/>
    <mergeCell ref="E328:E329"/>
    <mergeCell ref="A332:A337"/>
    <mergeCell ref="B332:B337"/>
    <mergeCell ref="C332:C337"/>
    <mergeCell ref="D332:D337"/>
    <mergeCell ref="E332:E3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Consign</vt:lpstr>
      <vt:lpstr>Stock GIS BUMA Site</vt:lpstr>
      <vt:lpstr>Shipment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LENOVO</cp:lastModifiedBy>
  <dcterms:created xsi:type="dcterms:W3CDTF">2020-07-10T09:39:27Z</dcterms:created>
  <dcterms:modified xsi:type="dcterms:W3CDTF">2026-10-22T06:41:57Z</dcterms:modified>
</cp:coreProperties>
</file>